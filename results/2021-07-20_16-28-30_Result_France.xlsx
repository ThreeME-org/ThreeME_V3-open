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Final_nrj" sheetId="35" r:id="rId2"/>
    <sheet name="Primary_nrj" sheetId="34" r:id="rId3"/>
    <sheet name="Energy_Mix" sheetId="32" r:id="rId4"/>
    <sheet name="Transports" sheetId="31" r:id="rId5"/>
    <sheet name="Hybrid" sheetId="27" r:id="rId6"/>
    <sheet name="Tab-macro" sheetId="7" state="hidden" r:id="rId7"/>
    <sheet name="Tab-baseline" sheetId="12" state="hidden" r:id="rId8"/>
    <sheet name="Macro" sheetId="8" r:id="rId9"/>
    <sheet name="Baseline" sheetId="26" r:id="rId10"/>
    <sheet name="produits-secteurs V2-V3" sheetId="29" r:id="rId11"/>
    <sheet name="Sect&amp;Com_V3" sheetId="30" r:id="rId12"/>
  </sheets>
  <externalReferences>
    <externalReference r:id="rId1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CF_toe_cfut_2 * PhiY_cfut_soil_2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activer, en respectant ces noms de variables
essayer de mimer ce qu'on fait sur les entreprises (pour lesquelles la calibration impose que ca soit [c ; s] et non pas [s ; c]</t>
        </r>
      </text>
    </comment>
    <comment ref="E358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= sum(CH_toe_auto[cea] on cea) ? Ou CH_toe_trsp (à activer) ? 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<sst xmlns="http://schemas.openxmlformats.org/spreadsheetml/2006/main" count="3720" uniqueCount="2199">
  <si>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</si>
  <si>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</si>
  <si>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</si>
  <si>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</si>
  <si>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</si>
  <si>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</si>
  <si>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</si>
  <si>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</si>
  <si>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</si>
  <si>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</si>
  <si>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</si>
  <si>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</si>
  <si>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</si>
  <si>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</si>
  <si>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</si>
  <si>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</si>
  <si>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</si>
  <si>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</si>
  <si>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</si>
  <si>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</si>
  <si>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</si>
  <si>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</si>
  <si>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</si>
  <si>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</si>
  <si>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</si>
  <si>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</si>
  <si>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</si>
  <si>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</si>
  <si>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</si>
  <si>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</si>
  <si>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</si>
  <si>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</si>
  <si>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</si>
  <si>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</si>
  <si>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</si>
  <si>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</si>
  <si>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</si>
  <si>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</si>
  <si>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</si>
  <si>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</si>
  <si>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</si>
  <si>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</si>
  <si>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</si>
  <si>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</si>
  <si>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</si>
  <si>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</si>
  <si>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</si>
  <si>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</si>
  <si>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</si>
  <si>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</si>
  <si>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</si>
  <si>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</si>
  <si>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</si>
  <si>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</si>
  <si>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</si>
  <si>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</si>
  <si>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</si>
  <si>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</si>
  <si>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</si>
  <si>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</si>
  <si>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</si>
  <si>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</si>
  <si>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</si>
  <si>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</si>
  <si>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</si>
  <si>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</si>
  <si>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</si>
  <si>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</si>
  <si>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</si>
  <si>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</si>
  <si>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</si>
  <si>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</si>
  <si>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</si>
  <si>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</si>
  <si>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</si>
  <si>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</si>
  <si>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</si>
  <si>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</si>
  <si>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</si>
  <si>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</si>
  <si>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</si>
  <si>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</si>
  <si>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</si>
  <si>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</si>
  <si>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</si>
  <si>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</si>
  <si>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</si>
  <si>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</si>
  <si>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</si>
  <si>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</si>
  <si>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</si>
  <si>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</si>
  <si>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</si>
  <si>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</si>
  <si>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</si>
  <si>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</si>
  <si>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</si>
  <si>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</si>
  <si>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</si>
  <si>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</si>
  <si>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</si>
  <si>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</si>
  <si>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</si>
  <si>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</si>
  <si>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</si>
  <si>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</si>
  <si>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</si>
  <si>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</si>
  <si>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</si>
  <si>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</si>
  <si>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</si>
  <si>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</si>
  <si>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</si>
  <si>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</si>
  <si>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</si>
  <si>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</si>
  <si>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</si>
  <si>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</si>
  <si>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</si>
  <si>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</si>
  <si>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</si>
  <si>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</si>
  <si>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</si>
  <si>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</si>
  <si>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</si>
  <si>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</si>
  <si>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</si>
  <si>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</si>
  <si>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</si>
  <si>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</si>
  <si>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</si>
  <si>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</si>
  <si>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</si>
  <si>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</si>
  <si>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</si>
  <si>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</si>
  <si>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</si>
  <si>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</si>
  <si>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</si>
  <si>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</si>
  <si>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</si>
  <si>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</si>
  <si>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</si>
  <si>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</si>
  <si>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</si>
  <si>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</si>
  <si>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</si>
  <si>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</si>
  <si>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</si>
  <si>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</si>
  <si>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</si>
  <si>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</si>
  <si>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</si>
  <si>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</si>
  <si>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</si>
  <si>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</si>
  <si>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</si>
  <si>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</si>
  <si>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</si>
  <si>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</si>
  <si>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</si>
  <si>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</si>
  <si>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</si>
  <si>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</si>
  <si>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</si>
  <si>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</si>
  <si>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</si>
  <si>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</si>
  <si>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</si>
  <si>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</si>
  <si>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</si>
  <si>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</si>
  <si>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</si>
  <si>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</si>
  <si>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</si>
  <si>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</si>
  <si>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</si>
  <si>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</si>
  <si>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</si>
  <si>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</si>
  <si>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</si>
  <si>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</si>
  <si>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</si>
  <si>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</si>
  <si>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</si>
  <si>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</si>
  <si>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</si>
  <si>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</si>
  <si>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</si>
  <si>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</si>
  <si>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</si>
  <si>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</si>
  <si>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</si>
  <si>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</si>
  <si>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</si>
  <si>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</si>
  <si>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</si>
  <si>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</si>
  <si>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</si>
  <si>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</si>
  <si>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</si>
  <si>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</si>
  <si>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</si>
  <si>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</si>
  <si>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</si>
  <si>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</si>
  <si>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</si>
  <si>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</si>
  <si>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</si>
  <si>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</si>
  <si>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</si>
  <si>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</si>
  <si>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</si>
  <si>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</si>
  <si>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</si>
  <si>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</si>
  <si>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</si>
  <si>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</si>
  <si>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</si>
  <si>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</si>
  <si>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</si>
  <si>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</si>
  <si>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</si>
  <si>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</si>
  <si>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</si>
  <si>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</si>
  <si>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</si>
  <si>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</si>
  <si>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MACRO 
(EN ECARTS)</t>
  </si>
  <si>
    <t>PIB</t>
  </si>
  <si>
    <t>100*(GDP_2/GDP_0-1)</t>
  </si>
  <si>
    <t>VA du secteur marchand</t>
  </si>
  <si>
    <t>100*((VA_2-VA_cpub_2)/(VA_0-VA_cpub_0)-1)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</si>
  <si>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</si>
  <si>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</si>
  <si>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</si>
  <si>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</si>
  <si>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</si>
  <si>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</si>
  <si>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</si>
  <si>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</si>
  <si>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</si>
  <si>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</si>
  <si>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</si>
  <si>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</si>
  <si>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</si>
  <si>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</si>
  <si>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</si>
  <si>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100*((I_2-IA_cpub_2-(I_0-IA_cpub_0))/GDP_0)</t>
  </si>
  <si>
    <t>Investissement ménages</t>
  </si>
  <si>
    <t>100*((CH_ccon_2-CH_ccon_0)/GDP_0)</t>
  </si>
  <si>
    <t>Investissement public</t>
  </si>
  <si>
    <t>100*((IA_cpub_2-IA_cpub_0)/GDP_0)</t>
  </si>
  <si>
    <t>100*(CH_2/CH_0-1)</t>
  </si>
  <si>
    <t>100*(CH_cveh_2/CH_cveh_0-1)</t>
  </si>
  <si>
    <t>100*(G_2/G_0-1)</t>
  </si>
  <si>
    <t>100*(I_2/I_0-1)</t>
  </si>
  <si>
    <t>100*((I_2-IA_cpub_2)/(I_0-IA_cpub_0)-1)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</si>
  <si>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</si>
  <si>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</si>
  <si>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</si>
  <si>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</si>
  <si>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</si>
  <si>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100*((IA_cpub_2)/(IA_cpub_0)-1)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</si>
  <si>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</si>
  <si>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</si>
  <si>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</si>
  <si>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</si>
  <si>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</si>
  <si>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</si>
  <si>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</si>
  <si>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</si>
  <si>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</si>
  <si>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</si>
  <si>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</si>
  <si>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</si>
  <si>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</si>
  <si>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</si>
  <si>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</si>
  <si>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</si>
  <si>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</si>
  <si>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</si>
  <si>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</si>
  <si>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</si>
  <si>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</si>
  <si>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</si>
  <si>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</si>
  <si>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</si>
  <si>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</si>
  <si>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</si>
  <si>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</si>
  <si>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</si>
  <si>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</si>
  <si>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</si>
  <si>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</si>
  <si>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</si>
  <si>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</si>
  <si>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</si>
  <si>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</si>
  <si>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</si>
  <si>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</si>
  <si>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</si>
  <si>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</si>
  <si>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</si>
  <si>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MACRO 
(ABSOLU)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</si>
  <si>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</si>
  <si>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</si>
  <si>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</si>
  <si>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</si>
  <si>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</si>
  <si>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</si>
  <si>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</si>
  <si>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</si>
  <si>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</si>
  <si>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DEFLATEUR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</si>
  <si>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</si>
  <si>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</si>
  <si>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</si>
  <si>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</si>
  <si>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</si>
  <si>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</si>
  <si>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</si>
  <si>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</si>
  <si>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</si>
  <si>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</si>
  <si>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</si>
  <si>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</si>
  <si>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</si>
  <si>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</si>
  <si>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</si>
  <si>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</si>
  <si>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</si>
  <si>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</si>
  <si>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</si>
  <si>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</si>
  <si>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</si>
  <si>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</si>
  <si>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</si>
  <si>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</si>
  <si>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</si>
  <si>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</si>
  <si>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</si>
  <si>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</si>
  <si>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</si>
  <si>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</si>
  <si>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</si>
  <si>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</si>
  <si>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</si>
  <si>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</si>
  <si>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</si>
  <si>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</si>
  <si>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</si>
  <si>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</si>
  <si>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</si>
  <si>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</si>
  <si>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</si>
  <si>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</si>
  <si>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</si>
  <si>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</si>
  <si>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</si>
  <si>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</si>
  <si>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</si>
  <si>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</si>
  <si>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</si>
  <si>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</si>
  <si>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</si>
  <si>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</si>
  <si>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</si>
  <si>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</si>
  <si>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</si>
  <si>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</si>
  <si>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</si>
  <si>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</si>
  <si>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</si>
  <si>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</si>
  <si>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</si>
  <si>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</si>
  <si>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</si>
  <si>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</si>
  <si>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</si>
  <si>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</si>
  <si>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</si>
  <si>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</si>
  <si>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</si>
  <si>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</si>
  <si>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</si>
  <si>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</si>
  <si>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</si>
  <si>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</si>
  <si>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</si>
  <si>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</si>
  <si>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</si>
  <si>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</si>
  <si>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</si>
  <si>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</si>
  <si>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</si>
  <si>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</si>
  <si>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</si>
  <si>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</si>
  <si>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</si>
  <si>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</si>
  <si>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</si>
  <si>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</si>
  <si>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</si>
  <si>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</si>
  <si>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</si>
  <si>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</si>
  <si>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</si>
  <si>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</si>
  <si>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</si>
  <si>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</si>
  <si>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</si>
  <si>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</si>
  <si>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</si>
  <si>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</si>
  <si>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</si>
  <si>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</si>
  <si>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</si>
  <si>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</si>
  <si>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</si>
  <si>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</si>
  <si>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</si>
  <si>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</si>
  <si>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</si>
  <si>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</si>
  <si>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</si>
  <si>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</si>
  <si>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</si>
  <si>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</si>
  <si>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</si>
  <si>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</si>
  <si>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</si>
  <si>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</si>
  <si>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</si>
  <si>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</si>
  <si>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</si>
  <si>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</si>
  <si>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</si>
  <si>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</si>
  <si>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</si>
  <si>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</si>
  <si>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</si>
  <si>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</si>
  <si>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</si>
  <si>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</si>
  <si>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</si>
  <si>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</si>
  <si>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</si>
  <si>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</si>
  <si>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</si>
  <si>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</si>
  <si>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</si>
  <si>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</si>
  <si>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</si>
  <si>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</si>
  <si>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</si>
  <si>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</si>
  <si>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</si>
  <si>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</si>
  <si>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</si>
  <si>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</si>
  <si>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</si>
  <si>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</si>
  <si>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</si>
  <si>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</si>
  <si>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</si>
  <si>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</si>
  <si>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</si>
  <si>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</si>
  <si>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</si>
  <si>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</si>
  <si>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</si>
  <si>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</si>
  <si>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</si>
  <si>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</si>
  <si>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</si>
  <si>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</si>
  <si>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</si>
  <si>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</si>
  <si>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</si>
  <si>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</si>
  <si>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</si>
  <si>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</si>
  <si>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</si>
  <si>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</si>
  <si>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</si>
  <si>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</si>
  <si>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</si>
  <si>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</si>
  <si>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</si>
  <si>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</si>
  <si>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</si>
  <si>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</si>
  <si>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</si>
  <si>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</si>
  <si>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</si>
  <si>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</si>
  <si>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</si>
  <si>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</si>
  <si>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</si>
  <si>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</si>
  <si>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</si>
  <si>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</si>
  <si>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</si>
  <si>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</si>
  <si>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</si>
  <si>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</si>
  <si>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</si>
  <si>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</si>
  <si>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</si>
  <si>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</si>
  <si>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</si>
  <si>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</si>
  <si>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</si>
  <si>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</si>
  <si>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</si>
  <si>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</si>
  <si>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</si>
  <si>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</si>
  <si>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</si>
  <si>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</si>
  <si>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</si>
  <si>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</si>
  <si>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</si>
  <si>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</si>
  <si>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</si>
  <si>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</si>
  <si>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</si>
  <si>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</si>
  <si>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</si>
  <si>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</si>
  <si>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</si>
  <si>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</si>
  <si>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</si>
  <si>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</si>
  <si>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</si>
  <si>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</si>
  <si>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</si>
  <si>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</si>
  <si>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</si>
  <si>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</si>
  <si>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</si>
  <si>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</si>
  <si>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</si>
  <si>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</si>
  <si>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</si>
  <si>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</si>
  <si>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</si>
  <si>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</si>
  <si>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</si>
  <si>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</si>
  <si>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</si>
  <si>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</si>
  <si>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</si>
  <si>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</si>
  <si>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</si>
  <si>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</si>
  <si>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</si>
  <si>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</si>
  <si>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</si>
  <si>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</si>
  <si>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</si>
  <si>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</si>
  <si>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</si>
  <si>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</si>
  <si>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</si>
  <si>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</si>
  <si>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</si>
  <si>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</si>
  <si>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</si>
  <si>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</si>
  <si>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</si>
  <si>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</si>
  <si>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</si>
  <si>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</si>
  <si>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</si>
  <si>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</si>
  <si>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</si>
  <si>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</si>
  <si>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</si>
  <si>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</si>
  <si>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</si>
  <si>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</si>
  <si>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</si>
  <si>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</si>
  <si>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</si>
  <si>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</si>
  <si>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</si>
  <si>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</si>
  <si>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</si>
  <si>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</si>
  <si>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</si>
  <si>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</si>
  <si>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</si>
  <si>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</si>
  <si>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</si>
  <si>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</si>
  <si>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</si>
  <si>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</si>
  <si>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</si>
  <si>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</si>
  <si>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</si>
  <si>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</si>
  <si>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</si>
  <si>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</si>
  <si>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</si>
  <si>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</si>
  <si>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</si>
  <si>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</si>
  <si>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</si>
  <si>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</si>
  <si>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</si>
  <si>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</si>
  <si>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</si>
  <si>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</si>
  <si>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</si>
  <si>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</si>
  <si>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</si>
  <si>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</si>
  <si>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</si>
  <si>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</si>
  <si>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</si>
  <si>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</si>
  <si>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</si>
  <si>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</si>
  <si>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</si>
  <si>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</si>
  <si>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</si>
  <si>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</si>
  <si>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</si>
  <si>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</si>
  <si>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</si>
  <si>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</si>
  <si>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</si>
  <si>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</si>
  <si>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</si>
  <si>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</si>
  <si>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</si>
  <si>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</si>
  <si>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</si>
  <si>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</si>
  <si>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</si>
  <si>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</si>
  <si>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</si>
  <si>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</si>
  <si>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</si>
  <si>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</si>
  <si>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</si>
  <si>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</si>
  <si>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</si>
  <si>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</si>
  <si>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</si>
  <si>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</si>
  <si>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</si>
  <si>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</si>
  <si>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</si>
  <si>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</si>
  <si>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</si>
  <si>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</si>
  <si>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</si>
  <si>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</si>
  <si>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</si>
  <si>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</si>
  <si>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</si>
  <si>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</si>
  <si>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</si>
  <si>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</si>
  <si>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</si>
  <si>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</si>
  <si>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</si>
  <si>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</si>
  <si>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</si>
  <si>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</si>
  <si>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</si>
  <si>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</si>
  <si>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</si>
  <si>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</si>
  <si>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</si>
  <si>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</si>
  <si>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</si>
  <si>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</si>
  <si>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</si>
  <si>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</si>
  <si>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</si>
  <si>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</si>
  <si>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</si>
  <si>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</si>
  <si>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</si>
  <si>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</si>
  <si>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</si>
  <si>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</si>
  <si>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</si>
  <si>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</si>
  <si>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</si>
  <si>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</si>
  <si>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</si>
  <si>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</si>
  <si>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</si>
  <si>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</si>
  <si>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</si>
  <si>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</si>
  <si>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</si>
  <si>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</si>
  <si>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</si>
  <si>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</si>
  <si>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</si>
  <si>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</si>
  <si>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</si>
  <si>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</si>
  <si>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</si>
  <si>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</si>
  <si>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</si>
  <si>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</si>
  <si>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</si>
  <si>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</si>
  <si>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</si>
  <si>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</si>
  <si>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</si>
  <si>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</si>
  <si>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</si>
  <si>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</si>
  <si>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</si>
  <si>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</si>
  <si>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</si>
  <si>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</si>
  <si>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</si>
  <si>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</si>
  <si>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</si>
  <si>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</si>
  <si>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</si>
  <si>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</si>
  <si>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</si>
  <si>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</si>
  <si>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</si>
  <si>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</si>
  <si>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</si>
  <si>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</si>
  <si>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</si>
  <si>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</si>
  <si>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</si>
  <si>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</si>
  <si>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</si>
  <si>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</si>
  <si>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</si>
  <si>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</si>
  <si>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</si>
  <si>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</si>
  <si>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</si>
  <si>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</si>
  <si>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</si>
  <si>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</si>
  <si>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</si>
  <si>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</si>
  <si>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</si>
  <si>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</si>
  <si>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</si>
  <si>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</si>
  <si>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</si>
  <si>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</si>
  <si>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</si>
  <si>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</si>
  <si>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</si>
  <si>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</si>
  <si>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</si>
  <si>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</si>
  <si>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</si>
  <si>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</si>
  <si>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</si>
  <si>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</si>
  <si>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</si>
  <si>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</si>
  <si>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</si>
  <si>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</si>
  <si>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</si>
  <si>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</si>
  <si>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</si>
  <si>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</si>
  <si>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</si>
  <si>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</si>
  <si>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</si>
  <si>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</si>
  <si>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</si>
  <si>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</si>
  <si>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</si>
  <si>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</si>
  <si>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</si>
  <si>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</si>
  <si>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</si>
  <si>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</si>
  <si>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</si>
  <si>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</si>
  <si>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</si>
  <si>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</si>
  <si>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</si>
  <si>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</si>
  <si>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</si>
  <si>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</si>
  <si>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</si>
  <si>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</si>
  <si>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</si>
  <si>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</si>
  <si>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</si>
  <si>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</si>
  <si>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</si>
  <si>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</si>
  <si>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</si>
  <si>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</si>
  <si>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</si>
  <si>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</si>
  <si>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</si>
  <si>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</si>
  <si>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</si>
  <si>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</si>
  <si>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</si>
  <si>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</si>
  <si>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</si>
  <si>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</si>
  <si>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</si>
  <si>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</si>
  <si>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</si>
  <si>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</si>
  <si>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</si>
  <si>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</si>
  <si>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</si>
  <si>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</si>
  <si>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</si>
  <si>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</si>
  <si>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</si>
  <si>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</si>
  <si>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</si>
  <si>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</si>
  <si>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</si>
  <si>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</si>
  <si>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</si>
  <si>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</si>
  <si>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</si>
  <si>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</si>
  <si>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</si>
  <si>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</si>
  <si>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</si>
  <si>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</si>
  <si>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</si>
  <si>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</si>
  <si>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</si>
  <si>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</si>
  <si>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</si>
  <si>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</si>
  <si>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</si>
  <si>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</si>
  <si>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</si>
  <si>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</si>
  <si>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</si>
  <si>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</si>
  <si>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</si>
  <si>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</si>
  <si>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</si>
  <si>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</si>
  <si>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</si>
  <si>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</si>
  <si>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</si>
  <si>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</si>
  <si>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</si>
  <si>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</si>
  <si>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</si>
  <si>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</si>
  <si>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</si>
  <si>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</si>
  <si>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</si>
  <si>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</si>
  <si>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</si>
  <si>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</si>
  <si>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</si>
  <si>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</si>
  <si>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</si>
  <si>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</si>
  <si>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</si>
  <si>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</si>
  <si>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</si>
  <si>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</si>
  <si>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</si>
  <si>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</si>
  <si>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</si>
  <si>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</si>
  <si>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</si>
  <si>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</si>
  <si>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</si>
  <si>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</si>
  <si>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</si>
  <si>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</si>
  <si>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</si>
  <si>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</si>
  <si>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</si>
  <si>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</si>
  <si>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</si>
  <si>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</si>
  <si>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</si>
  <si>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</si>
  <si>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</si>
  <si>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</si>
  <si>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</si>
  <si>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</si>
  <si>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</si>
  <si>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</si>
  <si>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</si>
  <si>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</si>
  <si>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</si>
  <si>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</si>
  <si>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</si>
  <si>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</si>
  <si>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</si>
  <si>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</si>
  <si>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</si>
  <si>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</si>
  <si>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</si>
  <si>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</si>
  <si>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</si>
  <si>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</si>
  <si>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</si>
  <si>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</si>
  <si>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</si>
  <si>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</si>
  <si>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</si>
  <si>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</si>
  <si>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</si>
  <si>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</si>
  <si>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</si>
  <si>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</si>
  <si>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</si>
  <si>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</si>
  <si>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</si>
  <si>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</si>
  <si>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</si>
  <si>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</si>
  <si>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</si>
  <si>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</si>
  <si>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</si>
  <si>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</si>
  <si>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</si>
  <si>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</si>
  <si>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</si>
  <si>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</si>
  <si>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</si>
  <si>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</si>
  <si>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</si>
  <si>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</si>
  <si>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</si>
  <si>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</si>
  <si>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</si>
  <si>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</si>
  <si>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</si>
  <si>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</si>
  <si>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</si>
  <si>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</si>
  <si>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</si>
  <si>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</si>
  <si>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</si>
  <si>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</si>
  <si>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</si>
  <si>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</si>
  <si>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</si>
  <si>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</si>
  <si>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</si>
  <si>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</si>
  <si>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</si>
  <si>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</si>
  <si>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</si>
  <si>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</si>
  <si>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</si>
  <si>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</si>
  <si>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</si>
  <si>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</si>
  <si>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</si>
  <si>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</si>
  <si>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</si>
  <si>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</si>
  <si>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</si>
  <si>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</si>
  <si>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</si>
  <si>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</si>
  <si>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</si>
  <si>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</si>
  <si>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</si>
  <si>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</si>
  <si>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</si>
  <si>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</si>
  <si>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</si>
  <si>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</si>
  <si>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</si>
  <si>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</si>
  <si>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</si>
  <si>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</si>
  <si>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</si>
  <si>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</si>
  <si>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</si>
  <si>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</si>
  <si>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</si>
  <si>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</si>
  <si>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</si>
  <si>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</si>
  <si>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</si>
  <si>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</si>
  <si>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</si>
  <si>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</si>
  <si>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</si>
  <si>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</si>
  <si>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</si>
  <si>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</si>
  <si>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</si>
  <si>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</si>
  <si>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</si>
  <si>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</si>
  <si>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</si>
  <si>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</si>
  <si>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</si>
  <si>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</si>
  <si>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</si>
  <si>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</si>
  <si>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</si>
  <si>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</si>
  <si>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</si>
  <si>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</si>
  <si>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</si>
  <si>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</si>
  <si>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</si>
  <si>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</si>
  <si>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</si>
  <si>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</si>
  <si>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</si>
  <si>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</si>
  <si>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</si>
  <si>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</si>
  <si>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</si>
  <si>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</si>
  <si>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</si>
  <si>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</si>
  <si>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</si>
  <si>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</si>
  <si>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</si>
  <si>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</si>
  <si>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</si>
  <si>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</si>
  <si>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</si>
  <si>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</si>
  <si>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</si>
  <si>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</si>
  <si>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</si>
  <si>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</si>
  <si>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</si>
  <si>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</si>
  <si>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</si>
  <si>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</si>
  <si>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</si>
  <si>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</si>
  <si>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</si>
  <si>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</si>
  <si>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</si>
  <si>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</si>
  <si>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</si>
  <si>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</si>
  <si>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</si>
  <si>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</si>
  <si>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</si>
  <si>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</si>
  <si>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</si>
  <si>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</si>
  <si>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</si>
  <si>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</si>
  <si>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</si>
  <si>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</si>
  <si>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</si>
  <si>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</si>
  <si>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</si>
  <si>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</si>
  <si>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</si>
  <si>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</si>
  <si>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</si>
  <si>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</si>
  <si>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</si>
  <si>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</si>
  <si>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</si>
  <si>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</si>
  <si>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</si>
  <si>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</si>
  <si>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</si>
  <si>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</si>
  <si>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</si>
  <si>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</si>
  <si>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</si>
  <si>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</si>
  <si>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</si>
  <si>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</si>
  <si>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</si>
  <si>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</si>
  <si>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</si>
  <si>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</si>
  <si>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</si>
  <si>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</si>
  <si>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</si>
  <si>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</si>
  <si>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</si>
  <si>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</si>
  <si>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</si>
  <si>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</si>
  <si>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</si>
  <si>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</si>
  <si>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</si>
  <si>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</si>
  <si>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</si>
  <si>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</si>
  <si>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</si>
  <si>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</si>
  <si>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</si>
  <si>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</si>
  <si>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</si>
  <si>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</si>
  <si>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</si>
  <si>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</si>
  <si>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</si>
  <si>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</si>
  <si>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</si>
  <si>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</si>
  <si>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</si>
  <si>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</si>
  <si>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</si>
  <si>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</si>
  <si>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</si>
  <si>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</si>
  <si>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</si>
  <si>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</si>
  <si>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</si>
  <si>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</si>
  <si>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</si>
  <si>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</si>
  <si>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</si>
  <si>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</si>
  <si>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</si>
  <si>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</si>
  <si>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</si>
  <si>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</si>
  <si>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</si>
  <si>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</si>
  <si>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</si>
  <si>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</si>
  <si>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</si>
  <si>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</si>
  <si>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</si>
  <si>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</si>
  <si>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</si>
  <si>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</si>
  <si>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</si>
  <si>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</si>
  <si>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</si>
  <si>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</si>
  <si>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</si>
  <si>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</si>
  <si>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</si>
  <si>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</si>
  <si>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</si>
  <si>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</si>
  <si>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</si>
  <si>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</si>
  <si>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</si>
  <si>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</si>
  <si>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</si>
  <si>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</si>
  <si>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</si>
  <si>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</si>
  <si>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</si>
  <si>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</si>
  <si>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</si>
  <si>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</si>
  <si>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</si>
  <si>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</si>
  <si>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</si>
  <si>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</si>
  <si>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</si>
  <si>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</si>
  <si>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</si>
  <si>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</si>
  <si>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</si>
  <si>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</si>
  <si>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</si>
  <si>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</si>
  <si>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</si>
  <si>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</si>
  <si>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</si>
  <si>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</si>
  <si>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</si>
  <si>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</si>
  <si>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</si>
  <si>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</si>
  <si>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</si>
  <si>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</si>
  <si>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</si>
  <si>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</si>
  <si>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</si>
  <si>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</si>
  <si>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</si>
  <si>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</si>
  <si>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</si>
  <si>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</si>
  <si>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</si>
  <si>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</si>
  <si>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</si>
  <si>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</si>
  <si>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</si>
  <si>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</si>
  <si>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</si>
  <si>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</si>
  <si>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</si>
  <si>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</si>
  <si>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</si>
  <si>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</si>
  <si>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</si>
  <si>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</si>
  <si>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</si>
  <si>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</si>
  <si>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</si>
  <si>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</si>
  <si>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</si>
  <si>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</si>
  <si>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</si>
  <si>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</si>
  <si>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</si>
  <si>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</si>
  <si>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</si>
  <si>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</si>
  <si>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</si>
  <si>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</si>
  <si>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</si>
  <si>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</si>
  <si>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</si>
  <si>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</si>
  <si>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</si>
  <si>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</si>
  <si>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</si>
  <si>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</si>
  <si>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</si>
  <si>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</si>
  <si>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</si>
  <si>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</si>
  <si>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</si>
  <si>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</si>
  <si>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</si>
  <si>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</si>
  <si>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</si>
  <si>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</si>
  <si>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</si>
  <si>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</si>
  <si>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</si>
  <si>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</si>
  <si>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</si>
  <si>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</si>
  <si>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</si>
  <si>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</si>
  <si>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</si>
  <si>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</si>
  <si>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</si>
  <si>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</si>
  <si>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</si>
  <si>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</si>
  <si>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</si>
  <si>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</si>
  <si>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</si>
  <si>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</si>
  <si>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</si>
  <si>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</si>
  <si>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</si>
  <si>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</si>
  <si>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</si>
  <si>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</si>
  <si>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</si>
  <si>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</si>
  <si>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</si>
  <si>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</si>
  <si>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</si>
  <si>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</si>
  <si>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</si>
  <si>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</si>
  <si>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</si>
  <si>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</si>
  <si>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</si>
  <si>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</si>
  <si>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</si>
  <si>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</si>
  <si>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</si>
  <si>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</si>
  <si>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</si>
  <si>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</si>
  <si>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</si>
  <si>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</si>
  <si>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</si>
  <si>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</si>
  <si>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</si>
  <si>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</si>
  <si>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</si>
  <si>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</si>
  <si>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</si>
  <si>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</si>
  <si>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</si>
  <si>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</si>
  <si>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</si>
  <si>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</si>
  <si>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</si>
  <si>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</si>
  <si>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</si>
  <si>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</si>
  <si>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</si>
  <si>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</si>
  <si>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</si>
  <si>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</si>
  <si>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</si>
  <si>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</si>
  <si>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</si>
  <si>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</si>
  <si>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</si>
  <si>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</si>
  <si>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</si>
  <si>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</si>
  <si>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</si>
  <si>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</si>
  <si>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</si>
  <si>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</si>
  <si>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</si>
  <si>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</si>
  <si>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</si>
  <si>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</si>
  <si>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</si>
  <si>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</si>
  <si>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</si>
  <si>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</si>
  <si>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</si>
  <si>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</si>
  <si>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</si>
  <si>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</si>
  <si>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</si>
  <si>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</si>
  <si>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</si>
  <si>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</si>
  <si>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</si>
  <si>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</si>
  <si>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</si>
  <si>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</si>
  <si>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</si>
  <si>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</si>
  <si>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</si>
  <si>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</si>
  <si>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</si>
  <si>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</si>
  <si>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</si>
  <si>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</si>
  <si>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</si>
  <si>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</si>
  <si>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</si>
  <si>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</si>
  <si>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</si>
  <si>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</si>
  <si>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</si>
  <si>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</si>
  <si>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</si>
  <si>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</si>
  <si>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</si>
  <si>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</si>
  <si>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</si>
  <si>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</si>
  <si>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</si>
  <si>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</si>
  <si>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</si>
  <si>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</si>
  <si>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</si>
  <si>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</si>
  <si>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</si>
  <si>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</si>
  <si>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</si>
  <si>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</si>
  <si>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</si>
  <si>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</si>
  <si>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</si>
  <si>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</si>
  <si>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</si>
  <si>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</si>
  <si>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</si>
  <si>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</si>
  <si>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</si>
  <si>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</si>
  <si>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</si>
  <si>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</si>
  <si>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</si>
  <si>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</si>
  <si>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</si>
  <si>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</si>
  <si>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</si>
  <si>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</si>
  <si>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</si>
  <si>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</si>
  <si>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</si>
  <si>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</si>
  <si>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</si>
  <si>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</si>
  <si>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</si>
  <si>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</si>
  <si>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</si>
  <si>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</si>
  <si>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</si>
  <si>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</si>
  <si>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</si>
  <si>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</si>
  <si>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</si>
  <si>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</si>
  <si>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</si>
  <si>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</si>
  <si>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</si>
  <si>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</si>
  <si>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</si>
  <si>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</si>
  <si>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</si>
  <si>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</si>
  <si>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</si>
  <si>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</si>
  <si>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</si>
  <si>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</si>
  <si>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</si>
  <si>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</si>
  <si>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</si>
  <si>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</si>
  <si>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</si>
  <si>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</si>
  <si>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</si>
  <si>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</si>
  <si>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</si>
  <si>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</si>
  <si>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</si>
  <si>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</si>
  <si>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</si>
  <si>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</si>
  <si>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</si>
  <si>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</si>
  <si>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</si>
  <si>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</si>
  <si>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</si>
  <si>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</si>
  <si>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</si>
  <si>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</si>
  <si>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</si>
  <si>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</si>
  <si>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</si>
  <si>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</si>
  <si>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</si>
  <si>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</si>
  <si>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</si>
  <si>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</si>
  <si>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</si>
  <si>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</si>
  <si>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</si>
  <si>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</si>
  <si>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</si>
  <si>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</si>
  <si>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</si>
  <si>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</si>
  <si>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</si>
  <si>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</si>
  <si>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</si>
  <si>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</si>
  <si>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</si>
  <si>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</si>
  <si>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</si>
  <si>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</si>
  <si>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</si>
  <si>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</si>
  <si>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</si>
  <si>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</si>
  <si>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</si>
  <si>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</si>
  <si>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</si>
  <si>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</si>
  <si>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</si>
  <si>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</si>
  <si>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</si>
  <si>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</si>
  <si>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</si>
  <si>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</si>
  <si>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</si>
  <si>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</si>
  <si>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</si>
  <si>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</si>
  <si>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</si>
  <si>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</si>
  <si>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</si>
  <si>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</si>
  <si>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</si>
  <si>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</si>
  <si>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</si>
  <si>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</si>
  <si>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</si>
  <si>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</si>
  <si>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</si>
  <si>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</si>
  <si>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</si>
  <si>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</si>
  <si>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</si>
  <si>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</si>
  <si>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</si>
  <si>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</si>
  <si>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</si>
  <si>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</si>
  <si>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</si>
  <si>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</si>
  <si>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</si>
  <si>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</si>
  <si>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</si>
  <si>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</si>
  <si>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</si>
  <si>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</si>
  <si>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</si>
  <si>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</si>
  <si>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</si>
  <si>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</si>
  <si>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</si>
  <si>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</si>
  <si>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</si>
  <si>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</si>
  <si>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</si>
  <si>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</si>
  <si>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</si>
  <si>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</si>
  <si>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</si>
  <si>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</si>
  <si>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</si>
  <si>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</si>
  <si>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</si>
  <si>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</si>
  <si>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</si>
  <si>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</si>
  <si>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</si>
  <si>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</si>
  <si>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</si>
  <si>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</si>
  <si>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</si>
  <si>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</si>
  <si>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</si>
  <si>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</si>
  <si>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</si>
  <si>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</si>
  <si>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</si>
  <si>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</si>
  <si>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</si>
  <si>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</si>
  <si>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</si>
  <si>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</si>
  <si>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</si>
  <si>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</si>
  <si>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</si>
  <si>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</si>
  <si>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</si>
  <si>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</si>
  <si>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</si>
  <si>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</si>
  <si>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</si>
  <si>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</si>
  <si>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</si>
  <si>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</si>
  <si>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</si>
  <si>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</si>
  <si>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</si>
  <si>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</si>
  <si>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</si>
  <si>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</si>
  <si>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</si>
  <si>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</si>
  <si>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</si>
  <si>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</si>
  <si>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</si>
  <si>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</si>
  <si>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</si>
  <si>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</si>
  <si>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</si>
  <si>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</si>
  <si>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</si>
  <si>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</si>
  <si>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</si>
  <si>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</si>
  <si>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</si>
  <si>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</si>
  <si>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</si>
  <si>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</si>
  <si>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</si>
  <si>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</si>
  <si>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</si>
  <si>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</si>
  <si>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</si>
  <si>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</si>
  <si>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</si>
  <si>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</si>
  <si>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</si>
  <si>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</si>
  <si>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</si>
  <si>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</si>
  <si>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</si>
  <si>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</si>
  <si>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</si>
  <si>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</si>
  <si>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</si>
  <si>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</si>
  <si>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</si>
  <si>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</si>
  <si>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</si>
  <si>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</si>
  <si>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</si>
  <si>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</si>
  <si>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</si>
  <si>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</si>
  <si>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</si>
  <si>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</si>
  <si>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</si>
  <si>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</si>
  <si>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</si>
  <si>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</si>
  <si>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</si>
  <si>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</si>
  <si>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</si>
  <si>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</si>
  <si>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</si>
  <si>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</si>
  <si>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</si>
  <si>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</si>
  <si>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</si>
  <si>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</si>
  <si>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</si>
  <si>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</si>
  <si>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</si>
  <si>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</si>
  <si>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</si>
  <si>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</si>
  <si>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</si>
  <si>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</si>
  <si>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</si>
  <si>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</si>
  <si>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</si>
  <si>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</si>
  <si>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</si>
  <si>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</si>
  <si>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</si>
  <si>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</si>
  <si>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</si>
  <si>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</si>
  <si>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</si>
  <si>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</si>
  <si>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</si>
  <si>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</si>
  <si>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</si>
  <si>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</si>
  <si>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</si>
  <si>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</si>
  <si>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</si>
  <si>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</si>
  <si>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</si>
  <si>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</si>
  <si>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</si>
  <si>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</si>
  <si>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</si>
  <si>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</si>
  <si>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</si>
  <si>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</si>
  <si>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</si>
  <si>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</si>
  <si>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</si>
  <si>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</si>
  <si>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</si>
  <si>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</si>
  <si>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</si>
  <si>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</si>
  <si>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</si>
  <si>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</si>
  <si>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</si>
  <si>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</si>
  <si>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</si>
  <si>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</si>
  <si>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</si>
  <si>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</si>
  <si>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</si>
  <si>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</si>
  <si>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</si>
  <si>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</si>
  <si>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</si>
  <si>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</si>
  <si>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</si>
  <si>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</si>
  <si>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</si>
  <si>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</si>
  <si>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</si>
  <si>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</si>
  <si>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</si>
  <si>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</si>
  <si>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</si>
  <si>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</si>
  <si>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</si>
  <si>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</si>
  <si>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</si>
  <si>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</si>
  <si>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</si>
  <si>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</si>
  <si>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</si>
  <si>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</si>
  <si>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</si>
  <si>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</si>
  <si>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</si>
  <si>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</si>
  <si>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</si>
  <si>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</si>
  <si>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</si>
  <si>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</si>
  <si>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</si>
  <si>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</si>
  <si>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</si>
  <si>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</si>
  <si>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</si>
  <si>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</si>
  <si>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</si>
  <si>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</si>
  <si>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</si>
  <si>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</si>
  <si>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</si>
  <si>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</si>
  <si>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</si>
  <si>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</si>
  <si>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</si>
  <si>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</si>
  <si>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</si>
  <si>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</si>
  <si>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</si>
  <si>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</si>
  <si>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</si>
  <si>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</si>
  <si>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</si>
  <si>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</si>
  <si>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</si>
  <si>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</si>
  <si>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</si>
  <si>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</si>
  <si>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</si>
  <si>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</si>
  <si>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</si>
  <si>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</si>
  <si>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</si>
  <si>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</si>
  <si>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</si>
  <si>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</si>
  <si>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</si>
  <si>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</si>
  <si>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</si>
  <si>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</si>
  <si>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</si>
  <si>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</si>
  <si>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</si>
  <si>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</si>
  <si>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</si>
  <si>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</si>
  <si>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</si>
  <si>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</si>
  <si>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</si>
  <si>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</si>
  <si>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</si>
  <si>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</si>
  <si>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</si>
  <si>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</si>
  <si>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</si>
  <si>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</si>
  <si>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</si>
  <si>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</si>
  <si>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</si>
  <si>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</si>
  <si>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</si>
  <si>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</si>
  <si>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</si>
  <si>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</si>
  <si>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</si>
  <si>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</si>
  <si>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</si>
  <si>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</si>
  <si>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</si>
  <si>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</si>
  <si>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</si>
  <si>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</si>
  <si>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</si>
  <si>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</si>
  <si>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</si>
  <si>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</si>
  <si>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</si>
  <si>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</si>
  <si>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</si>
  <si>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</si>
  <si>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</si>
  <si>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</si>
  <si>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</si>
  <si>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</si>
  <si>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</si>
  <si>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</si>
  <si>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</si>
  <si>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</si>
  <si>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</si>
  <si>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</si>
  <si>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</si>
  <si>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</si>
  <si>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</si>
  <si>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</si>
  <si>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</si>
  <si>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</si>
  <si>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</si>
  <si>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</si>
  <si>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</si>
  <si>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</si>
  <si>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</si>
  <si>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</si>
  <si>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</si>
  <si>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</si>
  <si>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</si>
  <si>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</si>
  <si>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</si>
  <si>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</si>
  <si>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</si>
  <si>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</si>
  <si>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</si>
  <si>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</si>
  <si>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</si>
  <si>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</si>
  <si>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</si>
  <si>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</si>
  <si>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</si>
  <si>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</si>
  <si>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</si>
  <si>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</si>
  <si>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</si>
  <si>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</si>
  <si>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</si>
  <si>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</si>
  <si>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</si>
  <si>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</si>
  <si>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</si>
  <si>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</si>
  <si>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</si>
  <si>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</si>
  <si>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</si>
  <si>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</si>
  <si>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</si>
  <si>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</si>
  <si>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</si>
  <si>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</si>
  <si>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</si>
  <si>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</si>
  <si>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</si>
  <si>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</si>
  <si>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</si>
  <si>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</si>
  <si>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</si>
  <si>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</si>
  <si>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</si>
  <si>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</si>
  <si>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</si>
  <si>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</si>
  <si>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</si>
  <si>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</si>
  <si>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</si>
  <si>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</si>
  <si>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</si>
  <si>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</si>
  <si>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</si>
  <si>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</si>
  <si>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</si>
  <si>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</si>
  <si>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</si>
  <si>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</si>
  <si>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</si>
  <si>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</si>
  <si>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</si>
  <si>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</si>
  <si>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</si>
  <si>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</si>
  <si>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</si>
  <si>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</si>
  <si>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</si>
  <si>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</si>
  <si>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</si>
  <si>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</si>
  <si>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</si>
  <si>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</si>
  <si>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</si>
  <si>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</si>
  <si>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</si>
  <si>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</si>
  <si>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</si>
  <si>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</si>
  <si>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</si>
  <si>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</si>
  <si>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</si>
  <si>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</si>
  <si>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</si>
  <si>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</si>
  <si>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</si>
  <si>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</si>
  <si>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</si>
  <si>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</si>
  <si>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</si>
  <si>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</si>
  <si>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</si>
  <si>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</si>
  <si>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</si>
  <si>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</si>
  <si>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</si>
  <si>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</si>
  <si>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</si>
  <si>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</si>
  <si>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</si>
  <si>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</si>
  <si>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</si>
  <si>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</si>
  <si>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</si>
  <si>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</si>
  <si>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</si>
  <si>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</si>
  <si>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</si>
  <si>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</si>
  <si>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</si>
  <si>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</si>
  <si>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</si>
  <si>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</si>
  <si>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</si>
  <si>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</si>
  <si>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</si>
  <si>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</si>
  <si>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</si>
  <si>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</si>
  <si>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</si>
  <si>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</si>
  <si>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</si>
  <si>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</si>
  <si>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</si>
  <si>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</si>
  <si>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</si>
  <si>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</si>
  <si>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</si>
  <si>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</si>
  <si>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</si>
  <si>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</si>
  <si>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</si>
  <si>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</si>
  <si>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</si>
  <si>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</si>
  <si>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</si>
  <si>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</si>
  <si>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</si>
  <si>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</si>
  <si>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</si>
  <si>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</si>
  <si>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</si>
  <si>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</si>
  <si>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</si>
  <si>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</si>
  <si>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</si>
  <si>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</si>
  <si>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</si>
  <si>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</si>
  <si>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</si>
  <si>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</si>
  <si>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</si>
  <si>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</si>
  <si>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</si>
  <si>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</si>
  <si>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</si>
  <si>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</si>
  <si>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</si>
  <si>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</si>
  <si>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</si>
  <si>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</si>
  <si>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</si>
  <si>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</si>
  <si>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</si>
  <si>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</si>
  <si>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</si>
  <si>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</si>
  <si>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</si>
  <si>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</si>
  <si>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</si>
  <si>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</si>
  <si>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</si>
  <si>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</si>
  <si>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</si>
  <si>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</si>
  <si>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</si>
  <si>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</si>
  <si>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</si>
  <si>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</si>
  <si>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</si>
  <si>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</si>
  <si>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</si>
  <si>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</si>
  <si>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</si>
  <si>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</si>
  <si>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</si>
  <si>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</si>
  <si>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</si>
  <si>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</si>
  <si>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</si>
  <si>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</si>
  <si>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</si>
  <si>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</si>
  <si>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</si>
  <si>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</si>
  <si>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</si>
  <si>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</si>
  <si>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</si>
  <si>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</si>
  <si>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</si>
  <si>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</si>
  <si>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</si>
  <si>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</si>
  <si>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</si>
  <si>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</si>
  <si>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</si>
  <si>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</si>
  <si>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</si>
  <si>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</si>
  <si>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</si>
  <si>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</si>
  <si>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</si>
  <si>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</si>
  <si>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</si>
  <si>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</si>
  <si>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</si>
  <si>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</si>
  <si>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</si>
  <si>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</si>
  <si>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</si>
  <si>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</si>
  <si>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</si>
  <si>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</si>
  <si>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</si>
  <si>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</si>
  <si>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</si>
  <si>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</si>
  <si>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</si>
  <si>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</si>
  <si>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</si>
  <si>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</si>
  <si>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</si>
  <si>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</si>
  <si>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</si>
  <si>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</si>
  <si>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</si>
  <si>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</si>
  <si>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</si>
  <si>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</si>
  <si>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</si>
  <si>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</si>
  <si>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</si>
  <si>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</si>
  <si>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</si>
  <si>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</si>
  <si>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</si>
  <si>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</si>
  <si>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</si>
  <si>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</si>
  <si>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</si>
  <si>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</si>
  <si>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</si>
  <si>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</si>
  <si>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</si>
  <si>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</si>
  <si>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</si>
  <si>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</si>
  <si>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</si>
  <si>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</si>
  <si>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</si>
  <si>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</si>
  <si>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</si>
  <si>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</si>
  <si>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</si>
  <si>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</si>
  <si>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</si>
  <si>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</si>
  <si>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</si>
  <si>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</si>
  <si>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</si>
  <si>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</si>
  <si>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</si>
  <si>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</si>
  <si>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</si>
  <si>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</si>
  <si>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</si>
  <si>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</si>
  <si>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</si>
  <si>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</si>
  <si>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</si>
  <si>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</si>
  <si>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</si>
  <si>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</si>
  <si>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</si>
  <si>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</si>
  <si>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</si>
  <si>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</si>
  <si>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</si>
  <si>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</si>
  <si>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</si>
  <si>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</si>
  <si>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</si>
  <si>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</si>
  <si>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</si>
  <si>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</si>
  <si>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</si>
  <si>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</si>
  <si>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</si>
  <si>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</si>
  <si>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</si>
  <si>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</si>
  <si>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</si>
  <si>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</si>
  <si>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</si>
  <si>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</si>
  <si>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</si>
  <si>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</si>
  <si>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</si>
  <si>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</si>
  <si>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</si>
  <si>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</si>
  <si>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</si>
  <si>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</si>
  <si>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</si>
  <si>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</si>
  <si>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</si>
  <si>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</si>
  <si>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</si>
  <si>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</si>
  <si>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</si>
  <si>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</si>
  <si>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</si>
  <si>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</si>
  <si>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</si>
  <si>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</si>
  <si>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</si>
  <si>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</si>
  <si>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</si>
  <si>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</si>
  <si>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</si>
  <si>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</si>
  <si>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</si>
  <si>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</si>
  <si>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</si>
  <si>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</si>
  <si>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</si>
  <si>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</si>
  <si>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</si>
  <si>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</si>
  <si>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</si>
  <si>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</si>
  <si>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</si>
  <si>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</si>
  <si>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</si>
  <si>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</si>
  <si>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</si>
  <si>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</si>
  <si>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</si>
  <si>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</si>
  <si>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</si>
  <si>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</si>
  <si>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</si>
  <si>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</si>
  <si>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</si>
  <si>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</si>
  <si>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</si>
  <si>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</si>
  <si>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</si>
  <si>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</si>
  <si>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CH_toe_ccoa_HOUS_2</t>
  </si>
  <si>
    <t>CH_toe_cfuh_HOUS_2</t>
  </si>
  <si>
    <t>CH_toe_cgas_HOUS_2</t>
  </si>
  <si>
    <t>CH_toe_cele_HOUS_2</t>
  </si>
  <si>
    <t>CH_toe_chea_HOUS_2</t>
  </si>
  <si>
    <t>CH_toe_cbio_HOUS_2</t>
  </si>
  <si>
    <t>CH_toe_HOUS_2</t>
  </si>
  <si>
    <t>CH_toe_AUTO_2</t>
  </si>
  <si>
    <t>CH_toe_cfut_AUTO_2</t>
  </si>
  <si>
    <t>CH_toe_cgas_AUTO_2</t>
  </si>
  <si>
    <t>CH_toe_cele_AUTO_2</t>
  </si>
  <si>
    <t>TRANSPORTS (firms) SHOCK</t>
  </si>
  <si>
    <t>HOUSEHOLDS BASELINE</t>
  </si>
  <si>
    <t>CH_toe_0</t>
  </si>
  <si>
    <t>CH_toe_HOUS_0</t>
  </si>
  <si>
    <t>CH_toe_ccoa_HOUS_0</t>
  </si>
  <si>
    <t>CH_toe_cfuh_HOUS_0</t>
  </si>
  <si>
    <t>CH_toe_cgas_HOUS_0</t>
  </si>
  <si>
    <t>CH_toe_cele_HOUS_0</t>
  </si>
  <si>
    <t>CH_toe_chea_HOUS_0</t>
  </si>
  <si>
    <t>CH_toe_cbio_HOUS_0</t>
  </si>
  <si>
    <t>CH_toe_AUTO_0</t>
  </si>
  <si>
    <t>CH_toe_cfut_AUTO_0</t>
  </si>
  <si>
    <t>CH_toe_cgas_AUTO_0</t>
  </si>
  <si>
    <t>CH_toe_cele_AUTO_0</t>
  </si>
  <si>
    <t>²</t>
  </si>
  <si>
    <t>ch_toe_2</t>
  </si>
  <si>
    <t>ch_toe_0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</si>
</sst>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" fillId="25" borderId="0" xfId="0" applyFont="1" applyFill="1"/>
    <xf numFmtId="0" fontId="0" fillId="25" borderId="0" xfId="0" applyFill="1"/>
    <xf numFmtId="0" fontId="16" fillId="25" borderId="5" xfId="0" applyFont="1" applyFill="1" applyBorder="1" applyAlignment="1">
      <alignment wrapText="1"/>
    </xf>
    <xf numFmtId="0" fontId="0" fillId="25" borderId="5" xfId="0" applyFill="1" applyBorder="1"/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" fillId="26" borderId="0" xfId="0" applyFont="1" applyFill="1"/>
    <xf numFmtId="0" fontId="0" fillId="26" borderId="0" xfId="0" applyFill="1"/>
    <xf numFmtId="0" fontId="16" fillId="26" borderId="5" xfId="0" applyFont="1" applyFill="1" applyBorder="1" applyAlignment="1">
      <alignment wrapText="1"/>
    </xf>
    <xf numFmtId="0" fontId="0" fillId="26" borderId="5" xfId="0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A252" zoomScale="60" zoomScaleNormal="60" workbookViewId="0">
      <selection activeCell="AA1442" sqref="AA144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79" t="s">
        <v>157</v>
      </c>
      <c r="B1" s="379"/>
      <c r="C1" s="379"/>
      <c r="D1" s="379"/>
    </row>
    <row r="2" spans="1:41" x14ac:dyDescent="0.25">
      <c r="E2" s="45" t="s">
        <v>160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158</v>
      </c>
      <c r="B3" s="303" t="s">
        <v>159</v>
      </c>
      <c r="C3" s="304"/>
      <c r="D3" s="304"/>
      <c r="E3" s="305" t="s">
        <v>401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82" t="s">
        <v>161</v>
      </c>
      <c r="B4" s="381" t="s">
        <v>557</v>
      </c>
      <c r="C4" s="118" t="s">
        <v>548</v>
      </c>
      <c r="D4" s="118"/>
      <c r="E4" s="92" t="s">
        <v>351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82"/>
      <c r="B5" s="381"/>
      <c r="C5" s="118" t="s">
        <v>547</v>
      </c>
      <c r="D5" s="119"/>
      <c r="E5" s="88" t="s">
        <v>352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82"/>
      <c r="B6" s="381"/>
      <c r="C6" s="164"/>
      <c r="D6" s="120" t="s">
        <v>539</v>
      </c>
      <c r="E6" s="46" t="s">
        <v>353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82"/>
      <c r="B7" s="381"/>
      <c r="C7" s="164"/>
      <c r="D7" s="120" t="s">
        <v>540</v>
      </c>
      <c r="E7" s="46" t="s">
        <v>354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82"/>
      <c r="B8" s="381"/>
      <c r="C8" s="164"/>
      <c r="D8" s="120" t="s">
        <v>541</v>
      </c>
      <c r="E8" s="46" t="s">
        <v>355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82"/>
      <c r="B9" s="381"/>
      <c r="C9" s="164"/>
      <c r="D9" s="120" t="s">
        <v>542</v>
      </c>
      <c r="E9" s="46" t="s">
        <v>356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82"/>
      <c r="B10" s="381"/>
      <c r="C10" s="164"/>
      <c r="D10" s="120" t="s">
        <v>543</v>
      </c>
      <c r="E10" s="46" t="s">
        <v>357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82"/>
      <c r="B11" s="381"/>
      <c r="C11" s="164"/>
      <c r="D11" s="120" t="s">
        <v>544</v>
      </c>
      <c r="E11" s="46" t="s">
        <v>358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82"/>
      <c r="B12" s="381"/>
      <c r="C12" s="164"/>
      <c r="D12" s="120" t="s">
        <v>545</v>
      </c>
      <c r="E12" s="46" t="s">
        <v>359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82"/>
      <c r="B13" s="381"/>
      <c r="C13" s="118" t="s">
        <v>822</v>
      </c>
      <c r="D13" s="119"/>
      <c r="E13" s="88" t="s">
        <v>360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82"/>
      <c r="B14" s="381"/>
      <c r="C14" s="164"/>
      <c r="D14" s="120" t="s">
        <v>539</v>
      </c>
      <c r="E14" s="46" t="s">
        <v>361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82"/>
      <c r="B15" s="381"/>
      <c r="C15" s="164"/>
      <c r="D15" s="120" t="s">
        <v>540</v>
      </c>
      <c r="E15" s="46" t="s">
        <v>362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82"/>
      <c r="B16" s="381"/>
      <c r="C16" s="164"/>
      <c r="D16" s="120" t="s">
        <v>541</v>
      </c>
      <c r="E16" s="46" t="s">
        <v>363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82"/>
      <c r="B17" s="381"/>
      <c r="C17" s="164"/>
      <c r="D17" s="120" t="s">
        <v>542</v>
      </c>
      <c r="E17" s="46" t="s">
        <v>364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82"/>
      <c r="B18" s="381"/>
      <c r="C18" s="164"/>
      <c r="D18" s="120" t="s">
        <v>543</v>
      </c>
      <c r="E18" s="46" t="s">
        <v>365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82"/>
      <c r="B19" s="381"/>
      <c r="C19" s="164"/>
      <c r="D19" s="120" t="s">
        <v>544</v>
      </c>
      <c r="E19" s="46" t="s">
        <v>366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82"/>
      <c r="B20" s="381"/>
      <c r="C20" s="164"/>
      <c r="D20" s="120" t="s">
        <v>545</v>
      </c>
      <c r="E20" s="46" t="s">
        <v>367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82"/>
      <c r="B21" s="381"/>
      <c r="C21" s="118" t="s">
        <v>823</v>
      </c>
      <c r="D21" s="119"/>
      <c r="E21" s="88" t="s">
        <v>368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82"/>
      <c r="B22" s="381"/>
      <c r="C22" s="164"/>
      <c r="D22" s="120" t="s">
        <v>539</v>
      </c>
      <c r="E22" s="46" t="s">
        <v>369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82"/>
      <c r="B23" s="381"/>
      <c r="C23" s="164"/>
      <c r="D23" s="120" t="s">
        <v>540</v>
      </c>
      <c r="E23" s="46" t="s">
        <v>370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82"/>
      <c r="B24" s="381"/>
      <c r="C24" s="164"/>
      <c r="D24" s="120" t="s">
        <v>541</v>
      </c>
      <c r="E24" s="46" t="s">
        <v>371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82"/>
      <c r="B25" s="381"/>
      <c r="C25" s="164"/>
      <c r="D25" s="120" t="s">
        <v>542</v>
      </c>
      <c r="E25" s="46" t="s">
        <v>372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82"/>
      <c r="B26" s="381"/>
      <c r="C26" s="164"/>
      <c r="D26" s="120" t="s">
        <v>543</v>
      </c>
      <c r="E26" s="46" t="s">
        <v>373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82"/>
      <c r="B27" s="381"/>
      <c r="C27" s="164"/>
      <c r="D27" s="120" t="s">
        <v>544</v>
      </c>
      <c r="E27" s="46" t="s">
        <v>374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82"/>
      <c r="B28" s="381"/>
      <c r="C28" s="165"/>
      <c r="D28" s="121" t="s">
        <v>545</v>
      </c>
      <c r="E28" s="301" t="s">
        <v>375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82"/>
      <c r="B29" s="381"/>
      <c r="C29" s="118" t="s">
        <v>546</v>
      </c>
      <c r="D29" s="118"/>
      <c r="E29" s="88" t="s">
        <v>376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82"/>
      <c r="B30" s="381"/>
      <c r="C30" s="118" t="s">
        <v>547</v>
      </c>
      <c r="D30" s="119"/>
      <c r="E30" s="88" t="s">
        <v>377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82"/>
      <c r="B31" s="381"/>
      <c r="C31" s="164"/>
      <c r="D31" s="120" t="s">
        <v>539</v>
      </c>
      <c r="E31" s="46" t="s">
        <v>378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82"/>
      <c r="B32" s="381"/>
      <c r="C32" s="164"/>
      <c r="D32" s="120" t="s">
        <v>540</v>
      </c>
      <c r="E32" s="46" t="s">
        <v>379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82"/>
      <c r="B33" s="381"/>
      <c r="C33" s="164"/>
      <c r="D33" s="120" t="s">
        <v>541</v>
      </c>
      <c r="E33" s="46" t="s">
        <v>380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82"/>
      <c r="B34" s="381"/>
      <c r="C34" s="164"/>
      <c r="D34" s="120" t="s">
        <v>542</v>
      </c>
      <c r="E34" s="46" t="s">
        <v>381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82"/>
      <c r="B35" s="381"/>
      <c r="C35" s="164"/>
      <c r="D35" s="120" t="s">
        <v>543</v>
      </c>
      <c r="E35" s="46" t="s">
        <v>382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82"/>
      <c r="B36" s="381"/>
      <c r="C36" s="164"/>
      <c r="D36" s="120" t="s">
        <v>544</v>
      </c>
      <c r="E36" s="46" t="s">
        <v>383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82"/>
      <c r="B37" s="381"/>
      <c r="C37" s="164"/>
      <c r="D37" s="120" t="s">
        <v>545</v>
      </c>
      <c r="E37" s="46" t="s">
        <v>384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82"/>
      <c r="B38" s="381"/>
      <c r="C38" s="118" t="s">
        <v>822</v>
      </c>
      <c r="D38" s="119"/>
      <c r="E38" s="88" t="s">
        <v>385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82"/>
      <c r="B39" s="381"/>
      <c r="C39" s="164"/>
      <c r="D39" s="120" t="s">
        <v>539</v>
      </c>
      <c r="E39" s="46" t="s">
        <v>386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82"/>
      <c r="B40" s="381"/>
      <c r="C40" s="164"/>
      <c r="D40" s="120" t="s">
        <v>540</v>
      </c>
      <c r="E40" s="46" t="s">
        <v>387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82"/>
      <c r="B41" s="381"/>
      <c r="C41" s="164"/>
      <c r="D41" s="120" t="s">
        <v>541</v>
      </c>
      <c r="E41" s="46" t="s">
        <v>388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82"/>
      <c r="B42" s="381"/>
      <c r="C42" s="164"/>
      <c r="D42" s="120" t="s">
        <v>542</v>
      </c>
      <c r="E42" s="46" t="s">
        <v>389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82"/>
      <c r="B43" s="381"/>
      <c r="C43" s="164"/>
      <c r="D43" s="120" t="s">
        <v>543</v>
      </c>
      <c r="E43" s="46" t="s">
        <v>390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82"/>
      <c r="B44" s="381"/>
      <c r="C44" s="164"/>
      <c r="D44" s="120" t="s">
        <v>544</v>
      </c>
      <c r="E44" s="46" t="s">
        <v>391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82"/>
      <c r="B45" s="381"/>
      <c r="C45" s="164"/>
      <c r="D45" s="120" t="s">
        <v>545</v>
      </c>
      <c r="E45" s="46" t="s">
        <v>392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82"/>
      <c r="B46" s="381"/>
      <c r="C46" s="118" t="s">
        <v>823</v>
      </c>
      <c r="D46" s="119"/>
      <c r="E46" s="88" t="s">
        <v>393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82"/>
      <c r="B47" s="381"/>
      <c r="C47" s="164"/>
      <c r="D47" s="120" t="s">
        <v>539</v>
      </c>
      <c r="E47" s="46" t="s">
        <v>394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82"/>
      <c r="B48" s="381"/>
      <c r="C48" s="164"/>
      <c r="D48" s="120" t="s">
        <v>540</v>
      </c>
      <c r="E48" s="46" t="s">
        <v>395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82"/>
      <c r="B49" s="381"/>
      <c r="C49" s="164"/>
      <c r="D49" s="120" t="s">
        <v>541</v>
      </c>
      <c r="E49" s="46" t="s">
        <v>396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82"/>
      <c r="B50" s="381"/>
      <c r="C50" s="164"/>
      <c r="D50" s="120" t="s">
        <v>542</v>
      </c>
      <c r="E50" s="46" t="s">
        <v>397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82"/>
      <c r="B51" s="381"/>
      <c r="C51" s="164"/>
      <c r="D51" s="120" t="s">
        <v>543</v>
      </c>
      <c r="E51" s="46" t="s">
        <v>398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82"/>
      <c r="B52" s="381"/>
      <c r="C52" s="164"/>
      <c r="D52" s="120" t="s">
        <v>544</v>
      </c>
      <c r="E52" s="46" t="s">
        <v>399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82"/>
      <c r="B53" s="381"/>
      <c r="C53" s="165"/>
      <c r="D53" s="121" t="s">
        <v>545</v>
      </c>
      <c r="E53" s="91" t="s">
        <v>400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82"/>
      <c r="B54" s="381"/>
      <c r="C54" s="118" t="s">
        <v>549</v>
      </c>
      <c r="D54" s="119"/>
      <c r="E54" s="88" t="s">
        <v>402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82"/>
      <c r="B55" s="381"/>
      <c r="C55" s="118" t="s">
        <v>547</v>
      </c>
      <c r="D55" s="119"/>
      <c r="E55" s="88" t="s">
        <v>403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82"/>
      <c r="B56" s="381"/>
      <c r="C56" s="164"/>
      <c r="D56" s="120" t="s">
        <v>539</v>
      </c>
      <c r="E56" s="46" t="s">
        <v>404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82"/>
      <c r="B57" s="381"/>
      <c r="C57" s="164"/>
      <c r="D57" s="120" t="s">
        <v>540</v>
      </c>
      <c r="E57" s="46" t="s">
        <v>407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82"/>
      <c r="B58" s="381"/>
      <c r="C58" s="164"/>
      <c r="D58" s="120" t="s">
        <v>541</v>
      </c>
      <c r="E58" s="46" t="s">
        <v>408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82"/>
      <c r="B59" s="381"/>
      <c r="C59" s="164"/>
      <c r="D59" s="120" t="s">
        <v>542</v>
      </c>
      <c r="E59" s="46" t="s">
        <v>409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82"/>
      <c r="B60" s="381"/>
      <c r="C60" s="164"/>
      <c r="D60" s="120" t="s">
        <v>543</v>
      </c>
      <c r="E60" s="46" t="s">
        <v>410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82"/>
      <c r="B61" s="381"/>
      <c r="C61" s="164"/>
      <c r="D61" s="120" t="s">
        <v>544</v>
      </c>
      <c r="E61" s="46" t="s">
        <v>411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82"/>
      <c r="B62" s="381"/>
      <c r="C62" s="164"/>
      <c r="D62" s="120" t="s">
        <v>545</v>
      </c>
      <c r="E62" s="46" t="s">
        <v>412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82"/>
      <c r="B63" s="381"/>
      <c r="C63" s="118" t="s">
        <v>822</v>
      </c>
      <c r="D63" s="119"/>
      <c r="E63" s="88" t="s">
        <v>405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82"/>
      <c r="B64" s="381"/>
      <c r="C64" s="164"/>
      <c r="D64" s="120" t="s">
        <v>539</v>
      </c>
      <c r="E64" s="46" t="s">
        <v>406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82"/>
      <c r="B65" s="381"/>
      <c r="C65" s="164"/>
      <c r="D65" s="120" t="s">
        <v>540</v>
      </c>
      <c r="E65" s="46" t="s">
        <v>413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82"/>
      <c r="B66" s="381"/>
      <c r="C66" s="164"/>
      <c r="D66" s="120" t="s">
        <v>541</v>
      </c>
      <c r="E66" s="46" t="s">
        <v>414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82"/>
      <c r="B67" s="381"/>
      <c r="C67" s="164"/>
      <c r="D67" s="120" t="s">
        <v>542</v>
      </c>
      <c r="E67" s="46" t="s">
        <v>415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82"/>
      <c r="B68" s="381"/>
      <c r="C68" s="164"/>
      <c r="D68" s="120" t="s">
        <v>543</v>
      </c>
      <c r="E68" s="46" t="s">
        <v>416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82"/>
      <c r="B69" s="381"/>
      <c r="C69" s="164"/>
      <c r="D69" s="120" t="s">
        <v>544</v>
      </c>
      <c r="E69" s="46" t="s">
        <v>417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82"/>
      <c r="B70" s="381"/>
      <c r="C70" s="164"/>
      <c r="D70" s="120" t="s">
        <v>545</v>
      </c>
      <c r="E70" s="46" t="s">
        <v>418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82"/>
      <c r="B71" s="381"/>
      <c r="C71" s="118" t="s">
        <v>823</v>
      </c>
      <c r="D71" s="118"/>
      <c r="E71" s="88" t="s">
        <v>419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82"/>
      <c r="B72" s="381"/>
      <c r="C72" s="164"/>
      <c r="D72" s="120" t="s">
        <v>539</v>
      </c>
      <c r="E72" s="46" t="s">
        <v>420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82"/>
      <c r="B73" s="381"/>
      <c r="C73" s="164"/>
      <c r="D73" s="120" t="s">
        <v>540</v>
      </c>
      <c r="E73" s="46" t="s">
        <v>421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82"/>
      <c r="B74" s="381"/>
      <c r="C74" s="164"/>
      <c r="D74" s="120" t="s">
        <v>541</v>
      </c>
      <c r="E74" s="46" t="s">
        <v>422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82"/>
      <c r="B75" s="381"/>
      <c r="C75" s="164"/>
      <c r="D75" s="120" t="s">
        <v>542</v>
      </c>
      <c r="E75" s="46" t="s">
        <v>423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82"/>
      <c r="B76" s="381"/>
      <c r="C76" s="164"/>
      <c r="D76" s="120" t="s">
        <v>543</v>
      </c>
      <c r="E76" s="46" t="s">
        <v>424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82"/>
      <c r="B77" s="381"/>
      <c r="C77" s="164"/>
      <c r="D77" s="120" t="s">
        <v>544</v>
      </c>
      <c r="E77" s="46" t="s">
        <v>425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82"/>
      <c r="B78" s="381"/>
      <c r="C78" s="165"/>
      <c r="D78" s="121" t="s">
        <v>545</v>
      </c>
      <c r="E78" s="91" t="s">
        <v>426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82"/>
      <c r="B79" s="381"/>
      <c r="C79" s="118" t="s">
        <v>550</v>
      </c>
      <c r="D79" s="119"/>
      <c r="E79" s="88" t="s">
        <v>427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82"/>
      <c r="B80" s="381"/>
      <c r="C80" s="118" t="s">
        <v>547</v>
      </c>
      <c r="D80" s="119"/>
      <c r="E80" s="88" t="s">
        <v>428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82"/>
      <c r="B81" s="381"/>
      <c r="C81" s="164"/>
      <c r="D81" s="120" t="s">
        <v>539</v>
      </c>
      <c r="E81" s="46" t="s">
        <v>429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82"/>
      <c r="B82" s="381"/>
      <c r="C82" s="164"/>
      <c r="D82" s="120" t="s">
        <v>540</v>
      </c>
      <c r="E82" s="46" t="s">
        <v>430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82"/>
      <c r="B83" s="381"/>
      <c r="C83" s="164"/>
      <c r="D83" s="120" t="s">
        <v>541</v>
      </c>
      <c r="E83" s="46" t="s">
        <v>431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82"/>
      <c r="B84" s="381"/>
      <c r="C84" s="164"/>
      <c r="D84" s="120" t="s">
        <v>542</v>
      </c>
      <c r="E84" s="46" t="s">
        <v>432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82"/>
      <c r="B85" s="381"/>
      <c r="C85" s="164"/>
      <c r="D85" s="120" t="s">
        <v>543</v>
      </c>
      <c r="E85" s="46" t="s">
        <v>433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82"/>
      <c r="B86" s="381"/>
      <c r="C86" s="164"/>
      <c r="D86" s="120" t="s">
        <v>544</v>
      </c>
      <c r="E86" s="46" t="s">
        <v>434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82"/>
      <c r="B87" s="381"/>
      <c r="C87" s="164"/>
      <c r="D87" s="120" t="s">
        <v>545</v>
      </c>
      <c r="E87" s="46" t="s">
        <v>435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82"/>
      <c r="B88" s="381"/>
      <c r="C88" s="118" t="s">
        <v>822</v>
      </c>
      <c r="D88" s="119"/>
      <c r="E88" s="88" t="s">
        <v>436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82"/>
      <c r="B89" s="381"/>
      <c r="C89" s="164"/>
      <c r="D89" s="120" t="s">
        <v>539</v>
      </c>
      <c r="E89" s="46" t="s">
        <v>437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82"/>
      <c r="B90" s="381"/>
      <c r="C90" s="164"/>
      <c r="D90" s="120" t="s">
        <v>540</v>
      </c>
      <c r="E90" s="46" t="s">
        <v>438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82"/>
      <c r="B91" s="381"/>
      <c r="C91" s="164"/>
      <c r="D91" s="120" t="s">
        <v>541</v>
      </c>
      <c r="E91" s="46" t="s">
        <v>439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82"/>
      <c r="B92" s="381"/>
      <c r="C92" s="164"/>
      <c r="D92" s="120" t="s">
        <v>542</v>
      </c>
      <c r="E92" s="46" t="s">
        <v>440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82"/>
      <c r="B93" s="381"/>
      <c r="C93" s="164"/>
      <c r="D93" s="120" t="s">
        <v>543</v>
      </c>
      <c r="E93" s="46" t="s">
        <v>441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82"/>
      <c r="B94" s="381"/>
      <c r="C94" s="164"/>
      <c r="D94" s="120" t="s">
        <v>544</v>
      </c>
      <c r="E94" s="46" t="s">
        <v>442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82"/>
      <c r="B95" s="381"/>
      <c r="C95" s="164"/>
      <c r="D95" s="120" t="s">
        <v>545</v>
      </c>
      <c r="E95" s="46" t="s">
        <v>443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82"/>
      <c r="B96" s="381"/>
      <c r="C96" s="118" t="s">
        <v>823</v>
      </c>
      <c r="D96" s="118"/>
      <c r="E96" s="88" t="s">
        <v>444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82"/>
      <c r="B97" s="381"/>
      <c r="C97" s="164"/>
      <c r="D97" s="120" t="s">
        <v>539</v>
      </c>
      <c r="E97" s="46" t="s">
        <v>445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82"/>
      <c r="B98" s="381"/>
      <c r="C98" s="164"/>
      <c r="D98" s="120" t="s">
        <v>540</v>
      </c>
      <c r="E98" s="46" t="s">
        <v>446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82"/>
      <c r="B99" s="381"/>
      <c r="C99" s="164"/>
      <c r="D99" s="120" t="s">
        <v>541</v>
      </c>
      <c r="E99" s="46" t="s">
        <v>447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82"/>
      <c r="B100" s="381"/>
      <c r="C100" s="164"/>
      <c r="D100" s="120" t="s">
        <v>542</v>
      </c>
      <c r="E100" s="46" t="s">
        <v>448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82"/>
      <c r="B101" s="381"/>
      <c r="C101" s="164"/>
      <c r="D101" s="120" t="s">
        <v>543</v>
      </c>
      <c r="E101" s="46" t="s">
        <v>449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82"/>
      <c r="B102" s="381"/>
      <c r="C102" s="164"/>
      <c r="D102" s="120" t="s">
        <v>544</v>
      </c>
      <c r="E102" s="46" t="s">
        <v>450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82"/>
      <c r="B103" s="381"/>
      <c r="C103" s="164"/>
      <c r="D103" s="120" t="s">
        <v>545</v>
      </c>
      <c r="E103" s="46" t="s">
        <v>451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82"/>
      <c r="B104" s="380" t="s">
        <v>558</v>
      </c>
      <c r="C104" s="122" t="s">
        <v>548</v>
      </c>
      <c r="D104" s="122"/>
      <c r="E104" s="89" t="s">
        <v>452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82"/>
      <c r="B105" s="380"/>
      <c r="C105" s="123"/>
      <c r="D105" s="123" t="s">
        <v>539</v>
      </c>
      <c r="E105" s="47" t="s">
        <v>453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82"/>
      <c r="B106" s="380"/>
      <c r="C106" s="123"/>
      <c r="D106" s="123" t="s">
        <v>540</v>
      </c>
      <c r="E106" s="47" t="s">
        <v>454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82"/>
      <c r="B107" s="380"/>
      <c r="C107" s="123"/>
      <c r="D107" s="123" t="s">
        <v>541</v>
      </c>
      <c r="E107" s="47" t="s">
        <v>455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82"/>
      <c r="B108" s="380"/>
      <c r="C108" s="123"/>
      <c r="D108" s="123" t="s">
        <v>542</v>
      </c>
      <c r="E108" s="47" t="s">
        <v>456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82"/>
      <c r="B109" s="380"/>
      <c r="C109" s="123"/>
      <c r="D109" s="123" t="s">
        <v>543</v>
      </c>
      <c r="E109" s="47" t="s">
        <v>457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82"/>
      <c r="B110" s="380"/>
      <c r="C110" s="123"/>
      <c r="D110" s="123" t="s">
        <v>544</v>
      </c>
      <c r="E110" s="47" t="s">
        <v>458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82"/>
      <c r="B111" s="380"/>
      <c r="C111" s="166"/>
      <c r="D111" s="124" t="s">
        <v>545</v>
      </c>
      <c r="E111" s="52" t="s">
        <v>459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82"/>
      <c r="B112" s="380"/>
      <c r="C112" s="122" t="s">
        <v>546</v>
      </c>
      <c r="D112" s="122"/>
      <c r="E112" s="89" t="s">
        <v>460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82"/>
      <c r="B113" s="380"/>
      <c r="C113" s="123"/>
      <c r="D113" s="123" t="s">
        <v>539</v>
      </c>
      <c r="E113" s="47" t="s">
        <v>461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82"/>
      <c r="B114" s="380"/>
      <c r="C114" s="123"/>
      <c r="D114" s="123" t="s">
        <v>540</v>
      </c>
      <c r="E114" s="47" t="s">
        <v>462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82"/>
      <c r="B115" s="380"/>
      <c r="C115" s="123"/>
      <c r="D115" s="123" t="s">
        <v>541</v>
      </c>
      <c r="E115" s="47" t="s">
        <v>463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82"/>
      <c r="B116" s="380"/>
      <c r="C116" s="123"/>
      <c r="D116" s="123" t="s">
        <v>542</v>
      </c>
      <c r="E116" s="47" t="s">
        <v>464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82"/>
      <c r="B117" s="380"/>
      <c r="C117" s="123"/>
      <c r="D117" s="123" t="s">
        <v>543</v>
      </c>
      <c r="E117" s="47" t="s">
        <v>465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82"/>
      <c r="B118" s="380"/>
      <c r="C118" s="123"/>
      <c r="D118" s="123" t="s">
        <v>544</v>
      </c>
      <c r="E118" s="47" t="s">
        <v>466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82"/>
      <c r="B119" s="380"/>
      <c r="C119" s="123"/>
      <c r="D119" s="125" t="s">
        <v>545</v>
      </c>
      <c r="E119" s="47" t="s">
        <v>467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82"/>
      <c r="B120" s="387" t="s">
        <v>559</v>
      </c>
      <c r="C120" s="167" t="s">
        <v>551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82"/>
      <c r="B121" s="387"/>
      <c r="C121" s="126" t="s">
        <v>552</v>
      </c>
      <c r="D121" s="126"/>
      <c r="E121" s="48" t="s">
        <v>468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82"/>
      <c r="B122" s="387"/>
      <c r="C122" s="126" t="s">
        <v>485</v>
      </c>
      <c r="D122" s="126"/>
      <c r="E122" s="48" t="s">
        <v>469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82"/>
      <c r="B123" s="387"/>
      <c r="C123" s="126" t="s">
        <v>554</v>
      </c>
      <c r="D123" s="126"/>
      <c r="E123" s="48" t="s">
        <v>470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82"/>
      <c r="B124" s="387"/>
      <c r="C124" s="126"/>
      <c r="D124" s="126" t="s">
        <v>553</v>
      </c>
      <c r="E124" s="48" t="s">
        <v>471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82"/>
      <c r="B125" s="387"/>
      <c r="C125" s="126"/>
      <c r="D125" s="126" t="s">
        <v>166</v>
      </c>
      <c r="E125" s="48" t="s">
        <v>472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82"/>
      <c r="B126" s="387"/>
      <c r="C126" s="126" t="s">
        <v>555</v>
      </c>
      <c r="D126" s="126"/>
      <c r="E126" s="48" t="s">
        <v>473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82"/>
      <c r="B127" s="387"/>
      <c r="C127" s="126"/>
      <c r="D127" s="126" t="s">
        <v>167</v>
      </c>
      <c r="E127" s="48" t="s">
        <v>474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82"/>
      <c r="B128" s="387"/>
      <c r="C128" s="127"/>
      <c r="D128" s="127" t="s">
        <v>556</v>
      </c>
      <c r="E128" s="93" t="s">
        <v>475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82"/>
      <c r="B129" s="387"/>
      <c r="C129" s="167" t="s">
        <v>476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82"/>
      <c r="B130" s="387"/>
      <c r="C130" s="126" t="s">
        <v>552</v>
      </c>
      <c r="D130" s="126"/>
      <c r="E130" s="48" t="s">
        <v>477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82"/>
      <c r="B131" s="387"/>
      <c r="C131" s="126" t="s">
        <v>485</v>
      </c>
      <c r="D131" s="126"/>
      <c r="E131" s="48" t="s">
        <v>478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82"/>
      <c r="B132" s="387"/>
      <c r="C132" s="126" t="s">
        <v>554</v>
      </c>
      <c r="D132" s="126"/>
      <c r="E132" s="48" t="s">
        <v>479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82"/>
      <c r="B133" s="387"/>
      <c r="C133" s="126"/>
      <c r="D133" s="126" t="s">
        <v>165</v>
      </c>
      <c r="E133" s="48" t="s">
        <v>480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82"/>
      <c r="B134" s="387"/>
      <c r="C134" s="126"/>
      <c r="D134" s="126" t="s">
        <v>166</v>
      </c>
      <c r="E134" s="48" t="s">
        <v>481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82"/>
      <c r="B135" s="387"/>
      <c r="C135" s="126" t="s">
        <v>555</v>
      </c>
      <c r="D135" s="126"/>
      <c r="E135" s="48" t="s">
        <v>482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82"/>
      <c r="B136" s="387"/>
      <c r="C136" s="126"/>
      <c r="D136" s="126" t="s">
        <v>167</v>
      </c>
      <c r="E136" s="48" t="s">
        <v>483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83"/>
      <c r="B137" s="388"/>
      <c r="C137" s="127"/>
      <c r="D137" s="127" t="s">
        <v>556</v>
      </c>
      <c r="E137" s="49" t="s">
        <v>484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389" t="s">
        <v>597</v>
      </c>
      <c r="B138" s="385" t="s">
        <v>565</v>
      </c>
      <c r="C138" s="328" t="s">
        <v>570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390"/>
      <c r="B139" s="386"/>
      <c r="C139" s="168"/>
      <c r="D139" s="128" t="s">
        <v>1084</v>
      </c>
      <c r="E139" s="84" t="s">
        <v>2018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390"/>
      <c r="B140" s="386"/>
      <c r="C140" s="168"/>
      <c r="D140" s="128" t="s">
        <v>1084</v>
      </c>
      <c r="E140" s="84" t="s">
        <v>2019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390"/>
      <c r="B141" s="386"/>
      <c r="C141" s="168" t="s">
        <v>571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390"/>
      <c r="B142" s="386"/>
      <c r="C142" s="168"/>
      <c r="D142" s="128" t="s">
        <v>1907</v>
      </c>
      <c r="E142" s="84" t="s">
        <v>1908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390"/>
      <c r="B143" s="386"/>
      <c r="C143" s="168"/>
      <c r="D143" s="128" t="s">
        <v>1907</v>
      </c>
      <c r="E143" s="84" t="s">
        <v>1909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390"/>
      <c r="B144" s="386"/>
      <c r="C144" s="168" t="s">
        <v>560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390"/>
      <c r="B145" s="386"/>
      <c r="C145" s="128"/>
      <c r="D145" s="128" t="s">
        <v>1910</v>
      </c>
      <c r="E145" s="84" t="s">
        <v>488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90"/>
      <c r="B146" s="386"/>
      <c r="C146" s="128"/>
      <c r="D146" s="128" t="s">
        <v>566</v>
      </c>
      <c r="E146" s="84" t="s">
        <v>489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90"/>
      <c r="B147" s="386"/>
      <c r="C147" s="168" t="s">
        <v>561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390"/>
      <c r="B148" s="386"/>
      <c r="C148" s="168"/>
      <c r="D148" s="128" t="s">
        <v>1910</v>
      </c>
      <c r="E148" s="84" t="s">
        <v>1911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390"/>
      <c r="B149" s="386"/>
      <c r="C149" s="168" t="s">
        <v>562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90"/>
      <c r="B150" s="386"/>
      <c r="C150" s="168"/>
      <c r="D150" s="128" t="s">
        <v>567</v>
      </c>
      <c r="E150" s="84" t="s">
        <v>1906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390"/>
      <c r="B151" s="386"/>
      <c r="C151" s="168"/>
      <c r="D151" s="128" t="s">
        <v>567</v>
      </c>
      <c r="E151" s="84" t="s">
        <v>1905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8"/>
      <c r="D152" s="128" t="s">
        <v>567</v>
      </c>
      <c r="E152" s="84" t="s">
        <v>492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90"/>
      <c r="B153" s="386"/>
      <c r="C153" s="128"/>
      <c r="D153" s="128" t="s">
        <v>568</v>
      </c>
      <c r="E153" s="84" t="s">
        <v>493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90"/>
      <c r="B154" s="386"/>
      <c r="C154" s="168" t="s">
        <v>563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90"/>
      <c r="B155" s="386"/>
      <c r="C155" s="128"/>
      <c r="D155" s="128" t="s">
        <v>172</v>
      </c>
      <c r="E155" s="84" t="s">
        <v>503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390"/>
      <c r="B156" s="386"/>
      <c r="C156" s="128"/>
      <c r="D156" s="128" t="s">
        <v>173</v>
      </c>
      <c r="E156" s="84" t="s">
        <v>504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390"/>
      <c r="B157" s="386"/>
      <c r="C157" s="128"/>
      <c r="D157" s="128" t="s">
        <v>174</v>
      </c>
      <c r="E157" s="84" t="s">
        <v>505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390"/>
      <c r="B158" s="386"/>
      <c r="C158" s="128"/>
      <c r="D158" s="128" t="s">
        <v>175</v>
      </c>
      <c r="E158" s="84" t="s">
        <v>506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390"/>
      <c r="B159" s="386"/>
      <c r="C159" s="128"/>
      <c r="D159" s="128" t="s">
        <v>176</v>
      </c>
      <c r="E159" s="84" t="s">
        <v>507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8"/>
      <c r="D160" s="128" t="s">
        <v>177</v>
      </c>
      <c r="E160" s="84" t="s">
        <v>508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90"/>
      <c r="B161" s="386"/>
      <c r="C161" s="128"/>
      <c r="D161" s="128" t="s">
        <v>569</v>
      </c>
      <c r="E161" s="84" t="s">
        <v>509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90"/>
      <c r="B162" s="386"/>
      <c r="C162" s="128"/>
      <c r="D162" s="128" t="s">
        <v>501</v>
      </c>
      <c r="E162" s="84" t="s">
        <v>510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90"/>
      <c r="B163" s="386"/>
      <c r="C163" s="128"/>
      <c r="D163" s="128" t="s">
        <v>502</v>
      </c>
      <c r="E163" s="306" t="s">
        <v>511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90"/>
      <c r="B164" s="386"/>
      <c r="C164" s="168" t="s">
        <v>564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390"/>
      <c r="B165" s="386"/>
      <c r="C165" s="128"/>
      <c r="D165" s="128" t="s">
        <v>501</v>
      </c>
      <c r="E165" s="84" t="s">
        <v>1912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390"/>
      <c r="B166" s="386"/>
      <c r="C166" s="168" t="s">
        <v>572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390"/>
      <c r="B167" s="386"/>
      <c r="C167" s="168"/>
      <c r="D167" s="128"/>
      <c r="E167" s="84" t="s">
        <v>1913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390"/>
      <c r="B168" s="386"/>
      <c r="C168" s="168"/>
      <c r="D168" s="128"/>
      <c r="E168" s="84" t="s">
        <v>1914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390"/>
      <c r="B169" s="386"/>
      <c r="C169" s="168" t="s">
        <v>573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390"/>
      <c r="B170" s="386"/>
      <c r="C170" s="128"/>
      <c r="D170" s="128"/>
      <c r="E170" s="84" t="s">
        <v>1915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390"/>
      <c r="B171" s="386"/>
      <c r="C171" s="129"/>
      <c r="D171" s="129"/>
      <c r="E171" s="94" t="s">
        <v>1916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390"/>
      <c r="B172" s="386"/>
      <c r="C172" s="168" t="s">
        <v>598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390"/>
      <c r="B173" s="386"/>
      <c r="C173" s="168"/>
      <c r="D173" s="128" t="s">
        <v>1084</v>
      </c>
      <c r="E173" s="84" t="s">
        <v>2016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390"/>
      <c r="B174" s="386"/>
      <c r="C174" s="168"/>
      <c r="D174" s="128" t="s">
        <v>1084</v>
      </c>
      <c r="E174" s="84" t="s">
        <v>2017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390"/>
      <c r="B175" s="386"/>
      <c r="C175" s="168" t="s">
        <v>599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390"/>
      <c r="B176" s="386"/>
      <c r="C176" s="168"/>
      <c r="D176" s="128" t="s">
        <v>1907</v>
      </c>
      <c r="E176" s="84" t="s">
        <v>1917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390"/>
      <c r="B177" s="386"/>
      <c r="C177" s="168"/>
      <c r="D177" s="128" t="s">
        <v>1907</v>
      </c>
      <c r="E177" s="84" t="s">
        <v>1918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390"/>
      <c r="B178" s="386"/>
      <c r="C178" s="168" t="s">
        <v>512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390"/>
      <c r="B179" s="386"/>
      <c r="C179" s="128"/>
      <c r="D179" s="128" t="s">
        <v>1910</v>
      </c>
      <c r="E179" s="84" t="s">
        <v>517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390"/>
      <c r="B180" s="386"/>
      <c r="C180" s="128"/>
      <c r="D180" s="128" t="s">
        <v>566</v>
      </c>
      <c r="E180" s="84" t="s">
        <v>518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390"/>
      <c r="B181" s="386"/>
      <c r="C181" s="168" t="s">
        <v>513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390"/>
      <c r="B182" s="386"/>
      <c r="C182" s="168"/>
      <c r="D182" s="128" t="s">
        <v>1910</v>
      </c>
      <c r="E182" s="84" t="s">
        <v>1919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390"/>
      <c r="B183" s="386"/>
      <c r="C183" s="168" t="s">
        <v>514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390"/>
      <c r="B184" s="386"/>
      <c r="C184" s="168"/>
      <c r="D184" s="128" t="s">
        <v>567</v>
      </c>
      <c r="E184" s="84" t="s">
        <v>1903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390"/>
      <c r="B185" s="386"/>
      <c r="C185" s="168"/>
      <c r="D185" s="128" t="s">
        <v>567</v>
      </c>
      <c r="E185" s="84" t="s">
        <v>1904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390"/>
      <c r="B186" s="386"/>
      <c r="C186" s="128"/>
      <c r="D186" s="128" t="s">
        <v>567</v>
      </c>
      <c r="E186" s="84" t="s">
        <v>519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390"/>
      <c r="B187" s="386"/>
      <c r="C187" s="128"/>
      <c r="D187" s="128" t="s">
        <v>568</v>
      </c>
      <c r="E187" s="84" t="s">
        <v>520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390"/>
      <c r="B188" s="386"/>
      <c r="C188" s="168" t="s">
        <v>515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390"/>
      <c r="B189" s="386"/>
      <c r="C189" s="128"/>
      <c r="D189" s="128" t="s">
        <v>172</v>
      </c>
      <c r="E189" s="84" t="s">
        <v>521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390"/>
      <c r="B190" s="386"/>
      <c r="C190" s="128"/>
      <c r="D190" s="128" t="s">
        <v>173</v>
      </c>
      <c r="E190" s="84" t="s">
        <v>522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390"/>
      <c r="B191" s="386"/>
      <c r="C191" s="128"/>
      <c r="D191" s="128" t="s">
        <v>174</v>
      </c>
      <c r="E191" s="84" t="s">
        <v>523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390"/>
      <c r="B192" s="386"/>
      <c r="C192" s="128"/>
      <c r="D192" s="128" t="s">
        <v>175</v>
      </c>
      <c r="E192" s="84" t="s">
        <v>524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390"/>
      <c r="B193" s="386"/>
      <c r="C193" s="128"/>
      <c r="D193" s="128" t="s">
        <v>176</v>
      </c>
      <c r="E193" s="84" t="s">
        <v>525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390"/>
      <c r="B194" s="386"/>
      <c r="C194" s="128"/>
      <c r="D194" s="128" t="s">
        <v>177</v>
      </c>
      <c r="E194" s="84" t="s">
        <v>526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390"/>
      <c r="B195" s="386"/>
      <c r="C195" s="128"/>
      <c r="D195" s="128" t="s">
        <v>569</v>
      </c>
      <c r="E195" s="84" t="s">
        <v>527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390"/>
      <c r="B196" s="386"/>
      <c r="C196" s="128"/>
      <c r="D196" s="128" t="s">
        <v>501</v>
      </c>
      <c r="E196" s="84" t="s">
        <v>528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390"/>
      <c r="B197" s="386"/>
      <c r="C197" s="128"/>
      <c r="D197" s="128" t="s">
        <v>502</v>
      </c>
      <c r="E197" s="306" t="s">
        <v>529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390"/>
      <c r="B198" s="386"/>
      <c r="C198" s="168" t="s">
        <v>516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390"/>
      <c r="B199" s="386"/>
      <c r="C199" s="128"/>
      <c r="D199" s="128" t="s">
        <v>501</v>
      </c>
      <c r="E199" s="84" t="s">
        <v>1920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390"/>
      <c r="B200" s="386"/>
      <c r="C200" s="168" t="s">
        <v>600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390"/>
      <c r="B201" s="386"/>
      <c r="C201" s="168"/>
      <c r="D201" s="128"/>
      <c r="E201" s="84" t="s">
        <v>1921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390"/>
      <c r="B202" s="386"/>
      <c r="C202" s="168"/>
      <c r="D202" s="128"/>
      <c r="E202" s="84" t="s">
        <v>1922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390"/>
      <c r="B203" s="386"/>
      <c r="C203" s="168" t="s">
        <v>601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390"/>
      <c r="B204" s="386"/>
      <c r="C204" s="128"/>
      <c r="D204" s="128"/>
      <c r="E204" s="84" t="s">
        <v>1923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390"/>
      <c r="B205" s="386"/>
      <c r="C205" s="128"/>
      <c r="D205" s="128"/>
      <c r="E205" s="84" t="s">
        <v>1924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390"/>
      <c r="B206" s="391" t="s">
        <v>596</v>
      </c>
      <c r="C206" s="335" t="s">
        <v>771</v>
      </c>
      <c r="D206" s="335"/>
      <c r="E206" s="336" t="s">
        <v>1032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390"/>
      <c r="B207" s="391"/>
      <c r="C207" s="335" t="s">
        <v>570</v>
      </c>
      <c r="D207" s="335"/>
      <c r="E207" s="337" t="s">
        <v>587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390"/>
      <c r="B208" s="391"/>
      <c r="C208" s="338"/>
      <c r="D208" s="338" t="s">
        <v>1084</v>
      </c>
      <c r="E208" s="310" t="s">
        <v>2010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390"/>
      <c r="B209" s="391"/>
      <c r="C209" s="338"/>
      <c r="D209" s="338" t="s">
        <v>1084</v>
      </c>
      <c r="E209" s="310" t="s">
        <v>2011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390"/>
      <c r="B210" s="391"/>
      <c r="C210" s="335" t="s">
        <v>571</v>
      </c>
      <c r="D210" s="335"/>
      <c r="E210" s="337" t="s">
        <v>588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390"/>
      <c r="B211" s="391"/>
      <c r="C211" s="338"/>
      <c r="D211" s="338" t="s">
        <v>1907</v>
      </c>
      <c r="E211" s="310" t="s">
        <v>1925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390"/>
      <c r="B212" s="391"/>
      <c r="C212" s="338"/>
      <c r="D212" s="338" t="s">
        <v>1907</v>
      </c>
      <c r="E212" s="310" t="s">
        <v>1926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390"/>
      <c r="B213" s="391"/>
      <c r="C213" s="335" t="s">
        <v>560</v>
      </c>
      <c r="D213" s="339"/>
      <c r="E213" s="337" t="s">
        <v>589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390"/>
      <c r="B214" s="391"/>
      <c r="C214" s="335"/>
      <c r="D214" s="340" t="s">
        <v>1910</v>
      </c>
      <c r="E214" s="310" t="s">
        <v>574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390"/>
      <c r="B215" s="391"/>
      <c r="C215" s="335"/>
      <c r="D215" s="340" t="s">
        <v>566</v>
      </c>
      <c r="E215" s="310" t="s">
        <v>575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390"/>
      <c r="B216" s="391"/>
      <c r="C216" s="335" t="s">
        <v>561</v>
      </c>
      <c r="D216" s="339"/>
      <c r="E216" s="337" t="s">
        <v>590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390"/>
      <c r="B217" s="391"/>
      <c r="C217" s="338"/>
      <c r="D217" s="340" t="s">
        <v>1910</v>
      </c>
      <c r="E217" s="310" t="s">
        <v>1927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390"/>
      <c r="B218" s="391"/>
      <c r="C218" s="335" t="s">
        <v>562</v>
      </c>
      <c r="D218" s="339"/>
      <c r="E218" s="337" t="s">
        <v>591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390"/>
      <c r="B219" s="391"/>
      <c r="C219" s="338"/>
      <c r="D219" s="340" t="s">
        <v>567</v>
      </c>
      <c r="E219" s="310" t="s">
        <v>1928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390"/>
      <c r="B220" s="391"/>
      <c r="C220" s="338"/>
      <c r="D220" s="340" t="s">
        <v>567</v>
      </c>
      <c r="E220" s="310" t="s">
        <v>2012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390"/>
      <c r="B221" s="391"/>
      <c r="C221" s="335"/>
      <c r="D221" s="340" t="s">
        <v>567</v>
      </c>
      <c r="E221" s="310" t="s">
        <v>576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390"/>
      <c r="B222" s="391"/>
      <c r="C222" s="335"/>
      <c r="D222" s="340" t="s">
        <v>568</v>
      </c>
      <c r="E222" s="310" t="s">
        <v>577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390"/>
      <c r="B223" s="391"/>
      <c r="C223" s="335" t="s">
        <v>563</v>
      </c>
      <c r="D223" s="339"/>
      <c r="E223" s="337" t="s">
        <v>592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390"/>
      <c r="B224" s="391"/>
      <c r="C224" s="335"/>
      <c r="D224" s="340" t="s">
        <v>172</v>
      </c>
      <c r="E224" s="310" t="s">
        <v>578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390"/>
      <c r="B225" s="391"/>
      <c r="C225" s="335"/>
      <c r="D225" s="340" t="s">
        <v>173</v>
      </c>
      <c r="E225" s="310" t="s">
        <v>579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390"/>
      <c r="B226" s="391"/>
      <c r="C226" s="335"/>
      <c r="D226" s="340" t="s">
        <v>174</v>
      </c>
      <c r="E226" s="310" t="s">
        <v>580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390"/>
      <c r="B227" s="391"/>
      <c r="C227" s="335"/>
      <c r="D227" s="340" t="s">
        <v>175</v>
      </c>
      <c r="E227" s="310" t="s">
        <v>581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390"/>
      <c r="B228" s="391"/>
      <c r="C228" s="335"/>
      <c r="D228" s="340" t="s">
        <v>176</v>
      </c>
      <c r="E228" s="310" t="s">
        <v>582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390"/>
      <c r="B229" s="391"/>
      <c r="C229" s="335"/>
      <c r="D229" s="340" t="s">
        <v>177</v>
      </c>
      <c r="E229" s="310" t="s">
        <v>583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390"/>
      <c r="B230" s="391"/>
      <c r="C230" s="335"/>
      <c r="D230" s="340" t="s">
        <v>569</v>
      </c>
      <c r="E230" s="310" t="s">
        <v>584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390"/>
      <c r="B231" s="391"/>
      <c r="C231" s="335"/>
      <c r="D231" s="340" t="s">
        <v>501</v>
      </c>
      <c r="E231" s="310" t="s">
        <v>585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390"/>
      <c r="B232" s="391"/>
      <c r="C232" s="335"/>
      <c r="D232" s="340" t="s">
        <v>502</v>
      </c>
      <c r="E232" s="310" t="s">
        <v>586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390"/>
      <c r="B233" s="391"/>
      <c r="C233" s="335" t="s">
        <v>564</v>
      </c>
      <c r="D233" s="339"/>
      <c r="E233" s="337" t="s">
        <v>593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390"/>
      <c r="B234" s="391"/>
      <c r="C234" s="338"/>
      <c r="D234" s="340" t="s">
        <v>1929</v>
      </c>
      <c r="E234" s="310" t="s">
        <v>1930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390"/>
      <c r="B235" s="391"/>
      <c r="C235" s="335" t="s">
        <v>572</v>
      </c>
      <c r="D235" s="339"/>
      <c r="E235" s="337" t="s">
        <v>594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390"/>
      <c r="B236" s="391"/>
      <c r="C236" s="338"/>
      <c r="D236" s="340"/>
      <c r="E236" s="310" t="s">
        <v>1931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390"/>
      <c r="B237" s="391"/>
      <c r="C237" s="338"/>
      <c r="D237" s="340"/>
      <c r="E237" s="310" t="s">
        <v>1932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390"/>
      <c r="B238" s="391"/>
      <c r="C238" s="335" t="s">
        <v>573</v>
      </c>
      <c r="D238" s="339"/>
      <c r="E238" s="337" t="s">
        <v>595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390"/>
      <c r="B239" s="391"/>
      <c r="C239" s="338"/>
      <c r="D239" s="340"/>
      <c r="E239" s="310" t="s">
        <v>1933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390"/>
      <c r="B240" s="391"/>
      <c r="C240" s="341"/>
      <c r="D240" s="342"/>
      <c r="E240" s="343" t="s">
        <v>1934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390"/>
      <c r="B241" s="391"/>
      <c r="C241" s="335" t="s">
        <v>816</v>
      </c>
      <c r="D241" s="335"/>
      <c r="E241" s="337" t="s">
        <v>1033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390"/>
      <c r="B242" s="391"/>
      <c r="C242" s="335" t="s">
        <v>598</v>
      </c>
      <c r="D242" s="335"/>
      <c r="E242" s="337" t="s">
        <v>602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390"/>
      <c r="B243" s="391"/>
      <c r="C243" s="338"/>
      <c r="D243" s="338" t="s">
        <v>1084</v>
      </c>
      <c r="E243" s="310" t="s">
        <v>2013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390"/>
      <c r="B244" s="391"/>
      <c r="C244" s="338"/>
      <c r="D244" s="338" t="s">
        <v>1084</v>
      </c>
      <c r="E244" s="310" t="s">
        <v>2014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390"/>
      <c r="B245" s="391"/>
      <c r="C245" s="335" t="s">
        <v>599</v>
      </c>
      <c r="D245" s="335"/>
      <c r="E245" s="337" t="s">
        <v>603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390"/>
      <c r="B246" s="391"/>
      <c r="C246" s="338"/>
      <c r="D246" s="338" t="s">
        <v>1907</v>
      </c>
      <c r="E246" s="310" t="s">
        <v>1935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390"/>
      <c r="B247" s="391"/>
      <c r="C247" s="338"/>
      <c r="D247" s="338" t="s">
        <v>1907</v>
      </c>
      <c r="E247" s="310" t="s">
        <v>1936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390"/>
      <c r="B248" s="391"/>
      <c r="C248" s="335" t="s">
        <v>512</v>
      </c>
      <c r="D248" s="339"/>
      <c r="E248" s="337" t="s">
        <v>604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390"/>
      <c r="B249" s="391"/>
      <c r="C249" s="335"/>
      <c r="D249" s="340" t="s">
        <v>1910</v>
      </c>
      <c r="E249" s="310" t="s">
        <v>605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390"/>
      <c r="B250" s="391"/>
      <c r="C250" s="335"/>
      <c r="D250" s="340" t="s">
        <v>566</v>
      </c>
      <c r="E250" s="310" t="s">
        <v>606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390"/>
      <c r="B251" s="391"/>
      <c r="C251" s="335" t="s">
        <v>513</v>
      </c>
      <c r="D251" s="339"/>
      <c r="E251" s="337" t="s">
        <v>607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390"/>
      <c r="B252" s="391"/>
      <c r="C252" s="338"/>
      <c r="D252" s="340" t="s">
        <v>1910</v>
      </c>
      <c r="E252" s="310" t="s">
        <v>1937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390"/>
      <c r="B253" s="391"/>
      <c r="C253" s="335" t="s">
        <v>514</v>
      </c>
      <c r="D253" s="339"/>
      <c r="E253" s="337" t="s">
        <v>608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390"/>
      <c r="B254" s="391"/>
      <c r="C254" s="338"/>
      <c r="D254" s="340" t="s">
        <v>567</v>
      </c>
      <c r="E254" s="310" t="s">
        <v>1938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390"/>
      <c r="B255" s="391"/>
      <c r="C255" s="338"/>
      <c r="D255" s="340" t="s">
        <v>567</v>
      </c>
      <c r="E255" s="310" t="s">
        <v>2015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390"/>
      <c r="B256" s="391"/>
      <c r="C256" s="335"/>
      <c r="D256" s="340" t="s">
        <v>567</v>
      </c>
      <c r="E256" s="310" t="s">
        <v>609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390"/>
      <c r="B257" s="391"/>
      <c r="C257" s="335"/>
      <c r="D257" s="340" t="s">
        <v>568</v>
      </c>
      <c r="E257" s="310" t="s">
        <v>610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390"/>
      <c r="B258" s="391"/>
      <c r="C258" s="335" t="s">
        <v>515</v>
      </c>
      <c r="D258" s="339"/>
      <c r="E258" s="337" t="s">
        <v>611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390"/>
      <c r="B259" s="391"/>
      <c r="C259" s="335"/>
      <c r="D259" s="340" t="s">
        <v>172</v>
      </c>
      <c r="E259" s="310" t="s">
        <v>612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390"/>
      <c r="B260" s="391"/>
      <c r="C260" s="335"/>
      <c r="D260" s="340" t="s">
        <v>173</v>
      </c>
      <c r="E260" s="310" t="s">
        <v>613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390"/>
      <c r="B261" s="391"/>
      <c r="C261" s="335"/>
      <c r="D261" s="340" t="s">
        <v>174</v>
      </c>
      <c r="E261" s="310" t="s">
        <v>614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390"/>
      <c r="B262" s="391"/>
      <c r="C262" s="335"/>
      <c r="D262" s="340" t="s">
        <v>175</v>
      </c>
      <c r="E262" s="310" t="s">
        <v>615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390"/>
      <c r="B263" s="391"/>
      <c r="C263" s="335"/>
      <c r="D263" s="340" t="s">
        <v>176</v>
      </c>
      <c r="E263" s="310" t="s">
        <v>616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390"/>
      <c r="B264" s="391"/>
      <c r="C264" s="335"/>
      <c r="D264" s="340" t="s">
        <v>177</v>
      </c>
      <c r="E264" s="310" t="s">
        <v>617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390"/>
      <c r="B265" s="391"/>
      <c r="C265" s="335"/>
      <c r="D265" s="340" t="s">
        <v>569</v>
      </c>
      <c r="E265" s="310" t="s">
        <v>618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390"/>
      <c r="B266" s="391"/>
      <c r="C266" s="335"/>
      <c r="D266" s="340" t="s">
        <v>501</v>
      </c>
      <c r="E266" s="310" t="s">
        <v>619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390"/>
      <c r="B267" s="391"/>
      <c r="C267" s="335"/>
      <c r="D267" s="340" t="s">
        <v>502</v>
      </c>
      <c r="E267" s="310" t="s">
        <v>620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390"/>
      <c r="B268" s="391"/>
      <c r="C268" s="335" t="s">
        <v>516</v>
      </c>
      <c r="D268" s="339"/>
      <c r="E268" s="337" t="s">
        <v>621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390"/>
      <c r="B269" s="391"/>
      <c r="C269" s="338"/>
      <c r="D269" s="340" t="s">
        <v>1929</v>
      </c>
      <c r="E269" s="310" t="s">
        <v>1939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390"/>
      <c r="B270" s="391"/>
      <c r="C270" s="335" t="s">
        <v>600</v>
      </c>
      <c r="D270" s="339"/>
      <c r="E270" s="337" t="s">
        <v>622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390"/>
      <c r="B271" s="391"/>
      <c r="C271" s="338"/>
      <c r="D271" s="340"/>
      <c r="E271" s="310" t="s">
        <v>1940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390"/>
      <c r="B272" s="391"/>
      <c r="C272" s="338"/>
      <c r="D272" s="340"/>
      <c r="E272" s="310" t="s">
        <v>1941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390"/>
      <c r="B273" s="391"/>
      <c r="C273" s="335" t="s">
        <v>601</v>
      </c>
      <c r="D273" s="339"/>
      <c r="E273" s="337" t="s">
        <v>623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390"/>
      <c r="B274" s="391"/>
      <c r="C274" s="338"/>
      <c r="D274" s="340"/>
      <c r="E274" s="310" t="s">
        <v>1942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390"/>
      <c r="B275" s="391"/>
      <c r="C275" s="338"/>
      <c r="D275" s="340"/>
      <c r="E275" s="344" t="s">
        <v>1943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390"/>
      <c r="B276" s="392" t="s">
        <v>168</v>
      </c>
      <c r="C276" s="130" t="s">
        <v>169</v>
      </c>
      <c r="D276" s="130"/>
      <c r="E276" s="51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390"/>
      <c r="B277" s="392"/>
      <c r="C277" s="130" t="s">
        <v>170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390"/>
      <c r="B278" s="392"/>
      <c r="C278" s="130" t="s">
        <v>171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390"/>
      <c r="B279" s="392"/>
      <c r="C279" s="130" t="s">
        <v>164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390"/>
      <c r="B280" s="380" t="s">
        <v>1058</v>
      </c>
      <c r="C280" s="122" t="s">
        <v>771</v>
      </c>
      <c r="D280" s="122"/>
      <c r="E280" s="89" t="s">
        <v>1031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390"/>
      <c r="B281" s="380"/>
      <c r="C281" s="122" t="s">
        <v>570</v>
      </c>
      <c r="D281" s="122"/>
      <c r="E281" s="89" t="s">
        <v>1034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390"/>
      <c r="B282" s="380"/>
      <c r="C282" s="123"/>
      <c r="D282" s="123" t="s">
        <v>1084</v>
      </c>
      <c r="E282" s="79" t="s">
        <v>2099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390"/>
      <c r="B283" s="380"/>
      <c r="C283" s="123"/>
      <c r="D283" s="123" t="s">
        <v>1084</v>
      </c>
      <c r="E283" s="79" t="s">
        <v>2098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390"/>
      <c r="B284" s="380"/>
      <c r="C284" s="122" t="s">
        <v>571</v>
      </c>
      <c r="D284" s="122"/>
      <c r="E284" s="89" t="s">
        <v>1035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390"/>
      <c r="B285" s="380"/>
      <c r="C285" s="123"/>
      <c r="D285" s="123" t="s">
        <v>1907</v>
      </c>
      <c r="E285" s="79" t="s">
        <v>2100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390"/>
      <c r="B286" s="380"/>
      <c r="C286" s="123"/>
      <c r="D286" s="123" t="s">
        <v>1907</v>
      </c>
      <c r="E286" s="79" t="s">
        <v>2100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390"/>
      <c r="B287" s="380"/>
      <c r="C287" s="122" t="s">
        <v>560</v>
      </c>
      <c r="D287" s="122"/>
      <c r="E287" s="89" t="s">
        <v>1036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390"/>
      <c r="B288" s="380"/>
      <c r="C288" s="123"/>
      <c r="D288" s="123" t="s">
        <v>1910</v>
      </c>
      <c r="E288" s="47" t="s">
        <v>1037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390"/>
      <c r="B289" s="380"/>
      <c r="C289" s="123"/>
      <c r="D289" s="123" t="s">
        <v>566</v>
      </c>
      <c r="E289" s="47" t="s">
        <v>1038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390"/>
      <c r="B290" s="380"/>
      <c r="C290" s="122" t="s">
        <v>561</v>
      </c>
      <c r="D290" s="122"/>
      <c r="E290" s="89" t="s">
        <v>1039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390"/>
      <c r="B291" s="380"/>
      <c r="C291" s="123"/>
      <c r="D291" s="123" t="s">
        <v>1910</v>
      </c>
      <c r="E291" s="47" t="s">
        <v>1040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390"/>
      <c r="B292" s="380"/>
      <c r="C292" s="122" t="s">
        <v>562</v>
      </c>
      <c r="D292" s="122"/>
      <c r="E292" s="89" t="s">
        <v>1041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390"/>
      <c r="B293" s="380"/>
      <c r="C293" s="122"/>
      <c r="D293" s="123" t="s">
        <v>567</v>
      </c>
      <c r="E293" s="79" t="s">
        <v>2020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390"/>
      <c r="B294" s="380"/>
      <c r="C294" s="122"/>
      <c r="D294" s="123" t="s">
        <v>567</v>
      </c>
      <c r="E294" s="79" t="s">
        <v>2021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390"/>
      <c r="B295" s="380"/>
      <c r="C295" s="122"/>
      <c r="D295" s="123" t="s">
        <v>567</v>
      </c>
      <c r="E295" s="79" t="s">
        <v>1043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390"/>
      <c r="B296" s="380"/>
      <c r="C296" s="122"/>
      <c r="D296" s="123" t="s">
        <v>568</v>
      </c>
      <c r="E296" s="79" t="s">
        <v>1044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390"/>
      <c r="B297" s="380"/>
      <c r="C297" s="122" t="s">
        <v>563</v>
      </c>
      <c r="D297" s="122"/>
      <c r="E297" s="89" t="s">
        <v>1042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390"/>
      <c r="B298" s="380"/>
      <c r="C298" s="123"/>
      <c r="D298" s="123" t="s">
        <v>172</v>
      </c>
      <c r="E298" s="47" t="s">
        <v>1045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390"/>
      <c r="B299" s="380"/>
      <c r="C299" s="123"/>
      <c r="D299" s="123" t="s">
        <v>173</v>
      </c>
      <c r="E299" s="79" t="s">
        <v>1046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390"/>
      <c r="B300" s="380"/>
      <c r="C300" s="123"/>
      <c r="D300" s="123" t="s">
        <v>174</v>
      </c>
      <c r="E300" s="79" t="s">
        <v>1047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390"/>
      <c r="B301" s="380"/>
      <c r="C301" s="123"/>
      <c r="D301" s="123" t="s">
        <v>175</v>
      </c>
      <c r="E301" s="79" t="s">
        <v>1048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390"/>
      <c r="B302" s="380"/>
      <c r="C302" s="123"/>
      <c r="D302" s="123" t="s">
        <v>176</v>
      </c>
      <c r="E302" s="79" t="s">
        <v>1049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390"/>
      <c r="B303" s="380"/>
      <c r="C303" s="123"/>
      <c r="D303" s="123" t="s">
        <v>177</v>
      </c>
      <c r="E303" s="79" t="s">
        <v>1050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390"/>
      <c r="B304" s="380"/>
      <c r="C304" s="123"/>
      <c r="D304" s="123" t="s">
        <v>569</v>
      </c>
      <c r="E304" s="79" t="s">
        <v>1051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390"/>
      <c r="B305" s="380"/>
      <c r="C305" s="123"/>
      <c r="D305" s="123" t="s">
        <v>501</v>
      </c>
      <c r="E305" s="79" t="s">
        <v>1052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390"/>
      <c r="B306" s="380"/>
      <c r="C306" s="123"/>
      <c r="D306" s="123" t="s">
        <v>502</v>
      </c>
      <c r="E306" s="79" t="s">
        <v>1053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390"/>
      <c r="B307" s="380"/>
      <c r="C307" s="122" t="s">
        <v>564</v>
      </c>
      <c r="D307" s="122"/>
      <c r="E307" s="89" t="s">
        <v>1055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390"/>
      <c r="B308" s="380"/>
      <c r="C308" s="123"/>
      <c r="D308" s="123" t="s">
        <v>501</v>
      </c>
      <c r="E308" s="79" t="s">
        <v>1054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390"/>
      <c r="B309" s="380"/>
      <c r="C309" s="122" t="s">
        <v>572</v>
      </c>
      <c r="D309" s="122"/>
      <c r="E309" s="89" t="s">
        <v>1056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390"/>
      <c r="B310" s="380"/>
      <c r="C310" s="123"/>
      <c r="D310" s="123"/>
      <c r="E310" s="79" t="s">
        <v>2022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390"/>
      <c r="B311" s="380"/>
      <c r="C311" s="123"/>
      <c r="D311" s="123"/>
      <c r="E311" s="79" t="s">
        <v>2023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390"/>
      <c r="B312" s="380"/>
      <c r="C312" s="122" t="s">
        <v>573</v>
      </c>
      <c r="D312" s="122"/>
      <c r="E312" s="89" t="s">
        <v>1057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390"/>
      <c r="B313" s="380"/>
      <c r="C313" s="123"/>
      <c r="D313" s="123"/>
      <c r="E313" s="79" t="s">
        <v>2024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390"/>
      <c r="B314" s="380"/>
      <c r="C314" s="166"/>
      <c r="D314" s="166"/>
      <c r="E314" s="52" t="s">
        <v>2025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390"/>
      <c r="B315" s="380"/>
      <c r="C315" s="122" t="s">
        <v>816</v>
      </c>
      <c r="D315" s="122"/>
      <c r="E315" s="89" t="s">
        <v>1059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390"/>
      <c r="B316" s="380"/>
      <c r="C316" s="122" t="s">
        <v>598</v>
      </c>
      <c r="D316" s="122"/>
      <c r="E316" s="89" t="s">
        <v>1060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390"/>
      <c r="B317" s="380"/>
      <c r="C317" s="123"/>
      <c r="D317" s="123" t="s">
        <v>1084</v>
      </c>
      <c r="E317" s="79" t="s">
        <v>2101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390"/>
      <c r="B318" s="380"/>
      <c r="C318" s="123"/>
      <c r="D318" s="123" t="s">
        <v>1084</v>
      </c>
      <c r="E318" s="79" t="s">
        <v>2102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390"/>
      <c r="B319" s="380"/>
      <c r="C319" s="122" t="s">
        <v>599</v>
      </c>
      <c r="D319" s="122"/>
      <c r="E319" s="89" t="s">
        <v>1061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390"/>
      <c r="B320" s="380"/>
      <c r="C320" s="123"/>
      <c r="D320" s="123" t="s">
        <v>1907</v>
      </c>
      <c r="E320" s="79" t="s">
        <v>2103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390"/>
      <c r="B321" s="380"/>
      <c r="C321" s="123"/>
      <c r="D321" s="123" t="s">
        <v>1907</v>
      </c>
      <c r="E321" s="79" t="s">
        <v>2103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390"/>
      <c r="B322" s="380"/>
      <c r="C322" s="122" t="s">
        <v>512</v>
      </c>
      <c r="D322" s="122"/>
      <c r="E322" s="89" t="s">
        <v>1062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390"/>
      <c r="B323" s="380"/>
      <c r="C323" s="123"/>
      <c r="D323" s="123" t="s">
        <v>1910</v>
      </c>
      <c r="E323" s="79" t="s">
        <v>1063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390"/>
      <c r="B324" s="380"/>
      <c r="C324" s="123"/>
      <c r="D324" s="123" t="s">
        <v>566</v>
      </c>
      <c r="E324" s="79" t="s">
        <v>1064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390"/>
      <c r="B325" s="380"/>
      <c r="C325" s="122" t="s">
        <v>513</v>
      </c>
      <c r="D325" s="122"/>
      <c r="E325" s="89" t="s">
        <v>1065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390"/>
      <c r="B326" s="380"/>
      <c r="C326" s="123"/>
      <c r="D326" s="123" t="s">
        <v>1910</v>
      </c>
      <c r="E326" s="79" t="s">
        <v>1066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390"/>
      <c r="B327" s="380"/>
      <c r="C327" s="122" t="s">
        <v>514</v>
      </c>
      <c r="D327" s="122"/>
      <c r="E327" s="89" t="s">
        <v>1067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390"/>
      <c r="B328" s="380"/>
      <c r="C328" s="123"/>
      <c r="D328" s="123" t="s">
        <v>567</v>
      </c>
      <c r="E328" s="79" t="s">
        <v>2104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390"/>
      <c r="B329" s="380"/>
      <c r="C329" s="123"/>
      <c r="D329" s="123" t="s">
        <v>567</v>
      </c>
      <c r="E329" s="79" t="s">
        <v>2105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390"/>
      <c r="B330" s="380"/>
      <c r="C330" s="123"/>
      <c r="D330" s="123" t="s">
        <v>567</v>
      </c>
      <c r="E330" s="79" t="s">
        <v>2106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390"/>
      <c r="B331" s="380"/>
      <c r="C331" s="123"/>
      <c r="D331" s="123" t="s">
        <v>568</v>
      </c>
      <c r="E331" s="79" t="s">
        <v>2107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390"/>
      <c r="B332" s="380"/>
      <c r="C332" s="122" t="s">
        <v>515</v>
      </c>
      <c r="D332" s="122"/>
      <c r="E332" s="89" t="s">
        <v>1068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390"/>
      <c r="B333" s="380"/>
      <c r="C333" s="123"/>
      <c r="D333" s="123" t="s">
        <v>172</v>
      </c>
      <c r="E333" s="79" t="s">
        <v>1069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390"/>
      <c r="B334" s="380"/>
      <c r="C334" s="123"/>
      <c r="D334" s="123" t="s">
        <v>173</v>
      </c>
      <c r="E334" s="79" t="s">
        <v>1070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390"/>
      <c r="B335" s="380"/>
      <c r="C335" s="123"/>
      <c r="D335" s="123" t="s">
        <v>174</v>
      </c>
      <c r="E335" s="79" t="s">
        <v>1071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390"/>
      <c r="B336" s="380"/>
      <c r="C336" s="123"/>
      <c r="D336" s="123" t="s">
        <v>175</v>
      </c>
      <c r="E336" s="79" t="s">
        <v>1072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390"/>
      <c r="B337" s="380"/>
      <c r="C337" s="123"/>
      <c r="D337" s="123" t="s">
        <v>176</v>
      </c>
      <c r="E337" s="79" t="s">
        <v>1073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390"/>
      <c r="B338" s="380"/>
      <c r="C338" s="123"/>
      <c r="D338" s="123" t="s">
        <v>177</v>
      </c>
      <c r="E338" s="79" t="s">
        <v>1074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390"/>
      <c r="B339" s="380"/>
      <c r="C339" s="123"/>
      <c r="D339" s="123" t="s">
        <v>569</v>
      </c>
      <c r="E339" s="79" t="s">
        <v>1075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390"/>
      <c r="B340" s="380"/>
      <c r="C340" s="123"/>
      <c r="D340" s="123" t="s">
        <v>501</v>
      </c>
      <c r="E340" s="79" t="s">
        <v>1076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390"/>
      <c r="B341" s="380"/>
      <c r="C341" s="123"/>
      <c r="D341" s="123" t="s">
        <v>502</v>
      </c>
      <c r="E341" s="79" t="s">
        <v>1077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390"/>
      <c r="B342" s="380"/>
      <c r="C342" s="122" t="s">
        <v>516</v>
      </c>
      <c r="D342" s="122"/>
      <c r="E342" s="89" t="s">
        <v>1078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390"/>
      <c r="B343" s="380"/>
      <c r="C343" s="123"/>
      <c r="D343" s="123" t="s">
        <v>501</v>
      </c>
      <c r="E343" s="79" t="s">
        <v>1079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390"/>
      <c r="B344" s="380"/>
      <c r="C344" s="122" t="s">
        <v>600</v>
      </c>
      <c r="D344" s="122"/>
      <c r="E344" s="89" t="s">
        <v>1080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390"/>
      <c r="B345" s="380"/>
      <c r="C345" s="123"/>
      <c r="D345" s="123"/>
      <c r="E345" s="79" t="s">
        <v>2108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390"/>
      <c r="B346" s="380"/>
      <c r="C346" s="123"/>
      <c r="D346" s="123"/>
      <c r="E346" s="79" t="s">
        <v>2109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390"/>
      <c r="B347" s="380"/>
      <c r="C347" s="122" t="s">
        <v>601</v>
      </c>
      <c r="D347" s="122"/>
      <c r="E347" s="89" t="s">
        <v>1081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390"/>
      <c r="B348" s="380"/>
      <c r="C348" s="123"/>
      <c r="D348" s="123"/>
      <c r="E348" s="79" t="s">
        <v>2110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390"/>
      <c r="B349" s="380"/>
      <c r="C349" s="123"/>
      <c r="D349" s="123"/>
      <c r="E349" s="79" t="s">
        <v>2111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390"/>
      <c r="B350" s="393" t="s">
        <v>1102</v>
      </c>
      <c r="C350" s="148" t="s">
        <v>2168</v>
      </c>
      <c r="D350" s="148"/>
      <c r="E350" s="105" t="s">
        <v>2169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390"/>
      <c r="B351" s="393"/>
      <c r="C351" s="148" t="s">
        <v>1456</v>
      </c>
      <c r="D351" s="148"/>
      <c r="E351" s="105" t="s">
        <v>2177</v>
      </c>
      <c r="F351" s="354" t="e">
        <f>+VLOOKUP($E351,Final_nrj!$1:$1048576,F$2,FALSE)</f>
        <v>#N/A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390"/>
      <c r="B352" s="393"/>
      <c r="C352" s="148"/>
      <c r="D352" s="146" t="s">
        <v>1084</v>
      </c>
      <c r="E352" s="80" t="s">
        <v>2171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390"/>
      <c r="B353" s="393"/>
      <c r="C353" s="146"/>
      <c r="D353" s="146" t="s">
        <v>1085</v>
      </c>
      <c r="E353" s="80" t="s">
        <v>2172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390"/>
      <c r="B354" s="393"/>
      <c r="C354" s="146"/>
      <c r="D354" s="146" t="s">
        <v>1086</v>
      </c>
      <c r="E354" s="80" t="s">
        <v>2173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390"/>
      <c r="B355" s="393"/>
      <c r="C355" s="146"/>
      <c r="D355" s="146" t="s">
        <v>1087</v>
      </c>
      <c r="E355" s="80" t="s">
        <v>2174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390"/>
      <c r="B356" s="393"/>
      <c r="C356" s="146"/>
      <c r="D356" s="146" t="s">
        <v>1088</v>
      </c>
      <c r="E356" s="80" t="s">
        <v>2175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390"/>
      <c r="B357" s="393"/>
      <c r="C357" s="146"/>
      <c r="D357" s="146" t="s">
        <v>1089</v>
      </c>
      <c r="E357" s="80" t="s">
        <v>2176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390"/>
      <c r="B358" s="393"/>
      <c r="C358" s="148" t="s">
        <v>2170</v>
      </c>
      <c r="D358" s="148"/>
      <c r="E358" s="90" t="s">
        <v>2178</v>
      </c>
      <c r="F358" s="354" t="e">
        <f>+VLOOKUP($E358,Final_nrj!$1:$1048576,F$2,FALSE)</f>
        <v>#N/A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390"/>
      <c r="B359" s="393"/>
      <c r="C359" s="146"/>
      <c r="D359" s="146" t="s">
        <v>1090</v>
      </c>
      <c r="E359" s="80" t="s">
        <v>2179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390"/>
      <c r="B360" s="393"/>
      <c r="C360" s="146"/>
      <c r="D360" s="146" t="s">
        <v>1086</v>
      </c>
      <c r="E360" s="80" t="s">
        <v>2180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390"/>
      <c r="B361" s="393"/>
      <c r="C361" s="146"/>
      <c r="D361" s="146" t="s">
        <v>1087</v>
      </c>
      <c r="E361" s="80" t="s">
        <v>2181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390"/>
      <c r="B362" s="393"/>
      <c r="C362" s="148" t="s">
        <v>2182</v>
      </c>
      <c r="D362" s="148"/>
      <c r="E362" s="90" t="s">
        <v>1092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390"/>
      <c r="B363" s="393"/>
      <c r="C363" s="146"/>
      <c r="D363" s="146" t="s">
        <v>1084</v>
      </c>
      <c r="E363" s="80" t="s">
        <v>2120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390"/>
      <c r="B364" s="393"/>
      <c r="C364" s="146"/>
      <c r="D364" s="146" t="s">
        <v>1090</v>
      </c>
      <c r="E364" s="80" t="s">
        <v>2121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390"/>
      <c r="B365" s="393"/>
      <c r="C365" s="146"/>
      <c r="D365" s="146" t="s">
        <v>1085</v>
      </c>
      <c r="E365" s="80" t="s">
        <v>2122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390"/>
      <c r="B366" s="393"/>
      <c r="C366" s="146"/>
      <c r="D366" s="146" t="s">
        <v>1086</v>
      </c>
      <c r="E366" s="80" t="s">
        <v>2123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390"/>
      <c r="B367" s="393"/>
      <c r="C367" s="146"/>
      <c r="D367" s="146" t="s">
        <v>1087</v>
      </c>
      <c r="E367" s="80" t="s">
        <v>2124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390"/>
      <c r="B368" s="393"/>
      <c r="C368" s="146"/>
      <c r="D368" s="146" t="s">
        <v>1088</v>
      </c>
      <c r="E368" s="80" t="s">
        <v>2125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390"/>
      <c r="B369" s="393"/>
      <c r="C369" s="146"/>
      <c r="D369" s="146" t="s">
        <v>1089</v>
      </c>
      <c r="E369" s="80" t="s">
        <v>2126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390"/>
      <c r="B370" s="393"/>
      <c r="C370" s="146"/>
      <c r="D370" s="146" t="s">
        <v>1091</v>
      </c>
      <c r="E370" s="80" t="s">
        <v>2127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390"/>
      <c r="B371" s="393"/>
      <c r="C371" s="148" t="s">
        <v>1082</v>
      </c>
      <c r="D371" s="148"/>
      <c r="E371" s="90" t="s">
        <v>1093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390"/>
      <c r="B372" s="393"/>
      <c r="C372" s="146"/>
      <c r="D372" s="146" t="s">
        <v>1084</v>
      </c>
      <c r="E372" s="80" t="s">
        <v>2128</v>
      </c>
      <c r="F372" s="355" t="e">
        <f>+VLOOKUP($E372,Final_nrj!$1:$1048576,F$2,FALSE)</f>
        <v>#N/A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390"/>
      <c r="B373" s="393"/>
      <c r="C373" s="146"/>
      <c r="D373" s="146" t="s">
        <v>1090</v>
      </c>
      <c r="E373" s="80" t="s">
        <v>2129</v>
      </c>
      <c r="F373" s="355" t="e">
        <f>+VLOOKUP($E373,Final_nrj!$1:$1048576,F$2,FALSE)</f>
        <v>#N/A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390"/>
      <c r="B374" s="393"/>
      <c r="C374" s="146"/>
      <c r="D374" s="146" t="s">
        <v>1085</v>
      </c>
      <c r="E374" s="80" t="s">
        <v>2130</v>
      </c>
      <c r="F374" s="355" t="e">
        <f>+VLOOKUP($E374,Final_nrj!$1:$1048576,F$2,FALSE)</f>
        <v>#N/A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390"/>
      <c r="B375" s="393"/>
      <c r="C375" s="146"/>
      <c r="D375" s="146" t="s">
        <v>1086</v>
      </c>
      <c r="E375" s="80" t="s">
        <v>2131</v>
      </c>
      <c r="F375" s="355" t="e">
        <f>+VLOOKUP($E375,Final_nrj!$1:$1048576,F$2,FALSE)</f>
        <v>#N/A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390"/>
      <c r="B376" s="393"/>
      <c r="C376" s="146"/>
      <c r="D376" s="146" t="s">
        <v>1087</v>
      </c>
      <c r="E376" s="80" t="s">
        <v>2132</v>
      </c>
      <c r="F376" s="355" t="e">
        <f>+VLOOKUP($E376,Final_nrj!$1:$1048576,F$2,FALSE)</f>
        <v>#N/A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390"/>
      <c r="B377" s="393"/>
      <c r="C377" s="146"/>
      <c r="D377" s="146" t="s">
        <v>1088</v>
      </c>
      <c r="E377" s="80" t="s">
        <v>2133</v>
      </c>
      <c r="F377" s="355" t="e">
        <f>+VLOOKUP($E377,Final_nrj!$1:$1048576,F$2,FALSE)</f>
        <v>#N/A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390"/>
      <c r="B378" s="393"/>
      <c r="C378" s="146"/>
      <c r="D378" s="146" t="s">
        <v>1089</v>
      </c>
      <c r="E378" s="80" t="s">
        <v>2134</v>
      </c>
      <c r="F378" s="355" t="e">
        <f>+VLOOKUP($E378,Final_nrj!$1:$1048576,F$2,FALSE)</f>
        <v>#N/A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390"/>
      <c r="B379" s="393"/>
      <c r="C379" s="146"/>
      <c r="D379" s="146" t="s">
        <v>1091</v>
      </c>
      <c r="E379" s="80" t="s">
        <v>2135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390"/>
      <c r="B380" s="393"/>
      <c r="C380" s="148" t="s">
        <v>1083</v>
      </c>
      <c r="D380" s="148"/>
      <c r="E380" s="90" t="s">
        <v>1094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390"/>
      <c r="B381" s="393"/>
      <c r="C381" s="146"/>
      <c r="D381" s="146" t="s">
        <v>1084</v>
      </c>
      <c r="E381" s="80" t="s">
        <v>2112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390"/>
      <c r="B382" s="393"/>
      <c r="C382" s="146"/>
      <c r="D382" s="146" t="s">
        <v>1090</v>
      </c>
      <c r="E382" s="80" t="s">
        <v>2113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390"/>
      <c r="B383" s="393"/>
      <c r="C383" s="146"/>
      <c r="D383" s="146" t="s">
        <v>1085</v>
      </c>
      <c r="E383" s="80" t="s">
        <v>2114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390"/>
      <c r="B384" s="393"/>
      <c r="C384" s="146"/>
      <c r="D384" s="146" t="s">
        <v>1086</v>
      </c>
      <c r="E384" s="80" t="s">
        <v>2115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390"/>
      <c r="B385" s="393"/>
      <c r="C385" s="146"/>
      <c r="D385" s="146" t="s">
        <v>1087</v>
      </c>
      <c r="E385" s="80" t="s">
        <v>2116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390"/>
      <c r="B386" s="393"/>
      <c r="C386" s="146"/>
      <c r="D386" s="146" t="s">
        <v>1088</v>
      </c>
      <c r="E386" s="80" t="s">
        <v>2117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390"/>
      <c r="B387" s="393"/>
      <c r="C387" s="146"/>
      <c r="D387" s="146" t="s">
        <v>1089</v>
      </c>
      <c r="E387" s="80" t="s">
        <v>2118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390"/>
      <c r="B388" s="393"/>
      <c r="C388" s="146"/>
      <c r="D388" s="146" t="s">
        <v>1091</v>
      </c>
      <c r="E388" s="80" t="s">
        <v>2119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390"/>
      <c r="B389" s="393"/>
      <c r="C389" s="148" t="s">
        <v>776</v>
      </c>
      <c r="D389" s="148"/>
      <c r="E389" s="90" t="s">
        <v>1095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390"/>
      <c r="B390" s="393"/>
      <c r="C390" s="146"/>
      <c r="D390" s="146" t="s">
        <v>1084</v>
      </c>
      <c r="E390" s="80" t="s">
        <v>2026</v>
      </c>
      <c r="F390" s="355" t="e">
        <f>+VLOOKUP($E390,Final_nrj!$1:$1048576,F$2,FALSE)</f>
        <v>#N/A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390"/>
      <c r="B391" s="393"/>
      <c r="C391" s="146"/>
      <c r="D391" s="146" t="s">
        <v>1090</v>
      </c>
      <c r="E391" s="80" t="s">
        <v>2027</v>
      </c>
      <c r="F391" s="355" t="e">
        <f>+VLOOKUP($E391,Final_nrj!$1:$1048576,F$2,FALSE)</f>
        <v>#N/A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390"/>
      <c r="B392" s="393"/>
      <c r="C392" s="146"/>
      <c r="D392" s="146" t="s">
        <v>1085</v>
      </c>
      <c r="E392" s="80" t="s">
        <v>2028</v>
      </c>
      <c r="F392" s="355" t="e">
        <f>+VLOOKUP($E392,Final_nrj!$1:$1048576,F$2,FALSE)</f>
        <v>#N/A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390"/>
      <c r="B393" s="393"/>
      <c r="C393" s="146"/>
      <c r="D393" s="146" t="s">
        <v>1086</v>
      </c>
      <c r="E393" s="80" t="s">
        <v>2029</v>
      </c>
      <c r="F393" s="355" t="e">
        <f>+VLOOKUP($E393,Final_nrj!$1:$1048576,F$2,FALSE)</f>
        <v>#N/A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390"/>
      <c r="B394" s="393"/>
      <c r="C394" s="146"/>
      <c r="D394" s="146" t="s">
        <v>1087</v>
      </c>
      <c r="E394" s="80" t="s">
        <v>2030</v>
      </c>
      <c r="F394" s="355" t="e">
        <f>+VLOOKUP($E394,Final_nrj!$1:$1048576,F$2,FALSE)</f>
        <v>#N/A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390"/>
      <c r="B395" s="393"/>
      <c r="C395" s="146"/>
      <c r="D395" s="146" t="s">
        <v>1088</v>
      </c>
      <c r="E395" s="80" t="s">
        <v>2031</v>
      </c>
      <c r="F395" s="355" t="e">
        <f>+VLOOKUP($E395,Final_nrj!$1:$1048576,F$2,FALSE)</f>
        <v>#N/A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390"/>
      <c r="B396" s="393"/>
      <c r="C396" s="146"/>
      <c r="D396" s="146" t="s">
        <v>1089</v>
      </c>
      <c r="E396" s="80" t="s">
        <v>2032</v>
      </c>
      <c r="F396" s="355" t="e">
        <f>+VLOOKUP($E396,Final_nrj!$1:$1048576,F$2,FALSE)</f>
        <v>#N/A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390"/>
      <c r="B397" s="393"/>
      <c r="C397" s="147"/>
      <c r="D397" s="147" t="s">
        <v>1091</v>
      </c>
      <c r="E397" s="95" t="s">
        <v>2033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390"/>
      <c r="B398" s="393"/>
      <c r="C398" s="148" t="s">
        <v>2183</v>
      </c>
      <c r="D398" s="148"/>
      <c r="E398" s="105" t="s">
        <v>2184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390"/>
      <c r="B399" s="393"/>
      <c r="C399" s="148" t="s">
        <v>1456</v>
      </c>
      <c r="D399" s="146"/>
      <c r="E399" s="105" t="s">
        <v>2185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390"/>
      <c r="B400" s="393"/>
      <c r="C400" s="148"/>
      <c r="D400" s="146" t="s">
        <v>1084</v>
      </c>
      <c r="E400" s="80" t="s">
        <v>2186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390"/>
      <c r="B401" s="393"/>
      <c r="C401" s="146"/>
      <c r="D401" s="146" t="s">
        <v>1085</v>
      </c>
      <c r="E401" s="80" t="s">
        <v>2187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390"/>
      <c r="B402" s="393"/>
      <c r="C402" s="146"/>
      <c r="D402" s="146" t="s">
        <v>1086</v>
      </c>
      <c r="E402" s="80" t="s">
        <v>2188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390"/>
      <c r="B403" s="393"/>
      <c r="C403" s="146"/>
      <c r="D403" s="146" t="s">
        <v>1087</v>
      </c>
      <c r="E403" s="80" t="s">
        <v>2189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390"/>
      <c r="B404" s="393"/>
      <c r="C404" s="146"/>
      <c r="D404" s="146" t="s">
        <v>1088</v>
      </c>
      <c r="E404" s="80" t="s">
        <v>2190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390"/>
      <c r="B405" s="393"/>
      <c r="C405" s="146"/>
      <c r="D405" s="146" t="s">
        <v>1089</v>
      </c>
      <c r="E405" s="80" t="s">
        <v>2191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390"/>
      <c r="B406" s="393"/>
      <c r="C406" s="148" t="s">
        <v>2170</v>
      </c>
      <c r="D406" s="148"/>
      <c r="E406" s="90" t="s">
        <v>2192</v>
      </c>
      <c r="F406" s="354" t="e">
        <f>+VLOOKUP($E406,Final_nrj!$1:$1048576,F$2,FALSE)</f>
        <v>#N/A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390"/>
      <c r="B407" s="393"/>
      <c r="C407" s="146"/>
      <c r="D407" s="146" t="s">
        <v>1090</v>
      </c>
      <c r="E407" s="80" t="s">
        <v>2193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390"/>
      <c r="B408" s="393"/>
      <c r="C408" s="146"/>
      <c r="D408" s="146" t="s">
        <v>1086</v>
      </c>
      <c r="E408" s="80" t="s">
        <v>2194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390"/>
      <c r="B409" s="393"/>
      <c r="C409" s="146"/>
      <c r="D409" s="146" t="s">
        <v>1087</v>
      </c>
      <c r="E409" s="80" t="s">
        <v>2195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390"/>
      <c r="B410" s="393"/>
      <c r="C410" s="148" t="s">
        <v>2182</v>
      </c>
      <c r="D410" s="148"/>
      <c r="E410" s="90" t="s">
        <v>1098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390"/>
      <c r="B411" s="393"/>
      <c r="C411" s="146"/>
      <c r="D411" s="146" t="s">
        <v>1084</v>
      </c>
      <c r="E411" s="80" t="s">
        <v>2136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390"/>
      <c r="B412" s="393"/>
      <c r="C412" s="146"/>
      <c r="D412" s="146" t="s">
        <v>1090</v>
      </c>
      <c r="E412" s="80" t="s">
        <v>2137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390"/>
      <c r="B413" s="393"/>
      <c r="C413" s="146"/>
      <c r="D413" s="146" t="s">
        <v>1085</v>
      </c>
      <c r="E413" s="80" t="s">
        <v>2138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390"/>
      <c r="B414" s="393"/>
      <c r="C414" s="146"/>
      <c r="D414" s="146" t="s">
        <v>1086</v>
      </c>
      <c r="E414" s="80" t="s">
        <v>2139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390"/>
      <c r="B415" s="393"/>
      <c r="C415" s="146"/>
      <c r="D415" s="146" t="s">
        <v>1087</v>
      </c>
      <c r="E415" s="80" t="s">
        <v>2140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390"/>
      <c r="B416" s="393"/>
      <c r="C416" s="146"/>
      <c r="D416" s="146" t="s">
        <v>1088</v>
      </c>
      <c r="E416" s="80" t="s">
        <v>2141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390"/>
      <c r="B417" s="393"/>
      <c r="C417" s="146"/>
      <c r="D417" s="146" t="s">
        <v>1089</v>
      </c>
      <c r="E417" s="80" t="s">
        <v>2142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390"/>
      <c r="B418" s="393"/>
      <c r="C418" s="146"/>
      <c r="D418" s="146" t="s">
        <v>1091</v>
      </c>
      <c r="E418" s="80" t="s">
        <v>2143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390"/>
      <c r="B419" s="393"/>
      <c r="C419" s="148" t="s">
        <v>1096</v>
      </c>
      <c r="D419" s="148"/>
      <c r="E419" s="90" t="s">
        <v>1099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390"/>
      <c r="B420" s="393"/>
      <c r="C420" s="146"/>
      <c r="D420" s="146" t="s">
        <v>1084</v>
      </c>
      <c r="E420" s="80" t="s">
        <v>2144</v>
      </c>
      <c r="F420" s="355" t="e">
        <f>+VLOOKUP($E420,Final_nrj!$1:$1048576,F$2,FALSE)</f>
        <v>#N/A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390"/>
      <c r="B421" s="393"/>
      <c r="C421" s="146"/>
      <c r="D421" s="146" t="s">
        <v>1090</v>
      </c>
      <c r="E421" s="80" t="s">
        <v>2145</v>
      </c>
      <c r="F421" s="355" t="e">
        <f>+VLOOKUP($E421,Final_nrj!$1:$1048576,F$2,FALSE)</f>
        <v>#N/A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390"/>
      <c r="B422" s="393"/>
      <c r="C422" s="146"/>
      <c r="D422" s="146" t="s">
        <v>1085</v>
      </c>
      <c r="E422" s="80" t="s">
        <v>2146</v>
      </c>
      <c r="F422" s="355" t="e">
        <f>+VLOOKUP($E422,Final_nrj!$1:$1048576,F$2,FALSE)</f>
        <v>#N/A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390"/>
      <c r="B423" s="393"/>
      <c r="C423" s="146"/>
      <c r="D423" s="146" t="s">
        <v>1086</v>
      </c>
      <c r="E423" s="80" t="s">
        <v>2147</v>
      </c>
      <c r="F423" s="355" t="e">
        <f>+VLOOKUP($E423,Final_nrj!$1:$1048576,F$2,FALSE)</f>
        <v>#N/A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390"/>
      <c r="B424" s="393"/>
      <c r="C424" s="146"/>
      <c r="D424" s="146" t="s">
        <v>1087</v>
      </c>
      <c r="E424" s="80" t="s">
        <v>2148</v>
      </c>
      <c r="F424" s="355" t="e">
        <f>+VLOOKUP($E424,Final_nrj!$1:$1048576,F$2,FALSE)</f>
        <v>#N/A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390"/>
      <c r="B425" s="393"/>
      <c r="C425" s="146"/>
      <c r="D425" s="146" t="s">
        <v>1088</v>
      </c>
      <c r="E425" s="80" t="s">
        <v>2149</v>
      </c>
      <c r="F425" s="355" t="e">
        <f>+VLOOKUP($E425,Final_nrj!$1:$1048576,F$2,FALSE)</f>
        <v>#N/A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390"/>
      <c r="B426" s="393"/>
      <c r="C426" s="146"/>
      <c r="D426" s="146" t="s">
        <v>1089</v>
      </c>
      <c r="E426" s="80" t="s">
        <v>2150</v>
      </c>
      <c r="F426" s="355" t="e">
        <f>+VLOOKUP($E426,Final_nrj!$1:$1048576,F$2,FALSE)</f>
        <v>#N/A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390"/>
      <c r="B427" s="393"/>
      <c r="C427" s="146"/>
      <c r="D427" s="146" t="s">
        <v>1091</v>
      </c>
      <c r="E427" s="80" t="s">
        <v>2151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390"/>
      <c r="B428" s="393"/>
      <c r="C428" s="148" t="s">
        <v>1097</v>
      </c>
      <c r="D428" s="148"/>
      <c r="E428" s="90" t="s">
        <v>1100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390"/>
      <c r="B429" s="393"/>
      <c r="C429" s="146"/>
      <c r="D429" s="146" t="s">
        <v>1084</v>
      </c>
      <c r="E429" s="80" t="s">
        <v>2152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390"/>
      <c r="B430" s="393"/>
      <c r="C430" s="146"/>
      <c r="D430" s="146" t="s">
        <v>1090</v>
      </c>
      <c r="E430" s="80" t="s">
        <v>2153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390"/>
      <c r="B431" s="393"/>
      <c r="C431" s="146"/>
      <c r="D431" s="146" t="s">
        <v>1085</v>
      </c>
      <c r="E431" s="80" t="s">
        <v>2154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390"/>
      <c r="B432" s="393"/>
      <c r="C432" s="146"/>
      <c r="D432" s="146" t="s">
        <v>1086</v>
      </c>
      <c r="E432" s="80" t="s">
        <v>2155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390"/>
      <c r="B433" s="393"/>
      <c r="C433" s="146"/>
      <c r="D433" s="146" t="s">
        <v>1087</v>
      </c>
      <c r="E433" s="80" t="s">
        <v>2156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390"/>
      <c r="B434" s="393"/>
      <c r="C434" s="146"/>
      <c r="D434" s="146" t="s">
        <v>1088</v>
      </c>
      <c r="E434" s="80" t="s">
        <v>2157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390"/>
      <c r="B435" s="393"/>
      <c r="C435" s="146"/>
      <c r="D435" s="146" t="s">
        <v>1089</v>
      </c>
      <c r="E435" s="80" t="s">
        <v>2158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390"/>
      <c r="B436" s="393"/>
      <c r="C436" s="146"/>
      <c r="D436" s="146" t="s">
        <v>1091</v>
      </c>
      <c r="E436" s="80" t="s">
        <v>2159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390"/>
      <c r="B437" s="393"/>
      <c r="C437" s="148" t="s">
        <v>820</v>
      </c>
      <c r="D437" s="148"/>
      <c r="E437" s="90" t="s">
        <v>1101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390"/>
      <c r="B438" s="393"/>
      <c r="C438" s="146"/>
      <c r="D438" s="146" t="s">
        <v>1084</v>
      </c>
      <c r="E438" s="80" t="s">
        <v>2160</v>
      </c>
      <c r="F438" s="355" t="e">
        <f>+VLOOKUP($E438,Final_nrj!$1:$1048576,F$2,FALSE)</f>
        <v>#N/A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390"/>
      <c r="B439" s="393"/>
      <c r="C439" s="146"/>
      <c r="D439" s="146" t="s">
        <v>1090</v>
      </c>
      <c r="E439" s="80" t="s">
        <v>2161</v>
      </c>
      <c r="F439" s="355" t="e">
        <f>+VLOOKUP($E439,Final_nrj!$1:$1048576,F$2,FALSE)</f>
        <v>#N/A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390"/>
      <c r="B440" s="393"/>
      <c r="C440" s="146"/>
      <c r="D440" s="146" t="s">
        <v>1085</v>
      </c>
      <c r="E440" s="80" t="s">
        <v>2162</v>
      </c>
      <c r="F440" s="355" t="e">
        <f>+VLOOKUP($E440,Final_nrj!$1:$1048576,F$2,FALSE)</f>
        <v>#N/A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390"/>
      <c r="B441" s="393"/>
      <c r="C441" s="146"/>
      <c r="D441" s="146" t="s">
        <v>1086</v>
      </c>
      <c r="E441" s="80" t="s">
        <v>2163</v>
      </c>
      <c r="F441" s="355" t="e">
        <f>+VLOOKUP($E441,Final_nrj!$1:$1048576,F$2,FALSE)</f>
        <v>#N/A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390"/>
      <c r="B442" s="393"/>
      <c r="C442" s="146"/>
      <c r="D442" s="146" t="s">
        <v>1087</v>
      </c>
      <c r="E442" s="80" t="s">
        <v>2164</v>
      </c>
      <c r="F442" s="355" t="e">
        <f>+VLOOKUP($E442,Final_nrj!$1:$1048576,F$2,FALSE)</f>
        <v>#N/A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390"/>
      <c r="B443" s="393"/>
      <c r="C443" s="146"/>
      <c r="D443" s="146" t="s">
        <v>1088</v>
      </c>
      <c r="E443" s="80" t="s">
        <v>2165</v>
      </c>
      <c r="F443" s="355" t="e">
        <f>+VLOOKUP($E443,Final_nrj!$1:$1048576,F$2,FALSE)</f>
        <v>#N/A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390"/>
      <c r="B444" s="393"/>
      <c r="C444" s="146"/>
      <c r="D444" s="146" t="s">
        <v>1089</v>
      </c>
      <c r="E444" s="80" t="s">
        <v>2166</v>
      </c>
      <c r="F444" s="355" t="e">
        <f>+VLOOKUP($E444,Final_nrj!$1:$1048576,F$2,FALSE)</f>
        <v>#N/A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390"/>
      <c r="B445" s="393"/>
      <c r="C445" s="146"/>
      <c r="D445" s="146" t="s">
        <v>1091</v>
      </c>
      <c r="E445" s="80" t="s">
        <v>2167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82" t="s">
        <v>1028</v>
      </c>
      <c r="B446" s="384" t="s">
        <v>1029</v>
      </c>
      <c r="C446" s="169" t="s">
        <v>1103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82"/>
      <c r="B447" s="384"/>
      <c r="C447" s="169" t="s">
        <v>1104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82"/>
      <c r="B448" s="384"/>
      <c r="C448" s="131"/>
      <c r="D448" s="131" t="s">
        <v>624</v>
      </c>
      <c r="E448" s="53" t="s">
        <v>1110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82"/>
      <c r="B449" s="384"/>
      <c r="C449" s="131"/>
      <c r="D449" s="131" t="s">
        <v>625</v>
      </c>
      <c r="E449" s="53" t="s">
        <v>1111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82"/>
      <c r="B450" s="384"/>
      <c r="C450" s="131"/>
      <c r="D450" s="131" t="s">
        <v>626</v>
      </c>
      <c r="E450" s="53" t="s">
        <v>1112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82"/>
      <c r="B451" s="384"/>
      <c r="C451" s="131"/>
      <c r="D451" s="131" t="s">
        <v>627</v>
      </c>
      <c r="E451" s="53" t="s">
        <v>1113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82"/>
      <c r="B452" s="384"/>
      <c r="C452" s="131"/>
      <c r="D452" s="131" t="s">
        <v>628</v>
      </c>
      <c r="E452" s="53" t="s">
        <v>1114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82"/>
      <c r="B453" s="384"/>
      <c r="C453" s="131"/>
      <c r="D453" s="131" t="s">
        <v>629</v>
      </c>
      <c r="E453" s="53" t="s">
        <v>1115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82"/>
      <c r="B454" s="384"/>
      <c r="C454" s="131"/>
      <c r="D454" s="131" t="s">
        <v>630</v>
      </c>
      <c r="E454" s="53" t="s">
        <v>1116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82"/>
      <c r="B455" s="384"/>
      <c r="C455" s="131"/>
      <c r="D455" s="131" t="s">
        <v>631</v>
      </c>
      <c r="E455" s="53" t="s">
        <v>1117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82"/>
      <c r="B456" s="384"/>
      <c r="C456" s="131"/>
      <c r="D456" s="131" t="s">
        <v>632</v>
      </c>
      <c r="E456" s="53" t="s">
        <v>1118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82"/>
      <c r="B457" s="384"/>
      <c r="C457" s="131"/>
      <c r="D457" s="131" t="s">
        <v>633</v>
      </c>
      <c r="E457" s="53" t="s">
        <v>1119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82"/>
      <c r="B458" s="384"/>
      <c r="C458" s="131"/>
      <c r="D458" s="131" t="s">
        <v>634</v>
      </c>
      <c r="E458" s="53" t="s">
        <v>1120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82"/>
      <c r="B459" s="384"/>
      <c r="C459" s="131"/>
      <c r="D459" s="131" t="s">
        <v>635</v>
      </c>
      <c r="E459" s="53" t="s">
        <v>1121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82"/>
      <c r="B460" s="384"/>
      <c r="C460" s="131"/>
      <c r="D460" s="131" t="s">
        <v>636</v>
      </c>
      <c r="E460" s="53" t="s">
        <v>1122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82"/>
      <c r="B461" s="384"/>
      <c r="C461" s="131"/>
      <c r="D461" s="131" t="s">
        <v>637</v>
      </c>
      <c r="E461" s="53" t="s">
        <v>1123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82"/>
      <c r="B462" s="384"/>
      <c r="C462" s="131"/>
      <c r="D462" s="131" t="s">
        <v>638</v>
      </c>
      <c r="E462" s="53" t="s">
        <v>1124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82"/>
      <c r="B463" s="384"/>
      <c r="C463" s="131"/>
      <c r="D463" s="131" t="s">
        <v>639</v>
      </c>
      <c r="E463" s="53" t="s">
        <v>1125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82"/>
      <c r="B464" s="384"/>
      <c r="C464" s="131"/>
      <c r="D464" s="131" t="s">
        <v>640</v>
      </c>
      <c r="E464" s="53" t="s">
        <v>1126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82"/>
      <c r="B465" s="384"/>
      <c r="C465" s="131"/>
      <c r="D465" s="131" t="s">
        <v>641</v>
      </c>
      <c r="E465" s="53" t="s">
        <v>1127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82"/>
      <c r="B466" s="384"/>
      <c r="C466" s="131"/>
      <c r="D466" s="131" t="s">
        <v>642</v>
      </c>
      <c r="E466" s="53" t="s">
        <v>1128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82"/>
      <c r="B467" s="384"/>
      <c r="C467" s="131"/>
      <c r="D467" s="131" t="s">
        <v>530</v>
      </c>
      <c r="E467" s="53" t="s">
        <v>1129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82"/>
      <c r="B468" s="384"/>
      <c r="C468" s="131"/>
      <c r="D468" s="131" t="s">
        <v>531</v>
      </c>
      <c r="E468" s="53" t="s">
        <v>1130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82"/>
      <c r="B469" s="384"/>
      <c r="C469" s="131"/>
      <c r="D469" s="131" t="s">
        <v>532</v>
      </c>
      <c r="E469" s="53" t="s">
        <v>1131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82"/>
      <c r="B470" s="384"/>
      <c r="C470" s="131"/>
      <c r="D470" s="131" t="s">
        <v>533</v>
      </c>
      <c r="E470" s="53" t="s">
        <v>1132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82"/>
      <c r="B471" s="384"/>
      <c r="C471" s="131"/>
      <c r="D471" s="131" t="s">
        <v>534</v>
      </c>
      <c r="E471" s="53" t="s">
        <v>1133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82"/>
      <c r="B472" s="384"/>
      <c r="C472" s="131"/>
      <c r="D472" s="131" t="s">
        <v>535</v>
      </c>
      <c r="E472" s="53" t="s">
        <v>1134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82"/>
      <c r="B473" s="384"/>
      <c r="C473" s="131"/>
      <c r="D473" s="131" t="s">
        <v>536</v>
      </c>
      <c r="E473" s="53" t="s">
        <v>1135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82"/>
      <c r="B474" s="384"/>
      <c r="C474" s="131"/>
      <c r="D474" s="131" t="s">
        <v>537</v>
      </c>
      <c r="E474" s="53" t="s">
        <v>1136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82"/>
      <c r="B475" s="384"/>
      <c r="C475" s="131"/>
      <c r="D475" s="131" t="s">
        <v>538</v>
      </c>
      <c r="E475" s="53" t="s">
        <v>1137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82"/>
      <c r="B476" s="384"/>
      <c r="C476" s="169" t="s">
        <v>1105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82"/>
      <c r="B477" s="384"/>
      <c r="C477" s="131"/>
      <c r="D477" s="131" t="s">
        <v>624</v>
      </c>
      <c r="E477" s="53" t="s">
        <v>1138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82"/>
      <c r="B478" s="384"/>
      <c r="C478" s="131"/>
      <c r="D478" s="131" t="s">
        <v>625</v>
      </c>
      <c r="E478" s="53" t="s">
        <v>1139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82"/>
      <c r="B479" s="384"/>
      <c r="C479" s="131"/>
      <c r="D479" s="131" t="s">
        <v>626</v>
      </c>
      <c r="E479" s="53" t="s">
        <v>1140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82"/>
      <c r="B480" s="384"/>
      <c r="C480" s="131"/>
      <c r="D480" s="131" t="s">
        <v>627</v>
      </c>
      <c r="E480" s="53" t="s">
        <v>1141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82"/>
      <c r="B481" s="384"/>
      <c r="C481" s="131"/>
      <c r="D481" s="131" t="s">
        <v>628</v>
      </c>
      <c r="E481" s="53" t="s">
        <v>1142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82"/>
      <c r="B482" s="384"/>
      <c r="C482" s="131"/>
      <c r="D482" s="131" t="s">
        <v>629</v>
      </c>
      <c r="E482" s="53" t="s">
        <v>1143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82"/>
      <c r="B483" s="384"/>
      <c r="C483" s="131"/>
      <c r="D483" s="131" t="s">
        <v>630</v>
      </c>
      <c r="E483" s="53" t="s">
        <v>1144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82"/>
      <c r="B484" s="384"/>
      <c r="C484" s="131"/>
      <c r="D484" s="131" t="s">
        <v>631</v>
      </c>
      <c r="E484" s="53" t="s">
        <v>1145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82"/>
      <c r="B485" s="384"/>
      <c r="C485" s="131"/>
      <c r="D485" s="131" t="s">
        <v>632</v>
      </c>
      <c r="E485" s="53" t="s">
        <v>1146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82"/>
      <c r="B486" s="384"/>
      <c r="C486" s="131"/>
      <c r="D486" s="131" t="s">
        <v>633</v>
      </c>
      <c r="E486" s="53" t="s">
        <v>1147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82"/>
      <c r="B487" s="384"/>
      <c r="C487" s="131"/>
      <c r="D487" s="131" t="s">
        <v>634</v>
      </c>
      <c r="E487" s="53" t="s">
        <v>1148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82"/>
      <c r="B488" s="384"/>
      <c r="C488" s="131"/>
      <c r="D488" s="131" t="s">
        <v>635</v>
      </c>
      <c r="E488" s="53" t="s">
        <v>1149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82"/>
      <c r="B489" s="384"/>
      <c r="C489" s="131"/>
      <c r="D489" s="131" t="s">
        <v>636</v>
      </c>
      <c r="E489" s="53" t="s">
        <v>1150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82"/>
      <c r="B490" s="384"/>
      <c r="C490" s="131"/>
      <c r="D490" s="131" t="s">
        <v>637</v>
      </c>
      <c r="E490" s="53" t="s">
        <v>1151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82"/>
      <c r="B491" s="384"/>
      <c r="C491" s="131"/>
      <c r="D491" s="131" t="s">
        <v>638</v>
      </c>
      <c r="E491" s="53" t="s">
        <v>1152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82"/>
      <c r="B492" s="384"/>
      <c r="C492" s="131"/>
      <c r="D492" s="131" t="s">
        <v>639</v>
      </c>
      <c r="E492" s="53" t="s">
        <v>1153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82"/>
      <c r="B493" s="384"/>
      <c r="C493" s="131"/>
      <c r="D493" s="131" t="s">
        <v>640</v>
      </c>
      <c r="E493" s="53" t="s">
        <v>1154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82"/>
      <c r="B494" s="384"/>
      <c r="C494" s="131"/>
      <c r="D494" s="131" t="s">
        <v>641</v>
      </c>
      <c r="E494" s="53" t="s">
        <v>1155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82"/>
      <c r="B495" s="384"/>
      <c r="C495" s="131"/>
      <c r="D495" s="131" t="s">
        <v>642</v>
      </c>
      <c r="E495" s="53" t="s">
        <v>1156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82"/>
      <c r="B496" s="384"/>
      <c r="C496" s="131"/>
      <c r="D496" s="131" t="s">
        <v>530</v>
      </c>
      <c r="E496" s="53" t="s">
        <v>1157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82"/>
      <c r="B497" s="384"/>
      <c r="C497" s="131"/>
      <c r="D497" s="131" t="s">
        <v>531</v>
      </c>
      <c r="E497" s="53" t="s">
        <v>1158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82"/>
      <c r="B498" s="384"/>
      <c r="C498" s="131"/>
      <c r="D498" s="131" t="s">
        <v>532</v>
      </c>
      <c r="E498" s="53" t="s">
        <v>1159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82"/>
      <c r="B499" s="384"/>
      <c r="C499" s="131"/>
      <c r="D499" s="131" t="s">
        <v>533</v>
      </c>
      <c r="E499" s="53" t="s">
        <v>1160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82"/>
      <c r="B500" s="384"/>
      <c r="C500" s="131"/>
      <c r="D500" s="131" t="s">
        <v>534</v>
      </c>
      <c r="E500" s="53" t="s">
        <v>1161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82"/>
      <c r="B501" s="384"/>
      <c r="C501" s="131"/>
      <c r="D501" s="131" t="s">
        <v>535</v>
      </c>
      <c r="E501" s="53" t="s">
        <v>1162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82"/>
      <c r="B502" s="384"/>
      <c r="C502" s="131"/>
      <c r="D502" s="131" t="s">
        <v>536</v>
      </c>
      <c r="E502" s="53" t="s">
        <v>1163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82"/>
      <c r="B503" s="384"/>
      <c r="C503" s="131"/>
      <c r="D503" s="131" t="s">
        <v>537</v>
      </c>
      <c r="E503" s="53" t="s">
        <v>1164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82"/>
      <c r="B504" s="384"/>
      <c r="C504" s="131"/>
      <c r="D504" s="131" t="s">
        <v>538</v>
      </c>
      <c r="E504" s="53" t="s">
        <v>1165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82"/>
      <c r="B505" s="384"/>
      <c r="C505" s="169" t="s">
        <v>1106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82"/>
      <c r="B506" s="384"/>
      <c r="C506" s="131"/>
      <c r="D506" s="131" t="s">
        <v>624</v>
      </c>
      <c r="E506" s="53" t="s">
        <v>1166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82"/>
      <c r="B507" s="384"/>
      <c r="C507" s="131"/>
      <c r="D507" s="131" t="s">
        <v>625</v>
      </c>
      <c r="E507" s="53" t="s">
        <v>1167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82"/>
      <c r="B508" s="384"/>
      <c r="C508" s="131"/>
      <c r="D508" s="131" t="s">
        <v>626</v>
      </c>
      <c r="E508" s="53" t="s">
        <v>1168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82"/>
      <c r="B509" s="384"/>
      <c r="C509" s="131"/>
      <c r="D509" s="131" t="s">
        <v>627</v>
      </c>
      <c r="E509" s="53" t="s">
        <v>1169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82"/>
      <c r="B510" s="384"/>
      <c r="C510" s="131"/>
      <c r="D510" s="131" t="s">
        <v>628</v>
      </c>
      <c r="E510" s="53" t="s">
        <v>1170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82"/>
      <c r="B511" s="384"/>
      <c r="C511" s="131"/>
      <c r="D511" s="131" t="s">
        <v>629</v>
      </c>
      <c r="E511" s="53" t="s">
        <v>1171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82"/>
      <c r="B512" s="384"/>
      <c r="C512" s="131"/>
      <c r="D512" s="131" t="s">
        <v>630</v>
      </c>
      <c r="E512" s="53" t="s">
        <v>1172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82"/>
      <c r="B513" s="384"/>
      <c r="C513" s="131"/>
      <c r="D513" s="131" t="s">
        <v>631</v>
      </c>
      <c r="E513" s="53" t="s">
        <v>1173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82"/>
      <c r="B514" s="384"/>
      <c r="C514" s="131"/>
      <c r="D514" s="131" t="s">
        <v>632</v>
      </c>
      <c r="E514" s="53" t="s">
        <v>1174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82"/>
      <c r="B515" s="384"/>
      <c r="C515" s="131"/>
      <c r="D515" s="131" t="s">
        <v>633</v>
      </c>
      <c r="E515" s="53" t="s">
        <v>1175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82"/>
      <c r="B516" s="384"/>
      <c r="C516" s="131"/>
      <c r="D516" s="131" t="s">
        <v>634</v>
      </c>
      <c r="E516" s="53" t="s">
        <v>1176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82"/>
      <c r="B517" s="384"/>
      <c r="C517" s="131"/>
      <c r="D517" s="131" t="s">
        <v>635</v>
      </c>
      <c r="E517" s="53" t="s">
        <v>1177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82"/>
      <c r="B518" s="384"/>
      <c r="C518" s="131"/>
      <c r="D518" s="131" t="s">
        <v>636</v>
      </c>
      <c r="E518" s="53" t="s">
        <v>1178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82"/>
      <c r="B519" s="384"/>
      <c r="C519" s="131"/>
      <c r="D519" s="131" t="s">
        <v>637</v>
      </c>
      <c r="E519" s="53" t="s">
        <v>1179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82"/>
      <c r="B520" s="384"/>
      <c r="C520" s="131"/>
      <c r="D520" s="131" t="s">
        <v>638</v>
      </c>
      <c r="E520" s="53" t="s">
        <v>1180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82"/>
      <c r="B521" s="384"/>
      <c r="C521" s="131"/>
      <c r="D521" s="131" t="s">
        <v>639</v>
      </c>
      <c r="E521" s="53" t="s">
        <v>1181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82"/>
      <c r="B522" s="384"/>
      <c r="C522" s="131"/>
      <c r="D522" s="131" t="s">
        <v>640</v>
      </c>
      <c r="E522" s="53" t="s">
        <v>1182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82"/>
      <c r="B523" s="384"/>
      <c r="C523" s="131"/>
      <c r="D523" s="131" t="s">
        <v>641</v>
      </c>
      <c r="E523" s="53" t="s">
        <v>1183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82"/>
      <c r="B524" s="384"/>
      <c r="C524" s="131"/>
      <c r="D524" s="131" t="s">
        <v>642</v>
      </c>
      <c r="E524" s="53" t="s">
        <v>1184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82"/>
      <c r="B525" s="384"/>
      <c r="C525" s="131"/>
      <c r="D525" s="131" t="s">
        <v>530</v>
      </c>
      <c r="E525" s="53" t="s">
        <v>1185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82"/>
      <c r="B526" s="384"/>
      <c r="C526" s="131"/>
      <c r="D526" s="131" t="s">
        <v>531</v>
      </c>
      <c r="E526" s="53" t="s">
        <v>1186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82"/>
      <c r="B527" s="384"/>
      <c r="C527" s="131"/>
      <c r="D527" s="131" t="s">
        <v>532</v>
      </c>
      <c r="E527" s="53" t="s">
        <v>1187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82"/>
      <c r="B528" s="384"/>
      <c r="C528" s="131"/>
      <c r="D528" s="131" t="s">
        <v>533</v>
      </c>
      <c r="E528" s="53" t="s">
        <v>1188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82"/>
      <c r="B529" s="384"/>
      <c r="C529" s="131"/>
      <c r="D529" s="131" t="s">
        <v>534</v>
      </c>
      <c r="E529" s="53" t="s">
        <v>1189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82"/>
      <c r="B530" s="384"/>
      <c r="C530" s="131"/>
      <c r="D530" s="131" t="s">
        <v>535</v>
      </c>
      <c r="E530" s="53" t="s">
        <v>1190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82"/>
      <c r="B531" s="384"/>
      <c r="C531" s="131"/>
      <c r="D531" s="131" t="s">
        <v>536</v>
      </c>
      <c r="E531" s="53" t="s">
        <v>1191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82"/>
      <c r="B532" s="384"/>
      <c r="C532" s="131"/>
      <c r="D532" s="131" t="s">
        <v>537</v>
      </c>
      <c r="E532" s="53" t="s">
        <v>1192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82"/>
      <c r="B533" s="384"/>
      <c r="C533" s="131"/>
      <c r="D533" s="131" t="s">
        <v>538</v>
      </c>
      <c r="E533" s="53" t="s">
        <v>1193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82"/>
      <c r="B534" s="384"/>
      <c r="C534" s="169" t="s">
        <v>1107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82"/>
      <c r="B535" s="384"/>
      <c r="C535" s="131"/>
      <c r="D535" s="131" t="s">
        <v>624</v>
      </c>
      <c r="E535" s="53" t="s">
        <v>1194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82"/>
      <c r="B536" s="384"/>
      <c r="C536" s="131"/>
      <c r="D536" s="131" t="s">
        <v>625</v>
      </c>
      <c r="E536" s="53" t="s">
        <v>1195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82"/>
      <c r="B537" s="384"/>
      <c r="C537" s="131"/>
      <c r="D537" s="131" t="s">
        <v>626</v>
      </c>
      <c r="E537" s="53" t="s">
        <v>1196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82"/>
      <c r="B538" s="384"/>
      <c r="C538" s="131"/>
      <c r="D538" s="131" t="s">
        <v>627</v>
      </c>
      <c r="E538" s="53" t="s">
        <v>1197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82"/>
      <c r="B539" s="384"/>
      <c r="C539" s="131"/>
      <c r="D539" s="131" t="s">
        <v>628</v>
      </c>
      <c r="E539" s="53" t="s">
        <v>1198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82"/>
      <c r="B540" s="384"/>
      <c r="C540" s="131"/>
      <c r="D540" s="131" t="s">
        <v>629</v>
      </c>
      <c r="E540" s="53" t="s">
        <v>1199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82"/>
      <c r="B541" s="384"/>
      <c r="C541" s="131"/>
      <c r="D541" s="131" t="s">
        <v>630</v>
      </c>
      <c r="E541" s="53" t="s">
        <v>1200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82"/>
      <c r="B542" s="384"/>
      <c r="C542" s="131"/>
      <c r="D542" s="131" t="s">
        <v>631</v>
      </c>
      <c r="E542" s="53" t="s">
        <v>1201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82"/>
      <c r="B543" s="384"/>
      <c r="C543" s="131"/>
      <c r="D543" s="131" t="s">
        <v>632</v>
      </c>
      <c r="E543" s="53" t="s">
        <v>1202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82"/>
      <c r="B544" s="384"/>
      <c r="C544" s="131"/>
      <c r="D544" s="131" t="s">
        <v>633</v>
      </c>
      <c r="E544" s="53" t="s">
        <v>1203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82"/>
      <c r="B545" s="384"/>
      <c r="C545" s="131"/>
      <c r="D545" s="131" t="s">
        <v>634</v>
      </c>
      <c r="E545" s="53" t="s">
        <v>1204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82"/>
      <c r="B546" s="384"/>
      <c r="C546" s="131"/>
      <c r="D546" s="131" t="s">
        <v>635</v>
      </c>
      <c r="E546" s="53" t="s">
        <v>1205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82"/>
      <c r="B547" s="384"/>
      <c r="C547" s="131"/>
      <c r="D547" s="131" t="s">
        <v>636</v>
      </c>
      <c r="E547" s="53" t="s">
        <v>1206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82"/>
      <c r="B548" s="384"/>
      <c r="C548" s="131"/>
      <c r="D548" s="131" t="s">
        <v>637</v>
      </c>
      <c r="E548" s="53" t="s">
        <v>1207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82"/>
      <c r="B549" s="384"/>
      <c r="C549" s="131"/>
      <c r="D549" s="131" t="s">
        <v>638</v>
      </c>
      <c r="E549" s="53" t="s">
        <v>1208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82"/>
      <c r="B550" s="384"/>
      <c r="C550" s="131"/>
      <c r="D550" s="131" t="s">
        <v>639</v>
      </c>
      <c r="E550" s="53" t="s">
        <v>1209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82"/>
      <c r="B551" s="384"/>
      <c r="C551" s="131"/>
      <c r="D551" s="131" t="s">
        <v>640</v>
      </c>
      <c r="E551" s="53" t="s">
        <v>1210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82"/>
      <c r="B552" s="384"/>
      <c r="C552" s="131"/>
      <c r="D552" s="131" t="s">
        <v>641</v>
      </c>
      <c r="E552" s="53" t="s">
        <v>1211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82"/>
      <c r="B553" s="384"/>
      <c r="C553" s="131"/>
      <c r="D553" s="131" t="s">
        <v>642</v>
      </c>
      <c r="E553" s="53" t="s">
        <v>1212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82"/>
      <c r="B554" s="384"/>
      <c r="C554" s="131"/>
      <c r="D554" s="131" t="s">
        <v>530</v>
      </c>
      <c r="E554" s="53" t="s">
        <v>1213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82"/>
      <c r="B555" s="384"/>
      <c r="C555" s="131"/>
      <c r="D555" s="131" t="s">
        <v>531</v>
      </c>
      <c r="E555" s="53" t="s">
        <v>1214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82"/>
      <c r="B556" s="384"/>
      <c r="C556" s="131"/>
      <c r="D556" s="131" t="s">
        <v>532</v>
      </c>
      <c r="E556" s="53" t="s">
        <v>1215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82"/>
      <c r="B557" s="384"/>
      <c r="C557" s="131"/>
      <c r="D557" s="131" t="s">
        <v>533</v>
      </c>
      <c r="E557" s="53" t="s">
        <v>1216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82"/>
      <c r="B558" s="384"/>
      <c r="C558" s="131"/>
      <c r="D558" s="131" t="s">
        <v>534</v>
      </c>
      <c r="E558" s="53" t="s">
        <v>1217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82"/>
      <c r="B559" s="384"/>
      <c r="C559" s="131"/>
      <c r="D559" s="131" t="s">
        <v>535</v>
      </c>
      <c r="E559" s="53" t="s">
        <v>1218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82"/>
      <c r="B560" s="384"/>
      <c r="C560" s="131"/>
      <c r="D560" s="131" t="s">
        <v>536</v>
      </c>
      <c r="E560" s="53" t="s">
        <v>1219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82"/>
      <c r="B561" s="384"/>
      <c r="C561" s="131"/>
      <c r="D561" s="131" t="s">
        <v>537</v>
      </c>
      <c r="E561" s="53" t="s">
        <v>1220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82"/>
      <c r="B562" s="384"/>
      <c r="C562" s="131"/>
      <c r="D562" s="131" t="s">
        <v>538</v>
      </c>
      <c r="E562" s="53" t="s">
        <v>1221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82"/>
      <c r="B563" s="384"/>
      <c r="C563" s="169" t="s">
        <v>1108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82"/>
      <c r="B564" s="384"/>
      <c r="C564" s="131"/>
      <c r="D564" s="131" t="s">
        <v>624</v>
      </c>
      <c r="E564" s="53" t="s">
        <v>1222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82"/>
      <c r="B565" s="384"/>
      <c r="C565" s="131"/>
      <c r="D565" s="131" t="s">
        <v>625</v>
      </c>
      <c r="E565" s="53" t="s">
        <v>1223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82"/>
      <c r="B566" s="384"/>
      <c r="C566" s="131"/>
      <c r="D566" s="131" t="s">
        <v>626</v>
      </c>
      <c r="E566" s="53" t="s">
        <v>1224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82"/>
      <c r="B567" s="384"/>
      <c r="C567" s="131"/>
      <c r="D567" s="131" t="s">
        <v>627</v>
      </c>
      <c r="E567" s="53" t="s">
        <v>1225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82"/>
      <c r="B568" s="384"/>
      <c r="C568" s="131"/>
      <c r="D568" s="131" t="s">
        <v>628</v>
      </c>
      <c r="E568" s="53" t="s">
        <v>1226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82"/>
      <c r="B569" s="384"/>
      <c r="C569" s="131"/>
      <c r="D569" s="131" t="s">
        <v>629</v>
      </c>
      <c r="E569" s="53" t="s">
        <v>1227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82"/>
      <c r="B570" s="384"/>
      <c r="C570" s="131"/>
      <c r="D570" s="131" t="s">
        <v>630</v>
      </c>
      <c r="E570" s="53" t="s">
        <v>1228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82"/>
      <c r="B571" s="384"/>
      <c r="C571" s="131"/>
      <c r="D571" s="131" t="s">
        <v>631</v>
      </c>
      <c r="E571" s="53" t="s">
        <v>1229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82"/>
      <c r="B572" s="384"/>
      <c r="C572" s="131"/>
      <c r="D572" s="131" t="s">
        <v>632</v>
      </c>
      <c r="E572" s="53" t="s">
        <v>1230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82"/>
      <c r="B573" s="384"/>
      <c r="C573" s="131"/>
      <c r="D573" s="131" t="s">
        <v>633</v>
      </c>
      <c r="E573" s="53" t="s">
        <v>1231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82"/>
      <c r="B574" s="384"/>
      <c r="C574" s="131"/>
      <c r="D574" s="131" t="s">
        <v>634</v>
      </c>
      <c r="E574" s="53" t="s">
        <v>1232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82"/>
      <c r="B575" s="384"/>
      <c r="C575" s="131"/>
      <c r="D575" s="131" t="s">
        <v>635</v>
      </c>
      <c r="E575" s="53" t="s">
        <v>1233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82"/>
      <c r="B576" s="384"/>
      <c r="C576" s="131"/>
      <c r="D576" s="131" t="s">
        <v>636</v>
      </c>
      <c r="E576" s="53" t="s">
        <v>1234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82"/>
      <c r="B577" s="384"/>
      <c r="C577" s="131"/>
      <c r="D577" s="131" t="s">
        <v>637</v>
      </c>
      <c r="E577" s="53" t="s">
        <v>1235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82"/>
      <c r="B578" s="384"/>
      <c r="C578" s="131"/>
      <c r="D578" s="131" t="s">
        <v>638</v>
      </c>
      <c r="E578" s="53" t="s">
        <v>1236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82"/>
      <c r="B579" s="384"/>
      <c r="C579" s="131"/>
      <c r="D579" s="131" t="s">
        <v>639</v>
      </c>
      <c r="E579" s="53" t="s">
        <v>1237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82"/>
      <c r="B580" s="384"/>
      <c r="C580" s="131"/>
      <c r="D580" s="131" t="s">
        <v>640</v>
      </c>
      <c r="E580" s="53" t="s">
        <v>1238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82"/>
      <c r="B581" s="384"/>
      <c r="C581" s="131"/>
      <c r="D581" s="131" t="s">
        <v>641</v>
      </c>
      <c r="E581" s="53" t="s">
        <v>1239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82"/>
      <c r="B582" s="384"/>
      <c r="C582" s="131"/>
      <c r="D582" s="131" t="s">
        <v>642</v>
      </c>
      <c r="E582" s="53" t="s">
        <v>1240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82"/>
      <c r="B583" s="384"/>
      <c r="C583" s="131"/>
      <c r="D583" s="131" t="s">
        <v>530</v>
      </c>
      <c r="E583" s="53" t="s">
        <v>1241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82"/>
      <c r="B584" s="384"/>
      <c r="C584" s="131"/>
      <c r="D584" s="131" t="s">
        <v>531</v>
      </c>
      <c r="E584" s="53" t="s">
        <v>1242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82"/>
      <c r="B585" s="384"/>
      <c r="C585" s="131"/>
      <c r="D585" s="131" t="s">
        <v>532</v>
      </c>
      <c r="E585" s="53" t="s">
        <v>1243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82"/>
      <c r="B586" s="384"/>
      <c r="C586" s="131"/>
      <c r="D586" s="131" t="s">
        <v>533</v>
      </c>
      <c r="E586" s="53" t="s">
        <v>1244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82"/>
      <c r="B587" s="384"/>
      <c r="C587" s="131"/>
      <c r="D587" s="131" t="s">
        <v>534</v>
      </c>
      <c r="E587" s="53" t="s">
        <v>1245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82"/>
      <c r="B588" s="384"/>
      <c r="C588" s="131"/>
      <c r="D588" s="131" t="s">
        <v>535</v>
      </c>
      <c r="E588" s="53" t="s">
        <v>1246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82"/>
      <c r="B589" s="384"/>
      <c r="C589" s="131"/>
      <c r="D589" s="131" t="s">
        <v>536</v>
      </c>
      <c r="E589" s="53" t="s">
        <v>1247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82"/>
      <c r="B590" s="384"/>
      <c r="C590" s="131"/>
      <c r="D590" s="131" t="s">
        <v>537</v>
      </c>
      <c r="E590" s="53" t="s">
        <v>1248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82"/>
      <c r="B591" s="384"/>
      <c r="C591" s="131"/>
      <c r="D591" s="131" t="s">
        <v>538</v>
      </c>
      <c r="E591" s="53" t="s">
        <v>1249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82"/>
      <c r="B592" s="384"/>
      <c r="C592" s="169" t="s">
        <v>1109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82"/>
      <c r="B593" s="384"/>
      <c r="C593" s="131"/>
      <c r="D593" s="131" t="s">
        <v>624</v>
      </c>
      <c r="E593" s="53" t="s">
        <v>1250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82"/>
      <c r="B594" s="384"/>
      <c r="C594" s="131"/>
      <c r="D594" s="131" t="s">
        <v>625</v>
      </c>
      <c r="E594" s="53" t="s">
        <v>1251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82"/>
      <c r="B595" s="384"/>
      <c r="C595" s="131"/>
      <c r="D595" s="131" t="s">
        <v>626</v>
      </c>
      <c r="E595" s="53" t="s">
        <v>1252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82"/>
      <c r="B596" s="384"/>
      <c r="C596" s="131"/>
      <c r="D596" s="131" t="s">
        <v>627</v>
      </c>
      <c r="E596" s="53" t="s">
        <v>1253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82"/>
      <c r="B597" s="384"/>
      <c r="C597" s="131"/>
      <c r="D597" s="131" t="s">
        <v>628</v>
      </c>
      <c r="E597" s="53" t="s">
        <v>1254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82"/>
      <c r="B598" s="384"/>
      <c r="C598" s="131"/>
      <c r="D598" s="131" t="s">
        <v>629</v>
      </c>
      <c r="E598" s="53" t="s">
        <v>1255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82"/>
      <c r="B599" s="384"/>
      <c r="C599" s="131"/>
      <c r="D599" s="131" t="s">
        <v>630</v>
      </c>
      <c r="E599" s="53" t="s">
        <v>1256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82"/>
      <c r="B600" s="384"/>
      <c r="C600" s="131"/>
      <c r="D600" s="131" t="s">
        <v>631</v>
      </c>
      <c r="E600" s="53" t="s">
        <v>1257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82"/>
      <c r="B601" s="384"/>
      <c r="C601" s="131"/>
      <c r="D601" s="131" t="s">
        <v>632</v>
      </c>
      <c r="E601" s="53" t="s">
        <v>1258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82"/>
      <c r="B602" s="384"/>
      <c r="C602" s="131"/>
      <c r="D602" s="131" t="s">
        <v>633</v>
      </c>
      <c r="E602" s="53" t="s">
        <v>1259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82"/>
      <c r="B603" s="384"/>
      <c r="C603" s="131"/>
      <c r="D603" s="131" t="s">
        <v>634</v>
      </c>
      <c r="E603" s="53" t="s">
        <v>1260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82"/>
      <c r="B604" s="384"/>
      <c r="C604" s="131"/>
      <c r="D604" s="131" t="s">
        <v>635</v>
      </c>
      <c r="E604" s="53" t="s">
        <v>1261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82"/>
      <c r="B605" s="384"/>
      <c r="C605" s="131"/>
      <c r="D605" s="131" t="s">
        <v>636</v>
      </c>
      <c r="E605" s="53" t="s">
        <v>1262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82"/>
      <c r="B606" s="384"/>
      <c r="C606" s="131"/>
      <c r="D606" s="131" t="s">
        <v>637</v>
      </c>
      <c r="E606" s="53" t="s">
        <v>1263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82"/>
      <c r="B607" s="384"/>
      <c r="C607" s="131"/>
      <c r="D607" s="131" t="s">
        <v>638</v>
      </c>
      <c r="E607" s="53" t="s">
        <v>1264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82"/>
      <c r="B608" s="384"/>
      <c r="C608" s="131"/>
      <c r="D608" s="131" t="s">
        <v>639</v>
      </c>
      <c r="E608" s="53" t="s">
        <v>1265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82"/>
      <c r="B609" s="384"/>
      <c r="C609" s="131"/>
      <c r="D609" s="131" t="s">
        <v>640</v>
      </c>
      <c r="E609" s="53" t="s">
        <v>1266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82"/>
      <c r="B610" s="384"/>
      <c r="C610" s="131"/>
      <c r="D610" s="131" t="s">
        <v>641</v>
      </c>
      <c r="E610" s="53" t="s">
        <v>1267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82"/>
      <c r="B611" s="384"/>
      <c r="C611" s="131"/>
      <c r="D611" s="131" t="s">
        <v>642</v>
      </c>
      <c r="E611" s="53" t="s">
        <v>1268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82"/>
      <c r="B612" s="384"/>
      <c r="C612" s="131"/>
      <c r="D612" s="131" t="s">
        <v>530</v>
      </c>
      <c r="E612" s="53" t="s">
        <v>1269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82"/>
      <c r="B613" s="384"/>
      <c r="C613" s="131"/>
      <c r="D613" s="131" t="s">
        <v>531</v>
      </c>
      <c r="E613" s="53" t="s">
        <v>1270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82"/>
      <c r="B614" s="384"/>
      <c r="C614" s="131"/>
      <c r="D614" s="131" t="s">
        <v>532</v>
      </c>
      <c r="E614" s="53" t="s">
        <v>1271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82"/>
      <c r="B615" s="384"/>
      <c r="C615" s="131"/>
      <c r="D615" s="131" t="s">
        <v>533</v>
      </c>
      <c r="E615" s="53" t="s">
        <v>1272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82"/>
      <c r="B616" s="384"/>
      <c r="C616" s="131"/>
      <c r="D616" s="131" t="s">
        <v>534</v>
      </c>
      <c r="E616" s="53" t="s">
        <v>1273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82"/>
      <c r="B617" s="384"/>
      <c r="C617" s="131"/>
      <c r="D617" s="131" t="s">
        <v>535</v>
      </c>
      <c r="E617" s="53" t="s">
        <v>1274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82"/>
      <c r="B618" s="384"/>
      <c r="C618" s="131"/>
      <c r="D618" s="131" t="s">
        <v>536</v>
      </c>
      <c r="E618" s="53" t="s">
        <v>1275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82"/>
      <c r="B619" s="384"/>
      <c r="C619" s="131"/>
      <c r="D619" s="131" t="s">
        <v>537</v>
      </c>
      <c r="E619" s="53" t="s">
        <v>1276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82"/>
      <c r="B620" s="384"/>
      <c r="C620" s="170"/>
      <c r="D620" s="170" t="s">
        <v>538</v>
      </c>
      <c r="E620" s="155" t="s">
        <v>1277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82"/>
      <c r="B621" s="384"/>
      <c r="C621" s="169" t="s">
        <v>1278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82"/>
      <c r="B622" s="384"/>
      <c r="C622" s="169" t="s">
        <v>1104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82"/>
      <c r="B623" s="384"/>
      <c r="C623" s="131"/>
      <c r="D623" s="131" t="s">
        <v>624</v>
      </c>
      <c r="E623" s="53" t="s">
        <v>1279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82"/>
      <c r="B624" s="384"/>
      <c r="C624" s="131"/>
      <c r="D624" s="131" t="s">
        <v>625</v>
      </c>
      <c r="E624" s="53" t="s">
        <v>1280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82"/>
      <c r="B625" s="384"/>
      <c r="C625" s="131"/>
      <c r="D625" s="131" t="s">
        <v>626</v>
      </c>
      <c r="E625" s="53" t="s">
        <v>1281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82"/>
      <c r="B626" s="384"/>
      <c r="C626" s="131"/>
      <c r="D626" s="131" t="s">
        <v>627</v>
      </c>
      <c r="E626" s="53" t="s">
        <v>1282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82"/>
      <c r="B627" s="384"/>
      <c r="C627" s="131"/>
      <c r="D627" s="131" t="s">
        <v>628</v>
      </c>
      <c r="E627" s="53" t="s">
        <v>1283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82"/>
      <c r="B628" s="384"/>
      <c r="C628" s="131"/>
      <c r="D628" s="131" t="s">
        <v>629</v>
      </c>
      <c r="E628" s="53" t="s">
        <v>1284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82"/>
      <c r="B629" s="384"/>
      <c r="C629" s="131"/>
      <c r="D629" s="131" t="s">
        <v>630</v>
      </c>
      <c r="E629" s="53" t="s">
        <v>1285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82"/>
      <c r="B630" s="384"/>
      <c r="C630" s="131"/>
      <c r="D630" s="131" t="s">
        <v>631</v>
      </c>
      <c r="E630" s="53" t="s">
        <v>1286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82"/>
      <c r="B631" s="384"/>
      <c r="C631" s="131"/>
      <c r="D631" s="131" t="s">
        <v>632</v>
      </c>
      <c r="E631" s="53" t="s">
        <v>1287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82"/>
      <c r="B632" s="384"/>
      <c r="C632" s="131"/>
      <c r="D632" s="131" t="s">
        <v>633</v>
      </c>
      <c r="E632" s="53" t="s">
        <v>1288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82"/>
      <c r="B633" s="384"/>
      <c r="C633" s="131"/>
      <c r="D633" s="131" t="s">
        <v>634</v>
      </c>
      <c r="E633" s="53" t="s">
        <v>1289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82"/>
      <c r="B634" s="384"/>
      <c r="C634" s="131"/>
      <c r="D634" s="131" t="s">
        <v>635</v>
      </c>
      <c r="E634" s="53" t="s">
        <v>1290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82"/>
      <c r="B635" s="384"/>
      <c r="C635" s="131"/>
      <c r="D635" s="131" t="s">
        <v>636</v>
      </c>
      <c r="E635" s="53" t="s">
        <v>1291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82"/>
      <c r="B636" s="384"/>
      <c r="C636" s="131"/>
      <c r="D636" s="131" t="s">
        <v>637</v>
      </c>
      <c r="E636" s="53" t="s">
        <v>1292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82"/>
      <c r="B637" s="384"/>
      <c r="C637" s="131"/>
      <c r="D637" s="131" t="s">
        <v>638</v>
      </c>
      <c r="E637" s="53" t="s">
        <v>1293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82"/>
      <c r="B638" s="384"/>
      <c r="C638" s="131"/>
      <c r="D638" s="131" t="s">
        <v>639</v>
      </c>
      <c r="E638" s="53" t="s">
        <v>1294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82"/>
      <c r="B639" s="384"/>
      <c r="C639" s="131"/>
      <c r="D639" s="131" t="s">
        <v>640</v>
      </c>
      <c r="E639" s="53" t="s">
        <v>1295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82"/>
      <c r="B640" s="384"/>
      <c r="C640" s="131"/>
      <c r="D640" s="131" t="s">
        <v>641</v>
      </c>
      <c r="E640" s="53" t="s">
        <v>1296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82"/>
      <c r="B641" s="384"/>
      <c r="C641" s="131"/>
      <c r="D641" s="131" t="s">
        <v>642</v>
      </c>
      <c r="E641" s="53" t="s">
        <v>1297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82"/>
      <c r="B642" s="384"/>
      <c r="C642" s="131"/>
      <c r="D642" s="131" t="s">
        <v>530</v>
      </c>
      <c r="E642" s="53" t="s">
        <v>1298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82"/>
      <c r="B643" s="384"/>
      <c r="C643" s="131"/>
      <c r="D643" s="131" t="s">
        <v>531</v>
      </c>
      <c r="E643" s="53" t="s">
        <v>1299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82"/>
      <c r="B644" s="384"/>
      <c r="C644" s="131"/>
      <c r="D644" s="131" t="s">
        <v>532</v>
      </c>
      <c r="E644" s="53" t="s">
        <v>1300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82"/>
      <c r="B645" s="384"/>
      <c r="C645" s="131"/>
      <c r="D645" s="131" t="s">
        <v>533</v>
      </c>
      <c r="E645" s="53" t="s">
        <v>1301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82"/>
      <c r="B646" s="384"/>
      <c r="C646" s="131"/>
      <c r="D646" s="131" t="s">
        <v>534</v>
      </c>
      <c r="E646" s="53" t="s">
        <v>1302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82"/>
      <c r="B647" s="384"/>
      <c r="C647" s="131"/>
      <c r="D647" s="131" t="s">
        <v>535</v>
      </c>
      <c r="E647" s="53" t="s">
        <v>1303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82"/>
      <c r="B648" s="384"/>
      <c r="C648" s="131"/>
      <c r="D648" s="131" t="s">
        <v>536</v>
      </c>
      <c r="E648" s="53" t="s">
        <v>1304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82"/>
      <c r="B649" s="384"/>
      <c r="C649" s="131"/>
      <c r="D649" s="131" t="s">
        <v>537</v>
      </c>
      <c r="E649" s="53" t="s">
        <v>1305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82"/>
      <c r="B650" s="384"/>
      <c r="C650" s="131"/>
      <c r="D650" s="131" t="s">
        <v>538</v>
      </c>
      <c r="E650" s="53" t="s">
        <v>1306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82"/>
      <c r="B651" s="384"/>
      <c r="C651" s="169" t="s">
        <v>1105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82"/>
      <c r="B652" s="384"/>
      <c r="C652" s="131"/>
      <c r="D652" s="131" t="s">
        <v>624</v>
      </c>
      <c r="E652" s="53" t="s">
        <v>1307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82"/>
      <c r="B653" s="384"/>
      <c r="C653" s="131"/>
      <c r="D653" s="131" t="s">
        <v>625</v>
      </c>
      <c r="E653" s="53" t="s">
        <v>1308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82"/>
      <c r="B654" s="384"/>
      <c r="C654" s="131"/>
      <c r="D654" s="131" t="s">
        <v>626</v>
      </c>
      <c r="E654" s="53" t="s">
        <v>1309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82"/>
      <c r="B655" s="384"/>
      <c r="C655" s="131"/>
      <c r="D655" s="131" t="s">
        <v>627</v>
      </c>
      <c r="E655" s="53" t="s">
        <v>1310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82"/>
      <c r="B656" s="384"/>
      <c r="C656" s="131"/>
      <c r="D656" s="131" t="s">
        <v>628</v>
      </c>
      <c r="E656" s="53" t="s">
        <v>1311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82"/>
      <c r="B657" s="384"/>
      <c r="C657" s="131"/>
      <c r="D657" s="131" t="s">
        <v>629</v>
      </c>
      <c r="E657" s="53" t="s">
        <v>1312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82"/>
      <c r="B658" s="384"/>
      <c r="C658" s="131"/>
      <c r="D658" s="131" t="s">
        <v>630</v>
      </c>
      <c r="E658" s="53" t="s">
        <v>1313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82"/>
      <c r="B659" s="384"/>
      <c r="C659" s="131"/>
      <c r="D659" s="131" t="s">
        <v>631</v>
      </c>
      <c r="E659" s="53" t="s">
        <v>1314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82"/>
      <c r="B660" s="384"/>
      <c r="C660" s="131"/>
      <c r="D660" s="131" t="s">
        <v>632</v>
      </c>
      <c r="E660" s="53" t="s">
        <v>1315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82"/>
      <c r="B661" s="384"/>
      <c r="C661" s="131"/>
      <c r="D661" s="131" t="s">
        <v>633</v>
      </c>
      <c r="E661" s="53" t="s">
        <v>1316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82"/>
      <c r="B662" s="384"/>
      <c r="C662" s="131"/>
      <c r="D662" s="131" t="s">
        <v>634</v>
      </c>
      <c r="E662" s="53" t="s">
        <v>1317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82"/>
      <c r="B663" s="384"/>
      <c r="C663" s="131"/>
      <c r="D663" s="131" t="s">
        <v>635</v>
      </c>
      <c r="E663" s="53" t="s">
        <v>1318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82"/>
      <c r="B664" s="384"/>
      <c r="C664" s="131"/>
      <c r="D664" s="131" t="s">
        <v>636</v>
      </c>
      <c r="E664" s="53" t="s">
        <v>1319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82"/>
      <c r="B665" s="384"/>
      <c r="C665" s="131"/>
      <c r="D665" s="131" t="s">
        <v>637</v>
      </c>
      <c r="E665" s="53" t="s">
        <v>1320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82"/>
      <c r="B666" s="384"/>
      <c r="C666" s="131"/>
      <c r="D666" s="131" t="s">
        <v>638</v>
      </c>
      <c r="E666" s="53" t="s">
        <v>1321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82"/>
      <c r="B667" s="384"/>
      <c r="C667" s="131"/>
      <c r="D667" s="131" t="s">
        <v>639</v>
      </c>
      <c r="E667" s="53" t="s">
        <v>1322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82"/>
      <c r="B668" s="384"/>
      <c r="C668" s="131"/>
      <c r="D668" s="131" t="s">
        <v>640</v>
      </c>
      <c r="E668" s="53" t="s">
        <v>1323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82"/>
      <c r="B669" s="384"/>
      <c r="C669" s="131"/>
      <c r="D669" s="131" t="s">
        <v>641</v>
      </c>
      <c r="E669" s="53" t="s">
        <v>1324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82"/>
      <c r="B670" s="384"/>
      <c r="C670" s="131"/>
      <c r="D670" s="131" t="s">
        <v>642</v>
      </c>
      <c r="E670" s="53" t="s">
        <v>1325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82"/>
      <c r="B671" s="384"/>
      <c r="C671" s="131"/>
      <c r="D671" s="131" t="s">
        <v>530</v>
      </c>
      <c r="E671" s="53" t="s">
        <v>1326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82"/>
      <c r="B672" s="384"/>
      <c r="C672" s="131"/>
      <c r="D672" s="131" t="s">
        <v>531</v>
      </c>
      <c r="E672" s="53" t="s">
        <v>1327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82"/>
      <c r="B673" s="384"/>
      <c r="C673" s="131"/>
      <c r="D673" s="131" t="s">
        <v>532</v>
      </c>
      <c r="E673" s="53" t="s">
        <v>1328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82"/>
      <c r="B674" s="384"/>
      <c r="C674" s="131"/>
      <c r="D674" s="131" t="s">
        <v>533</v>
      </c>
      <c r="E674" s="53" t="s">
        <v>1329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82"/>
      <c r="B675" s="384"/>
      <c r="C675" s="131"/>
      <c r="D675" s="131" t="s">
        <v>534</v>
      </c>
      <c r="E675" s="53" t="s">
        <v>1330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82"/>
      <c r="B676" s="384"/>
      <c r="C676" s="131"/>
      <c r="D676" s="131" t="s">
        <v>535</v>
      </c>
      <c r="E676" s="53" t="s">
        <v>1331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82"/>
      <c r="B677" s="384"/>
      <c r="C677" s="131"/>
      <c r="D677" s="131" t="s">
        <v>536</v>
      </c>
      <c r="E677" s="53" t="s">
        <v>1332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82"/>
      <c r="B678" s="384"/>
      <c r="C678" s="131"/>
      <c r="D678" s="131" t="s">
        <v>537</v>
      </c>
      <c r="E678" s="53" t="s">
        <v>1333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82"/>
      <c r="B679" s="384"/>
      <c r="C679" s="131"/>
      <c r="D679" s="131" t="s">
        <v>538</v>
      </c>
      <c r="E679" s="53" t="s">
        <v>1334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82"/>
      <c r="B680" s="384"/>
      <c r="C680" s="169" t="s">
        <v>1106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82"/>
      <c r="B681" s="384"/>
      <c r="C681" s="131"/>
      <c r="D681" s="131" t="s">
        <v>624</v>
      </c>
      <c r="E681" s="53" t="s">
        <v>1335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82"/>
      <c r="B682" s="384"/>
      <c r="C682" s="131"/>
      <c r="D682" s="131" t="s">
        <v>625</v>
      </c>
      <c r="E682" s="53" t="s">
        <v>1336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82"/>
      <c r="B683" s="384"/>
      <c r="C683" s="131"/>
      <c r="D683" s="131" t="s">
        <v>626</v>
      </c>
      <c r="E683" s="53" t="s">
        <v>1337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82"/>
      <c r="B684" s="384"/>
      <c r="C684" s="131"/>
      <c r="D684" s="131" t="s">
        <v>627</v>
      </c>
      <c r="E684" s="53" t="s">
        <v>1338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82"/>
      <c r="B685" s="384"/>
      <c r="C685" s="131"/>
      <c r="D685" s="131" t="s">
        <v>628</v>
      </c>
      <c r="E685" s="53" t="s">
        <v>1339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82"/>
      <c r="B686" s="384"/>
      <c r="C686" s="131"/>
      <c r="D686" s="131" t="s">
        <v>629</v>
      </c>
      <c r="E686" s="53" t="s">
        <v>1340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82"/>
      <c r="B687" s="384"/>
      <c r="C687" s="131"/>
      <c r="D687" s="131" t="s">
        <v>630</v>
      </c>
      <c r="E687" s="53" t="s">
        <v>1341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82"/>
      <c r="B688" s="384"/>
      <c r="C688" s="131"/>
      <c r="D688" s="131" t="s">
        <v>631</v>
      </c>
      <c r="E688" s="53" t="s">
        <v>1342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82"/>
      <c r="B689" s="384"/>
      <c r="C689" s="131"/>
      <c r="D689" s="131" t="s">
        <v>632</v>
      </c>
      <c r="E689" s="53" t="s">
        <v>1343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82"/>
      <c r="B690" s="384"/>
      <c r="C690" s="131"/>
      <c r="D690" s="131" t="s">
        <v>633</v>
      </c>
      <c r="E690" s="53" t="s">
        <v>1344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82"/>
      <c r="B691" s="384"/>
      <c r="C691" s="131"/>
      <c r="D691" s="131" t="s">
        <v>634</v>
      </c>
      <c r="E691" s="53" t="s">
        <v>1345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82"/>
      <c r="B692" s="384"/>
      <c r="C692" s="131"/>
      <c r="D692" s="131" t="s">
        <v>635</v>
      </c>
      <c r="E692" s="53" t="s">
        <v>1346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82"/>
      <c r="B693" s="384"/>
      <c r="C693" s="131"/>
      <c r="D693" s="131" t="s">
        <v>636</v>
      </c>
      <c r="E693" s="53" t="s">
        <v>1347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82"/>
      <c r="B694" s="384"/>
      <c r="C694" s="131"/>
      <c r="D694" s="131" t="s">
        <v>637</v>
      </c>
      <c r="E694" s="53" t="s">
        <v>1348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82"/>
      <c r="B695" s="384"/>
      <c r="C695" s="131"/>
      <c r="D695" s="131" t="s">
        <v>638</v>
      </c>
      <c r="E695" s="53" t="s">
        <v>1349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82"/>
      <c r="B696" s="384"/>
      <c r="C696" s="131"/>
      <c r="D696" s="131" t="s">
        <v>639</v>
      </c>
      <c r="E696" s="53" t="s">
        <v>1350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82"/>
      <c r="B697" s="384"/>
      <c r="C697" s="131"/>
      <c r="D697" s="131" t="s">
        <v>640</v>
      </c>
      <c r="E697" s="53" t="s">
        <v>1351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82"/>
      <c r="B698" s="384"/>
      <c r="C698" s="131"/>
      <c r="D698" s="131" t="s">
        <v>641</v>
      </c>
      <c r="E698" s="53" t="s">
        <v>1352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82"/>
      <c r="B699" s="384"/>
      <c r="C699" s="131"/>
      <c r="D699" s="131" t="s">
        <v>642</v>
      </c>
      <c r="E699" s="53" t="s">
        <v>1353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82"/>
      <c r="B700" s="384"/>
      <c r="C700" s="131"/>
      <c r="D700" s="131" t="s">
        <v>530</v>
      </c>
      <c r="E700" s="53" t="s">
        <v>1354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82"/>
      <c r="B701" s="384"/>
      <c r="C701" s="131"/>
      <c r="D701" s="131" t="s">
        <v>531</v>
      </c>
      <c r="E701" s="53" t="s">
        <v>1355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82"/>
      <c r="B702" s="384"/>
      <c r="C702" s="131"/>
      <c r="D702" s="131" t="s">
        <v>532</v>
      </c>
      <c r="E702" s="53" t="s">
        <v>1356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82"/>
      <c r="B703" s="384"/>
      <c r="C703" s="131"/>
      <c r="D703" s="131" t="s">
        <v>533</v>
      </c>
      <c r="E703" s="53" t="s">
        <v>1357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82"/>
      <c r="B704" s="384"/>
      <c r="C704" s="131"/>
      <c r="D704" s="131" t="s">
        <v>534</v>
      </c>
      <c r="E704" s="53" t="s">
        <v>1358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82"/>
      <c r="B705" s="384"/>
      <c r="C705" s="131"/>
      <c r="D705" s="131" t="s">
        <v>535</v>
      </c>
      <c r="E705" s="53" t="s">
        <v>1359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82"/>
      <c r="B706" s="384"/>
      <c r="C706" s="131"/>
      <c r="D706" s="131" t="s">
        <v>536</v>
      </c>
      <c r="E706" s="53" t="s">
        <v>1360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82"/>
      <c r="B707" s="384"/>
      <c r="C707" s="131"/>
      <c r="D707" s="131" t="s">
        <v>537</v>
      </c>
      <c r="E707" s="53" t="s">
        <v>1361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82"/>
      <c r="B708" s="384"/>
      <c r="C708" s="131"/>
      <c r="D708" s="131" t="s">
        <v>538</v>
      </c>
      <c r="E708" s="53" t="s">
        <v>1362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82"/>
      <c r="B709" s="384"/>
      <c r="C709" s="169" t="s">
        <v>1107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82"/>
      <c r="B710" s="384"/>
      <c r="C710" s="131"/>
      <c r="D710" s="131" t="s">
        <v>624</v>
      </c>
      <c r="E710" s="53" t="s">
        <v>1363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82"/>
      <c r="B711" s="384"/>
      <c r="C711" s="131"/>
      <c r="D711" s="131" t="s">
        <v>625</v>
      </c>
      <c r="E711" s="53" t="s">
        <v>1364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82"/>
      <c r="B712" s="384"/>
      <c r="C712" s="131"/>
      <c r="D712" s="131" t="s">
        <v>626</v>
      </c>
      <c r="E712" s="53" t="s">
        <v>1365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82"/>
      <c r="B713" s="384"/>
      <c r="C713" s="131"/>
      <c r="D713" s="131" t="s">
        <v>627</v>
      </c>
      <c r="E713" s="53" t="s">
        <v>1366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82"/>
      <c r="B714" s="384"/>
      <c r="C714" s="131"/>
      <c r="D714" s="131" t="s">
        <v>628</v>
      </c>
      <c r="E714" s="53" t="s">
        <v>1367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82"/>
      <c r="B715" s="384"/>
      <c r="C715" s="131"/>
      <c r="D715" s="131" t="s">
        <v>629</v>
      </c>
      <c r="E715" s="53" t="s">
        <v>1368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82"/>
      <c r="B716" s="384"/>
      <c r="C716" s="131"/>
      <c r="D716" s="131" t="s">
        <v>630</v>
      </c>
      <c r="E716" s="53" t="s">
        <v>1369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82"/>
      <c r="B717" s="384"/>
      <c r="C717" s="131"/>
      <c r="D717" s="131" t="s">
        <v>631</v>
      </c>
      <c r="E717" s="53" t="s">
        <v>1370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82"/>
      <c r="B718" s="384"/>
      <c r="C718" s="131"/>
      <c r="D718" s="131" t="s">
        <v>632</v>
      </c>
      <c r="E718" s="53" t="s">
        <v>1371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82"/>
      <c r="B719" s="384"/>
      <c r="C719" s="131"/>
      <c r="D719" s="131" t="s">
        <v>633</v>
      </c>
      <c r="E719" s="53" t="s">
        <v>1372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82"/>
      <c r="B720" s="384"/>
      <c r="C720" s="131"/>
      <c r="D720" s="131" t="s">
        <v>634</v>
      </c>
      <c r="E720" s="53" t="s">
        <v>1373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82"/>
      <c r="B721" s="384"/>
      <c r="C721" s="131"/>
      <c r="D721" s="131" t="s">
        <v>635</v>
      </c>
      <c r="E721" s="53" t="s">
        <v>1374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82"/>
      <c r="B722" s="384"/>
      <c r="C722" s="131"/>
      <c r="D722" s="131" t="s">
        <v>636</v>
      </c>
      <c r="E722" s="53" t="s">
        <v>1375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82"/>
      <c r="B723" s="384"/>
      <c r="C723" s="131"/>
      <c r="D723" s="131" t="s">
        <v>637</v>
      </c>
      <c r="E723" s="53" t="s">
        <v>1376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82"/>
      <c r="B724" s="384"/>
      <c r="C724" s="131"/>
      <c r="D724" s="131" t="s">
        <v>638</v>
      </c>
      <c r="E724" s="53" t="s">
        <v>1377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82"/>
      <c r="B725" s="384"/>
      <c r="C725" s="131"/>
      <c r="D725" s="131" t="s">
        <v>639</v>
      </c>
      <c r="E725" s="53" t="s">
        <v>1378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82"/>
      <c r="B726" s="384"/>
      <c r="C726" s="131"/>
      <c r="D726" s="131" t="s">
        <v>640</v>
      </c>
      <c r="E726" s="53" t="s">
        <v>1379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82"/>
      <c r="B727" s="384"/>
      <c r="C727" s="131"/>
      <c r="D727" s="131" t="s">
        <v>641</v>
      </c>
      <c r="E727" s="53" t="s">
        <v>1380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82"/>
      <c r="B728" s="384"/>
      <c r="C728" s="131"/>
      <c r="D728" s="131" t="s">
        <v>642</v>
      </c>
      <c r="E728" s="53" t="s">
        <v>1381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82"/>
      <c r="B729" s="384"/>
      <c r="C729" s="131"/>
      <c r="D729" s="131" t="s">
        <v>530</v>
      </c>
      <c r="E729" s="53" t="s">
        <v>1382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82"/>
      <c r="B730" s="384"/>
      <c r="C730" s="131"/>
      <c r="D730" s="131" t="s">
        <v>531</v>
      </c>
      <c r="E730" s="53" t="s">
        <v>1383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82"/>
      <c r="B731" s="384"/>
      <c r="C731" s="131"/>
      <c r="D731" s="131" t="s">
        <v>532</v>
      </c>
      <c r="E731" s="53" t="s">
        <v>1384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82"/>
      <c r="B732" s="384"/>
      <c r="C732" s="131"/>
      <c r="D732" s="131" t="s">
        <v>533</v>
      </c>
      <c r="E732" s="53" t="s">
        <v>1385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82"/>
      <c r="B733" s="384"/>
      <c r="C733" s="131"/>
      <c r="D733" s="131" t="s">
        <v>534</v>
      </c>
      <c r="E733" s="53" t="s">
        <v>1386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82"/>
      <c r="B734" s="384"/>
      <c r="C734" s="131"/>
      <c r="D734" s="131" t="s">
        <v>535</v>
      </c>
      <c r="E734" s="53" t="s">
        <v>1387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82"/>
      <c r="B735" s="384"/>
      <c r="C735" s="131"/>
      <c r="D735" s="131" t="s">
        <v>536</v>
      </c>
      <c r="E735" s="53" t="s">
        <v>1388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82"/>
      <c r="B736" s="384"/>
      <c r="C736" s="131"/>
      <c r="D736" s="131" t="s">
        <v>537</v>
      </c>
      <c r="E736" s="53" t="s">
        <v>1389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82"/>
      <c r="B737" s="384"/>
      <c r="C737" s="131"/>
      <c r="D737" s="131" t="s">
        <v>538</v>
      </c>
      <c r="E737" s="53" t="s">
        <v>1390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82"/>
      <c r="B738" s="384"/>
      <c r="C738" s="169" t="s">
        <v>1108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82"/>
      <c r="B739" s="384"/>
      <c r="C739" s="131"/>
      <c r="D739" s="131" t="s">
        <v>624</v>
      </c>
      <c r="E739" s="53" t="s">
        <v>1391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82"/>
      <c r="B740" s="384"/>
      <c r="C740" s="131"/>
      <c r="D740" s="131" t="s">
        <v>625</v>
      </c>
      <c r="E740" s="53" t="s">
        <v>1392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82"/>
      <c r="B741" s="384"/>
      <c r="C741" s="131"/>
      <c r="D741" s="131" t="s">
        <v>626</v>
      </c>
      <c r="E741" s="53" t="s">
        <v>1393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82"/>
      <c r="B742" s="384"/>
      <c r="C742" s="131"/>
      <c r="D742" s="131" t="s">
        <v>627</v>
      </c>
      <c r="E742" s="53" t="s">
        <v>1394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82"/>
      <c r="B743" s="384"/>
      <c r="C743" s="131"/>
      <c r="D743" s="131" t="s">
        <v>628</v>
      </c>
      <c r="E743" s="53" t="s">
        <v>1395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82"/>
      <c r="B744" s="384"/>
      <c r="C744" s="131"/>
      <c r="D744" s="131" t="s">
        <v>629</v>
      </c>
      <c r="E744" s="53" t="s">
        <v>1396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82"/>
      <c r="B745" s="384"/>
      <c r="C745" s="131"/>
      <c r="D745" s="131" t="s">
        <v>630</v>
      </c>
      <c r="E745" s="53" t="s">
        <v>1397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82"/>
      <c r="B746" s="384"/>
      <c r="C746" s="131"/>
      <c r="D746" s="131" t="s">
        <v>631</v>
      </c>
      <c r="E746" s="53" t="s">
        <v>1398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82"/>
      <c r="B747" s="384"/>
      <c r="C747" s="131"/>
      <c r="D747" s="131" t="s">
        <v>632</v>
      </c>
      <c r="E747" s="53" t="s">
        <v>1399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82"/>
      <c r="B748" s="384"/>
      <c r="C748" s="131"/>
      <c r="D748" s="131" t="s">
        <v>633</v>
      </c>
      <c r="E748" s="53" t="s">
        <v>1400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82"/>
      <c r="B749" s="384"/>
      <c r="C749" s="131"/>
      <c r="D749" s="131" t="s">
        <v>634</v>
      </c>
      <c r="E749" s="53" t="s">
        <v>1401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82"/>
      <c r="B750" s="384"/>
      <c r="C750" s="131"/>
      <c r="D750" s="131" t="s">
        <v>635</v>
      </c>
      <c r="E750" s="53" t="s">
        <v>1402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82"/>
      <c r="B751" s="384"/>
      <c r="C751" s="131"/>
      <c r="D751" s="131" t="s">
        <v>636</v>
      </c>
      <c r="E751" s="53" t="s">
        <v>1403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82"/>
      <c r="B752" s="384"/>
      <c r="C752" s="131"/>
      <c r="D752" s="131" t="s">
        <v>637</v>
      </c>
      <c r="E752" s="53" t="s">
        <v>1404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82"/>
      <c r="B753" s="384"/>
      <c r="C753" s="131"/>
      <c r="D753" s="131" t="s">
        <v>638</v>
      </c>
      <c r="E753" s="53" t="s">
        <v>1405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82"/>
      <c r="B754" s="384"/>
      <c r="C754" s="131"/>
      <c r="D754" s="131" t="s">
        <v>639</v>
      </c>
      <c r="E754" s="53" t="s">
        <v>1406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82"/>
      <c r="B755" s="384"/>
      <c r="C755" s="131"/>
      <c r="D755" s="131" t="s">
        <v>640</v>
      </c>
      <c r="E755" s="53" t="s">
        <v>1407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82"/>
      <c r="B756" s="384"/>
      <c r="C756" s="131"/>
      <c r="D756" s="131" t="s">
        <v>641</v>
      </c>
      <c r="E756" s="53" t="s">
        <v>1408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82"/>
      <c r="B757" s="384"/>
      <c r="C757" s="131"/>
      <c r="D757" s="131" t="s">
        <v>642</v>
      </c>
      <c r="E757" s="53" t="s">
        <v>1409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82"/>
      <c r="B758" s="384"/>
      <c r="C758" s="131"/>
      <c r="D758" s="131" t="s">
        <v>530</v>
      </c>
      <c r="E758" s="53" t="s">
        <v>1410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82"/>
      <c r="B759" s="384"/>
      <c r="C759" s="131"/>
      <c r="D759" s="131" t="s">
        <v>531</v>
      </c>
      <c r="E759" s="53" t="s">
        <v>1411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82"/>
      <c r="B760" s="384"/>
      <c r="C760" s="131"/>
      <c r="D760" s="131" t="s">
        <v>532</v>
      </c>
      <c r="E760" s="53" t="s">
        <v>1412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82"/>
      <c r="B761" s="384"/>
      <c r="C761" s="131"/>
      <c r="D761" s="131" t="s">
        <v>533</v>
      </c>
      <c r="E761" s="53" t="s">
        <v>1413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82"/>
      <c r="B762" s="384"/>
      <c r="C762" s="131"/>
      <c r="D762" s="131" t="s">
        <v>534</v>
      </c>
      <c r="E762" s="53" t="s">
        <v>1414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82"/>
      <c r="B763" s="384"/>
      <c r="C763" s="131"/>
      <c r="D763" s="131" t="s">
        <v>535</v>
      </c>
      <c r="E763" s="53" t="s">
        <v>1415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82"/>
      <c r="B764" s="384"/>
      <c r="C764" s="131"/>
      <c r="D764" s="131" t="s">
        <v>536</v>
      </c>
      <c r="E764" s="53" t="s">
        <v>1416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82"/>
      <c r="B765" s="384"/>
      <c r="C765" s="131"/>
      <c r="D765" s="131" t="s">
        <v>537</v>
      </c>
      <c r="E765" s="53" t="s">
        <v>1417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82"/>
      <c r="B766" s="384"/>
      <c r="C766" s="131"/>
      <c r="D766" s="131" t="s">
        <v>538</v>
      </c>
      <c r="E766" s="53" t="s">
        <v>1418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82"/>
      <c r="B767" s="384"/>
      <c r="C767" s="169" t="s">
        <v>1109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82"/>
      <c r="B768" s="384"/>
      <c r="C768" s="131"/>
      <c r="D768" s="131" t="s">
        <v>624</v>
      </c>
      <c r="E768" s="53" t="s">
        <v>1419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82"/>
      <c r="B769" s="384"/>
      <c r="C769" s="131"/>
      <c r="D769" s="131" t="s">
        <v>625</v>
      </c>
      <c r="E769" s="53" t="s">
        <v>1420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82"/>
      <c r="B770" s="384"/>
      <c r="C770" s="131"/>
      <c r="D770" s="131" t="s">
        <v>626</v>
      </c>
      <c r="E770" s="53" t="s">
        <v>1421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82"/>
      <c r="B771" s="384"/>
      <c r="C771" s="131"/>
      <c r="D771" s="131" t="s">
        <v>627</v>
      </c>
      <c r="E771" s="53" t="s">
        <v>1422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82"/>
      <c r="B772" s="384"/>
      <c r="C772" s="131"/>
      <c r="D772" s="131" t="s">
        <v>628</v>
      </c>
      <c r="E772" s="53" t="s">
        <v>1423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82"/>
      <c r="B773" s="384"/>
      <c r="C773" s="131"/>
      <c r="D773" s="131" t="s">
        <v>629</v>
      </c>
      <c r="E773" s="53" t="s">
        <v>1424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82"/>
      <c r="B774" s="384"/>
      <c r="C774" s="131"/>
      <c r="D774" s="131" t="s">
        <v>630</v>
      </c>
      <c r="E774" s="53" t="s">
        <v>1425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82"/>
      <c r="B775" s="384"/>
      <c r="C775" s="131"/>
      <c r="D775" s="131" t="s">
        <v>631</v>
      </c>
      <c r="E775" s="53" t="s">
        <v>1426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82"/>
      <c r="B776" s="384"/>
      <c r="C776" s="131"/>
      <c r="D776" s="131" t="s">
        <v>632</v>
      </c>
      <c r="E776" s="53" t="s">
        <v>1427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82"/>
      <c r="B777" s="384"/>
      <c r="C777" s="131"/>
      <c r="D777" s="131" t="s">
        <v>633</v>
      </c>
      <c r="E777" s="53" t="s">
        <v>1428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82"/>
      <c r="B778" s="384"/>
      <c r="C778" s="131"/>
      <c r="D778" s="131" t="s">
        <v>634</v>
      </c>
      <c r="E778" s="53" t="s">
        <v>1429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82"/>
      <c r="B779" s="384"/>
      <c r="C779" s="131"/>
      <c r="D779" s="131" t="s">
        <v>635</v>
      </c>
      <c r="E779" s="53" t="s">
        <v>1430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82"/>
      <c r="B780" s="384"/>
      <c r="C780" s="131"/>
      <c r="D780" s="131" t="s">
        <v>636</v>
      </c>
      <c r="E780" s="53" t="s">
        <v>1431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82"/>
      <c r="B781" s="384"/>
      <c r="C781" s="131"/>
      <c r="D781" s="131" t="s">
        <v>637</v>
      </c>
      <c r="E781" s="53" t="s">
        <v>1432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82"/>
      <c r="B782" s="384"/>
      <c r="C782" s="131"/>
      <c r="D782" s="131" t="s">
        <v>638</v>
      </c>
      <c r="E782" s="53" t="s">
        <v>1433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82"/>
      <c r="B783" s="384"/>
      <c r="C783" s="131"/>
      <c r="D783" s="131" t="s">
        <v>639</v>
      </c>
      <c r="E783" s="53" t="s">
        <v>1434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82"/>
      <c r="B784" s="384"/>
      <c r="C784" s="131"/>
      <c r="D784" s="131" t="s">
        <v>640</v>
      </c>
      <c r="E784" s="53" t="s">
        <v>1435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82"/>
      <c r="B785" s="384"/>
      <c r="C785" s="131"/>
      <c r="D785" s="131" t="s">
        <v>641</v>
      </c>
      <c r="E785" s="53" t="s">
        <v>1436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82"/>
      <c r="B786" s="384"/>
      <c r="C786" s="131"/>
      <c r="D786" s="131" t="s">
        <v>642</v>
      </c>
      <c r="E786" s="53" t="s">
        <v>1437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82"/>
      <c r="B787" s="384"/>
      <c r="C787" s="131"/>
      <c r="D787" s="131" t="s">
        <v>530</v>
      </c>
      <c r="E787" s="53" t="s">
        <v>1438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82"/>
      <c r="B788" s="384"/>
      <c r="C788" s="131"/>
      <c r="D788" s="131" t="s">
        <v>531</v>
      </c>
      <c r="E788" s="53" t="s">
        <v>1439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82"/>
      <c r="B789" s="384"/>
      <c r="C789" s="131"/>
      <c r="D789" s="131" t="s">
        <v>532</v>
      </c>
      <c r="E789" s="53" t="s">
        <v>1440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82"/>
      <c r="B790" s="384"/>
      <c r="C790" s="131"/>
      <c r="D790" s="131" t="s">
        <v>533</v>
      </c>
      <c r="E790" s="53" t="s">
        <v>1441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82"/>
      <c r="B791" s="384"/>
      <c r="C791" s="131"/>
      <c r="D791" s="131" t="s">
        <v>534</v>
      </c>
      <c r="E791" s="53" t="s">
        <v>1442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82"/>
      <c r="B792" s="384"/>
      <c r="C792" s="131"/>
      <c r="D792" s="131" t="s">
        <v>535</v>
      </c>
      <c r="E792" s="53" t="s">
        <v>1443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82"/>
      <c r="B793" s="384"/>
      <c r="C793" s="131"/>
      <c r="D793" s="131" t="s">
        <v>536</v>
      </c>
      <c r="E793" s="53" t="s">
        <v>1444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82"/>
      <c r="B794" s="384"/>
      <c r="C794" s="131"/>
      <c r="D794" s="131" t="s">
        <v>537</v>
      </c>
      <c r="E794" s="53" t="s">
        <v>1445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82"/>
      <c r="B795" s="384"/>
      <c r="C795" s="131"/>
      <c r="D795" s="131" t="s">
        <v>538</v>
      </c>
      <c r="E795" s="53" t="s">
        <v>1446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82"/>
      <c r="B796" s="195" t="s">
        <v>1027</v>
      </c>
      <c r="C796" s="171" t="s">
        <v>1600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82"/>
      <c r="B797" s="195"/>
      <c r="C797" s="132"/>
      <c r="D797" s="132" t="s">
        <v>1084</v>
      </c>
      <c r="E797" s="54" t="s">
        <v>1606</v>
      </c>
      <c r="F797" s="361"/>
      <c r="G797" s="361"/>
      <c r="H797" s="361"/>
      <c r="I797" s="361" t="s">
        <v>1614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82"/>
      <c r="B798" s="195"/>
      <c r="C798" s="132"/>
      <c r="D798" s="132" t="s">
        <v>1090</v>
      </c>
      <c r="E798" s="54" t="s">
        <v>1607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82"/>
      <c r="B799" s="195"/>
      <c r="C799" s="132"/>
      <c r="D799" s="132" t="s">
        <v>1085</v>
      </c>
      <c r="E799" s="54" t="s">
        <v>1608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82"/>
      <c r="B800" s="195"/>
      <c r="C800" s="132"/>
      <c r="D800" s="132" t="s">
        <v>1086</v>
      </c>
      <c r="E800" s="54" t="s">
        <v>1609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82"/>
      <c r="B801" s="195"/>
      <c r="C801" s="132"/>
      <c r="D801" s="132" t="s">
        <v>1087</v>
      </c>
      <c r="E801" s="54" t="s">
        <v>1610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82"/>
      <c r="B802" s="195"/>
      <c r="C802" s="132"/>
      <c r="D802" s="132" t="s">
        <v>1088</v>
      </c>
      <c r="E802" s="54" t="s">
        <v>1611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82"/>
      <c r="B803" s="195"/>
      <c r="C803" s="132"/>
      <c r="D803" s="132" t="s">
        <v>1089</v>
      </c>
      <c r="E803" s="54" t="s">
        <v>1612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82"/>
      <c r="B804" s="195"/>
      <c r="C804" s="132"/>
      <c r="D804" s="132" t="s">
        <v>1091</v>
      </c>
      <c r="E804" s="54" t="s">
        <v>1613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82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82"/>
      <c r="B806" s="195"/>
      <c r="C806" s="171" t="s">
        <v>1601</v>
      </c>
      <c r="D806" s="171"/>
      <c r="E806" s="156" t="s">
        <v>1447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82"/>
      <c r="B807" s="195"/>
      <c r="C807" s="132"/>
      <c r="D807" s="132" t="s">
        <v>1084</v>
      </c>
      <c r="E807" s="54" t="s">
        <v>1448</v>
      </c>
      <c r="F807" s="361"/>
      <c r="G807" s="361"/>
      <c r="H807" s="361"/>
      <c r="I807" s="361" t="s">
        <v>1770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82"/>
      <c r="B808" s="195"/>
      <c r="C808" s="132"/>
      <c r="D808" s="132" t="s">
        <v>1090</v>
      </c>
      <c r="E808" s="54" t="s">
        <v>1449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82"/>
      <c r="B809" s="195"/>
      <c r="C809" s="132"/>
      <c r="D809" s="132" t="s">
        <v>1085</v>
      </c>
      <c r="E809" s="54" t="s">
        <v>1450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82"/>
      <c r="B810" s="195"/>
      <c r="C810" s="132"/>
      <c r="D810" s="132" t="s">
        <v>1086</v>
      </c>
      <c r="E810" s="54" t="s">
        <v>1451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82"/>
      <c r="B811" s="195"/>
      <c r="C811" s="132"/>
      <c r="D811" s="132" t="s">
        <v>1087</v>
      </c>
      <c r="E811" s="54" t="s">
        <v>1452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82"/>
      <c r="B812" s="195"/>
      <c r="C812" s="132"/>
      <c r="D812" s="132" t="s">
        <v>1088</v>
      </c>
      <c r="E812" s="54" t="s">
        <v>1453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82"/>
      <c r="B813" s="195"/>
      <c r="C813" s="132"/>
      <c r="D813" s="132" t="s">
        <v>1089</v>
      </c>
      <c r="E813" s="54" t="s">
        <v>1454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82"/>
      <c r="B814" s="195"/>
      <c r="C814" s="132"/>
      <c r="D814" s="132" t="s">
        <v>1091</v>
      </c>
      <c r="E814" s="54" t="s">
        <v>1455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82"/>
      <c r="B815" s="195"/>
      <c r="C815" s="132" t="s">
        <v>1456</v>
      </c>
      <c r="D815" s="132"/>
      <c r="E815" s="63" t="s">
        <v>1597</v>
      </c>
      <c r="F815" s="361"/>
      <c r="G815" s="361"/>
      <c r="H815" s="361"/>
      <c r="I815" s="361" t="s">
        <v>1596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82"/>
      <c r="B816" s="195"/>
      <c r="C816" s="132" t="s">
        <v>180</v>
      </c>
      <c r="D816" s="132"/>
      <c r="E816" s="63" t="s">
        <v>1598</v>
      </c>
      <c r="F816" s="361"/>
      <c r="G816" s="361"/>
      <c r="H816" s="361"/>
      <c r="I816" s="361" t="s">
        <v>1596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82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82"/>
      <c r="B818" s="195"/>
      <c r="C818" s="171" t="s">
        <v>1570</v>
      </c>
      <c r="D818" s="171" t="s">
        <v>1084</v>
      </c>
      <c r="E818" s="190" t="s">
        <v>1604</v>
      </c>
      <c r="F818" s="360"/>
      <c r="G818" s="360"/>
      <c r="H818" s="360"/>
      <c r="I818" s="360" t="s">
        <v>1766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82"/>
      <c r="B819" s="195"/>
      <c r="C819" s="157" t="s">
        <v>1564</v>
      </c>
      <c r="D819" s="171" t="s">
        <v>1084</v>
      </c>
      <c r="E819" s="190" t="s">
        <v>1605</v>
      </c>
      <c r="F819" s="360"/>
      <c r="G819" s="360"/>
      <c r="H819" s="360"/>
      <c r="I819" s="360" t="s">
        <v>1768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82"/>
      <c r="B820" s="195"/>
      <c r="C820" s="158" t="s">
        <v>758</v>
      </c>
      <c r="D820" s="132" t="s">
        <v>1084</v>
      </c>
      <c r="E820" s="63" t="s">
        <v>1595</v>
      </c>
      <c r="F820" s="361"/>
      <c r="G820" s="361"/>
      <c r="H820" s="361"/>
      <c r="I820" s="361" t="s">
        <v>1767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82"/>
      <c r="B821" s="195"/>
      <c r="C821" s="158" t="s">
        <v>759</v>
      </c>
      <c r="D821" s="132" t="s">
        <v>1084</v>
      </c>
      <c r="E821" s="54" t="s">
        <v>1488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82"/>
      <c r="B822" s="195"/>
      <c r="C822" s="157" t="s">
        <v>1565</v>
      </c>
      <c r="D822" s="171" t="s">
        <v>1084</v>
      </c>
      <c r="E822" s="156" t="s">
        <v>1489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82"/>
      <c r="B823" s="195"/>
      <c r="C823" s="158" t="s">
        <v>760</v>
      </c>
      <c r="D823" s="132" t="s">
        <v>1084</v>
      </c>
      <c r="E823" s="54" t="s">
        <v>1490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82"/>
      <c r="B824" s="195"/>
      <c r="C824" s="158" t="s">
        <v>761</v>
      </c>
      <c r="D824" s="132" t="s">
        <v>1084</v>
      </c>
      <c r="E824" s="54" t="s">
        <v>1491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82"/>
      <c r="B825" s="195"/>
      <c r="C825" s="158" t="s">
        <v>762</v>
      </c>
      <c r="D825" s="132" t="s">
        <v>1084</v>
      </c>
      <c r="E825" s="54" t="s">
        <v>1492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82"/>
      <c r="B826" s="195"/>
      <c r="C826" s="158" t="s">
        <v>763</v>
      </c>
      <c r="D826" s="132" t="s">
        <v>1084</v>
      </c>
      <c r="E826" s="54" t="s">
        <v>1493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82"/>
      <c r="B827" s="195"/>
      <c r="C827" s="158" t="s">
        <v>764</v>
      </c>
      <c r="D827" s="132" t="s">
        <v>1084</v>
      </c>
      <c r="E827" s="54" t="s">
        <v>1494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82"/>
      <c r="B828" s="195"/>
      <c r="C828" s="158" t="s">
        <v>765</v>
      </c>
      <c r="D828" s="132" t="s">
        <v>1084</v>
      </c>
      <c r="E828" s="54" t="s">
        <v>1495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82"/>
      <c r="B829" s="195"/>
      <c r="C829" s="158" t="s">
        <v>766</v>
      </c>
      <c r="D829" s="132" t="s">
        <v>1084</v>
      </c>
      <c r="E829" s="54" t="s">
        <v>1496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82"/>
      <c r="B830" s="195"/>
      <c r="C830" s="158" t="s">
        <v>767</v>
      </c>
      <c r="D830" s="132" t="s">
        <v>1084</v>
      </c>
      <c r="E830" s="54" t="s">
        <v>1497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82"/>
      <c r="B831" s="195"/>
      <c r="C831" s="158" t="s">
        <v>768</v>
      </c>
      <c r="D831" s="132" t="s">
        <v>1084</v>
      </c>
      <c r="E831" s="54" t="s">
        <v>1498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82"/>
      <c r="B832" s="195"/>
      <c r="C832" s="158" t="s">
        <v>769</v>
      </c>
      <c r="D832" s="132" t="s">
        <v>1084</v>
      </c>
      <c r="E832" s="54" t="s">
        <v>1499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82"/>
      <c r="B833" s="195"/>
      <c r="C833" s="158" t="s">
        <v>770</v>
      </c>
      <c r="D833" s="132" t="s">
        <v>1084</v>
      </c>
      <c r="E833" s="54" t="s">
        <v>1500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82"/>
      <c r="B834" s="195"/>
      <c r="C834" s="157" t="s">
        <v>1566</v>
      </c>
      <c r="D834" s="171" t="s">
        <v>1084</v>
      </c>
      <c r="E834" s="156" t="s">
        <v>1501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82"/>
      <c r="B835" s="195"/>
      <c r="C835" s="158" t="s">
        <v>636</v>
      </c>
      <c r="D835" s="132" t="s">
        <v>1084</v>
      </c>
      <c r="E835" s="54" t="s">
        <v>1502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82"/>
      <c r="B836" s="195"/>
      <c r="C836" s="158" t="s">
        <v>637</v>
      </c>
      <c r="D836" s="132" t="s">
        <v>1084</v>
      </c>
      <c r="E836" s="54" t="s">
        <v>1503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82"/>
      <c r="B837" s="195"/>
      <c r="C837" s="158" t="s">
        <v>638</v>
      </c>
      <c r="D837" s="132" t="s">
        <v>1084</v>
      </c>
      <c r="E837" s="54" t="s">
        <v>1504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82"/>
      <c r="B838" s="195"/>
      <c r="C838" s="158" t="s">
        <v>639</v>
      </c>
      <c r="D838" s="132" t="s">
        <v>1084</v>
      </c>
      <c r="E838" s="54" t="s">
        <v>1505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82"/>
      <c r="B839" s="195"/>
      <c r="C839" s="157" t="s">
        <v>1567</v>
      </c>
      <c r="D839" s="171" t="s">
        <v>1084</v>
      </c>
      <c r="E839" s="156" t="s">
        <v>1506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82"/>
      <c r="B840" s="195"/>
      <c r="C840" s="158" t="s">
        <v>640</v>
      </c>
      <c r="D840" s="132" t="s">
        <v>1084</v>
      </c>
      <c r="E840" s="54" t="s">
        <v>1507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82"/>
      <c r="B841" s="195"/>
      <c r="C841" s="158" t="s">
        <v>641</v>
      </c>
      <c r="D841" s="132" t="s">
        <v>1084</v>
      </c>
      <c r="E841" s="54" t="s">
        <v>1508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82"/>
      <c r="B842" s="195"/>
      <c r="C842" s="157" t="s">
        <v>1568</v>
      </c>
      <c r="D842" s="171" t="s">
        <v>1084</v>
      </c>
      <c r="E842" s="156" t="s">
        <v>1509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82"/>
      <c r="B843" s="195"/>
      <c r="C843" s="158" t="s">
        <v>486</v>
      </c>
      <c r="D843" s="132" t="s">
        <v>1084</v>
      </c>
      <c r="E843" s="54" t="s">
        <v>1510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82"/>
      <c r="B844" s="195"/>
      <c r="C844" s="158" t="s">
        <v>487</v>
      </c>
      <c r="D844" s="132" t="s">
        <v>1084</v>
      </c>
      <c r="E844" s="54" t="s">
        <v>1511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82"/>
      <c r="B845" s="195"/>
      <c r="C845" s="158" t="s">
        <v>490</v>
      </c>
      <c r="D845" s="132" t="s">
        <v>1084</v>
      </c>
      <c r="E845" s="54" t="s">
        <v>1512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82"/>
      <c r="B846" s="195"/>
      <c r="C846" s="158" t="s">
        <v>491</v>
      </c>
      <c r="D846" s="132" t="s">
        <v>1084</v>
      </c>
      <c r="E846" s="54" t="s">
        <v>1513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82"/>
      <c r="B847" s="195"/>
      <c r="C847" s="157" t="s">
        <v>1569</v>
      </c>
      <c r="D847" s="171" t="s">
        <v>1084</v>
      </c>
      <c r="E847" s="156" t="s">
        <v>1514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82"/>
      <c r="B848" s="195"/>
      <c r="C848" s="158" t="s">
        <v>494</v>
      </c>
      <c r="D848" s="132" t="s">
        <v>1084</v>
      </c>
      <c r="E848" s="54" t="s">
        <v>1515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82"/>
      <c r="B849" s="195"/>
      <c r="C849" s="158" t="s">
        <v>495</v>
      </c>
      <c r="D849" s="132" t="s">
        <v>1084</v>
      </c>
      <c r="E849" s="54" t="s">
        <v>1516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82"/>
      <c r="B850" s="195"/>
      <c r="C850" s="158" t="s">
        <v>496</v>
      </c>
      <c r="D850" s="132" t="s">
        <v>1084</v>
      </c>
      <c r="E850" s="54" t="s">
        <v>1517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82"/>
      <c r="B851" s="195"/>
      <c r="C851" s="158" t="s">
        <v>497</v>
      </c>
      <c r="D851" s="132" t="s">
        <v>1084</v>
      </c>
      <c r="E851" s="54" t="s">
        <v>1518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82"/>
      <c r="B852" s="195"/>
      <c r="C852" s="158" t="s">
        <v>498</v>
      </c>
      <c r="D852" s="132" t="s">
        <v>1084</v>
      </c>
      <c r="E852" s="54" t="s">
        <v>1519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82"/>
      <c r="B853" s="195"/>
      <c r="C853" s="158" t="s">
        <v>499</v>
      </c>
      <c r="D853" s="132" t="s">
        <v>1084</v>
      </c>
      <c r="E853" s="54" t="s">
        <v>1520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82"/>
      <c r="B854" s="195"/>
      <c r="C854" s="158" t="s">
        <v>500</v>
      </c>
      <c r="D854" s="132" t="s">
        <v>1084</v>
      </c>
      <c r="E854" s="54" t="s">
        <v>1521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82"/>
      <c r="B855" s="195"/>
      <c r="C855" s="158" t="s">
        <v>501</v>
      </c>
      <c r="D855" s="132" t="s">
        <v>1084</v>
      </c>
      <c r="E855" s="54" t="s">
        <v>1522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82"/>
      <c r="B856" s="195"/>
      <c r="C856" s="192" t="s">
        <v>502</v>
      </c>
      <c r="D856" s="132" t="s">
        <v>1084</v>
      </c>
      <c r="E856" s="54" t="s">
        <v>1523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82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82"/>
      <c r="B858" s="195"/>
      <c r="C858" s="171" t="s">
        <v>1570</v>
      </c>
      <c r="D858" s="171" t="s">
        <v>1524</v>
      </c>
      <c r="E858" s="190" t="s">
        <v>1602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82"/>
      <c r="B859" s="195"/>
      <c r="C859" s="157" t="s">
        <v>1564</v>
      </c>
      <c r="D859" s="171" t="s">
        <v>1524</v>
      </c>
      <c r="E859" s="190" t="s">
        <v>1603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82"/>
      <c r="B860" s="195"/>
      <c r="C860" s="158" t="s">
        <v>758</v>
      </c>
      <c r="D860" s="132" t="s">
        <v>1524</v>
      </c>
      <c r="E860" s="63" t="s">
        <v>1599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82"/>
      <c r="B861" s="195"/>
      <c r="C861" s="158" t="s">
        <v>759</v>
      </c>
      <c r="D861" s="132" t="s">
        <v>1524</v>
      </c>
      <c r="E861" s="54" t="s">
        <v>1525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82"/>
      <c r="B862" s="195"/>
      <c r="C862" s="157" t="s">
        <v>1565</v>
      </c>
      <c r="D862" s="171" t="s">
        <v>1524</v>
      </c>
      <c r="E862" s="156" t="s">
        <v>1526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82"/>
      <c r="B863" s="195"/>
      <c r="C863" s="158" t="s">
        <v>760</v>
      </c>
      <c r="D863" s="132" t="s">
        <v>1524</v>
      </c>
      <c r="E863" s="54" t="s">
        <v>1527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82"/>
      <c r="B864" s="195"/>
      <c r="C864" s="158" t="s">
        <v>761</v>
      </c>
      <c r="D864" s="132" t="s">
        <v>1524</v>
      </c>
      <c r="E864" s="54" t="s">
        <v>1528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82"/>
      <c r="B865" s="195"/>
      <c r="C865" s="158" t="s">
        <v>762</v>
      </c>
      <c r="D865" s="132" t="s">
        <v>1524</v>
      </c>
      <c r="E865" s="54" t="s">
        <v>1529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82"/>
      <c r="B866" s="195"/>
      <c r="C866" s="158" t="s">
        <v>763</v>
      </c>
      <c r="D866" s="132" t="s">
        <v>1524</v>
      </c>
      <c r="E866" s="54" t="s">
        <v>1530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82"/>
      <c r="B867" s="195"/>
      <c r="C867" s="158" t="s">
        <v>764</v>
      </c>
      <c r="D867" s="132" t="s">
        <v>1524</v>
      </c>
      <c r="E867" s="54" t="s">
        <v>1531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82"/>
      <c r="B868" s="195"/>
      <c r="C868" s="158" t="s">
        <v>765</v>
      </c>
      <c r="D868" s="132" t="s">
        <v>1524</v>
      </c>
      <c r="E868" s="54" t="s">
        <v>1532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82"/>
      <c r="B869" s="195"/>
      <c r="C869" s="158" t="s">
        <v>766</v>
      </c>
      <c r="D869" s="132" t="s">
        <v>1524</v>
      </c>
      <c r="E869" s="54" t="s">
        <v>1533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82"/>
      <c r="B870" s="195"/>
      <c r="C870" s="158" t="s">
        <v>767</v>
      </c>
      <c r="D870" s="132" t="s">
        <v>1524</v>
      </c>
      <c r="E870" s="54" t="s">
        <v>1534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82"/>
      <c r="B871" s="195"/>
      <c r="C871" s="158" t="s">
        <v>768</v>
      </c>
      <c r="D871" s="132" t="s">
        <v>1524</v>
      </c>
      <c r="E871" s="54" t="s">
        <v>1535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82"/>
      <c r="B872" s="195"/>
      <c r="C872" s="158" t="s">
        <v>769</v>
      </c>
      <c r="D872" s="132" t="s">
        <v>1524</v>
      </c>
      <c r="E872" s="54" t="s">
        <v>1536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82"/>
      <c r="B873" s="195"/>
      <c r="C873" s="158" t="s">
        <v>770</v>
      </c>
      <c r="D873" s="132" t="s">
        <v>1524</v>
      </c>
      <c r="E873" s="54" t="s">
        <v>1537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82"/>
      <c r="B874" s="195"/>
      <c r="C874" s="157" t="s">
        <v>1566</v>
      </c>
      <c r="D874" s="171" t="s">
        <v>1524</v>
      </c>
      <c r="E874" s="156" t="s">
        <v>1538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82"/>
      <c r="B875" s="195"/>
      <c r="C875" s="158" t="s">
        <v>636</v>
      </c>
      <c r="D875" s="132" t="s">
        <v>1524</v>
      </c>
      <c r="E875" s="54" t="s">
        <v>1539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82"/>
      <c r="B876" s="195"/>
      <c r="C876" s="158" t="s">
        <v>637</v>
      </c>
      <c r="D876" s="132" t="s">
        <v>1524</v>
      </c>
      <c r="E876" s="54" t="s">
        <v>1540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82"/>
      <c r="B877" s="195"/>
      <c r="C877" s="158" t="s">
        <v>638</v>
      </c>
      <c r="D877" s="132" t="s">
        <v>1524</v>
      </c>
      <c r="E877" s="54" t="s">
        <v>1541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82"/>
      <c r="B878" s="195"/>
      <c r="C878" s="158" t="s">
        <v>639</v>
      </c>
      <c r="D878" s="132" t="s">
        <v>1524</v>
      </c>
      <c r="E878" s="54" t="s">
        <v>1542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82"/>
      <c r="B879" s="195"/>
      <c r="C879" s="157" t="s">
        <v>1567</v>
      </c>
      <c r="D879" s="171" t="s">
        <v>1524</v>
      </c>
      <c r="E879" s="156" t="s">
        <v>1543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82"/>
      <c r="B880" s="195"/>
      <c r="C880" s="158" t="s">
        <v>640</v>
      </c>
      <c r="D880" s="132" t="s">
        <v>1524</v>
      </c>
      <c r="E880" s="54" t="s">
        <v>1544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82"/>
      <c r="B881" s="195"/>
      <c r="C881" s="158" t="s">
        <v>641</v>
      </c>
      <c r="D881" s="132" t="s">
        <v>1524</v>
      </c>
      <c r="E881" s="54" t="s">
        <v>1545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82"/>
      <c r="B882" s="195"/>
      <c r="C882" s="157" t="s">
        <v>1568</v>
      </c>
      <c r="D882" s="171" t="s">
        <v>1524</v>
      </c>
      <c r="E882" s="156" t="s">
        <v>1546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82"/>
      <c r="B883" s="195"/>
      <c r="C883" s="158" t="s">
        <v>486</v>
      </c>
      <c r="D883" s="132" t="s">
        <v>1524</v>
      </c>
      <c r="E883" s="54" t="s">
        <v>1547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82"/>
      <c r="B884" s="195"/>
      <c r="C884" s="158" t="s">
        <v>487</v>
      </c>
      <c r="D884" s="132" t="s">
        <v>1524</v>
      </c>
      <c r="E884" s="54" t="s">
        <v>1548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82"/>
      <c r="B885" s="195"/>
      <c r="C885" s="158" t="s">
        <v>490</v>
      </c>
      <c r="D885" s="132" t="s">
        <v>1524</v>
      </c>
      <c r="E885" s="54" t="s">
        <v>1549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82"/>
      <c r="B886" s="195"/>
      <c r="C886" s="158" t="s">
        <v>491</v>
      </c>
      <c r="D886" s="132" t="s">
        <v>1524</v>
      </c>
      <c r="E886" s="54" t="s">
        <v>1550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82"/>
      <c r="B887" s="195"/>
      <c r="C887" s="157" t="s">
        <v>1569</v>
      </c>
      <c r="D887" s="171" t="s">
        <v>1524</v>
      </c>
      <c r="E887" s="156" t="s">
        <v>1551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82"/>
      <c r="B888" s="195"/>
      <c r="C888" s="158" t="s">
        <v>494</v>
      </c>
      <c r="D888" s="132" t="s">
        <v>1524</v>
      </c>
      <c r="E888" s="54" t="s">
        <v>1552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82"/>
      <c r="B889" s="195"/>
      <c r="C889" s="158" t="s">
        <v>495</v>
      </c>
      <c r="D889" s="132" t="s">
        <v>1524</v>
      </c>
      <c r="E889" s="54" t="s">
        <v>1553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82"/>
      <c r="B890" s="195"/>
      <c r="C890" s="158" t="s">
        <v>496</v>
      </c>
      <c r="D890" s="132" t="s">
        <v>1524</v>
      </c>
      <c r="E890" s="54" t="s">
        <v>1554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82"/>
      <c r="B891" s="195"/>
      <c r="C891" s="158" t="s">
        <v>497</v>
      </c>
      <c r="D891" s="132" t="s">
        <v>1524</v>
      </c>
      <c r="E891" s="54" t="s">
        <v>1555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82"/>
      <c r="B892" s="195"/>
      <c r="C892" s="158" t="s">
        <v>498</v>
      </c>
      <c r="D892" s="132" t="s">
        <v>1524</v>
      </c>
      <c r="E892" s="54" t="s">
        <v>1556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82"/>
      <c r="B893" s="195"/>
      <c r="C893" s="158" t="s">
        <v>499</v>
      </c>
      <c r="D893" s="132" t="s">
        <v>1524</v>
      </c>
      <c r="E893" s="54" t="s">
        <v>1557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82"/>
      <c r="B894" s="195"/>
      <c r="C894" s="158" t="s">
        <v>500</v>
      </c>
      <c r="D894" s="132" t="s">
        <v>1524</v>
      </c>
      <c r="E894" s="54" t="s">
        <v>1558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82"/>
      <c r="B895" s="195"/>
      <c r="C895" s="158" t="s">
        <v>501</v>
      </c>
      <c r="D895" s="132" t="s">
        <v>1524</v>
      </c>
      <c r="E895" s="54" t="s">
        <v>1559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82"/>
      <c r="B896" s="195"/>
      <c r="C896" s="192" t="s">
        <v>502</v>
      </c>
      <c r="D896" s="132" t="s">
        <v>1524</v>
      </c>
      <c r="E896" s="54" t="s">
        <v>1560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82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82"/>
      <c r="B898" s="195"/>
      <c r="C898" s="171" t="s">
        <v>1571</v>
      </c>
      <c r="D898" s="171"/>
      <c r="E898" s="190" t="s">
        <v>186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82"/>
      <c r="B899" s="195"/>
      <c r="C899" s="158" t="s">
        <v>758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82"/>
      <c r="B900" s="195"/>
      <c r="C900" s="158" t="s">
        <v>762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82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82"/>
      <c r="B902" s="195"/>
      <c r="C902" s="171" t="s">
        <v>1563</v>
      </c>
      <c r="D902" s="171"/>
      <c r="E902" s="190" t="s">
        <v>1574</v>
      </c>
      <c r="F902" s="360"/>
      <c r="G902" s="360"/>
      <c r="H902" s="360"/>
      <c r="I902" s="360" t="s">
        <v>1576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82"/>
      <c r="B903" s="195"/>
      <c r="C903" s="157" t="s">
        <v>1564</v>
      </c>
      <c r="D903" s="171"/>
      <c r="E903" s="190" t="s">
        <v>1581</v>
      </c>
      <c r="F903" s="360"/>
      <c r="G903" s="360"/>
      <c r="H903" s="360"/>
      <c r="I903" s="360" t="s">
        <v>1769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82"/>
      <c r="B904" s="195"/>
      <c r="C904" s="158" t="s">
        <v>758</v>
      </c>
      <c r="D904" s="132"/>
      <c r="E904" s="63" t="s">
        <v>1575</v>
      </c>
      <c r="F904" s="361"/>
      <c r="G904" s="361"/>
      <c r="H904" s="361"/>
      <c r="I904" s="361" t="s">
        <v>1577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82"/>
      <c r="B905" s="195"/>
      <c r="C905" s="158" t="s">
        <v>759</v>
      </c>
      <c r="D905" s="132"/>
      <c r="E905" s="54" t="s">
        <v>1457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82"/>
      <c r="B906" s="195"/>
      <c r="C906" s="157" t="s">
        <v>1565</v>
      </c>
      <c r="D906" s="171"/>
      <c r="E906" s="156" t="s">
        <v>1587</v>
      </c>
      <c r="F906" s="360"/>
      <c r="G906" s="360"/>
      <c r="H906" s="360"/>
      <c r="I906" s="360" t="s">
        <v>1591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82"/>
      <c r="B907" s="195"/>
      <c r="C907" s="158" t="s">
        <v>760</v>
      </c>
      <c r="D907" s="132"/>
      <c r="E907" s="54" t="s">
        <v>1458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82"/>
      <c r="B908" s="195"/>
      <c r="C908" s="158" t="s">
        <v>761</v>
      </c>
      <c r="D908" s="132"/>
      <c r="E908" s="54" t="s">
        <v>1459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82"/>
      <c r="B909" s="195"/>
      <c r="C909" s="158" t="s">
        <v>762</v>
      </c>
      <c r="D909" s="132"/>
      <c r="E909" s="54" t="s">
        <v>1460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82"/>
      <c r="B910" s="195"/>
      <c r="C910" s="158" t="s">
        <v>763</v>
      </c>
      <c r="D910" s="132"/>
      <c r="E910" s="54" t="s">
        <v>1461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82"/>
      <c r="B911" s="195"/>
      <c r="C911" s="158" t="s">
        <v>764</v>
      </c>
      <c r="D911" s="132"/>
      <c r="E911" s="54" t="s">
        <v>1462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82"/>
      <c r="B912" s="195"/>
      <c r="C912" s="158" t="s">
        <v>765</v>
      </c>
      <c r="D912" s="132"/>
      <c r="E912" s="54" t="s">
        <v>1463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82"/>
      <c r="B913" s="195"/>
      <c r="C913" s="158" t="s">
        <v>766</v>
      </c>
      <c r="D913" s="132"/>
      <c r="E913" s="54" t="s">
        <v>1464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82"/>
      <c r="B914" s="195"/>
      <c r="C914" s="158" t="s">
        <v>767</v>
      </c>
      <c r="D914" s="132"/>
      <c r="E914" s="54" t="s">
        <v>1465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82"/>
      <c r="B915" s="195"/>
      <c r="C915" s="158" t="s">
        <v>768</v>
      </c>
      <c r="D915" s="132"/>
      <c r="E915" s="54" t="s">
        <v>1466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82"/>
      <c r="B916" s="195"/>
      <c r="C916" s="158" t="s">
        <v>769</v>
      </c>
      <c r="D916" s="132"/>
      <c r="E916" s="54" t="s">
        <v>1467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82"/>
      <c r="B917" s="195"/>
      <c r="C917" s="158" t="s">
        <v>770</v>
      </c>
      <c r="D917" s="132"/>
      <c r="E917" s="54" t="s">
        <v>1468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82"/>
      <c r="B918" s="195"/>
      <c r="C918" s="157" t="s">
        <v>1566</v>
      </c>
      <c r="D918" s="171"/>
      <c r="E918" s="156" t="s">
        <v>1583</v>
      </c>
      <c r="F918" s="360"/>
      <c r="G918" s="360"/>
      <c r="H918" s="360"/>
      <c r="I918" s="360" t="s">
        <v>1586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82"/>
      <c r="B919" s="195"/>
      <c r="C919" s="158" t="s">
        <v>636</v>
      </c>
      <c r="D919" s="132"/>
      <c r="E919" s="54" t="s">
        <v>1469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82"/>
      <c r="B920" s="195"/>
      <c r="C920" s="158" t="s">
        <v>637</v>
      </c>
      <c r="D920" s="132"/>
      <c r="E920" s="54" t="s">
        <v>1470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82"/>
      <c r="B921" s="195"/>
      <c r="C921" s="158" t="s">
        <v>638</v>
      </c>
      <c r="D921" s="132"/>
      <c r="E921" s="54" t="s">
        <v>1471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82"/>
      <c r="B922" s="195"/>
      <c r="C922" s="158" t="s">
        <v>639</v>
      </c>
      <c r="D922" s="132"/>
      <c r="E922" s="54" t="s">
        <v>1472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82"/>
      <c r="B923" s="195"/>
      <c r="C923" s="157" t="s">
        <v>1567</v>
      </c>
      <c r="D923" s="171"/>
      <c r="E923" s="156" t="s">
        <v>1588</v>
      </c>
      <c r="F923" s="360"/>
      <c r="G923" s="360"/>
      <c r="H923" s="360"/>
      <c r="I923" s="360" t="s">
        <v>1592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82"/>
      <c r="B924" s="195"/>
      <c r="C924" s="158" t="s">
        <v>640</v>
      </c>
      <c r="D924" s="132"/>
      <c r="E924" s="54" t="s">
        <v>1473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82"/>
      <c r="B925" s="195"/>
      <c r="C925" s="158" t="s">
        <v>641</v>
      </c>
      <c r="D925" s="132"/>
      <c r="E925" s="54" t="s">
        <v>1474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82"/>
      <c r="B926" s="195"/>
      <c r="C926" s="157" t="s">
        <v>1568</v>
      </c>
      <c r="D926" s="171"/>
      <c r="E926" s="156" t="s">
        <v>1589</v>
      </c>
      <c r="F926" s="360"/>
      <c r="G926" s="360"/>
      <c r="H926" s="360"/>
      <c r="I926" s="360" t="s">
        <v>1593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82"/>
      <c r="B927" s="195"/>
      <c r="C927" s="158" t="s">
        <v>486</v>
      </c>
      <c r="D927" s="132"/>
      <c r="E927" s="54" t="s">
        <v>1475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82"/>
      <c r="B928" s="195"/>
      <c r="C928" s="158" t="s">
        <v>487</v>
      </c>
      <c r="D928" s="132"/>
      <c r="E928" s="54" t="s">
        <v>1476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82"/>
      <c r="B929" s="195"/>
      <c r="C929" s="158" t="s">
        <v>490</v>
      </c>
      <c r="D929" s="132"/>
      <c r="E929" s="54" t="s">
        <v>1477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82"/>
      <c r="B930" s="195"/>
      <c r="C930" s="158" t="s">
        <v>491</v>
      </c>
      <c r="D930" s="132"/>
      <c r="E930" s="54" t="s">
        <v>1478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82"/>
      <c r="B931" s="195"/>
      <c r="C931" s="157" t="s">
        <v>1569</v>
      </c>
      <c r="D931" s="171"/>
      <c r="E931" s="156" t="s">
        <v>1590</v>
      </c>
      <c r="F931" s="360"/>
      <c r="G931" s="360"/>
      <c r="H931" s="360"/>
      <c r="I931" s="360" t="s">
        <v>1594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82"/>
      <c r="B932" s="195"/>
      <c r="C932" s="158" t="s">
        <v>494</v>
      </c>
      <c r="D932" s="132"/>
      <c r="E932" s="54" t="s">
        <v>1479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82"/>
      <c r="B933" s="195"/>
      <c r="C933" s="158" t="s">
        <v>495</v>
      </c>
      <c r="D933" s="132"/>
      <c r="E933" s="54" t="s">
        <v>1480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82"/>
      <c r="B934" s="195"/>
      <c r="C934" s="158" t="s">
        <v>496</v>
      </c>
      <c r="D934" s="132"/>
      <c r="E934" s="54" t="s">
        <v>1481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82"/>
      <c r="B935" s="195"/>
      <c r="C935" s="158" t="s">
        <v>497</v>
      </c>
      <c r="D935" s="132"/>
      <c r="E935" s="54" t="s">
        <v>1486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82"/>
      <c r="B936" s="195"/>
      <c r="C936" s="158" t="s">
        <v>498</v>
      </c>
      <c r="D936" s="132"/>
      <c r="E936" s="54" t="s">
        <v>1482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82"/>
      <c r="B937" s="195"/>
      <c r="C937" s="158" t="s">
        <v>499</v>
      </c>
      <c r="D937" s="132"/>
      <c r="E937" s="54" t="s">
        <v>1483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82"/>
      <c r="B938" s="195"/>
      <c r="C938" s="158" t="s">
        <v>500</v>
      </c>
      <c r="D938" s="132"/>
      <c r="E938" s="54" t="s">
        <v>1484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82"/>
      <c r="B939" s="195"/>
      <c r="C939" s="158" t="s">
        <v>501</v>
      </c>
      <c r="D939" s="132"/>
      <c r="E939" s="54" t="s">
        <v>1487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82"/>
      <c r="B940" s="195"/>
      <c r="C940" s="192" t="s">
        <v>502</v>
      </c>
      <c r="D940" s="132"/>
      <c r="E940" s="191" t="s">
        <v>1485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82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82"/>
      <c r="B942" s="195"/>
      <c r="C942" s="171" t="s">
        <v>1572</v>
      </c>
      <c r="D942" s="171"/>
      <c r="E942" s="193" t="s">
        <v>1579</v>
      </c>
      <c r="F942" s="360"/>
      <c r="G942" s="360"/>
      <c r="H942" s="360"/>
      <c r="I942" s="360" t="s">
        <v>1578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82"/>
      <c r="B943" s="195"/>
      <c r="C943" s="171" t="s">
        <v>1573</v>
      </c>
      <c r="D943" s="171"/>
      <c r="E943" s="190" t="s">
        <v>1580</v>
      </c>
      <c r="F943" s="360"/>
      <c r="G943" s="360"/>
      <c r="H943" s="360"/>
      <c r="I943" s="360" t="s">
        <v>182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82"/>
      <c r="B944" s="195"/>
      <c r="C944" s="132" t="s">
        <v>1561</v>
      </c>
      <c r="D944" s="132"/>
      <c r="E944" s="63" t="s">
        <v>1582</v>
      </c>
      <c r="F944" s="361"/>
      <c r="G944" s="361"/>
      <c r="H944" s="361"/>
      <c r="I944" s="361" t="s">
        <v>1585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82"/>
      <c r="B945" s="195"/>
      <c r="C945" s="132" t="s">
        <v>1562</v>
      </c>
      <c r="D945" s="132"/>
      <c r="E945" s="54" t="s">
        <v>1584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83"/>
      <c r="B946" s="55" t="s">
        <v>1026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82" t="s">
        <v>1023</v>
      </c>
      <c r="B947" s="394" t="s">
        <v>1024</v>
      </c>
      <c r="C947" s="173" t="s">
        <v>187</v>
      </c>
      <c r="D947" s="134"/>
      <c r="E947" s="57" t="s">
        <v>188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82"/>
      <c r="B948" s="394"/>
      <c r="C948" s="134"/>
      <c r="D948" s="134" t="s">
        <v>169</v>
      </c>
      <c r="E948" s="58" t="s">
        <v>189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82"/>
      <c r="B949" s="394"/>
      <c r="C949" s="134"/>
      <c r="D949" s="134" t="s">
        <v>162</v>
      </c>
      <c r="E949" s="57" t="s">
        <v>190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82"/>
      <c r="B950" s="394"/>
      <c r="C950" s="134"/>
      <c r="D950" s="134" t="s">
        <v>164</v>
      </c>
      <c r="E950" s="59" t="s">
        <v>191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82"/>
      <c r="B951" s="394"/>
      <c r="C951" s="173" t="s">
        <v>192</v>
      </c>
      <c r="D951" s="134"/>
      <c r="E951" s="57" t="s">
        <v>193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82"/>
      <c r="B952" s="394"/>
      <c r="C952" s="173" t="s">
        <v>194</v>
      </c>
      <c r="D952" s="134"/>
      <c r="E952" s="57" t="s">
        <v>195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82"/>
      <c r="B953" s="394"/>
      <c r="C953" s="134" t="s">
        <v>179</v>
      </c>
      <c r="D953" s="134"/>
      <c r="E953" s="57" t="s">
        <v>196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82"/>
      <c r="B954" s="394"/>
      <c r="C954" s="134"/>
      <c r="D954" s="134" t="s">
        <v>169</v>
      </c>
      <c r="E954" s="57" t="s">
        <v>197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82"/>
      <c r="B955" s="394"/>
      <c r="C955" s="134"/>
      <c r="D955" s="134" t="s">
        <v>162</v>
      </c>
      <c r="E955" s="57" t="s">
        <v>163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82"/>
      <c r="B956" s="394"/>
      <c r="C956" s="134"/>
      <c r="D956" s="134" t="s">
        <v>164</v>
      </c>
      <c r="E956" s="57" t="s">
        <v>163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82"/>
      <c r="B957" s="394"/>
      <c r="C957" s="134" t="s">
        <v>180</v>
      </c>
      <c r="D957" s="134"/>
      <c r="E957" s="57" t="s">
        <v>198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82"/>
      <c r="B958" s="394"/>
      <c r="C958" s="173" t="s">
        <v>199</v>
      </c>
      <c r="D958" s="134"/>
      <c r="E958" s="57" t="s">
        <v>200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82"/>
      <c r="B959" s="394"/>
      <c r="C959" s="173" t="s">
        <v>201</v>
      </c>
      <c r="D959" s="134"/>
      <c r="E959" s="57" t="s">
        <v>202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82"/>
      <c r="B960" s="394"/>
      <c r="C960" s="134"/>
      <c r="D960" s="134" t="s">
        <v>169</v>
      </c>
      <c r="E960" s="57" t="s">
        <v>203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82"/>
      <c r="B961" s="394"/>
      <c r="C961" s="134"/>
      <c r="D961" s="134" t="s">
        <v>162</v>
      </c>
      <c r="E961" s="57" t="s">
        <v>204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82"/>
      <c r="B962" s="394"/>
      <c r="C962" s="134"/>
      <c r="D962" s="134" t="s">
        <v>164</v>
      </c>
      <c r="E962" s="57" t="s">
        <v>205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82"/>
      <c r="B963" s="394"/>
      <c r="C963" s="173" t="s">
        <v>206</v>
      </c>
      <c r="D963" s="134"/>
      <c r="E963" s="57" t="s">
        <v>207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82"/>
      <c r="B964" s="394"/>
      <c r="C964" s="134" t="s">
        <v>183</v>
      </c>
      <c r="D964" s="134"/>
      <c r="E964" s="57" t="s">
        <v>208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82"/>
      <c r="B965" s="394"/>
      <c r="C965" s="134"/>
      <c r="D965" s="134" t="s">
        <v>169</v>
      </c>
      <c r="E965" s="57" t="s">
        <v>209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82"/>
      <c r="B966" s="394"/>
      <c r="C966" s="134"/>
      <c r="D966" s="134" t="s">
        <v>162</v>
      </c>
      <c r="E966" s="57" t="s">
        <v>210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82"/>
      <c r="B967" s="394"/>
      <c r="C967" s="134"/>
      <c r="D967" s="134" t="s">
        <v>164</v>
      </c>
      <c r="E967" s="57" t="s">
        <v>211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82"/>
      <c r="B968" s="394"/>
      <c r="C968" s="134" t="s">
        <v>184</v>
      </c>
      <c r="D968" s="134"/>
      <c r="E968" s="57" t="s">
        <v>212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82"/>
      <c r="B969" s="394"/>
      <c r="C969" s="134"/>
      <c r="D969" s="134" t="s">
        <v>169</v>
      </c>
      <c r="E969" s="57" t="s">
        <v>213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82"/>
      <c r="B970" s="394"/>
      <c r="C970" s="134"/>
      <c r="D970" s="134" t="s">
        <v>162</v>
      </c>
      <c r="E970" s="57" t="s">
        <v>214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82"/>
      <c r="B971" s="394"/>
      <c r="C971" s="134"/>
      <c r="D971" s="134" t="s">
        <v>164</v>
      </c>
      <c r="E971" s="57" t="s">
        <v>215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82"/>
      <c r="B972" s="394"/>
      <c r="C972" s="134" t="s">
        <v>185</v>
      </c>
      <c r="D972" s="134"/>
      <c r="E972" s="57" t="s">
        <v>216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82"/>
      <c r="B973" s="394"/>
      <c r="C973" s="134"/>
      <c r="D973" s="134" t="s">
        <v>169</v>
      </c>
      <c r="E973" s="57" t="s">
        <v>217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82"/>
      <c r="B974" s="394"/>
      <c r="C974" s="134"/>
      <c r="D974" s="134" t="s">
        <v>162</v>
      </c>
      <c r="E974" s="57" t="s">
        <v>218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82"/>
      <c r="B975" s="394"/>
      <c r="C975" s="134"/>
      <c r="D975" s="134" t="s">
        <v>164</v>
      </c>
      <c r="E975" s="57" t="s">
        <v>219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82"/>
      <c r="B976" s="394"/>
      <c r="C976" s="134" t="s">
        <v>181</v>
      </c>
      <c r="D976" s="134"/>
      <c r="E976" s="57" t="s">
        <v>220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82"/>
      <c r="B977" s="394"/>
      <c r="C977" s="134"/>
      <c r="D977" s="134" t="s">
        <v>169</v>
      </c>
      <c r="E977" s="57" t="s">
        <v>221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82"/>
      <c r="B978" s="394"/>
      <c r="C978" s="134"/>
      <c r="D978" s="134" t="s">
        <v>162</v>
      </c>
      <c r="E978" s="57" t="s">
        <v>222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82"/>
      <c r="B979" s="394"/>
      <c r="C979" s="134"/>
      <c r="D979" s="134" t="s">
        <v>164</v>
      </c>
      <c r="E979" s="59" t="s">
        <v>223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82"/>
      <c r="B980" s="395" t="s">
        <v>1025</v>
      </c>
      <c r="C980" s="174" t="s">
        <v>224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82"/>
      <c r="B981" s="395"/>
      <c r="C981" s="174" t="s">
        <v>225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82"/>
      <c r="B982" s="395"/>
      <c r="C982" s="174" t="s">
        <v>226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83"/>
      <c r="B983" s="396"/>
      <c r="C983" s="175" t="s">
        <v>227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99" t="s">
        <v>1007</v>
      </c>
      <c r="B984" s="397" t="s">
        <v>228</v>
      </c>
      <c r="C984" s="132" t="s">
        <v>229</v>
      </c>
      <c r="D984" s="132"/>
      <c r="E984" s="54" t="s">
        <v>230</v>
      </c>
      <c r="F984" s="361"/>
      <c r="G984" s="361"/>
      <c r="H984" s="361"/>
      <c r="I984" s="361"/>
      <c r="J984" s="361"/>
      <c r="K984" s="361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  <c r="Z984" s="361"/>
      <c r="AA984" s="361"/>
      <c r="AB984" s="361"/>
      <c r="AC984" s="361"/>
      <c r="AD984" s="361"/>
      <c r="AE984" s="361"/>
      <c r="AF984" s="361"/>
      <c r="AG984" s="361"/>
      <c r="AH984" s="361"/>
      <c r="AI984" s="361"/>
      <c r="AJ984" s="361"/>
      <c r="AK984" s="361"/>
      <c r="AL984" s="361"/>
      <c r="AM984" s="361"/>
      <c r="AN984" s="361"/>
      <c r="AO984" s="361"/>
    </row>
    <row r="985" spans="1:41" ht="15" customHeight="1" x14ac:dyDescent="0.25">
      <c r="A985" s="400"/>
      <c r="B985" s="397"/>
      <c r="C985" s="132" t="s">
        <v>231</v>
      </c>
      <c r="D985" s="132"/>
      <c r="E985" s="54" t="s">
        <v>232</v>
      </c>
      <c r="F985" s="361"/>
      <c r="G985" s="361"/>
      <c r="H985" s="361"/>
      <c r="I985" s="361"/>
      <c r="J985" s="361"/>
      <c r="K985" s="361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  <c r="Z985" s="361"/>
      <c r="AA985" s="361"/>
      <c r="AB985" s="361"/>
      <c r="AC985" s="361"/>
      <c r="AD985" s="361"/>
      <c r="AE985" s="361"/>
      <c r="AF985" s="361"/>
      <c r="AG985" s="361"/>
      <c r="AH985" s="361"/>
      <c r="AI985" s="361"/>
      <c r="AJ985" s="361"/>
      <c r="AK985" s="361"/>
      <c r="AL985" s="361"/>
      <c r="AM985" s="361"/>
      <c r="AN985" s="361"/>
      <c r="AO985" s="361"/>
    </row>
    <row r="986" spans="1:41" ht="15" customHeight="1" x14ac:dyDescent="0.25">
      <c r="A986" s="400"/>
      <c r="B986" s="397"/>
      <c r="C986" s="132" t="s">
        <v>2</v>
      </c>
      <c r="D986" s="132"/>
      <c r="E986" s="54" t="s">
        <v>233</v>
      </c>
      <c r="F986" s="361"/>
      <c r="G986" s="361"/>
      <c r="H986" s="361"/>
      <c r="I986" s="361"/>
      <c r="J986" s="361"/>
      <c r="K986" s="361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  <c r="Z986" s="361"/>
      <c r="AA986" s="361"/>
      <c r="AB986" s="361"/>
      <c r="AC986" s="361"/>
      <c r="AD986" s="361"/>
      <c r="AE986" s="361"/>
      <c r="AF986" s="361"/>
      <c r="AG986" s="361"/>
      <c r="AH986" s="361"/>
      <c r="AI986" s="361"/>
      <c r="AJ986" s="361"/>
      <c r="AK986" s="361"/>
      <c r="AL986" s="361"/>
      <c r="AM986" s="361"/>
      <c r="AN986" s="361"/>
      <c r="AO986" s="361"/>
    </row>
    <row r="987" spans="1:41" ht="15" customHeight="1" x14ac:dyDescent="0.25">
      <c r="A987" s="400"/>
      <c r="B987" s="397"/>
      <c r="C987" s="132" t="s">
        <v>234</v>
      </c>
      <c r="D987" s="132"/>
      <c r="E987" s="54" t="s">
        <v>235</v>
      </c>
      <c r="F987" s="361"/>
      <c r="G987" s="361"/>
      <c r="H987" s="361"/>
      <c r="I987" s="361"/>
      <c r="J987" s="361"/>
      <c r="K987" s="361"/>
      <c r="L987" s="361"/>
      <c r="M987" s="361"/>
      <c r="N987" s="361"/>
      <c r="O987" s="361"/>
      <c r="P987" s="361"/>
      <c r="Q987" s="361"/>
      <c r="R987" s="361"/>
      <c r="S987" s="361"/>
      <c r="T987" s="361"/>
      <c r="U987" s="361"/>
      <c r="V987" s="361"/>
      <c r="W987" s="361"/>
      <c r="X987" s="361"/>
      <c r="Y987" s="361"/>
      <c r="Z987" s="361"/>
      <c r="AA987" s="361"/>
      <c r="AB987" s="361"/>
      <c r="AC987" s="361"/>
      <c r="AD987" s="361"/>
      <c r="AE987" s="361"/>
      <c r="AF987" s="361"/>
      <c r="AG987" s="361"/>
      <c r="AH987" s="361"/>
      <c r="AI987" s="361"/>
      <c r="AJ987" s="361"/>
      <c r="AK987" s="361"/>
      <c r="AL987" s="361"/>
      <c r="AM987" s="361"/>
      <c r="AN987" s="361"/>
      <c r="AO987" s="361"/>
    </row>
    <row r="988" spans="1:41" ht="15" customHeight="1" x14ac:dyDescent="0.25">
      <c r="A988" s="400"/>
      <c r="B988" s="397"/>
      <c r="C988" s="132" t="s">
        <v>236</v>
      </c>
      <c r="D988" s="132"/>
      <c r="E988" s="54" t="s">
        <v>237</v>
      </c>
      <c r="F988" s="361"/>
      <c r="G988" s="361"/>
      <c r="H988" s="361"/>
      <c r="I988" s="361"/>
      <c r="J988" s="361"/>
      <c r="K988" s="361"/>
      <c r="L988" s="361"/>
      <c r="M988" s="361"/>
      <c r="N988" s="361"/>
      <c r="O988" s="361"/>
      <c r="P988" s="361"/>
      <c r="Q988" s="361"/>
      <c r="R988" s="361"/>
      <c r="S988" s="361"/>
      <c r="T988" s="361"/>
      <c r="U988" s="361"/>
      <c r="V988" s="361"/>
      <c r="W988" s="361"/>
      <c r="X988" s="361"/>
      <c r="Y988" s="361"/>
      <c r="Z988" s="361"/>
      <c r="AA988" s="361"/>
      <c r="AB988" s="361"/>
      <c r="AC988" s="361"/>
      <c r="AD988" s="361"/>
      <c r="AE988" s="361"/>
      <c r="AF988" s="361"/>
      <c r="AG988" s="361"/>
      <c r="AH988" s="361"/>
      <c r="AI988" s="361"/>
      <c r="AJ988" s="361"/>
      <c r="AK988" s="361"/>
      <c r="AL988" s="361"/>
      <c r="AM988" s="361"/>
      <c r="AN988" s="361"/>
      <c r="AO988" s="361"/>
    </row>
    <row r="989" spans="1:41" ht="15" customHeight="1" x14ac:dyDescent="0.25">
      <c r="A989" s="400"/>
      <c r="B989" s="397"/>
      <c r="C989" s="132" t="s">
        <v>3</v>
      </c>
      <c r="D989" s="132"/>
      <c r="E989" s="54" t="s">
        <v>238</v>
      </c>
      <c r="F989" s="361"/>
      <c r="G989" s="361"/>
      <c r="H989" s="361"/>
      <c r="I989" s="361"/>
      <c r="J989" s="361"/>
      <c r="K989" s="361"/>
      <c r="L989" s="361"/>
      <c r="M989" s="361"/>
      <c r="N989" s="361"/>
      <c r="O989" s="361"/>
      <c r="P989" s="361"/>
      <c r="Q989" s="361"/>
      <c r="R989" s="361"/>
      <c r="S989" s="361"/>
      <c r="T989" s="361"/>
      <c r="U989" s="361"/>
      <c r="V989" s="361"/>
      <c r="W989" s="361"/>
      <c r="X989" s="361"/>
      <c r="Y989" s="361"/>
      <c r="Z989" s="361"/>
      <c r="AA989" s="361"/>
      <c r="AB989" s="361"/>
      <c r="AC989" s="361"/>
      <c r="AD989" s="361"/>
      <c r="AE989" s="361"/>
      <c r="AF989" s="361"/>
      <c r="AG989" s="361"/>
      <c r="AH989" s="361"/>
      <c r="AI989" s="361"/>
      <c r="AJ989" s="361"/>
      <c r="AK989" s="361"/>
      <c r="AL989" s="361"/>
      <c r="AM989" s="361"/>
      <c r="AN989" s="361"/>
      <c r="AO989" s="361"/>
    </row>
    <row r="990" spans="1:41" ht="15" customHeight="1" x14ac:dyDescent="0.25">
      <c r="A990" s="400"/>
      <c r="B990" s="397"/>
      <c r="C990" s="132" t="s">
        <v>239</v>
      </c>
      <c r="D990" s="132"/>
      <c r="E990" s="54" t="s">
        <v>240</v>
      </c>
      <c r="F990" s="361"/>
      <c r="G990" s="361"/>
      <c r="H990" s="361"/>
      <c r="I990" s="361"/>
      <c r="J990" s="361"/>
      <c r="K990" s="361"/>
      <c r="L990" s="361"/>
      <c r="M990" s="361"/>
      <c r="N990" s="361"/>
      <c r="O990" s="361"/>
      <c r="P990" s="361"/>
      <c r="Q990" s="361"/>
      <c r="R990" s="361"/>
      <c r="S990" s="361"/>
      <c r="T990" s="361"/>
      <c r="U990" s="361"/>
      <c r="V990" s="361"/>
      <c r="W990" s="361"/>
      <c r="X990" s="361"/>
      <c r="Y990" s="361"/>
      <c r="Z990" s="361"/>
      <c r="AA990" s="361"/>
      <c r="AB990" s="361"/>
      <c r="AC990" s="361"/>
      <c r="AD990" s="361"/>
      <c r="AE990" s="361"/>
      <c r="AF990" s="361"/>
      <c r="AG990" s="361"/>
      <c r="AH990" s="361"/>
      <c r="AI990" s="361"/>
      <c r="AJ990" s="361"/>
      <c r="AK990" s="361"/>
      <c r="AL990" s="361"/>
      <c r="AM990" s="361"/>
      <c r="AN990" s="361"/>
      <c r="AO990" s="361"/>
    </row>
    <row r="991" spans="1:41" ht="15" customHeight="1" x14ac:dyDescent="0.25">
      <c r="A991" s="400"/>
      <c r="B991" s="397"/>
      <c r="C991" s="132" t="s">
        <v>241</v>
      </c>
      <c r="D991" s="132"/>
      <c r="E991" s="54" t="s">
        <v>242</v>
      </c>
      <c r="F991" s="361"/>
      <c r="G991" s="361"/>
      <c r="H991" s="361"/>
      <c r="I991" s="361"/>
      <c r="J991" s="361"/>
      <c r="K991" s="361"/>
      <c r="L991" s="361"/>
      <c r="M991" s="361"/>
      <c r="N991" s="361"/>
      <c r="O991" s="361"/>
      <c r="P991" s="361"/>
      <c r="Q991" s="361"/>
      <c r="R991" s="361"/>
      <c r="S991" s="361"/>
      <c r="T991" s="361"/>
      <c r="U991" s="361"/>
      <c r="V991" s="361"/>
      <c r="W991" s="361"/>
      <c r="X991" s="361"/>
      <c r="Y991" s="361"/>
      <c r="Z991" s="361"/>
      <c r="AA991" s="361"/>
      <c r="AB991" s="361"/>
      <c r="AC991" s="361"/>
      <c r="AD991" s="361"/>
      <c r="AE991" s="361"/>
      <c r="AF991" s="361"/>
      <c r="AG991" s="361"/>
      <c r="AH991" s="361"/>
      <c r="AI991" s="361"/>
      <c r="AJ991" s="361"/>
      <c r="AK991" s="361"/>
      <c r="AL991" s="361"/>
      <c r="AM991" s="361"/>
      <c r="AN991" s="361"/>
      <c r="AO991" s="361"/>
    </row>
    <row r="992" spans="1:41" ht="15" customHeight="1" x14ac:dyDescent="0.25">
      <c r="A992" s="400"/>
      <c r="B992" s="397"/>
      <c r="C992" s="132" t="s">
        <v>2</v>
      </c>
      <c r="D992" s="132" t="s">
        <v>243</v>
      </c>
      <c r="E992" s="54" t="s">
        <v>244</v>
      </c>
      <c r="F992" s="361"/>
      <c r="G992" s="361"/>
      <c r="H992" s="361"/>
      <c r="I992" s="361"/>
      <c r="J992" s="361"/>
      <c r="K992" s="361"/>
      <c r="L992" s="361"/>
      <c r="M992" s="361"/>
      <c r="N992" s="361"/>
      <c r="O992" s="361"/>
      <c r="P992" s="361"/>
      <c r="Q992" s="361"/>
      <c r="R992" s="361"/>
      <c r="S992" s="361"/>
      <c r="T992" s="361"/>
      <c r="U992" s="361"/>
      <c r="V992" s="361"/>
      <c r="W992" s="361"/>
      <c r="X992" s="361"/>
      <c r="Y992" s="361"/>
      <c r="Z992" s="361"/>
      <c r="AA992" s="361"/>
      <c r="AB992" s="361"/>
      <c r="AC992" s="361"/>
      <c r="AD992" s="361"/>
      <c r="AE992" s="361"/>
      <c r="AF992" s="361"/>
      <c r="AG992" s="361"/>
      <c r="AH992" s="361"/>
      <c r="AI992" s="361"/>
      <c r="AJ992" s="361"/>
      <c r="AK992" s="361"/>
      <c r="AL992" s="361"/>
      <c r="AM992" s="361"/>
      <c r="AN992" s="361"/>
      <c r="AO992" s="361"/>
    </row>
    <row r="993" spans="1:41" ht="15" customHeight="1" x14ac:dyDescent="0.25">
      <c r="A993" s="400"/>
      <c r="B993" s="397"/>
      <c r="C993" s="132" t="s">
        <v>3</v>
      </c>
      <c r="D993" s="132" t="s">
        <v>245</v>
      </c>
      <c r="E993" s="54" t="s">
        <v>246</v>
      </c>
      <c r="F993" s="361"/>
      <c r="G993" s="361"/>
      <c r="H993" s="361"/>
      <c r="I993" s="361"/>
      <c r="J993" s="361"/>
      <c r="K993" s="361"/>
      <c r="L993" s="361"/>
      <c r="M993" s="361"/>
      <c r="N993" s="361"/>
      <c r="O993" s="361"/>
      <c r="P993" s="361"/>
      <c r="Q993" s="361"/>
      <c r="R993" s="361"/>
      <c r="S993" s="361"/>
      <c r="T993" s="361"/>
      <c r="U993" s="361"/>
      <c r="V993" s="361"/>
      <c r="W993" s="361"/>
      <c r="X993" s="361"/>
      <c r="Y993" s="361"/>
      <c r="Z993" s="361"/>
      <c r="AA993" s="361"/>
      <c r="AB993" s="361"/>
      <c r="AC993" s="361"/>
      <c r="AD993" s="361"/>
      <c r="AE993" s="361"/>
      <c r="AF993" s="361"/>
      <c r="AG993" s="361"/>
      <c r="AH993" s="361"/>
      <c r="AI993" s="361"/>
      <c r="AJ993" s="361"/>
      <c r="AK993" s="361"/>
      <c r="AL993" s="361"/>
      <c r="AM993" s="361"/>
      <c r="AN993" s="361"/>
      <c r="AO993" s="361"/>
    </row>
    <row r="994" spans="1:41" ht="15" customHeight="1" x14ac:dyDescent="0.25">
      <c r="A994" s="400"/>
      <c r="B994" s="397"/>
      <c r="C994" s="132" t="s">
        <v>247</v>
      </c>
      <c r="D994" s="132"/>
      <c r="E994" s="54" t="s">
        <v>248</v>
      </c>
      <c r="F994" s="361"/>
      <c r="G994" s="361"/>
      <c r="H994" s="361"/>
      <c r="I994" s="361"/>
      <c r="J994" s="361"/>
      <c r="K994" s="361"/>
      <c r="L994" s="361"/>
      <c r="M994" s="361"/>
      <c r="N994" s="361"/>
      <c r="O994" s="361"/>
      <c r="P994" s="361"/>
      <c r="Q994" s="361"/>
      <c r="R994" s="361"/>
      <c r="S994" s="361"/>
      <c r="T994" s="361"/>
      <c r="U994" s="361"/>
      <c r="V994" s="361"/>
      <c r="W994" s="361"/>
      <c r="X994" s="361"/>
      <c r="Y994" s="361"/>
      <c r="Z994" s="361"/>
      <c r="AA994" s="361"/>
      <c r="AB994" s="361"/>
      <c r="AC994" s="361"/>
      <c r="AD994" s="361"/>
      <c r="AE994" s="361"/>
      <c r="AF994" s="361"/>
      <c r="AG994" s="361"/>
      <c r="AH994" s="361"/>
      <c r="AI994" s="361"/>
      <c r="AJ994" s="361"/>
      <c r="AK994" s="361"/>
      <c r="AL994" s="361"/>
      <c r="AM994" s="361"/>
      <c r="AN994" s="361"/>
      <c r="AO994" s="361"/>
    </row>
    <row r="995" spans="1:41" ht="15" customHeight="1" x14ac:dyDescent="0.25">
      <c r="A995" s="400"/>
      <c r="B995" s="397"/>
      <c r="C995" s="132" t="s">
        <v>249</v>
      </c>
      <c r="D995" s="132" t="s">
        <v>245</v>
      </c>
      <c r="E995" s="54" t="s">
        <v>250</v>
      </c>
      <c r="F995" s="361"/>
      <c r="G995" s="361"/>
      <c r="H995" s="361"/>
      <c r="I995" s="361"/>
      <c r="J995" s="361"/>
      <c r="K995" s="361"/>
      <c r="L995" s="361"/>
      <c r="M995" s="361"/>
      <c r="N995" s="361"/>
      <c r="O995" s="361"/>
      <c r="P995" s="361"/>
      <c r="Q995" s="361"/>
      <c r="R995" s="361"/>
      <c r="S995" s="361"/>
      <c r="T995" s="361"/>
      <c r="U995" s="361"/>
      <c r="V995" s="361"/>
      <c r="W995" s="361"/>
      <c r="X995" s="361"/>
      <c r="Y995" s="361"/>
      <c r="Z995" s="361"/>
      <c r="AA995" s="361"/>
      <c r="AB995" s="361"/>
      <c r="AC995" s="361"/>
      <c r="AD995" s="361"/>
      <c r="AE995" s="361"/>
      <c r="AF995" s="361"/>
      <c r="AG995" s="361"/>
      <c r="AH995" s="361"/>
      <c r="AI995" s="361"/>
      <c r="AJ995" s="361"/>
      <c r="AK995" s="361"/>
      <c r="AL995" s="361"/>
      <c r="AM995" s="361"/>
      <c r="AN995" s="361"/>
      <c r="AO995" s="361"/>
    </row>
    <row r="996" spans="1:41" ht="15" customHeight="1" x14ac:dyDescent="0.25">
      <c r="A996" s="400"/>
      <c r="B996" s="397"/>
      <c r="C996" s="132" t="s">
        <v>251</v>
      </c>
      <c r="D996" s="132"/>
      <c r="E996" s="54" t="s">
        <v>252</v>
      </c>
      <c r="F996" s="361"/>
      <c r="G996" s="361"/>
      <c r="H996" s="361"/>
      <c r="I996" s="361"/>
      <c r="J996" s="361"/>
      <c r="K996" s="361"/>
      <c r="L996" s="361"/>
      <c r="M996" s="361"/>
      <c r="N996" s="361"/>
      <c r="O996" s="361"/>
      <c r="P996" s="361"/>
      <c r="Q996" s="361"/>
      <c r="R996" s="361"/>
      <c r="S996" s="361"/>
      <c r="T996" s="361"/>
      <c r="U996" s="361"/>
      <c r="V996" s="361"/>
      <c r="W996" s="361"/>
      <c r="X996" s="361"/>
      <c r="Y996" s="361"/>
      <c r="Z996" s="361"/>
      <c r="AA996" s="361"/>
      <c r="AB996" s="361"/>
      <c r="AC996" s="361"/>
      <c r="AD996" s="361"/>
      <c r="AE996" s="361"/>
      <c r="AF996" s="361"/>
      <c r="AG996" s="361"/>
      <c r="AH996" s="361"/>
      <c r="AI996" s="361"/>
      <c r="AJ996" s="361"/>
      <c r="AK996" s="361"/>
      <c r="AL996" s="361"/>
      <c r="AM996" s="361"/>
      <c r="AN996" s="361"/>
      <c r="AO996" s="361"/>
    </row>
    <row r="997" spans="1:41" ht="15" customHeight="1" x14ac:dyDescent="0.25">
      <c r="A997" s="400"/>
      <c r="B997" s="397"/>
      <c r="C997" s="135" t="s">
        <v>2</v>
      </c>
      <c r="D997" s="135"/>
      <c r="E997" s="60" t="s">
        <v>253</v>
      </c>
      <c r="F997" s="361"/>
      <c r="G997" s="361"/>
      <c r="H997" s="361"/>
      <c r="I997" s="361"/>
      <c r="J997" s="361"/>
      <c r="K997" s="361"/>
      <c r="L997" s="361"/>
      <c r="M997" s="361"/>
      <c r="N997" s="361"/>
      <c r="O997" s="361"/>
      <c r="P997" s="361"/>
      <c r="Q997" s="361"/>
      <c r="R997" s="361"/>
      <c r="S997" s="361"/>
      <c r="T997" s="361"/>
      <c r="U997" s="361"/>
      <c r="V997" s="361"/>
      <c r="W997" s="361"/>
      <c r="X997" s="361"/>
      <c r="Y997" s="361"/>
      <c r="Z997" s="361"/>
      <c r="AA997" s="361"/>
      <c r="AB997" s="361"/>
      <c r="AC997" s="361"/>
      <c r="AD997" s="361"/>
      <c r="AE997" s="361"/>
      <c r="AF997" s="361"/>
      <c r="AG997" s="361"/>
      <c r="AH997" s="361"/>
      <c r="AI997" s="361"/>
      <c r="AJ997" s="361"/>
      <c r="AK997" s="361"/>
      <c r="AL997" s="361"/>
      <c r="AM997" s="361"/>
      <c r="AN997" s="361"/>
      <c r="AO997" s="361"/>
    </row>
    <row r="998" spans="1:41" ht="15" customHeight="1" x14ac:dyDescent="0.25">
      <c r="A998" s="400"/>
      <c r="B998" s="397"/>
      <c r="C998" s="132" t="s">
        <v>234</v>
      </c>
      <c r="D998" s="132"/>
      <c r="E998" s="54" t="s">
        <v>254</v>
      </c>
      <c r="F998" s="361"/>
      <c r="G998" s="361"/>
      <c r="H998" s="361"/>
      <c r="I998" s="361"/>
      <c r="J998" s="361"/>
      <c r="K998" s="361"/>
      <c r="L998" s="361"/>
      <c r="M998" s="361"/>
      <c r="N998" s="361"/>
      <c r="O998" s="361"/>
      <c r="P998" s="361"/>
      <c r="Q998" s="361"/>
      <c r="R998" s="361"/>
      <c r="S998" s="361"/>
      <c r="T998" s="361"/>
      <c r="U998" s="361"/>
      <c r="V998" s="361"/>
      <c r="W998" s="361"/>
      <c r="X998" s="361"/>
      <c r="Y998" s="361"/>
      <c r="Z998" s="361"/>
      <c r="AA998" s="361"/>
      <c r="AB998" s="361"/>
      <c r="AC998" s="361"/>
      <c r="AD998" s="361"/>
      <c r="AE998" s="361"/>
      <c r="AF998" s="361"/>
      <c r="AG998" s="361"/>
      <c r="AH998" s="361"/>
      <c r="AI998" s="361"/>
      <c r="AJ998" s="361"/>
      <c r="AK998" s="361"/>
      <c r="AL998" s="361"/>
      <c r="AM998" s="361"/>
      <c r="AN998" s="361"/>
      <c r="AO998" s="361"/>
    </row>
    <row r="999" spans="1:41" ht="15" customHeight="1" x14ac:dyDescent="0.25">
      <c r="A999" s="400"/>
      <c r="B999" s="397"/>
      <c r="C999" s="132" t="s">
        <v>236</v>
      </c>
      <c r="D999" s="132"/>
      <c r="E999" s="54" t="s">
        <v>255</v>
      </c>
      <c r="F999" s="361"/>
      <c r="G999" s="361"/>
      <c r="H999" s="361"/>
      <c r="I999" s="361"/>
      <c r="J999" s="361"/>
      <c r="K999" s="361"/>
      <c r="L999" s="361"/>
      <c r="M999" s="361"/>
      <c r="N999" s="361"/>
      <c r="O999" s="361"/>
      <c r="P999" s="361"/>
      <c r="Q999" s="361"/>
      <c r="R999" s="361"/>
      <c r="S999" s="361"/>
      <c r="T999" s="361"/>
      <c r="U999" s="361"/>
      <c r="V999" s="361"/>
      <c r="W999" s="361"/>
      <c r="X999" s="361"/>
      <c r="Y999" s="361"/>
      <c r="Z999" s="361"/>
      <c r="AA999" s="361"/>
      <c r="AB999" s="361"/>
      <c r="AC999" s="361"/>
      <c r="AD999" s="361"/>
      <c r="AE999" s="361"/>
      <c r="AF999" s="361"/>
      <c r="AG999" s="361"/>
      <c r="AH999" s="361"/>
      <c r="AI999" s="361"/>
      <c r="AJ999" s="361"/>
      <c r="AK999" s="361"/>
      <c r="AL999" s="361"/>
      <c r="AM999" s="361"/>
      <c r="AN999" s="361"/>
      <c r="AO999" s="361"/>
    </row>
    <row r="1000" spans="1:41" ht="15" customHeight="1" x14ac:dyDescent="0.25">
      <c r="A1000" s="400"/>
      <c r="B1000" s="397"/>
      <c r="C1000" s="132" t="s">
        <v>3</v>
      </c>
      <c r="D1000" s="132"/>
      <c r="E1000" s="54" t="s">
        <v>256</v>
      </c>
      <c r="F1000" s="361"/>
      <c r="G1000" s="361"/>
      <c r="H1000" s="361"/>
      <c r="I1000" s="361"/>
      <c r="J1000" s="361"/>
      <c r="K1000" s="361"/>
      <c r="L1000" s="361"/>
      <c r="M1000" s="361"/>
      <c r="N1000" s="361"/>
      <c r="O1000" s="361"/>
      <c r="P1000" s="361"/>
      <c r="Q1000" s="361"/>
      <c r="R1000" s="361"/>
      <c r="S1000" s="361"/>
      <c r="T1000" s="361"/>
      <c r="U1000" s="361"/>
      <c r="V1000" s="361"/>
      <c r="W1000" s="361"/>
      <c r="X1000" s="361"/>
      <c r="Y1000" s="361"/>
      <c r="Z1000" s="361"/>
      <c r="AA1000" s="361"/>
      <c r="AB1000" s="361"/>
      <c r="AC1000" s="361"/>
      <c r="AD1000" s="361"/>
      <c r="AE1000" s="361"/>
      <c r="AF1000" s="361"/>
      <c r="AG1000" s="361"/>
      <c r="AH1000" s="361"/>
      <c r="AI1000" s="361"/>
      <c r="AJ1000" s="361"/>
      <c r="AK1000" s="361"/>
      <c r="AL1000" s="361"/>
      <c r="AM1000" s="361"/>
      <c r="AN1000" s="361"/>
      <c r="AO1000" s="361"/>
    </row>
    <row r="1001" spans="1:41" ht="15" customHeight="1" x14ac:dyDescent="0.25">
      <c r="A1001" s="400"/>
      <c r="B1001" s="397"/>
      <c r="C1001" s="132" t="s">
        <v>247</v>
      </c>
      <c r="D1001" s="132"/>
      <c r="E1001" s="54" t="s">
        <v>257</v>
      </c>
      <c r="F1001" s="361"/>
      <c r="G1001" s="361"/>
      <c r="H1001" s="361"/>
      <c r="I1001" s="361"/>
      <c r="J1001" s="361"/>
      <c r="K1001" s="361"/>
      <c r="L1001" s="361"/>
      <c r="M1001" s="361"/>
      <c r="N1001" s="361"/>
      <c r="O1001" s="361"/>
      <c r="P1001" s="361"/>
      <c r="Q1001" s="361"/>
      <c r="R1001" s="361"/>
      <c r="S1001" s="361"/>
      <c r="T1001" s="361"/>
      <c r="U1001" s="361"/>
      <c r="V1001" s="361"/>
      <c r="W1001" s="361"/>
      <c r="X1001" s="361"/>
      <c r="Y1001" s="361"/>
      <c r="Z1001" s="361"/>
      <c r="AA1001" s="361"/>
      <c r="AB1001" s="361"/>
      <c r="AC1001" s="361"/>
      <c r="AD1001" s="361"/>
      <c r="AE1001" s="361"/>
      <c r="AF1001" s="361"/>
      <c r="AG1001" s="361"/>
      <c r="AH1001" s="361"/>
      <c r="AI1001" s="361"/>
      <c r="AJ1001" s="361"/>
      <c r="AK1001" s="361"/>
      <c r="AL1001" s="361"/>
      <c r="AM1001" s="361"/>
      <c r="AN1001" s="361"/>
      <c r="AO1001" s="361"/>
    </row>
    <row r="1002" spans="1:41" ht="15" customHeight="1" x14ac:dyDescent="0.25">
      <c r="A1002" s="400"/>
      <c r="B1002" s="397"/>
      <c r="C1002" s="132" t="s">
        <v>4</v>
      </c>
      <c r="D1002" s="132"/>
      <c r="E1002" s="54" t="s">
        <v>258</v>
      </c>
      <c r="F1002" s="361"/>
      <c r="G1002" s="361"/>
      <c r="H1002" s="361"/>
      <c r="I1002" s="361"/>
      <c r="J1002" s="361"/>
      <c r="K1002" s="361"/>
      <c r="L1002" s="361"/>
      <c r="M1002" s="361"/>
      <c r="N1002" s="361"/>
      <c r="O1002" s="361"/>
      <c r="P1002" s="361"/>
      <c r="Q1002" s="361"/>
      <c r="R1002" s="361"/>
      <c r="S1002" s="361"/>
      <c r="T1002" s="361"/>
      <c r="U1002" s="361"/>
      <c r="V1002" s="361"/>
      <c r="W1002" s="361"/>
      <c r="X1002" s="361"/>
      <c r="Y1002" s="361"/>
      <c r="Z1002" s="361"/>
      <c r="AA1002" s="361"/>
      <c r="AB1002" s="361"/>
      <c r="AC1002" s="361"/>
      <c r="AD1002" s="361"/>
      <c r="AE1002" s="361"/>
      <c r="AF1002" s="361"/>
      <c r="AG1002" s="361"/>
      <c r="AH1002" s="361"/>
      <c r="AI1002" s="361"/>
      <c r="AJ1002" s="361"/>
      <c r="AK1002" s="361"/>
      <c r="AL1002" s="361"/>
      <c r="AM1002" s="361"/>
      <c r="AN1002" s="361"/>
      <c r="AO1002" s="361"/>
    </row>
    <row r="1003" spans="1:41" ht="15" customHeight="1" x14ac:dyDescent="0.25">
      <c r="A1003" s="400"/>
      <c r="B1003" s="397"/>
      <c r="C1003" s="132" t="s">
        <v>5</v>
      </c>
      <c r="D1003" s="132"/>
      <c r="E1003" s="54" t="s">
        <v>259</v>
      </c>
      <c r="F1003" s="361"/>
      <c r="G1003" s="361"/>
      <c r="H1003" s="361"/>
      <c r="I1003" s="361"/>
      <c r="J1003" s="361"/>
      <c r="K1003" s="361"/>
      <c r="L1003" s="361"/>
      <c r="M1003" s="361"/>
      <c r="N1003" s="361"/>
      <c r="O1003" s="361"/>
      <c r="P1003" s="361"/>
      <c r="Q1003" s="361"/>
      <c r="R1003" s="361"/>
      <c r="S1003" s="361"/>
      <c r="T1003" s="361"/>
      <c r="U1003" s="361"/>
      <c r="V1003" s="361"/>
      <c r="W1003" s="361"/>
      <c r="X1003" s="361"/>
      <c r="Y1003" s="361"/>
      <c r="Z1003" s="361"/>
      <c r="AA1003" s="361"/>
      <c r="AB1003" s="361"/>
      <c r="AC1003" s="361"/>
      <c r="AD1003" s="361"/>
      <c r="AE1003" s="361"/>
      <c r="AF1003" s="361"/>
      <c r="AG1003" s="361"/>
      <c r="AH1003" s="361"/>
      <c r="AI1003" s="361"/>
      <c r="AJ1003" s="361"/>
      <c r="AK1003" s="361"/>
      <c r="AL1003" s="361"/>
      <c r="AM1003" s="361"/>
      <c r="AN1003" s="361"/>
      <c r="AO1003" s="361"/>
    </row>
    <row r="1004" spans="1:41" ht="15" customHeight="1" x14ac:dyDescent="0.25">
      <c r="A1004" s="400"/>
      <c r="B1004" s="397"/>
      <c r="C1004" s="132" t="s">
        <v>2</v>
      </c>
      <c r="D1004" s="132" t="s">
        <v>243</v>
      </c>
      <c r="E1004" s="54" t="s">
        <v>260</v>
      </c>
      <c r="F1004" s="361"/>
      <c r="G1004" s="361"/>
      <c r="H1004" s="361"/>
      <c r="I1004" s="361"/>
      <c r="J1004" s="361"/>
      <c r="K1004" s="361"/>
      <c r="L1004" s="361"/>
      <c r="M1004" s="361"/>
      <c r="N1004" s="361"/>
      <c r="O1004" s="361"/>
      <c r="P1004" s="361"/>
      <c r="Q1004" s="361"/>
      <c r="R1004" s="361"/>
      <c r="S1004" s="361"/>
      <c r="T1004" s="361"/>
      <c r="U1004" s="361"/>
      <c r="V1004" s="361"/>
      <c r="W1004" s="361"/>
      <c r="X1004" s="361"/>
      <c r="Y1004" s="361"/>
      <c r="Z1004" s="361"/>
      <c r="AA1004" s="361"/>
      <c r="AB1004" s="361"/>
      <c r="AC1004" s="361"/>
      <c r="AD1004" s="361"/>
      <c r="AE1004" s="361"/>
      <c r="AF1004" s="361"/>
      <c r="AG1004" s="361"/>
      <c r="AH1004" s="361"/>
      <c r="AI1004" s="361"/>
      <c r="AJ1004" s="361"/>
      <c r="AK1004" s="361"/>
      <c r="AL1004" s="361"/>
      <c r="AM1004" s="361"/>
      <c r="AN1004" s="361"/>
      <c r="AO1004" s="361"/>
    </row>
    <row r="1005" spans="1:41" ht="15" customHeight="1" x14ac:dyDescent="0.25">
      <c r="A1005" s="400"/>
      <c r="B1005" s="397"/>
      <c r="C1005" s="132" t="s">
        <v>3</v>
      </c>
      <c r="D1005" s="132" t="s">
        <v>245</v>
      </c>
      <c r="E1005" s="54" t="s">
        <v>261</v>
      </c>
      <c r="F1005" s="361"/>
      <c r="G1005" s="361"/>
      <c r="H1005" s="361"/>
      <c r="I1005" s="361"/>
      <c r="J1005" s="361"/>
      <c r="K1005" s="361"/>
      <c r="L1005" s="361"/>
      <c r="M1005" s="361"/>
      <c r="N1005" s="361"/>
      <c r="O1005" s="361"/>
      <c r="P1005" s="361"/>
      <c r="Q1005" s="361"/>
      <c r="R1005" s="361"/>
      <c r="S1005" s="361"/>
      <c r="T1005" s="361"/>
      <c r="U1005" s="361"/>
      <c r="V1005" s="361"/>
      <c r="W1005" s="361"/>
      <c r="X1005" s="361"/>
      <c r="Y1005" s="361"/>
      <c r="Z1005" s="361"/>
      <c r="AA1005" s="361"/>
      <c r="AB1005" s="361"/>
      <c r="AC1005" s="361"/>
      <c r="AD1005" s="361"/>
      <c r="AE1005" s="361"/>
      <c r="AF1005" s="361"/>
      <c r="AG1005" s="361"/>
      <c r="AH1005" s="361"/>
      <c r="AI1005" s="361"/>
      <c r="AJ1005" s="361"/>
      <c r="AK1005" s="361"/>
      <c r="AL1005" s="361"/>
      <c r="AM1005" s="361"/>
      <c r="AN1005" s="361"/>
      <c r="AO1005" s="361"/>
    </row>
    <row r="1006" spans="1:41" ht="15" customHeight="1" x14ac:dyDescent="0.25">
      <c r="A1006" s="400"/>
      <c r="B1006" s="397"/>
      <c r="C1006" s="132" t="s">
        <v>249</v>
      </c>
      <c r="D1006" s="132" t="s">
        <v>245</v>
      </c>
      <c r="E1006" s="54" t="s">
        <v>262</v>
      </c>
      <c r="F1006" s="361"/>
      <c r="G1006" s="361"/>
      <c r="H1006" s="361"/>
      <c r="I1006" s="361"/>
      <c r="J1006" s="361"/>
      <c r="K1006" s="361"/>
      <c r="L1006" s="361"/>
      <c r="M1006" s="361"/>
      <c r="N1006" s="361"/>
      <c r="O1006" s="361"/>
      <c r="P1006" s="361"/>
      <c r="Q1006" s="361"/>
      <c r="R1006" s="361"/>
      <c r="S1006" s="361"/>
      <c r="T1006" s="361"/>
      <c r="U1006" s="361"/>
      <c r="V1006" s="361"/>
      <c r="W1006" s="361"/>
      <c r="X1006" s="361"/>
      <c r="Y1006" s="361"/>
      <c r="Z1006" s="361"/>
      <c r="AA1006" s="361"/>
      <c r="AB1006" s="361"/>
      <c r="AC1006" s="361"/>
      <c r="AD1006" s="361"/>
      <c r="AE1006" s="361"/>
      <c r="AF1006" s="361"/>
      <c r="AG1006" s="361"/>
      <c r="AH1006" s="361"/>
      <c r="AI1006" s="361"/>
      <c r="AJ1006" s="361"/>
      <c r="AK1006" s="361"/>
      <c r="AL1006" s="361"/>
      <c r="AM1006" s="361"/>
      <c r="AN1006" s="361"/>
      <c r="AO1006" s="361"/>
    </row>
    <row r="1007" spans="1:41" ht="15" customHeight="1" x14ac:dyDescent="0.25">
      <c r="A1007" s="400"/>
      <c r="B1007" s="397"/>
      <c r="C1007" s="136" t="s">
        <v>251</v>
      </c>
      <c r="D1007" s="136"/>
      <c r="E1007" s="61" t="s">
        <v>263</v>
      </c>
      <c r="F1007" s="361"/>
      <c r="G1007" s="361"/>
      <c r="H1007" s="361"/>
      <c r="I1007" s="361"/>
      <c r="J1007" s="361"/>
      <c r="K1007" s="361"/>
      <c r="L1007" s="361"/>
      <c r="M1007" s="361"/>
      <c r="N1007" s="361"/>
      <c r="O1007" s="361"/>
      <c r="P1007" s="361"/>
      <c r="Q1007" s="361"/>
      <c r="R1007" s="361"/>
      <c r="S1007" s="361"/>
      <c r="T1007" s="361"/>
      <c r="U1007" s="361"/>
      <c r="V1007" s="361"/>
      <c r="W1007" s="361"/>
      <c r="X1007" s="361"/>
      <c r="Y1007" s="361"/>
      <c r="Z1007" s="361"/>
      <c r="AA1007" s="361"/>
      <c r="AB1007" s="361"/>
      <c r="AC1007" s="361"/>
      <c r="AD1007" s="361"/>
      <c r="AE1007" s="361"/>
      <c r="AF1007" s="361"/>
      <c r="AG1007" s="361"/>
      <c r="AH1007" s="361"/>
      <c r="AI1007" s="361"/>
      <c r="AJ1007" s="361"/>
      <c r="AK1007" s="361"/>
      <c r="AL1007" s="361"/>
      <c r="AM1007" s="361"/>
      <c r="AN1007" s="361"/>
      <c r="AO1007" s="361"/>
    </row>
    <row r="1008" spans="1:41" ht="15" customHeight="1" x14ac:dyDescent="0.25">
      <c r="A1008" s="400"/>
      <c r="B1008" s="397"/>
      <c r="C1008" s="132" t="s">
        <v>264</v>
      </c>
      <c r="D1008" s="135"/>
      <c r="E1008" s="60" t="s">
        <v>265</v>
      </c>
      <c r="F1008" s="361"/>
      <c r="G1008" s="361"/>
      <c r="H1008" s="361"/>
      <c r="I1008" s="361"/>
      <c r="J1008" s="361"/>
      <c r="K1008" s="361"/>
      <c r="L1008" s="361"/>
      <c r="M1008" s="361"/>
      <c r="N1008" s="361"/>
      <c r="O1008" s="361"/>
      <c r="P1008" s="361"/>
      <c r="Q1008" s="361"/>
      <c r="R1008" s="361"/>
      <c r="S1008" s="361"/>
      <c r="T1008" s="361"/>
      <c r="U1008" s="361"/>
      <c r="V1008" s="361"/>
      <c r="W1008" s="361"/>
      <c r="X1008" s="361"/>
      <c r="Y1008" s="361"/>
      <c r="Z1008" s="361"/>
      <c r="AA1008" s="361"/>
      <c r="AB1008" s="361"/>
      <c r="AC1008" s="361"/>
      <c r="AD1008" s="361"/>
      <c r="AE1008" s="361"/>
      <c r="AF1008" s="361"/>
      <c r="AG1008" s="361"/>
      <c r="AH1008" s="361"/>
      <c r="AI1008" s="361"/>
      <c r="AJ1008" s="361"/>
      <c r="AK1008" s="361"/>
      <c r="AL1008" s="361"/>
      <c r="AM1008" s="361"/>
      <c r="AN1008" s="361"/>
      <c r="AO1008" s="361"/>
    </row>
    <row r="1009" spans="1:41" ht="15" customHeight="1" x14ac:dyDescent="0.25">
      <c r="A1009" s="400"/>
      <c r="B1009" s="397"/>
      <c r="C1009" s="132" t="s">
        <v>266</v>
      </c>
      <c r="D1009" s="132"/>
      <c r="E1009" s="54" t="s">
        <v>267</v>
      </c>
      <c r="F1009" s="361"/>
      <c r="G1009" s="361"/>
      <c r="H1009" s="361"/>
      <c r="I1009" s="361"/>
      <c r="J1009" s="361"/>
      <c r="K1009" s="361"/>
      <c r="L1009" s="361"/>
      <c r="M1009" s="361"/>
      <c r="N1009" s="361"/>
      <c r="O1009" s="361"/>
      <c r="P1009" s="361"/>
      <c r="Q1009" s="361"/>
      <c r="R1009" s="361"/>
      <c r="S1009" s="361"/>
      <c r="T1009" s="361"/>
      <c r="U1009" s="361"/>
      <c r="V1009" s="361"/>
      <c r="W1009" s="361"/>
      <c r="X1009" s="361"/>
      <c r="Y1009" s="361"/>
      <c r="Z1009" s="361"/>
      <c r="AA1009" s="361"/>
      <c r="AB1009" s="361"/>
      <c r="AC1009" s="361"/>
      <c r="AD1009" s="361"/>
      <c r="AE1009" s="361"/>
      <c r="AF1009" s="361"/>
      <c r="AG1009" s="361"/>
      <c r="AH1009" s="361"/>
      <c r="AI1009" s="361"/>
      <c r="AJ1009" s="361"/>
      <c r="AK1009" s="361"/>
      <c r="AL1009" s="361"/>
      <c r="AM1009" s="361"/>
      <c r="AN1009" s="361"/>
      <c r="AO1009" s="361"/>
    </row>
    <row r="1010" spans="1:41" ht="15" customHeight="1" x14ac:dyDescent="0.25">
      <c r="A1010" s="400"/>
      <c r="B1010" s="397"/>
      <c r="C1010" s="132" t="s">
        <v>268</v>
      </c>
      <c r="D1010" s="132"/>
      <c r="E1010" s="54" t="s">
        <v>269</v>
      </c>
      <c r="F1010" s="361"/>
      <c r="G1010" s="361"/>
      <c r="H1010" s="361"/>
      <c r="I1010" s="361"/>
      <c r="J1010" s="361"/>
      <c r="K1010" s="361"/>
      <c r="L1010" s="361"/>
      <c r="M1010" s="361"/>
      <c r="N1010" s="361"/>
      <c r="O1010" s="361"/>
      <c r="P1010" s="361"/>
      <c r="Q1010" s="361"/>
      <c r="R1010" s="361"/>
      <c r="S1010" s="361"/>
      <c r="T1010" s="361"/>
      <c r="U1010" s="361"/>
      <c r="V1010" s="361"/>
      <c r="W1010" s="361"/>
      <c r="X1010" s="361"/>
      <c r="Y1010" s="361"/>
      <c r="Z1010" s="361"/>
      <c r="AA1010" s="361"/>
      <c r="AB1010" s="361"/>
      <c r="AC1010" s="361"/>
      <c r="AD1010" s="361"/>
      <c r="AE1010" s="361"/>
      <c r="AF1010" s="361"/>
      <c r="AG1010" s="361"/>
      <c r="AH1010" s="361"/>
      <c r="AI1010" s="361"/>
      <c r="AJ1010" s="361"/>
      <c r="AK1010" s="361"/>
      <c r="AL1010" s="361"/>
      <c r="AM1010" s="361"/>
      <c r="AN1010" s="361"/>
      <c r="AO1010" s="361"/>
    </row>
    <row r="1011" spans="1:41" ht="15" customHeight="1" x14ac:dyDescent="0.25">
      <c r="A1011" s="400"/>
      <c r="B1011" s="397"/>
      <c r="C1011" s="132" t="s">
        <v>270</v>
      </c>
      <c r="D1011" s="132"/>
      <c r="E1011" s="54" t="s">
        <v>271</v>
      </c>
      <c r="F1011" s="361"/>
      <c r="G1011" s="361"/>
      <c r="H1011" s="361"/>
      <c r="I1011" s="361"/>
      <c r="J1011" s="361"/>
      <c r="K1011" s="361"/>
      <c r="L1011" s="361"/>
      <c r="M1011" s="361"/>
      <c r="N1011" s="361"/>
      <c r="O1011" s="361"/>
      <c r="P1011" s="361"/>
      <c r="Q1011" s="361"/>
      <c r="R1011" s="361"/>
      <c r="S1011" s="361"/>
      <c r="T1011" s="361"/>
      <c r="U1011" s="361"/>
      <c r="V1011" s="361"/>
      <c r="W1011" s="361"/>
      <c r="X1011" s="361"/>
      <c r="Y1011" s="361"/>
      <c r="Z1011" s="361"/>
      <c r="AA1011" s="361"/>
      <c r="AB1011" s="361"/>
      <c r="AC1011" s="361"/>
      <c r="AD1011" s="361"/>
      <c r="AE1011" s="361"/>
      <c r="AF1011" s="361"/>
      <c r="AG1011" s="361"/>
      <c r="AH1011" s="361"/>
      <c r="AI1011" s="361"/>
      <c r="AJ1011" s="361"/>
      <c r="AK1011" s="361"/>
      <c r="AL1011" s="361"/>
      <c r="AM1011" s="361"/>
      <c r="AN1011" s="361"/>
      <c r="AO1011" s="361"/>
    </row>
    <row r="1012" spans="1:41" ht="15" customHeight="1" x14ac:dyDescent="0.25">
      <c r="A1012" s="400"/>
      <c r="B1012" s="397"/>
      <c r="C1012" s="132" t="s">
        <v>272</v>
      </c>
      <c r="D1012" s="136"/>
      <c r="E1012" s="61" t="s">
        <v>273</v>
      </c>
      <c r="F1012" s="361"/>
      <c r="G1012" s="361"/>
      <c r="H1012" s="361"/>
      <c r="I1012" s="361"/>
      <c r="J1012" s="361"/>
      <c r="K1012" s="361"/>
      <c r="L1012" s="361"/>
      <c r="M1012" s="361"/>
      <c r="N1012" s="361"/>
      <c r="O1012" s="361"/>
      <c r="P1012" s="361"/>
      <c r="Q1012" s="361"/>
      <c r="R1012" s="361"/>
      <c r="S1012" s="361"/>
      <c r="T1012" s="361"/>
      <c r="U1012" s="361"/>
      <c r="V1012" s="361"/>
      <c r="W1012" s="361"/>
      <c r="X1012" s="361"/>
      <c r="Y1012" s="361"/>
      <c r="Z1012" s="361"/>
      <c r="AA1012" s="361"/>
      <c r="AB1012" s="361"/>
      <c r="AC1012" s="361"/>
      <c r="AD1012" s="361"/>
      <c r="AE1012" s="361"/>
      <c r="AF1012" s="361"/>
      <c r="AG1012" s="361"/>
      <c r="AH1012" s="361"/>
      <c r="AI1012" s="361"/>
      <c r="AJ1012" s="361"/>
      <c r="AK1012" s="361"/>
      <c r="AL1012" s="361"/>
      <c r="AM1012" s="361"/>
      <c r="AN1012" s="361"/>
      <c r="AO1012" s="361"/>
    </row>
    <row r="1013" spans="1:41" ht="15" customHeight="1" x14ac:dyDescent="0.25">
      <c r="A1013" s="400"/>
      <c r="B1013" s="397"/>
      <c r="C1013" s="135" t="s">
        <v>274</v>
      </c>
      <c r="D1013" s="135"/>
      <c r="E1013" s="60" t="s">
        <v>275</v>
      </c>
      <c r="F1013" s="361"/>
      <c r="G1013" s="361"/>
      <c r="H1013" s="361"/>
      <c r="I1013" s="361"/>
      <c r="J1013" s="361"/>
      <c r="K1013" s="361"/>
      <c r="L1013" s="361"/>
      <c r="M1013" s="361"/>
      <c r="N1013" s="361"/>
      <c r="O1013" s="361"/>
      <c r="P1013" s="361"/>
      <c r="Q1013" s="361"/>
      <c r="R1013" s="361"/>
      <c r="S1013" s="361"/>
      <c r="T1013" s="361"/>
      <c r="U1013" s="361"/>
      <c r="V1013" s="361"/>
      <c r="W1013" s="361"/>
      <c r="X1013" s="361"/>
      <c r="Y1013" s="361"/>
      <c r="Z1013" s="361"/>
      <c r="AA1013" s="361"/>
      <c r="AB1013" s="361"/>
      <c r="AC1013" s="361"/>
      <c r="AD1013" s="361"/>
      <c r="AE1013" s="361"/>
      <c r="AF1013" s="361"/>
      <c r="AG1013" s="361"/>
      <c r="AH1013" s="361"/>
      <c r="AI1013" s="361"/>
      <c r="AJ1013" s="361"/>
      <c r="AK1013" s="361"/>
      <c r="AL1013" s="361"/>
      <c r="AM1013" s="361"/>
      <c r="AN1013" s="361"/>
      <c r="AO1013" s="361"/>
    </row>
    <row r="1014" spans="1:41" ht="15" customHeight="1" x14ac:dyDescent="0.25">
      <c r="A1014" s="400"/>
      <c r="B1014" s="397"/>
      <c r="C1014" s="132" t="s">
        <v>276</v>
      </c>
      <c r="D1014" s="132"/>
      <c r="E1014" s="54" t="s">
        <v>277</v>
      </c>
      <c r="F1014" s="361"/>
      <c r="G1014" s="361"/>
      <c r="H1014" s="361"/>
      <c r="I1014" s="361"/>
      <c r="J1014" s="361"/>
      <c r="K1014" s="361"/>
      <c r="L1014" s="361"/>
      <c r="M1014" s="361"/>
      <c r="N1014" s="361"/>
      <c r="O1014" s="361"/>
      <c r="P1014" s="361"/>
      <c r="Q1014" s="361"/>
      <c r="R1014" s="361"/>
      <c r="S1014" s="361"/>
      <c r="T1014" s="361"/>
      <c r="U1014" s="361"/>
      <c r="V1014" s="361"/>
      <c r="W1014" s="361"/>
      <c r="X1014" s="361"/>
      <c r="Y1014" s="361"/>
      <c r="Z1014" s="361"/>
      <c r="AA1014" s="361"/>
      <c r="AB1014" s="361"/>
      <c r="AC1014" s="361"/>
      <c r="AD1014" s="361"/>
      <c r="AE1014" s="361"/>
      <c r="AF1014" s="361"/>
      <c r="AG1014" s="361"/>
      <c r="AH1014" s="361"/>
      <c r="AI1014" s="361"/>
      <c r="AJ1014" s="361"/>
      <c r="AK1014" s="361"/>
      <c r="AL1014" s="361"/>
      <c r="AM1014" s="361"/>
      <c r="AN1014" s="361"/>
      <c r="AO1014" s="361"/>
    </row>
    <row r="1015" spans="1:41" ht="15" customHeight="1" x14ac:dyDescent="0.25">
      <c r="A1015" s="400"/>
      <c r="B1015" s="397"/>
      <c r="C1015" s="132" t="s">
        <v>7</v>
      </c>
      <c r="D1015" s="132"/>
      <c r="E1015" s="54" t="s">
        <v>278</v>
      </c>
      <c r="F1015" s="361"/>
      <c r="G1015" s="361"/>
      <c r="H1015" s="361"/>
      <c r="I1015" s="361"/>
      <c r="J1015" s="361"/>
      <c r="K1015" s="361"/>
      <c r="L1015" s="361"/>
      <c r="M1015" s="361"/>
      <c r="N1015" s="361"/>
      <c r="O1015" s="361"/>
      <c r="P1015" s="361"/>
      <c r="Q1015" s="361"/>
      <c r="R1015" s="361"/>
      <c r="S1015" s="361"/>
      <c r="T1015" s="361"/>
      <c r="U1015" s="361"/>
      <c r="V1015" s="361"/>
      <c r="W1015" s="361"/>
      <c r="X1015" s="361"/>
      <c r="Y1015" s="361"/>
      <c r="Z1015" s="361"/>
      <c r="AA1015" s="361"/>
      <c r="AB1015" s="361"/>
      <c r="AC1015" s="361"/>
      <c r="AD1015" s="361"/>
      <c r="AE1015" s="361"/>
      <c r="AF1015" s="361"/>
      <c r="AG1015" s="361"/>
      <c r="AH1015" s="361"/>
      <c r="AI1015" s="361"/>
      <c r="AJ1015" s="361"/>
      <c r="AK1015" s="361"/>
      <c r="AL1015" s="361"/>
      <c r="AM1015" s="361"/>
      <c r="AN1015" s="361"/>
      <c r="AO1015" s="361"/>
    </row>
    <row r="1016" spans="1:41" ht="15" customHeight="1" x14ac:dyDescent="0.25">
      <c r="A1016" s="400"/>
      <c r="B1016" s="397"/>
      <c r="C1016" s="136" t="s">
        <v>8</v>
      </c>
      <c r="D1016" s="136"/>
      <c r="E1016" s="61" t="s">
        <v>279</v>
      </c>
      <c r="F1016" s="361"/>
      <c r="G1016" s="361"/>
      <c r="H1016" s="361"/>
      <c r="I1016" s="361"/>
      <c r="J1016" s="361"/>
      <c r="K1016" s="361"/>
      <c r="L1016" s="361"/>
      <c r="M1016" s="361"/>
      <c r="N1016" s="361"/>
      <c r="O1016" s="361"/>
      <c r="P1016" s="361"/>
      <c r="Q1016" s="361"/>
      <c r="R1016" s="361"/>
      <c r="S1016" s="361"/>
      <c r="T1016" s="361"/>
      <c r="U1016" s="361"/>
      <c r="V1016" s="361"/>
      <c r="W1016" s="361"/>
      <c r="X1016" s="361"/>
      <c r="Y1016" s="361"/>
      <c r="Z1016" s="361"/>
      <c r="AA1016" s="361"/>
      <c r="AB1016" s="361"/>
      <c r="AC1016" s="361"/>
      <c r="AD1016" s="361"/>
      <c r="AE1016" s="361"/>
      <c r="AF1016" s="361"/>
      <c r="AG1016" s="361"/>
      <c r="AH1016" s="361"/>
      <c r="AI1016" s="361"/>
      <c r="AJ1016" s="361"/>
      <c r="AK1016" s="361"/>
      <c r="AL1016" s="361"/>
      <c r="AM1016" s="361"/>
      <c r="AN1016" s="361"/>
      <c r="AO1016" s="361"/>
    </row>
    <row r="1017" spans="1:41" ht="15" customHeight="1" x14ac:dyDescent="0.25">
      <c r="A1017" s="400"/>
      <c r="B1017" s="397"/>
      <c r="C1017" s="135" t="s">
        <v>280</v>
      </c>
      <c r="D1017" s="135"/>
      <c r="E1017" s="60" t="s">
        <v>281</v>
      </c>
      <c r="F1017" s="361"/>
      <c r="G1017" s="361"/>
      <c r="H1017" s="361"/>
      <c r="I1017" s="361"/>
      <c r="J1017" s="361"/>
      <c r="K1017" s="361"/>
      <c r="L1017" s="361"/>
      <c r="M1017" s="361"/>
      <c r="N1017" s="361"/>
      <c r="O1017" s="361"/>
      <c r="P1017" s="361"/>
      <c r="Q1017" s="361"/>
      <c r="R1017" s="361"/>
      <c r="S1017" s="361"/>
      <c r="T1017" s="361"/>
      <c r="U1017" s="361"/>
      <c r="V1017" s="361"/>
      <c r="W1017" s="361"/>
      <c r="X1017" s="361"/>
      <c r="Y1017" s="361"/>
      <c r="Z1017" s="361"/>
      <c r="AA1017" s="361"/>
      <c r="AB1017" s="361"/>
      <c r="AC1017" s="361"/>
      <c r="AD1017" s="361"/>
      <c r="AE1017" s="361"/>
      <c r="AF1017" s="361"/>
      <c r="AG1017" s="361"/>
      <c r="AH1017" s="361"/>
      <c r="AI1017" s="361"/>
      <c r="AJ1017" s="361"/>
      <c r="AK1017" s="361"/>
      <c r="AL1017" s="361"/>
      <c r="AM1017" s="361"/>
      <c r="AN1017" s="361"/>
      <c r="AO1017" s="361"/>
    </row>
    <row r="1018" spans="1:41" ht="15" customHeight="1" x14ac:dyDescent="0.25">
      <c r="A1018" s="400"/>
      <c r="B1018" s="397"/>
      <c r="C1018" s="132" t="s">
        <v>282</v>
      </c>
      <c r="D1018" s="132"/>
      <c r="E1018" s="54" t="s">
        <v>283</v>
      </c>
      <c r="F1018" s="361"/>
      <c r="G1018" s="361"/>
      <c r="H1018" s="361"/>
      <c r="I1018" s="361"/>
      <c r="J1018" s="361"/>
      <c r="K1018" s="361"/>
      <c r="L1018" s="361"/>
      <c r="M1018" s="361"/>
      <c r="N1018" s="361"/>
      <c r="O1018" s="361"/>
      <c r="P1018" s="361"/>
      <c r="Q1018" s="361"/>
      <c r="R1018" s="361"/>
      <c r="S1018" s="361"/>
      <c r="T1018" s="361"/>
      <c r="U1018" s="361"/>
      <c r="V1018" s="361"/>
      <c r="W1018" s="361"/>
      <c r="X1018" s="361"/>
      <c r="Y1018" s="361"/>
      <c r="Z1018" s="361"/>
      <c r="AA1018" s="361"/>
      <c r="AB1018" s="361"/>
      <c r="AC1018" s="361"/>
      <c r="AD1018" s="361"/>
      <c r="AE1018" s="361"/>
      <c r="AF1018" s="361"/>
      <c r="AG1018" s="361"/>
      <c r="AH1018" s="361"/>
      <c r="AI1018" s="361"/>
      <c r="AJ1018" s="361"/>
      <c r="AK1018" s="361"/>
      <c r="AL1018" s="361"/>
      <c r="AM1018" s="361"/>
      <c r="AN1018" s="361"/>
      <c r="AO1018" s="361"/>
    </row>
    <row r="1019" spans="1:41" ht="15" customHeight="1" x14ac:dyDescent="0.25">
      <c r="A1019" s="400"/>
      <c r="B1019" s="397"/>
      <c r="C1019" s="132" t="s">
        <v>284</v>
      </c>
      <c r="D1019" s="132"/>
      <c r="E1019" s="54" t="s">
        <v>285</v>
      </c>
      <c r="F1019" s="361"/>
      <c r="G1019" s="361"/>
      <c r="H1019" s="361"/>
      <c r="I1019" s="361"/>
      <c r="J1019" s="361"/>
      <c r="K1019" s="361"/>
      <c r="L1019" s="361"/>
      <c r="M1019" s="361"/>
      <c r="N1019" s="361"/>
      <c r="O1019" s="361"/>
      <c r="P1019" s="361"/>
      <c r="Q1019" s="361"/>
      <c r="R1019" s="361"/>
      <c r="S1019" s="361"/>
      <c r="T1019" s="361"/>
      <c r="U1019" s="361"/>
      <c r="V1019" s="361"/>
      <c r="W1019" s="361"/>
      <c r="X1019" s="361"/>
      <c r="Y1019" s="361"/>
      <c r="Z1019" s="361"/>
      <c r="AA1019" s="361"/>
      <c r="AB1019" s="361"/>
      <c r="AC1019" s="361"/>
      <c r="AD1019" s="361"/>
      <c r="AE1019" s="361"/>
      <c r="AF1019" s="361"/>
      <c r="AG1019" s="361"/>
      <c r="AH1019" s="361"/>
      <c r="AI1019" s="361"/>
      <c r="AJ1019" s="361"/>
      <c r="AK1019" s="361"/>
      <c r="AL1019" s="361"/>
      <c r="AM1019" s="361"/>
      <c r="AN1019" s="361"/>
      <c r="AO1019" s="361"/>
    </row>
    <row r="1020" spans="1:41" ht="15" customHeight="1" x14ac:dyDescent="0.25">
      <c r="A1020" s="400"/>
      <c r="B1020" s="397"/>
      <c r="C1020" s="132" t="s">
        <v>286</v>
      </c>
      <c r="D1020" s="132"/>
      <c r="E1020" s="54" t="s">
        <v>287</v>
      </c>
      <c r="F1020" s="361"/>
      <c r="G1020" s="361"/>
      <c r="H1020" s="361"/>
      <c r="I1020" s="361"/>
      <c r="J1020" s="361"/>
      <c r="K1020" s="361"/>
      <c r="L1020" s="361"/>
      <c r="M1020" s="361"/>
      <c r="N1020" s="361"/>
      <c r="O1020" s="361"/>
      <c r="P1020" s="361"/>
      <c r="Q1020" s="361"/>
      <c r="R1020" s="361"/>
      <c r="S1020" s="361"/>
      <c r="T1020" s="361"/>
      <c r="U1020" s="361"/>
      <c r="V1020" s="361"/>
      <c r="W1020" s="361"/>
      <c r="X1020" s="361"/>
      <c r="Y1020" s="361"/>
      <c r="Z1020" s="361"/>
      <c r="AA1020" s="361"/>
      <c r="AB1020" s="361"/>
      <c r="AC1020" s="361"/>
      <c r="AD1020" s="361"/>
      <c r="AE1020" s="361"/>
      <c r="AF1020" s="361"/>
      <c r="AG1020" s="361"/>
      <c r="AH1020" s="361"/>
      <c r="AI1020" s="361"/>
      <c r="AJ1020" s="361"/>
      <c r="AK1020" s="361"/>
      <c r="AL1020" s="361"/>
      <c r="AM1020" s="361"/>
      <c r="AN1020" s="361"/>
      <c r="AO1020" s="361"/>
    </row>
    <row r="1021" spans="1:41" ht="15" customHeight="1" x14ac:dyDescent="0.25">
      <c r="A1021" s="400"/>
      <c r="B1021" s="397"/>
      <c r="C1021" s="132" t="s">
        <v>288</v>
      </c>
      <c r="D1021" s="132"/>
      <c r="E1021" s="54" t="s">
        <v>289</v>
      </c>
      <c r="F1021" s="361"/>
      <c r="G1021" s="361"/>
      <c r="H1021" s="361"/>
      <c r="I1021" s="361"/>
      <c r="J1021" s="361"/>
      <c r="K1021" s="361"/>
      <c r="L1021" s="361"/>
      <c r="M1021" s="361"/>
      <c r="N1021" s="361"/>
      <c r="O1021" s="361"/>
      <c r="P1021" s="361"/>
      <c r="Q1021" s="361"/>
      <c r="R1021" s="361"/>
      <c r="S1021" s="361"/>
      <c r="T1021" s="361"/>
      <c r="U1021" s="361"/>
      <c r="V1021" s="361"/>
      <c r="W1021" s="361"/>
      <c r="X1021" s="361"/>
      <c r="Y1021" s="361"/>
      <c r="Z1021" s="361"/>
      <c r="AA1021" s="361"/>
      <c r="AB1021" s="361"/>
      <c r="AC1021" s="361"/>
      <c r="AD1021" s="361"/>
      <c r="AE1021" s="361"/>
      <c r="AF1021" s="361"/>
      <c r="AG1021" s="361"/>
      <c r="AH1021" s="361"/>
      <c r="AI1021" s="361"/>
      <c r="AJ1021" s="361"/>
      <c r="AK1021" s="361"/>
      <c r="AL1021" s="361"/>
      <c r="AM1021" s="361"/>
      <c r="AN1021" s="361"/>
      <c r="AO1021" s="361"/>
    </row>
    <row r="1022" spans="1:41" ht="15" customHeight="1" x14ac:dyDescent="0.25">
      <c r="A1022" s="400"/>
      <c r="B1022" s="397"/>
      <c r="C1022" s="132" t="s">
        <v>290</v>
      </c>
      <c r="D1022" s="132"/>
      <c r="E1022" s="54" t="s">
        <v>291</v>
      </c>
      <c r="F1022" s="361"/>
      <c r="G1022" s="361"/>
      <c r="H1022" s="361"/>
      <c r="I1022" s="361"/>
      <c r="J1022" s="361"/>
      <c r="K1022" s="361"/>
      <c r="L1022" s="361"/>
      <c r="M1022" s="361"/>
      <c r="N1022" s="361"/>
      <c r="O1022" s="361"/>
      <c r="P1022" s="361"/>
      <c r="Q1022" s="361"/>
      <c r="R1022" s="361"/>
      <c r="S1022" s="361"/>
      <c r="T1022" s="361"/>
      <c r="U1022" s="361"/>
      <c r="V1022" s="361"/>
      <c r="W1022" s="361"/>
      <c r="X1022" s="361"/>
      <c r="Y1022" s="361"/>
      <c r="Z1022" s="361"/>
      <c r="AA1022" s="361"/>
      <c r="AB1022" s="361"/>
      <c r="AC1022" s="361"/>
      <c r="AD1022" s="361"/>
      <c r="AE1022" s="361"/>
      <c r="AF1022" s="361"/>
      <c r="AG1022" s="361"/>
      <c r="AH1022" s="361"/>
      <c r="AI1022" s="361"/>
      <c r="AJ1022" s="361"/>
      <c r="AK1022" s="361"/>
      <c r="AL1022" s="361"/>
      <c r="AM1022" s="361"/>
      <c r="AN1022" s="361"/>
      <c r="AO1022" s="361"/>
    </row>
    <row r="1023" spans="1:41" ht="15" customHeight="1" x14ac:dyDescent="0.25">
      <c r="A1023" s="400"/>
      <c r="B1023" s="397"/>
      <c r="C1023" s="132" t="s">
        <v>292</v>
      </c>
      <c r="D1023" s="136"/>
      <c r="E1023" s="61" t="s">
        <v>293</v>
      </c>
      <c r="F1023" s="361"/>
      <c r="G1023" s="361"/>
      <c r="H1023" s="361"/>
      <c r="I1023" s="361"/>
      <c r="J1023" s="361"/>
      <c r="K1023" s="361"/>
      <c r="L1023" s="361"/>
      <c r="M1023" s="361"/>
      <c r="N1023" s="361"/>
      <c r="O1023" s="361"/>
      <c r="P1023" s="361"/>
      <c r="Q1023" s="361"/>
      <c r="R1023" s="361"/>
      <c r="S1023" s="361"/>
      <c r="T1023" s="361"/>
      <c r="U1023" s="361"/>
      <c r="V1023" s="361"/>
      <c r="W1023" s="361"/>
      <c r="X1023" s="361"/>
      <c r="Y1023" s="361"/>
      <c r="Z1023" s="361"/>
      <c r="AA1023" s="361"/>
      <c r="AB1023" s="361"/>
      <c r="AC1023" s="361"/>
      <c r="AD1023" s="361"/>
      <c r="AE1023" s="361"/>
      <c r="AF1023" s="361"/>
      <c r="AG1023" s="361"/>
      <c r="AH1023" s="361"/>
      <c r="AI1023" s="361"/>
      <c r="AJ1023" s="361"/>
      <c r="AK1023" s="361"/>
      <c r="AL1023" s="361"/>
      <c r="AM1023" s="361"/>
      <c r="AN1023" s="361"/>
      <c r="AO1023" s="361"/>
    </row>
    <row r="1024" spans="1:41" ht="15" customHeight="1" x14ac:dyDescent="0.25">
      <c r="A1024" s="400"/>
      <c r="B1024" s="397"/>
      <c r="C1024" s="135" t="s">
        <v>294</v>
      </c>
      <c r="D1024" s="135"/>
      <c r="E1024" s="54" t="s">
        <v>295</v>
      </c>
      <c r="F1024" s="361"/>
      <c r="G1024" s="361"/>
      <c r="H1024" s="361"/>
      <c r="I1024" s="361"/>
      <c r="J1024" s="361"/>
      <c r="K1024" s="361"/>
      <c r="L1024" s="361"/>
      <c r="M1024" s="361"/>
      <c r="N1024" s="361"/>
      <c r="O1024" s="361"/>
      <c r="P1024" s="361"/>
      <c r="Q1024" s="361"/>
      <c r="R1024" s="361"/>
      <c r="S1024" s="361"/>
      <c r="T1024" s="361"/>
      <c r="U1024" s="361"/>
      <c r="V1024" s="361"/>
      <c r="W1024" s="361"/>
      <c r="X1024" s="361"/>
      <c r="Y1024" s="361"/>
      <c r="Z1024" s="361"/>
      <c r="AA1024" s="361"/>
      <c r="AB1024" s="361"/>
      <c r="AC1024" s="361"/>
      <c r="AD1024" s="361"/>
      <c r="AE1024" s="361"/>
      <c r="AF1024" s="361"/>
      <c r="AG1024" s="361"/>
      <c r="AH1024" s="361"/>
      <c r="AI1024" s="361"/>
      <c r="AJ1024" s="361"/>
      <c r="AK1024" s="361"/>
      <c r="AL1024" s="361"/>
      <c r="AM1024" s="361"/>
      <c r="AN1024" s="361"/>
      <c r="AO1024" s="361"/>
    </row>
    <row r="1025" spans="1:41" ht="15" customHeight="1" x14ac:dyDescent="0.25">
      <c r="A1025" s="400"/>
      <c r="B1025" s="397"/>
      <c r="C1025" s="132" t="s">
        <v>296</v>
      </c>
      <c r="D1025" s="132"/>
      <c r="E1025" s="54" t="s">
        <v>297</v>
      </c>
      <c r="F1025" s="361"/>
      <c r="G1025" s="361"/>
      <c r="H1025" s="361"/>
      <c r="I1025" s="361"/>
      <c r="J1025" s="361"/>
      <c r="K1025" s="361"/>
      <c r="L1025" s="361"/>
      <c r="M1025" s="361"/>
      <c r="N1025" s="361"/>
      <c r="O1025" s="361"/>
      <c r="P1025" s="361"/>
      <c r="Q1025" s="361"/>
      <c r="R1025" s="361"/>
      <c r="S1025" s="361"/>
      <c r="T1025" s="361"/>
      <c r="U1025" s="361"/>
      <c r="V1025" s="361"/>
      <c r="W1025" s="361"/>
      <c r="X1025" s="361"/>
      <c r="Y1025" s="361"/>
      <c r="Z1025" s="361"/>
      <c r="AA1025" s="361"/>
      <c r="AB1025" s="361"/>
      <c r="AC1025" s="361"/>
      <c r="AD1025" s="361"/>
      <c r="AE1025" s="361"/>
      <c r="AF1025" s="361"/>
      <c r="AG1025" s="361"/>
      <c r="AH1025" s="361"/>
      <c r="AI1025" s="361"/>
      <c r="AJ1025" s="361"/>
      <c r="AK1025" s="361"/>
      <c r="AL1025" s="361"/>
      <c r="AM1025" s="361"/>
      <c r="AN1025" s="361"/>
      <c r="AO1025" s="361"/>
    </row>
    <row r="1026" spans="1:41" ht="15" customHeight="1" x14ac:dyDescent="0.25">
      <c r="A1026" s="400"/>
      <c r="B1026" s="397"/>
      <c r="C1026" s="132" t="s">
        <v>298</v>
      </c>
      <c r="D1026" s="132"/>
      <c r="E1026" s="54" t="s">
        <v>299</v>
      </c>
      <c r="F1026" s="361"/>
      <c r="G1026" s="361"/>
      <c r="H1026" s="361"/>
      <c r="I1026" s="361"/>
      <c r="J1026" s="361"/>
      <c r="K1026" s="361"/>
      <c r="L1026" s="361"/>
      <c r="M1026" s="361"/>
      <c r="N1026" s="361"/>
      <c r="O1026" s="361"/>
      <c r="P1026" s="361"/>
      <c r="Q1026" s="361"/>
      <c r="R1026" s="361"/>
      <c r="S1026" s="361"/>
      <c r="T1026" s="361"/>
      <c r="U1026" s="361"/>
      <c r="V1026" s="361"/>
      <c r="W1026" s="361"/>
      <c r="X1026" s="361"/>
      <c r="Y1026" s="361"/>
      <c r="Z1026" s="361"/>
      <c r="AA1026" s="361"/>
      <c r="AB1026" s="361"/>
      <c r="AC1026" s="361"/>
      <c r="AD1026" s="361"/>
      <c r="AE1026" s="361"/>
      <c r="AF1026" s="361"/>
      <c r="AG1026" s="361"/>
      <c r="AH1026" s="361"/>
      <c r="AI1026" s="361"/>
      <c r="AJ1026" s="361"/>
      <c r="AK1026" s="361"/>
      <c r="AL1026" s="361"/>
      <c r="AM1026" s="361"/>
      <c r="AN1026" s="361"/>
      <c r="AO1026" s="361"/>
    </row>
    <row r="1027" spans="1:41" ht="15" customHeight="1" x14ac:dyDescent="0.25">
      <c r="A1027" s="400"/>
      <c r="B1027" s="397"/>
      <c r="C1027" s="132" t="s">
        <v>300</v>
      </c>
      <c r="D1027" s="132"/>
      <c r="E1027" s="54" t="s">
        <v>301</v>
      </c>
      <c r="F1027" s="361"/>
      <c r="G1027" s="361"/>
      <c r="H1027" s="361"/>
      <c r="I1027" s="361"/>
      <c r="J1027" s="361"/>
      <c r="K1027" s="361"/>
      <c r="L1027" s="361"/>
      <c r="M1027" s="361"/>
      <c r="N1027" s="361"/>
      <c r="O1027" s="361"/>
      <c r="P1027" s="361"/>
      <c r="Q1027" s="361"/>
      <c r="R1027" s="361"/>
      <c r="S1027" s="361"/>
      <c r="T1027" s="361"/>
      <c r="U1027" s="361"/>
      <c r="V1027" s="361"/>
      <c r="W1027" s="361"/>
      <c r="X1027" s="361"/>
      <c r="Y1027" s="361"/>
      <c r="Z1027" s="361"/>
      <c r="AA1027" s="361"/>
      <c r="AB1027" s="361"/>
      <c r="AC1027" s="361"/>
      <c r="AD1027" s="361"/>
      <c r="AE1027" s="361"/>
      <c r="AF1027" s="361"/>
      <c r="AG1027" s="361"/>
      <c r="AH1027" s="361"/>
      <c r="AI1027" s="361"/>
      <c r="AJ1027" s="361"/>
      <c r="AK1027" s="361"/>
      <c r="AL1027" s="361"/>
      <c r="AM1027" s="361"/>
      <c r="AN1027" s="361"/>
      <c r="AO1027" s="361"/>
    </row>
    <row r="1028" spans="1:41" ht="15" customHeight="1" x14ac:dyDescent="0.25">
      <c r="A1028" s="400"/>
      <c r="B1028" s="397"/>
      <c r="C1028" s="132" t="s">
        <v>302</v>
      </c>
      <c r="D1028" s="132"/>
      <c r="E1028" s="54" t="s">
        <v>303</v>
      </c>
      <c r="F1028" s="361"/>
      <c r="G1028" s="361"/>
      <c r="H1028" s="361"/>
      <c r="I1028" s="361"/>
      <c r="J1028" s="361"/>
      <c r="K1028" s="361"/>
      <c r="L1028" s="361"/>
      <c r="M1028" s="361"/>
      <c r="N1028" s="361"/>
      <c r="O1028" s="361"/>
      <c r="P1028" s="361"/>
      <c r="Q1028" s="361"/>
      <c r="R1028" s="361"/>
      <c r="S1028" s="361"/>
      <c r="T1028" s="361"/>
      <c r="U1028" s="361"/>
      <c r="V1028" s="361"/>
      <c r="W1028" s="361"/>
      <c r="X1028" s="361"/>
      <c r="Y1028" s="361"/>
      <c r="Z1028" s="361"/>
      <c r="AA1028" s="361"/>
      <c r="AB1028" s="361"/>
      <c r="AC1028" s="361"/>
      <c r="AD1028" s="361"/>
      <c r="AE1028" s="361"/>
      <c r="AF1028" s="361"/>
      <c r="AG1028" s="361"/>
      <c r="AH1028" s="361"/>
      <c r="AI1028" s="361"/>
      <c r="AJ1028" s="361"/>
      <c r="AK1028" s="361"/>
      <c r="AL1028" s="361"/>
      <c r="AM1028" s="361"/>
      <c r="AN1028" s="361"/>
      <c r="AO1028" s="361"/>
    </row>
    <row r="1029" spans="1:41" ht="15" customHeight="1" x14ac:dyDescent="0.25">
      <c r="A1029" s="400"/>
      <c r="B1029" s="398" t="s">
        <v>304</v>
      </c>
      <c r="C1029" s="176" t="s">
        <v>229</v>
      </c>
      <c r="D1029" s="137"/>
      <c r="E1029" s="62" t="s">
        <v>305</v>
      </c>
      <c r="F1029" s="363"/>
      <c r="G1029" s="363"/>
      <c r="H1029" s="363"/>
      <c r="I1029" s="363"/>
      <c r="J1029" s="363"/>
      <c r="K1029" s="363"/>
      <c r="L1029" s="363"/>
      <c r="M1029" s="363"/>
      <c r="N1029" s="363"/>
      <c r="O1029" s="363"/>
      <c r="P1029" s="363"/>
      <c r="Q1029" s="363"/>
      <c r="R1029" s="363"/>
      <c r="S1029" s="363"/>
      <c r="T1029" s="363"/>
      <c r="U1029" s="363"/>
      <c r="V1029" s="363"/>
      <c r="W1029" s="363"/>
      <c r="X1029" s="363"/>
      <c r="Y1029" s="363"/>
      <c r="Z1029" s="363"/>
      <c r="AA1029" s="363"/>
      <c r="AB1029" s="363"/>
      <c r="AC1029" s="363"/>
      <c r="AD1029" s="363"/>
      <c r="AE1029" s="363"/>
      <c r="AF1029" s="363"/>
      <c r="AG1029" s="363"/>
      <c r="AH1029" s="363"/>
      <c r="AI1029" s="363"/>
      <c r="AJ1029" s="363"/>
      <c r="AK1029" s="363"/>
      <c r="AL1029" s="363"/>
      <c r="AM1029" s="363"/>
      <c r="AN1029" s="363"/>
      <c r="AO1029" s="363"/>
    </row>
    <row r="1030" spans="1:41" ht="15" customHeight="1" x14ac:dyDescent="0.25">
      <c r="A1030" s="400"/>
      <c r="B1030" s="398"/>
      <c r="C1030" s="176" t="s">
        <v>306</v>
      </c>
      <c r="D1030" s="137"/>
      <c r="E1030" s="62" t="s">
        <v>307</v>
      </c>
      <c r="F1030" s="363"/>
      <c r="G1030" s="363"/>
      <c r="H1030" s="363"/>
      <c r="I1030" s="363"/>
      <c r="J1030" s="363"/>
      <c r="K1030" s="363"/>
      <c r="L1030" s="363"/>
      <c r="M1030" s="363"/>
      <c r="N1030" s="363"/>
      <c r="O1030" s="363"/>
      <c r="P1030" s="363"/>
      <c r="Q1030" s="363"/>
      <c r="R1030" s="363"/>
      <c r="S1030" s="363"/>
      <c r="T1030" s="363"/>
      <c r="U1030" s="363"/>
      <c r="V1030" s="363"/>
      <c r="W1030" s="363"/>
      <c r="X1030" s="363"/>
      <c r="Y1030" s="363"/>
      <c r="Z1030" s="363"/>
      <c r="AA1030" s="363"/>
      <c r="AB1030" s="363"/>
      <c r="AC1030" s="363"/>
      <c r="AD1030" s="363"/>
      <c r="AE1030" s="363"/>
      <c r="AF1030" s="363"/>
      <c r="AG1030" s="363"/>
      <c r="AH1030" s="363"/>
      <c r="AI1030" s="363"/>
      <c r="AJ1030" s="363"/>
      <c r="AK1030" s="363"/>
      <c r="AL1030" s="363"/>
      <c r="AM1030" s="363"/>
      <c r="AN1030" s="363"/>
      <c r="AO1030" s="363"/>
    </row>
    <row r="1031" spans="1:41" ht="15" customHeight="1" x14ac:dyDescent="0.25">
      <c r="A1031" s="400"/>
      <c r="B1031" s="398"/>
      <c r="C1031" s="176" t="s">
        <v>236</v>
      </c>
      <c r="D1031" s="137"/>
      <c r="E1031" s="62" t="s">
        <v>308</v>
      </c>
      <c r="F1031" s="363"/>
      <c r="G1031" s="363"/>
      <c r="H1031" s="363"/>
      <c r="I1031" s="363"/>
      <c r="J1031" s="363"/>
      <c r="K1031" s="363"/>
      <c r="L1031" s="363"/>
      <c r="M1031" s="363"/>
      <c r="N1031" s="363"/>
      <c r="O1031" s="363"/>
      <c r="P1031" s="363"/>
      <c r="Q1031" s="363"/>
      <c r="R1031" s="363"/>
      <c r="S1031" s="363"/>
      <c r="T1031" s="363"/>
      <c r="U1031" s="363"/>
      <c r="V1031" s="363"/>
      <c r="W1031" s="363"/>
      <c r="X1031" s="363"/>
      <c r="Y1031" s="363"/>
      <c r="Z1031" s="363"/>
      <c r="AA1031" s="363"/>
      <c r="AB1031" s="363"/>
      <c r="AC1031" s="363"/>
      <c r="AD1031" s="363"/>
      <c r="AE1031" s="363"/>
      <c r="AF1031" s="363"/>
      <c r="AG1031" s="363"/>
      <c r="AH1031" s="363"/>
      <c r="AI1031" s="363"/>
      <c r="AJ1031" s="363"/>
      <c r="AK1031" s="363"/>
      <c r="AL1031" s="363"/>
      <c r="AM1031" s="363"/>
      <c r="AN1031" s="363"/>
      <c r="AO1031" s="363"/>
    </row>
    <row r="1032" spans="1:41" ht="15" customHeight="1" x14ac:dyDescent="0.25">
      <c r="A1032" s="400"/>
      <c r="B1032" s="398"/>
      <c r="C1032" s="176" t="s">
        <v>309</v>
      </c>
      <c r="D1032" s="137"/>
      <c r="E1032" s="62" t="s">
        <v>310</v>
      </c>
      <c r="F1032" s="363"/>
      <c r="G1032" s="363"/>
      <c r="H1032" s="363"/>
      <c r="I1032" s="363"/>
      <c r="J1032" s="363"/>
      <c r="K1032" s="363"/>
      <c r="L1032" s="363"/>
      <c r="M1032" s="363"/>
      <c r="N1032" s="363"/>
      <c r="O1032" s="363"/>
      <c r="P1032" s="363"/>
      <c r="Q1032" s="363"/>
      <c r="R1032" s="363"/>
      <c r="S1032" s="363"/>
      <c r="T1032" s="363"/>
      <c r="U1032" s="363"/>
      <c r="V1032" s="363"/>
      <c r="W1032" s="363"/>
      <c r="X1032" s="363"/>
      <c r="Y1032" s="363"/>
      <c r="Z1032" s="363"/>
      <c r="AA1032" s="363"/>
      <c r="AB1032" s="363"/>
      <c r="AC1032" s="363"/>
      <c r="AD1032" s="363"/>
      <c r="AE1032" s="363"/>
      <c r="AF1032" s="363"/>
      <c r="AG1032" s="363"/>
      <c r="AH1032" s="363"/>
      <c r="AI1032" s="363"/>
      <c r="AJ1032" s="363"/>
      <c r="AK1032" s="363"/>
      <c r="AL1032" s="363"/>
      <c r="AM1032" s="363"/>
      <c r="AN1032" s="363"/>
      <c r="AO1032" s="363"/>
    </row>
    <row r="1033" spans="1:41" ht="15" customHeight="1" x14ac:dyDescent="0.25">
      <c r="A1033" s="400"/>
      <c r="B1033" s="398"/>
      <c r="C1033" s="176" t="s">
        <v>311</v>
      </c>
      <c r="D1033" s="137"/>
      <c r="E1033" s="62" t="s">
        <v>312</v>
      </c>
      <c r="F1033" s="363"/>
      <c r="G1033" s="363"/>
      <c r="H1033" s="363"/>
      <c r="I1033" s="363"/>
      <c r="J1033" s="363"/>
      <c r="K1033" s="363"/>
      <c r="L1033" s="363"/>
      <c r="M1033" s="363"/>
      <c r="N1033" s="363"/>
      <c r="O1033" s="363"/>
      <c r="P1033" s="363"/>
      <c r="Q1033" s="363"/>
      <c r="R1033" s="363"/>
      <c r="S1033" s="363"/>
      <c r="T1033" s="363"/>
      <c r="U1033" s="363"/>
      <c r="V1033" s="363"/>
      <c r="W1033" s="363"/>
      <c r="X1033" s="363"/>
      <c r="Y1033" s="363"/>
      <c r="Z1033" s="363"/>
      <c r="AA1033" s="363"/>
      <c r="AB1033" s="363"/>
      <c r="AC1033" s="363"/>
      <c r="AD1033" s="363"/>
      <c r="AE1033" s="363"/>
      <c r="AF1033" s="363"/>
      <c r="AG1033" s="363"/>
      <c r="AH1033" s="363"/>
      <c r="AI1033" s="363"/>
      <c r="AJ1033" s="363"/>
      <c r="AK1033" s="363"/>
      <c r="AL1033" s="363"/>
      <c r="AM1033" s="363"/>
      <c r="AN1033" s="363"/>
      <c r="AO1033" s="363"/>
    </row>
    <row r="1034" spans="1:41" ht="15" customHeight="1" x14ac:dyDescent="0.25">
      <c r="A1034" s="400"/>
      <c r="B1034" s="398"/>
      <c r="C1034" s="176" t="s">
        <v>302</v>
      </c>
      <c r="D1034" s="137"/>
      <c r="E1034" s="62" t="s">
        <v>313</v>
      </c>
      <c r="F1034" s="363"/>
      <c r="G1034" s="363"/>
      <c r="H1034" s="363"/>
      <c r="I1034" s="363"/>
      <c r="J1034" s="363"/>
      <c r="K1034" s="363"/>
      <c r="L1034" s="363"/>
      <c r="M1034" s="363"/>
      <c r="N1034" s="363"/>
      <c r="O1034" s="363"/>
      <c r="P1034" s="363"/>
      <c r="Q1034" s="363"/>
      <c r="R1034" s="363"/>
      <c r="S1034" s="363"/>
      <c r="T1034" s="363"/>
      <c r="U1034" s="363"/>
      <c r="V1034" s="363"/>
      <c r="W1034" s="363"/>
      <c r="X1034" s="363"/>
      <c r="Y1034" s="363"/>
      <c r="Z1034" s="363"/>
      <c r="AA1034" s="363"/>
      <c r="AB1034" s="363"/>
      <c r="AC1034" s="363"/>
      <c r="AD1034" s="363"/>
      <c r="AE1034" s="363"/>
      <c r="AF1034" s="363"/>
      <c r="AG1034" s="363"/>
      <c r="AH1034" s="363"/>
      <c r="AI1034" s="363"/>
      <c r="AJ1034" s="363"/>
      <c r="AK1034" s="363"/>
      <c r="AL1034" s="363"/>
      <c r="AM1034" s="363"/>
      <c r="AN1034" s="363"/>
      <c r="AO1034" s="363"/>
    </row>
    <row r="1035" spans="1:41" ht="15" customHeight="1" x14ac:dyDescent="0.25">
      <c r="A1035" s="400"/>
      <c r="B1035" s="405" t="s">
        <v>314</v>
      </c>
      <c r="C1035" s="177"/>
      <c r="D1035" s="138"/>
      <c r="E1035" s="63" t="s">
        <v>315</v>
      </c>
      <c r="F1035" s="317"/>
      <c r="G1035" s="317"/>
      <c r="H1035" s="317"/>
      <c r="I1035" s="317"/>
      <c r="J1035" s="317"/>
      <c r="K1035" s="317"/>
      <c r="L1035" s="317"/>
      <c r="M1035" s="317"/>
      <c r="N1035" s="317"/>
      <c r="O1035" s="317"/>
      <c r="P1035" s="317"/>
      <c r="Q1035" s="317"/>
      <c r="R1035" s="317"/>
      <c r="S1035" s="317"/>
      <c r="T1035" s="317"/>
      <c r="U1035" s="317"/>
      <c r="V1035" s="317"/>
      <c r="W1035" s="317"/>
      <c r="X1035" s="317"/>
      <c r="Y1035" s="317"/>
      <c r="Z1035" s="317"/>
      <c r="AA1035" s="317"/>
      <c r="AB1035" s="317"/>
      <c r="AC1035" s="317"/>
      <c r="AD1035" s="317"/>
      <c r="AE1035" s="317"/>
      <c r="AF1035" s="317"/>
      <c r="AG1035" s="317"/>
      <c r="AH1035" s="317"/>
      <c r="AI1035" s="317"/>
      <c r="AJ1035" s="317"/>
      <c r="AK1035" s="317"/>
      <c r="AL1035" s="317"/>
      <c r="AM1035" s="317"/>
      <c r="AN1035" s="317"/>
      <c r="AO1035" s="317"/>
    </row>
    <row r="1036" spans="1:41" ht="15" customHeight="1" x14ac:dyDescent="0.25">
      <c r="A1036" s="400"/>
      <c r="B1036" s="406"/>
      <c r="C1036" s="177"/>
      <c r="D1036" s="138"/>
      <c r="E1036" s="63" t="s">
        <v>316</v>
      </c>
      <c r="F1036" s="317"/>
      <c r="G1036" s="317"/>
      <c r="H1036" s="317"/>
      <c r="I1036" s="317"/>
      <c r="J1036" s="317"/>
      <c r="K1036" s="317"/>
      <c r="L1036" s="317"/>
      <c r="M1036" s="317"/>
      <c r="N1036" s="317"/>
      <c r="O1036" s="317"/>
      <c r="P1036" s="317"/>
      <c r="Q1036" s="317"/>
      <c r="R1036" s="317"/>
      <c r="S1036" s="317"/>
      <c r="T1036" s="317"/>
      <c r="U1036" s="317"/>
      <c r="V1036" s="317"/>
      <c r="W1036" s="317"/>
      <c r="X1036" s="317"/>
      <c r="Y1036" s="317"/>
      <c r="Z1036" s="317"/>
      <c r="AA1036" s="317"/>
      <c r="AB1036" s="317"/>
      <c r="AC1036" s="317"/>
      <c r="AD1036" s="317"/>
      <c r="AE1036" s="317"/>
      <c r="AF1036" s="317"/>
      <c r="AG1036" s="317"/>
      <c r="AH1036" s="317"/>
      <c r="AI1036" s="317"/>
      <c r="AJ1036" s="317"/>
      <c r="AK1036" s="317"/>
      <c r="AL1036" s="317"/>
      <c r="AM1036" s="317"/>
      <c r="AN1036" s="317"/>
      <c r="AO1036" s="317"/>
    </row>
    <row r="1037" spans="1:41" ht="15" customHeight="1" x14ac:dyDescent="0.3">
      <c r="A1037" s="400"/>
      <c r="B1037" s="64" t="s">
        <v>317</v>
      </c>
      <c r="C1037" s="178" t="s">
        <v>318</v>
      </c>
      <c r="D1037" s="139"/>
      <c r="E1037" s="65" t="s">
        <v>319</v>
      </c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 s="65"/>
      <c r="AM1037" s="65"/>
      <c r="AN1037" s="65"/>
      <c r="AO1037" s="65"/>
    </row>
    <row r="1038" spans="1:41" ht="15" customHeight="1" x14ac:dyDescent="0.25">
      <c r="A1038" s="400"/>
      <c r="B1038" s="407" t="s">
        <v>178</v>
      </c>
      <c r="C1038" s="179" t="s">
        <v>320</v>
      </c>
      <c r="D1038" s="140"/>
      <c r="E1038" s="66" t="s">
        <v>321</v>
      </c>
    </row>
    <row r="1039" spans="1:41" ht="15" customHeight="1" x14ac:dyDescent="0.25">
      <c r="A1039" s="400"/>
      <c r="B1039" s="407"/>
      <c r="C1039" s="180" t="s">
        <v>322</v>
      </c>
      <c r="D1039" s="140"/>
      <c r="E1039" s="66" t="s">
        <v>323</v>
      </c>
    </row>
    <row r="1040" spans="1:41" ht="15" customHeight="1" x14ac:dyDescent="0.25">
      <c r="A1040" s="400"/>
      <c r="B1040" s="407"/>
      <c r="C1040" s="180" t="s">
        <v>324</v>
      </c>
      <c r="D1040" s="140"/>
      <c r="E1040" s="67" t="s">
        <v>325</v>
      </c>
    </row>
    <row r="1041" spans="1:41" ht="15" customHeight="1" x14ac:dyDescent="0.25">
      <c r="A1041" s="400"/>
      <c r="B1041" s="407"/>
      <c r="C1041" s="180" t="s">
        <v>326</v>
      </c>
      <c r="D1041" s="140"/>
      <c r="E1041" s="66" t="s">
        <v>327</v>
      </c>
    </row>
    <row r="1042" spans="1:41" ht="15" customHeight="1" x14ac:dyDescent="0.25">
      <c r="A1042" s="400"/>
      <c r="B1042" s="407"/>
      <c r="C1042" s="180" t="s">
        <v>328</v>
      </c>
      <c r="D1042" s="140"/>
      <c r="E1042" s="68" t="s">
        <v>329</v>
      </c>
    </row>
    <row r="1043" spans="1:41" ht="15" customHeight="1" x14ac:dyDescent="0.25">
      <c r="A1043" s="400"/>
      <c r="B1043" s="407"/>
      <c r="C1043" s="180" t="s">
        <v>330</v>
      </c>
      <c r="D1043" s="140"/>
      <c r="E1043" s="69" t="s">
        <v>331</v>
      </c>
    </row>
    <row r="1044" spans="1:41" ht="15" customHeight="1" x14ac:dyDescent="0.25">
      <c r="A1044" s="400"/>
      <c r="B1044" s="407"/>
      <c r="C1044" s="180" t="s">
        <v>332</v>
      </c>
      <c r="D1044" s="140"/>
      <c r="E1044" s="69" t="s">
        <v>333</v>
      </c>
    </row>
    <row r="1045" spans="1:41" ht="15" customHeight="1" x14ac:dyDescent="0.25">
      <c r="A1045" s="400"/>
      <c r="B1045" s="407"/>
      <c r="C1045" s="180" t="s">
        <v>334</v>
      </c>
      <c r="D1045" s="140"/>
      <c r="E1045" s="68" t="s">
        <v>335</v>
      </c>
    </row>
    <row r="1046" spans="1:41" ht="15" customHeight="1" x14ac:dyDescent="0.25">
      <c r="A1046" s="400"/>
      <c r="B1046" s="407"/>
      <c r="C1046" s="180" t="s">
        <v>336</v>
      </c>
      <c r="D1046" s="140"/>
      <c r="E1046" s="68" t="s">
        <v>337</v>
      </c>
    </row>
    <row r="1047" spans="1:41" ht="15" customHeight="1" x14ac:dyDescent="0.25">
      <c r="A1047" s="400"/>
      <c r="B1047" s="407"/>
      <c r="C1047" s="180" t="s">
        <v>338</v>
      </c>
      <c r="D1047" s="140"/>
      <c r="E1047" s="69" t="s">
        <v>339</v>
      </c>
    </row>
    <row r="1048" spans="1:41" ht="15" customHeight="1" x14ac:dyDescent="0.25">
      <c r="A1048" s="400"/>
      <c r="B1048" s="407"/>
      <c r="C1048" s="179" t="s">
        <v>340</v>
      </c>
      <c r="D1048" s="141" t="s">
        <v>341</v>
      </c>
      <c r="E1048" s="68" t="s">
        <v>342</v>
      </c>
    </row>
    <row r="1049" spans="1:41" ht="15" customHeight="1" x14ac:dyDescent="0.25">
      <c r="A1049" s="400"/>
      <c r="B1049" s="407"/>
      <c r="C1049" s="180" t="s">
        <v>343</v>
      </c>
      <c r="D1049" s="140"/>
      <c r="E1049" s="66" t="s">
        <v>344</v>
      </c>
    </row>
    <row r="1050" spans="1:41" ht="15" customHeight="1" x14ac:dyDescent="0.25">
      <c r="A1050" s="400"/>
      <c r="B1050" s="407"/>
      <c r="C1050" s="180" t="s">
        <v>345</v>
      </c>
      <c r="D1050" s="140"/>
      <c r="E1050" s="66" t="s">
        <v>346</v>
      </c>
    </row>
    <row r="1051" spans="1:41" ht="15" customHeight="1" x14ac:dyDescent="0.25">
      <c r="A1051" s="400"/>
      <c r="B1051" s="407"/>
      <c r="C1051" s="180" t="s">
        <v>347</v>
      </c>
      <c r="D1051" s="140"/>
      <c r="E1051" s="66" t="s">
        <v>348</v>
      </c>
    </row>
    <row r="1052" spans="1:41" ht="15" customHeight="1" x14ac:dyDescent="0.25">
      <c r="A1052" s="400"/>
      <c r="B1052" s="407"/>
      <c r="C1052" s="179" t="s">
        <v>349</v>
      </c>
      <c r="D1052" s="141" t="s">
        <v>341</v>
      </c>
      <c r="E1052" s="66" t="s">
        <v>350</v>
      </c>
    </row>
    <row r="1053" spans="1:41" s="108" customFormat="1" ht="15" customHeight="1" x14ac:dyDescent="0.25">
      <c r="A1053" s="400"/>
      <c r="B1053" s="408" t="s">
        <v>1009</v>
      </c>
      <c r="C1053" s="87" t="s">
        <v>771</v>
      </c>
      <c r="D1053" s="149"/>
      <c r="E1053" s="90" t="s">
        <v>772</v>
      </c>
      <c r="F1053" s="354"/>
      <c r="G1053" s="354"/>
      <c r="H1053" s="354"/>
      <c r="I1053" s="354"/>
      <c r="J1053" s="354"/>
      <c r="K1053" s="354"/>
      <c r="L1053" s="354"/>
      <c r="M1053" s="354"/>
      <c r="N1053" s="354"/>
      <c r="O1053" s="354"/>
      <c r="P1053" s="354"/>
      <c r="Q1053" s="354"/>
      <c r="R1053" s="354"/>
      <c r="S1053" s="354"/>
      <c r="T1053" s="354"/>
      <c r="U1053" s="354"/>
      <c r="V1053" s="354"/>
      <c r="W1053" s="354"/>
      <c r="X1053" s="354"/>
      <c r="Y1053" s="354"/>
      <c r="Z1053" s="354"/>
      <c r="AA1053" s="354"/>
      <c r="AB1053" s="354"/>
      <c r="AC1053" s="354"/>
      <c r="AD1053" s="354"/>
      <c r="AE1053" s="354"/>
      <c r="AF1053" s="354"/>
      <c r="AG1053" s="354"/>
      <c r="AH1053" s="354"/>
      <c r="AI1053" s="354"/>
      <c r="AJ1053" s="354"/>
      <c r="AK1053" s="354"/>
      <c r="AL1053" s="354"/>
      <c r="AM1053" s="354"/>
      <c r="AN1053" s="354"/>
      <c r="AO1053" s="354"/>
    </row>
    <row r="1054" spans="1:41" s="108" customFormat="1" ht="15" customHeight="1" x14ac:dyDescent="0.25">
      <c r="A1054" s="400"/>
      <c r="B1054" s="409"/>
      <c r="C1054" s="87" t="s">
        <v>773</v>
      </c>
      <c r="D1054" s="149"/>
      <c r="E1054" s="90" t="s">
        <v>778</v>
      </c>
      <c r="F1054" s="354"/>
      <c r="G1054" s="354"/>
      <c r="H1054" s="354"/>
      <c r="I1054" s="354"/>
      <c r="J1054" s="354"/>
      <c r="K1054" s="354"/>
      <c r="L1054" s="354"/>
      <c r="M1054" s="354"/>
      <c r="N1054" s="354"/>
      <c r="O1054" s="354"/>
      <c r="P1054" s="354"/>
      <c r="Q1054" s="354"/>
      <c r="R1054" s="354"/>
      <c r="S1054" s="354"/>
      <c r="T1054" s="354"/>
      <c r="U1054" s="354"/>
      <c r="V1054" s="354"/>
      <c r="W1054" s="354"/>
      <c r="X1054" s="354"/>
      <c r="Y1054" s="354"/>
      <c r="Z1054" s="354"/>
      <c r="AA1054" s="354"/>
      <c r="AB1054" s="354"/>
      <c r="AC1054" s="354"/>
      <c r="AD1054" s="354"/>
      <c r="AE1054" s="354"/>
      <c r="AF1054" s="354"/>
      <c r="AG1054" s="354"/>
      <c r="AH1054" s="354"/>
      <c r="AI1054" s="354"/>
      <c r="AJ1054" s="354"/>
      <c r="AK1054" s="354"/>
      <c r="AL1054" s="354"/>
      <c r="AM1054" s="354"/>
      <c r="AN1054" s="354"/>
      <c r="AO1054" s="354"/>
    </row>
    <row r="1055" spans="1:41" s="73" customFormat="1" ht="15" customHeight="1" x14ac:dyDescent="0.25">
      <c r="A1055" s="400"/>
      <c r="B1055" s="409"/>
      <c r="C1055" s="159" t="s">
        <v>758</v>
      </c>
      <c r="D1055" s="109"/>
      <c r="E1055" s="80" t="s">
        <v>784</v>
      </c>
      <c r="F1055" s="356"/>
      <c r="G1055" s="356"/>
      <c r="H1055" s="356"/>
      <c r="I1055" s="356"/>
      <c r="J1055" s="356"/>
      <c r="K1055" s="356"/>
      <c r="L1055" s="356"/>
      <c r="M1055" s="356"/>
      <c r="N1055" s="356"/>
      <c r="O1055" s="356"/>
      <c r="P1055" s="356"/>
      <c r="Q1055" s="356"/>
      <c r="R1055" s="356"/>
      <c r="S1055" s="356"/>
      <c r="T1055" s="356"/>
      <c r="U1055" s="356"/>
      <c r="V1055" s="356"/>
      <c r="W1055" s="356"/>
      <c r="X1055" s="356"/>
      <c r="Y1055" s="356"/>
      <c r="Z1055" s="356"/>
      <c r="AA1055" s="356"/>
      <c r="AB1055" s="356"/>
      <c r="AC1055" s="356"/>
      <c r="AD1055" s="356"/>
      <c r="AE1055" s="356"/>
      <c r="AF1055" s="356"/>
      <c r="AG1055" s="356"/>
      <c r="AH1055" s="356"/>
      <c r="AI1055" s="356"/>
      <c r="AJ1055" s="356"/>
      <c r="AK1055" s="356"/>
      <c r="AL1055" s="356"/>
      <c r="AM1055" s="356"/>
      <c r="AN1055" s="356"/>
      <c r="AO1055" s="356"/>
    </row>
    <row r="1056" spans="1:41" s="73" customFormat="1" ht="15" customHeight="1" x14ac:dyDescent="0.25">
      <c r="A1056" s="400"/>
      <c r="B1056" s="409"/>
      <c r="C1056" s="159" t="s">
        <v>759</v>
      </c>
      <c r="D1056" s="109"/>
      <c r="E1056" s="80" t="s">
        <v>785</v>
      </c>
      <c r="F1056" s="356"/>
      <c r="G1056" s="356"/>
      <c r="H1056" s="356"/>
      <c r="I1056" s="356"/>
      <c r="J1056" s="356"/>
      <c r="K1056" s="356"/>
      <c r="L1056" s="356"/>
      <c r="M1056" s="356"/>
      <c r="N1056" s="356"/>
      <c r="O1056" s="356"/>
      <c r="P1056" s="356"/>
      <c r="Q1056" s="356"/>
      <c r="R1056" s="356"/>
      <c r="S1056" s="356"/>
      <c r="T1056" s="356"/>
      <c r="U1056" s="356"/>
      <c r="V1056" s="356"/>
      <c r="W1056" s="356"/>
      <c r="X1056" s="356"/>
      <c r="Y1056" s="356"/>
      <c r="Z1056" s="356"/>
      <c r="AA1056" s="356"/>
      <c r="AB1056" s="356"/>
      <c r="AC1056" s="356"/>
      <c r="AD1056" s="356"/>
      <c r="AE1056" s="356"/>
      <c r="AF1056" s="356"/>
      <c r="AG1056" s="356"/>
      <c r="AH1056" s="356"/>
      <c r="AI1056" s="356"/>
      <c r="AJ1056" s="356"/>
      <c r="AK1056" s="356"/>
      <c r="AL1056" s="356"/>
      <c r="AM1056" s="356"/>
      <c r="AN1056" s="356"/>
      <c r="AO1056" s="356"/>
    </row>
    <row r="1057" spans="1:41" s="108" customFormat="1" ht="15" customHeight="1" x14ac:dyDescent="0.25">
      <c r="A1057" s="400"/>
      <c r="B1057" s="409"/>
      <c r="C1057" s="87" t="s">
        <v>774</v>
      </c>
      <c r="D1057" s="149"/>
      <c r="E1057" s="90" t="s">
        <v>779</v>
      </c>
      <c r="F1057" s="354"/>
      <c r="G1057" s="354"/>
      <c r="H1057" s="354"/>
      <c r="I1057" s="354"/>
      <c r="J1057" s="354"/>
      <c r="K1057" s="354"/>
      <c r="L1057" s="354"/>
      <c r="M1057" s="354"/>
      <c r="N1057" s="354"/>
      <c r="O1057" s="354"/>
      <c r="P1057" s="354"/>
      <c r="Q1057" s="354"/>
      <c r="R1057" s="354"/>
      <c r="S1057" s="354"/>
      <c r="T1057" s="354"/>
      <c r="U1057" s="354"/>
      <c r="V1057" s="354"/>
      <c r="W1057" s="354"/>
      <c r="X1057" s="354"/>
      <c r="Y1057" s="354"/>
      <c r="Z1057" s="354"/>
      <c r="AA1057" s="354"/>
      <c r="AB1057" s="354"/>
      <c r="AC1057" s="354"/>
      <c r="AD1057" s="354"/>
      <c r="AE1057" s="354"/>
      <c r="AF1057" s="354"/>
      <c r="AG1057" s="354"/>
      <c r="AH1057" s="354"/>
      <c r="AI1057" s="354"/>
      <c r="AJ1057" s="354"/>
      <c r="AK1057" s="354"/>
      <c r="AL1057" s="354"/>
      <c r="AM1057" s="354"/>
      <c r="AN1057" s="354"/>
      <c r="AO1057" s="354"/>
    </row>
    <row r="1058" spans="1:41" s="73" customFormat="1" ht="15" customHeight="1" x14ac:dyDescent="0.25">
      <c r="A1058" s="400"/>
      <c r="B1058" s="409"/>
      <c r="C1058" s="159" t="s">
        <v>760</v>
      </c>
      <c r="D1058" s="109"/>
      <c r="E1058" s="80" t="s">
        <v>786</v>
      </c>
      <c r="F1058" s="356"/>
      <c r="G1058" s="356"/>
      <c r="H1058" s="356"/>
      <c r="I1058" s="356"/>
      <c r="J1058" s="356"/>
      <c r="K1058" s="356"/>
      <c r="L1058" s="356"/>
      <c r="M1058" s="356"/>
      <c r="N1058" s="356"/>
      <c r="O1058" s="356"/>
      <c r="P1058" s="356"/>
      <c r="Q1058" s="356"/>
      <c r="R1058" s="356"/>
      <c r="S1058" s="356"/>
      <c r="T1058" s="356"/>
      <c r="U1058" s="356"/>
      <c r="V1058" s="356"/>
      <c r="W1058" s="356"/>
      <c r="X1058" s="356"/>
      <c r="Y1058" s="356"/>
      <c r="Z1058" s="356"/>
      <c r="AA1058" s="356"/>
      <c r="AB1058" s="356"/>
      <c r="AC1058" s="356"/>
      <c r="AD1058" s="356"/>
      <c r="AE1058" s="356"/>
      <c r="AF1058" s="356"/>
      <c r="AG1058" s="356"/>
      <c r="AH1058" s="356"/>
      <c r="AI1058" s="356"/>
      <c r="AJ1058" s="356"/>
      <c r="AK1058" s="356"/>
      <c r="AL1058" s="356"/>
      <c r="AM1058" s="356"/>
      <c r="AN1058" s="356"/>
      <c r="AO1058" s="356"/>
    </row>
    <row r="1059" spans="1:41" s="73" customFormat="1" ht="15" customHeight="1" x14ac:dyDescent="0.25">
      <c r="A1059" s="400"/>
      <c r="B1059" s="409"/>
      <c r="C1059" s="159" t="s">
        <v>761</v>
      </c>
      <c r="D1059" s="109"/>
      <c r="E1059" s="80" t="s">
        <v>787</v>
      </c>
      <c r="F1059" s="356"/>
      <c r="G1059" s="356"/>
      <c r="H1059" s="356"/>
      <c r="I1059" s="356"/>
      <c r="J1059" s="356"/>
      <c r="K1059" s="356"/>
      <c r="L1059" s="356"/>
      <c r="M1059" s="356"/>
      <c r="N1059" s="356"/>
      <c r="O1059" s="356"/>
      <c r="P1059" s="356"/>
      <c r="Q1059" s="356"/>
      <c r="R1059" s="356"/>
      <c r="S1059" s="356"/>
      <c r="T1059" s="356"/>
      <c r="U1059" s="356"/>
      <c r="V1059" s="356"/>
      <c r="W1059" s="356"/>
      <c r="X1059" s="356"/>
      <c r="Y1059" s="356"/>
      <c r="Z1059" s="356"/>
      <c r="AA1059" s="356"/>
      <c r="AB1059" s="356"/>
      <c r="AC1059" s="356"/>
      <c r="AD1059" s="356"/>
      <c r="AE1059" s="356"/>
      <c r="AF1059" s="356"/>
      <c r="AG1059" s="356"/>
      <c r="AH1059" s="356"/>
      <c r="AI1059" s="356"/>
      <c r="AJ1059" s="356"/>
      <c r="AK1059" s="356"/>
      <c r="AL1059" s="356"/>
      <c r="AM1059" s="356"/>
      <c r="AN1059" s="356"/>
      <c r="AO1059" s="356"/>
    </row>
    <row r="1060" spans="1:41" s="73" customFormat="1" ht="15" customHeight="1" x14ac:dyDescent="0.25">
      <c r="A1060" s="400"/>
      <c r="B1060" s="409"/>
      <c r="C1060" s="159" t="s">
        <v>762</v>
      </c>
      <c r="D1060" s="109"/>
      <c r="E1060" s="80" t="s">
        <v>788</v>
      </c>
      <c r="F1060" s="356"/>
      <c r="G1060" s="356"/>
      <c r="H1060" s="356"/>
      <c r="I1060" s="356"/>
      <c r="J1060" s="356"/>
      <c r="K1060" s="356"/>
      <c r="L1060" s="356"/>
      <c r="M1060" s="356"/>
      <c r="N1060" s="356"/>
      <c r="O1060" s="356"/>
      <c r="P1060" s="356"/>
      <c r="Q1060" s="356"/>
      <c r="R1060" s="356"/>
      <c r="S1060" s="356"/>
      <c r="T1060" s="356"/>
      <c r="U1060" s="356"/>
      <c r="V1060" s="356"/>
      <c r="W1060" s="356"/>
      <c r="X1060" s="356"/>
      <c r="Y1060" s="356"/>
      <c r="Z1060" s="356"/>
      <c r="AA1060" s="356"/>
      <c r="AB1060" s="356"/>
      <c r="AC1060" s="356"/>
      <c r="AD1060" s="356"/>
      <c r="AE1060" s="356"/>
      <c r="AF1060" s="356"/>
      <c r="AG1060" s="356"/>
      <c r="AH1060" s="356"/>
      <c r="AI1060" s="356"/>
      <c r="AJ1060" s="356"/>
      <c r="AK1060" s="356"/>
      <c r="AL1060" s="356"/>
      <c r="AM1060" s="356"/>
      <c r="AN1060" s="356"/>
      <c r="AO1060" s="356"/>
    </row>
    <row r="1061" spans="1:41" s="73" customFormat="1" ht="15" customHeight="1" x14ac:dyDescent="0.25">
      <c r="A1061" s="400"/>
      <c r="B1061" s="409"/>
      <c r="C1061" s="159" t="s">
        <v>763</v>
      </c>
      <c r="D1061" s="109"/>
      <c r="E1061" s="80" t="s">
        <v>789</v>
      </c>
      <c r="F1061" s="356"/>
      <c r="G1061" s="356"/>
      <c r="H1061" s="356"/>
      <c r="I1061" s="356"/>
      <c r="J1061" s="356"/>
      <c r="K1061" s="356"/>
      <c r="L1061" s="356"/>
      <c r="M1061" s="356"/>
      <c r="N1061" s="356"/>
      <c r="O1061" s="356"/>
      <c r="P1061" s="356"/>
      <c r="Q1061" s="356"/>
      <c r="R1061" s="356"/>
      <c r="S1061" s="356"/>
      <c r="T1061" s="356"/>
      <c r="U1061" s="356"/>
      <c r="V1061" s="356"/>
      <c r="W1061" s="356"/>
      <c r="X1061" s="356"/>
      <c r="Y1061" s="356"/>
      <c r="Z1061" s="356"/>
      <c r="AA1061" s="356"/>
      <c r="AB1061" s="356"/>
      <c r="AC1061" s="356"/>
      <c r="AD1061" s="356"/>
      <c r="AE1061" s="356"/>
      <c r="AF1061" s="356"/>
      <c r="AG1061" s="356"/>
      <c r="AH1061" s="356"/>
      <c r="AI1061" s="356"/>
      <c r="AJ1061" s="356"/>
      <c r="AK1061" s="356"/>
      <c r="AL1061" s="356"/>
      <c r="AM1061" s="356"/>
      <c r="AN1061" s="356"/>
      <c r="AO1061" s="356"/>
    </row>
    <row r="1062" spans="1:41" s="73" customFormat="1" ht="15" customHeight="1" x14ac:dyDescent="0.25">
      <c r="A1062" s="400"/>
      <c r="B1062" s="409"/>
      <c r="C1062" s="159" t="s">
        <v>764</v>
      </c>
      <c r="D1062" s="109"/>
      <c r="E1062" s="80" t="s">
        <v>790</v>
      </c>
      <c r="F1062" s="356"/>
      <c r="G1062" s="356"/>
      <c r="H1062" s="356"/>
      <c r="I1062" s="356"/>
      <c r="J1062" s="356"/>
      <c r="K1062" s="356"/>
      <c r="L1062" s="356"/>
      <c r="M1062" s="356"/>
      <c r="N1062" s="356"/>
      <c r="O1062" s="356"/>
      <c r="P1062" s="356"/>
      <c r="Q1062" s="356"/>
      <c r="R1062" s="356"/>
      <c r="S1062" s="356"/>
      <c r="T1062" s="356"/>
      <c r="U1062" s="356"/>
      <c r="V1062" s="356"/>
      <c r="W1062" s="356"/>
      <c r="X1062" s="356"/>
      <c r="Y1062" s="356"/>
      <c r="Z1062" s="356"/>
      <c r="AA1062" s="356"/>
      <c r="AB1062" s="356"/>
      <c r="AC1062" s="356"/>
      <c r="AD1062" s="356"/>
      <c r="AE1062" s="356"/>
      <c r="AF1062" s="356"/>
      <c r="AG1062" s="356"/>
      <c r="AH1062" s="356"/>
      <c r="AI1062" s="356"/>
      <c r="AJ1062" s="356"/>
      <c r="AK1062" s="356"/>
      <c r="AL1062" s="356"/>
      <c r="AM1062" s="356"/>
      <c r="AN1062" s="356"/>
      <c r="AO1062" s="356"/>
    </row>
    <row r="1063" spans="1:41" s="73" customFormat="1" ht="15" customHeight="1" x14ac:dyDescent="0.25">
      <c r="A1063" s="400"/>
      <c r="B1063" s="409"/>
      <c r="C1063" s="159" t="s">
        <v>765</v>
      </c>
      <c r="D1063" s="109"/>
      <c r="E1063" s="80" t="s">
        <v>791</v>
      </c>
      <c r="F1063" s="356"/>
      <c r="G1063" s="356"/>
      <c r="H1063" s="356"/>
      <c r="I1063" s="356"/>
      <c r="J1063" s="356"/>
      <c r="K1063" s="356"/>
      <c r="L1063" s="356"/>
      <c r="M1063" s="356"/>
      <c r="N1063" s="356"/>
      <c r="O1063" s="356"/>
      <c r="P1063" s="356"/>
      <c r="Q1063" s="356"/>
      <c r="R1063" s="356"/>
      <c r="S1063" s="356"/>
      <c r="T1063" s="356"/>
      <c r="U1063" s="356"/>
      <c r="V1063" s="356"/>
      <c r="W1063" s="356"/>
      <c r="X1063" s="356"/>
      <c r="Y1063" s="356"/>
      <c r="Z1063" s="356"/>
      <c r="AA1063" s="356"/>
      <c r="AB1063" s="356"/>
      <c r="AC1063" s="356"/>
      <c r="AD1063" s="356"/>
      <c r="AE1063" s="356"/>
      <c r="AF1063" s="356"/>
      <c r="AG1063" s="356"/>
      <c r="AH1063" s="356"/>
      <c r="AI1063" s="356"/>
      <c r="AJ1063" s="356"/>
      <c r="AK1063" s="356"/>
      <c r="AL1063" s="356"/>
      <c r="AM1063" s="356"/>
      <c r="AN1063" s="356"/>
      <c r="AO1063" s="356"/>
    </row>
    <row r="1064" spans="1:41" s="73" customFormat="1" ht="15" customHeight="1" x14ac:dyDescent="0.25">
      <c r="A1064" s="400"/>
      <c r="B1064" s="409"/>
      <c r="C1064" s="159" t="s">
        <v>766</v>
      </c>
      <c r="D1064" s="109"/>
      <c r="E1064" s="80" t="s">
        <v>792</v>
      </c>
      <c r="F1064" s="356"/>
      <c r="G1064" s="356"/>
      <c r="H1064" s="356"/>
      <c r="I1064" s="356"/>
      <c r="J1064" s="356"/>
      <c r="K1064" s="356"/>
      <c r="L1064" s="356"/>
      <c r="M1064" s="356"/>
      <c r="N1064" s="356"/>
      <c r="O1064" s="356"/>
      <c r="P1064" s="356"/>
      <c r="Q1064" s="356"/>
      <c r="R1064" s="356"/>
      <c r="S1064" s="356"/>
      <c r="T1064" s="356"/>
      <c r="U1064" s="356"/>
      <c r="V1064" s="356"/>
      <c r="W1064" s="356"/>
      <c r="X1064" s="356"/>
      <c r="Y1064" s="356"/>
      <c r="Z1064" s="356"/>
      <c r="AA1064" s="356"/>
      <c r="AB1064" s="356"/>
      <c r="AC1064" s="356"/>
      <c r="AD1064" s="356"/>
      <c r="AE1064" s="356"/>
      <c r="AF1064" s="356"/>
      <c r="AG1064" s="356"/>
      <c r="AH1064" s="356"/>
      <c r="AI1064" s="356"/>
      <c r="AJ1064" s="356"/>
      <c r="AK1064" s="356"/>
      <c r="AL1064" s="356"/>
      <c r="AM1064" s="356"/>
      <c r="AN1064" s="356"/>
      <c r="AO1064" s="356"/>
    </row>
    <row r="1065" spans="1:41" s="73" customFormat="1" ht="15" customHeight="1" x14ac:dyDescent="0.25">
      <c r="A1065" s="400"/>
      <c r="B1065" s="409"/>
      <c r="C1065" s="159" t="s">
        <v>767</v>
      </c>
      <c r="D1065" s="109"/>
      <c r="E1065" s="80" t="s">
        <v>793</v>
      </c>
      <c r="F1065" s="356"/>
      <c r="G1065" s="356"/>
      <c r="H1065" s="356"/>
      <c r="I1065" s="356"/>
      <c r="J1065" s="356"/>
      <c r="K1065" s="356"/>
      <c r="L1065" s="356"/>
      <c r="M1065" s="356"/>
      <c r="N1065" s="356"/>
      <c r="O1065" s="356"/>
      <c r="P1065" s="356"/>
      <c r="Q1065" s="356"/>
      <c r="R1065" s="356"/>
      <c r="S1065" s="356"/>
      <c r="T1065" s="356"/>
      <c r="U1065" s="356"/>
      <c r="V1065" s="356"/>
      <c r="W1065" s="356"/>
      <c r="X1065" s="356"/>
      <c r="Y1065" s="356"/>
      <c r="Z1065" s="356"/>
      <c r="AA1065" s="356"/>
      <c r="AB1065" s="356"/>
      <c r="AC1065" s="356"/>
      <c r="AD1065" s="356"/>
      <c r="AE1065" s="356"/>
      <c r="AF1065" s="356"/>
      <c r="AG1065" s="356"/>
      <c r="AH1065" s="356"/>
      <c r="AI1065" s="356"/>
      <c r="AJ1065" s="356"/>
      <c r="AK1065" s="356"/>
      <c r="AL1065" s="356"/>
      <c r="AM1065" s="356"/>
      <c r="AN1065" s="356"/>
      <c r="AO1065" s="356"/>
    </row>
    <row r="1066" spans="1:41" s="73" customFormat="1" ht="15" customHeight="1" x14ac:dyDescent="0.25">
      <c r="A1066" s="400"/>
      <c r="B1066" s="409"/>
      <c r="C1066" s="159" t="s">
        <v>768</v>
      </c>
      <c r="D1066" s="109"/>
      <c r="E1066" s="80" t="s">
        <v>794</v>
      </c>
      <c r="F1066" s="356"/>
      <c r="G1066" s="356"/>
      <c r="H1066" s="356"/>
      <c r="I1066" s="356"/>
      <c r="J1066" s="356"/>
      <c r="K1066" s="356"/>
      <c r="L1066" s="356"/>
      <c r="M1066" s="356"/>
      <c r="N1066" s="356"/>
      <c r="O1066" s="356"/>
      <c r="P1066" s="356"/>
      <c r="Q1066" s="356"/>
      <c r="R1066" s="356"/>
      <c r="S1066" s="356"/>
      <c r="T1066" s="356"/>
      <c r="U1066" s="356"/>
      <c r="V1066" s="356"/>
      <c r="W1066" s="356"/>
      <c r="X1066" s="356"/>
      <c r="Y1066" s="356"/>
      <c r="Z1066" s="356"/>
      <c r="AA1066" s="356"/>
      <c r="AB1066" s="356"/>
      <c r="AC1066" s="356"/>
      <c r="AD1066" s="356"/>
      <c r="AE1066" s="356"/>
      <c r="AF1066" s="356"/>
      <c r="AG1066" s="356"/>
      <c r="AH1066" s="356"/>
      <c r="AI1066" s="356"/>
      <c r="AJ1066" s="356"/>
      <c r="AK1066" s="356"/>
      <c r="AL1066" s="356"/>
      <c r="AM1066" s="356"/>
      <c r="AN1066" s="356"/>
      <c r="AO1066" s="356"/>
    </row>
    <row r="1067" spans="1:41" s="73" customFormat="1" ht="15" customHeight="1" x14ac:dyDescent="0.25">
      <c r="A1067" s="400"/>
      <c r="B1067" s="409"/>
      <c r="C1067" s="159" t="s">
        <v>769</v>
      </c>
      <c r="D1067" s="109"/>
      <c r="E1067" s="80" t="s">
        <v>795</v>
      </c>
      <c r="F1067" s="356"/>
      <c r="G1067" s="356"/>
      <c r="H1067" s="356"/>
      <c r="I1067" s="356"/>
      <c r="J1067" s="356"/>
      <c r="K1067" s="356"/>
      <c r="L1067" s="356"/>
      <c r="M1067" s="356"/>
      <c r="N1067" s="356"/>
      <c r="O1067" s="356"/>
      <c r="P1067" s="356"/>
      <c r="Q1067" s="356"/>
      <c r="R1067" s="356"/>
      <c r="S1067" s="356"/>
      <c r="T1067" s="356"/>
      <c r="U1067" s="356"/>
      <c r="V1067" s="356"/>
      <c r="W1067" s="356"/>
      <c r="X1067" s="356"/>
      <c r="Y1067" s="356"/>
      <c r="Z1067" s="356"/>
      <c r="AA1067" s="356"/>
      <c r="AB1067" s="356"/>
      <c r="AC1067" s="356"/>
      <c r="AD1067" s="356"/>
      <c r="AE1067" s="356"/>
      <c r="AF1067" s="356"/>
      <c r="AG1067" s="356"/>
      <c r="AH1067" s="356"/>
      <c r="AI1067" s="356"/>
      <c r="AJ1067" s="356"/>
      <c r="AK1067" s="356"/>
      <c r="AL1067" s="356"/>
      <c r="AM1067" s="356"/>
      <c r="AN1067" s="356"/>
      <c r="AO1067" s="356"/>
    </row>
    <row r="1068" spans="1:41" s="73" customFormat="1" ht="15" customHeight="1" x14ac:dyDescent="0.25">
      <c r="A1068" s="400"/>
      <c r="B1068" s="409"/>
      <c r="C1068" s="159" t="s">
        <v>770</v>
      </c>
      <c r="D1068" s="109"/>
      <c r="E1068" s="80" t="s">
        <v>796</v>
      </c>
      <c r="F1068" s="356"/>
      <c r="G1068" s="356"/>
      <c r="H1068" s="356"/>
      <c r="I1068" s="356"/>
      <c r="J1068" s="356"/>
      <c r="K1068" s="356"/>
      <c r="L1068" s="356"/>
      <c r="M1068" s="356"/>
      <c r="N1068" s="356"/>
      <c r="O1068" s="356"/>
      <c r="P1068" s="356"/>
      <c r="Q1068" s="356"/>
      <c r="R1068" s="356"/>
      <c r="S1068" s="356"/>
      <c r="T1068" s="356"/>
      <c r="U1068" s="356"/>
      <c r="V1068" s="356"/>
      <c r="W1068" s="356"/>
      <c r="X1068" s="356"/>
      <c r="Y1068" s="356"/>
      <c r="Z1068" s="356"/>
      <c r="AA1068" s="356"/>
      <c r="AB1068" s="356"/>
      <c r="AC1068" s="356"/>
      <c r="AD1068" s="356"/>
      <c r="AE1068" s="356"/>
      <c r="AF1068" s="356"/>
      <c r="AG1068" s="356"/>
      <c r="AH1068" s="356"/>
      <c r="AI1068" s="356"/>
      <c r="AJ1068" s="356"/>
      <c r="AK1068" s="356"/>
      <c r="AL1068" s="356"/>
      <c r="AM1068" s="356"/>
      <c r="AN1068" s="356"/>
      <c r="AO1068" s="356"/>
    </row>
    <row r="1069" spans="1:41" s="108" customFormat="1" ht="15" customHeight="1" x14ac:dyDescent="0.25">
      <c r="A1069" s="400"/>
      <c r="B1069" s="409"/>
      <c r="C1069" s="87" t="s">
        <v>775</v>
      </c>
      <c r="D1069" s="149"/>
      <c r="E1069" s="90" t="s">
        <v>780</v>
      </c>
      <c r="F1069" s="354"/>
      <c r="G1069" s="354"/>
      <c r="H1069" s="354"/>
      <c r="I1069" s="354"/>
      <c r="J1069" s="354"/>
      <c r="K1069" s="354"/>
      <c r="L1069" s="354"/>
      <c r="M1069" s="354"/>
      <c r="N1069" s="354"/>
      <c r="O1069" s="354"/>
      <c r="P1069" s="354"/>
      <c r="Q1069" s="354"/>
      <c r="R1069" s="354"/>
      <c r="S1069" s="354"/>
      <c r="T1069" s="354"/>
      <c r="U1069" s="354"/>
      <c r="V1069" s="354"/>
      <c r="W1069" s="354"/>
      <c r="X1069" s="354"/>
      <c r="Y1069" s="354"/>
      <c r="Z1069" s="354"/>
      <c r="AA1069" s="354"/>
      <c r="AB1069" s="354"/>
      <c r="AC1069" s="354"/>
      <c r="AD1069" s="354"/>
      <c r="AE1069" s="354"/>
      <c r="AF1069" s="354"/>
      <c r="AG1069" s="354"/>
      <c r="AH1069" s="354"/>
      <c r="AI1069" s="354"/>
      <c r="AJ1069" s="354"/>
      <c r="AK1069" s="354"/>
      <c r="AL1069" s="354"/>
      <c r="AM1069" s="354"/>
      <c r="AN1069" s="354"/>
      <c r="AO1069" s="354"/>
    </row>
    <row r="1070" spans="1:41" s="73" customFormat="1" ht="15" customHeight="1" x14ac:dyDescent="0.25">
      <c r="A1070" s="400"/>
      <c r="B1070" s="409"/>
      <c r="C1070" s="159" t="s">
        <v>636</v>
      </c>
      <c r="D1070" s="109"/>
      <c r="E1070" s="80" t="s">
        <v>797</v>
      </c>
      <c r="F1070" s="356"/>
      <c r="G1070" s="356"/>
      <c r="H1070" s="356"/>
      <c r="I1070" s="356"/>
      <c r="J1070" s="356"/>
      <c r="K1070" s="356"/>
      <c r="L1070" s="356"/>
      <c r="M1070" s="356"/>
      <c r="N1070" s="356"/>
      <c r="O1070" s="356"/>
      <c r="P1070" s="356"/>
      <c r="Q1070" s="356"/>
      <c r="R1070" s="356"/>
      <c r="S1070" s="356"/>
      <c r="T1070" s="356"/>
      <c r="U1070" s="356"/>
      <c r="V1070" s="356"/>
      <c r="W1070" s="356"/>
      <c r="X1070" s="356"/>
      <c r="Y1070" s="356"/>
      <c r="Z1070" s="356"/>
      <c r="AA1070" s="356"/>
      <c r="AB1070" s="356"/>
      <c r="AC1070" s="356"/>
      <c r="AD1070" s="356"/>
      <c r="AE1070" s="356"/>
      <c r="AF1070" s="356"/>
      <c r="AG1070" s="356"/>
      <c r="AH1070" s="356"/>
      <c r="AI1070" s="356"/>
      <c r="AJ1070" s="356"/>
      <c r="AK1070" s="356"/>
      <c r="AL1070" s="356"/>
      <c r="AM1070" s="356"/>
      <c r="AN1070" s="356"/>
      <c r="AO1070" s="356"/>
    </row>
    <row r="1071" spans="1:41" s="73" customFormat="1" ht="15" customHeight="1" x14ac:dyDescent="0.25">
      <c r="A1071" s="400"/>
      <c r="B1071" s="409"/>
      <c r="C1071" s="159" t="s">
        <v>637</v>
      </c>
      <c r="D1071" s="109"/>
      <c r="E1071" s="80" t="s">
        <v>798</v>
      </c>
      <c r="F1071" s="356"/>
      <c r="G1071" s="356"/>
      <c r="H1071" s="356"/>
      <c r="I1071" s="356"/>
      <c r="J1071" s="356"/>
      <c r="K1071" s="356"/>
      <c r="L1071" s="356"/>
      <c r="M1071" s="356"/>
      <c r="N1071" s="356"/>
      <c r="O1071" s="356"/>
      <c r="P1071" s="356"/>
      <c r="Q1071" s="356"/>
      <c r="R1071" s="356"/>
      <c r="S1071" s="356"/>
      <c r="T1071" s="356"/>
      <c r="U1071" s="356"/>
      <c r="V1071" s="356"/>
      <c r="W1071" s="356"/>
      <c r="X1071" s="356"/>
      <c r="Y1071" s="356"/>
      <c r="Z1071" s="356"/>
      <c r="AA1071" s="356"/>
      <c r="AB1071" s="356"/>
      <c r="AC1071" s="356"/>
      <c r="AD1071" s="356"/>
      <c r="AE1071" s="356"/>
      <c r="AF1071" s="356"/>
      <c r="AG1071" s="356"/>
      <c r="AH1071" s="356"/>
      <c r="AI1071" s="356"/>
      <c r="AJ1071" s="356"/>
      <c r="AK1071" s="356"/>
      <c r="AL1071" s="356"/>
      <c r="AM1071" s="356"/>
      <c r="AN1071" s="356"/>
      <c r="AO1071" s="356"/>
    </row>
    <row r="1072" spans="1:41" s="73" customFormat="1" ht="15" customHeight="1" x14ac:dyDescent="0.25">
      <c r="A1072" s="400"/>
      <c r="B1072" s="409"/>
      <c r="C1072" s="159" t="s">
        <v>638</v>
      </c>
      <c r="D1072" s="109"/>
      <c r="E1072" s="80" t="s">
        <v>799</v>
      </c>
      <c r="F1072" s="356"/>
      <c r="G1072" s="356"/>
      <c r="H1072" s="356"/>
      <c r="I1072" s="356"/>
      <c r="J1072" s="356"/>
      <c r="K1072" s="356"/>
      <c r="L1072" s="356"/>
      <c r="M1072" s="356"/>
      <c r="N1072" s="356"/>
      <c r="O1072" s="356"/>
      <c r="P1072" s="356"/>
      <c r="Q1072" s="356"/>
      <c r="R1072" s="356"/>
      <c r="S1072" s="356"/>
      <c r="T1072" s="356"/>
      <c r="U1072" s="356"/>
      <c r="V1072" s="356"/>
      <c r="W1072" s="356"/>
      <c r="X1072" s="356"/>
      <c r="Y1072" s="356"/>
      <c r="Z1072" s="356"/>
      <c r="AA1072" s="356"/>
      <c r="AB1072" s="356"/>
      <c r="AC1072" s="356"/>
      <c r="AD1072" s="356"/>
      <c r="AE1072" s="356"/>
      <c r="AF1072" s="356"/>
      <c r="AG1072" s="356"/>
      <c r="AH1072" s="356"/>
      <c r="AI1072" s="356"/>
      <c r="AJ1072" s="356"/>
      <c r="AK1072" s="356"/>
      <c r="AL1072" s="356"/>
      <c r="AM1072" s="356"/>
      <c r="AN1072" s="356"/>
      <c r="AO1072" s="356"/>
    </row>
    <row r="1073" spans="1:41" s="73" customFormat="1" ht="15" customHeight="1" x14ac:dyDescent="0.25">
      <c r="A1073" s="400"/>
      <c r="B1073" s="409"/>
      <c r="C1073" s="159" t="s">
        <v>639</v>
      </c>
      <c r="D1073" s="109"/>
      <c r="E1073" s="80" t="s">
        <v>800</v>
      </c>
      <c r="F1073" s="356"/>
      <c r="G1073" s="356"/>
      <c r="H1073" s="356"/>
      <c r="I1073" s="356"/>
      <c r="J1073" s="356"/>
      <c r="K1073" s="356"/>
      <c r="L1073" s="356"/>
      <c r="M1073" s="356"/>
      <c r="N1073" s="356"/>
      <c r="O1073" s="356"/>
      <c r="P1073" s="356"/>
      <c r="Q1073" s="356"/>
      <c r="R1073" s="356"/>
      <c r="S1073" s="356"/>
      <c r="T1073" s="356"/>
      <c r="U1073" s="356"/>
      <c r="V1073" s="356"/>
      <c r="W1073" s="356"/>
      <c r="X1073" s="356"/>
      <c r="Y1073" s="356"/>
      <c r="Z1073" s="356"/>
      <c r="AA1073" s="356"/>
      <c r="AB1073" s="356"/>
      <c r="AC1073" s="356"/>
      <c r="AD1073" s="356"/>
      <c r="AE1073" s="356"/>
      <c r="AF1073" s="356"/>
      <c r="AG1073" s="356"/>
      <c r="AH1073" s="356"/>
      <c r="AI1073" s="356"/>
      <c r="AJ1073" s="356"/>
      <c r="AK1073" s="356"/>
      <c r="AL1073" s="356"/>
      <c r="AM1073" s="356"/>
      <c r="AN1073" s="356"/>
      <c r="AO1073" s="356"/>
    </row>
    <row r="1074" spans="1:41" s="108" customFormat="1" ht="15" customHeight="1" x14ac:dyDescent="0.25">
      <c r="A1074" s="400"/>
      <c r="B1074" s="409"/>
      <c r="C1074" s="87" t="s">
        <v>776</v>
      </c>
      <c r="D1074" s="149"/>
      <c r="E1074" s="90" t="s">
        <v>781</v>
      </c>
      <c r="F1074" s="354"/>
      <c r="G1074" s="354"/>
      <c r="H1074" s="354"/>
      <c r="I1074" s="354"/>
      <c r="J1074" s="354"/>
      <c r="K1074" s="354"/>
      <c r="L1074" s="354"/>
      <c r="M1074" s="354"/>
      <c r="N1074" s="354"/>
      <c r="O1074" s="354"/>
      <c r="P1074" s="354"/>
      <c r="Q1074" s="354"/>
      <c r="R1074" s="354"/>
      <c r="S1074" s="354"/>
      <c r="T1074" s="354"/>
      <c r="U1074" s="354"/>
      <c r="V1074" s="354"/>
      <c r="W1074" s="354"/>
      <c r="X1074" s="354"/>
      <c r="Y1074" s="354"/>
      <c r="Z1074" s="354"/>
      <c r="AA1074" s="354"/>
      <c r="AB1074" s="354"/>
      <c r="AC1074" s="354"/>
      <c r="AD1074" s="354"/>
      <c r="AE1074" s="354"/>
      <c r="AF1074" s="354"/>
      <c r="AG1074" s="354"/>
      <c r="AH1074" s="354"/>
      <c r="AI1074" s="354"/>
      <c r="AJ1074" s="354"/>
      <c r="AK1074" s="354"/>
      <c r="AL1074" s="354"/>
      <c r="AM1074" s="354"/>
      <c r="AN1074" s="354"/>
      <c r="AO1074" s="354"/>
    </row>
    <row r="1075" spans="1:41" s="73" customFormat="1" ht="15" customHeight="1" x14ac:dyDescent="0.25">
      <c r="A1075" s="400"/>
      <c r="B1075" s="409"/>
      <c r="C1075" s="159" t="s">
        <v>640</v>
      </c>
      <c r="D1075" s="109"/>
      <c r="E1075" s="80" t="s">
        <v>801</v>
      </c>
      <c r="F1075" s="356"/>
      <c r="G1075" s="356"/>
      <c r="H1075" s="356"/>
      <c r="I1075" s="356"/>
      <c r="J1075" s="356"/>
      <c r="K1075" s="356"/>
      <c r="L1075" s="356"/>
      <c r="M1075" s="356"/>
      <c r="N1075" s="356"/>
      <c r="O1075" s="356"/>
      <c r="P1075" s="356"/>
      <c r="Q1075" s="356"/>
      <c r="R1075" s="356"/>
      <c r="S1075" s="356"/>
      <c r="T1075" s="356"/>
      <c r="U1075" s="356"/>
      <c r="V1075" s="356"/>
      <c r="W1075" s="356"/>
      <c r="X1075" s="356"/>
      <c r="Y1075" s="356"/>
      <c r="Z1075" s="356"/>
      <c r="AA1075" s="356"/>
      <c r="AB1075" s="356"/>
      <c r="AC1075" s="356"/>
      <c r="AD1075" s="356"/>
      <c r="AE1075" s="356"/>
      <c r="AF1075" s="356"/>
      <c r="AG1075" s="356"/>
      <c r="AH1075" s="356"/>
      <c r="AI1075" s="356"/>
      <c r="AJ1075" s="356"/>
      <c r="AK1075" s="356"/>
      <c r="AL1075" s="356"/>
      <c r="AM1075" s="356"/>
      <c r="AN1075" s="356"/>
      <c r="AO1075" s="356"/>
    </row>
    <row r="1076" spans="1:41" s="73" customFormat="1" ht="15" customHeight="1" x14ac:dyDescent="0.25">
      <c r="A1076" s="400"/>
      <c r="B1076" s="409"/>
      <c r="C1076" s="159" t="s">
        <v>641</v>
      </c>
      <c r="D1076" s="109"/>
      <c r="E1076" s="80" t="s">
        <v>802</v>
      </c>
      <c r="F1076" s="356"/>
      <c r="G1076" s="356"/>
      <c r="H1076" s="356"/>
      <c r="I1076" s="356"/>
      <c r="J1076" s="356"/>
      <c r="K1076" s="356"/>
      <c r="L1076" s="356"/>
      <c r="M1076" s="356"/>
      <c r="N1076" s="356"/>
      <c r="O1076" s="356"/>
      <c r="P1076" s="356"/>
      <c r="Q1076" s="356"/>
      <c r="R1076" s="356"/>
      <c r="S1076" s="356"/>
      <c r="T1076" s="356"/>
      <c r="U1076" s="356"/>
      <c r="V1076" s="356"/>
      <c r="W1076" s="356"/>
      <c r="X1076" s="356"/>
      <c r="Y1076" s="356"/>
      <c r="Z1076" s="356"/>
      <c r="AA1076" s="356"/>
      <c r="AB1076" s="356"/>
      <c r="AC1076" s="356"/>
      <c r="AD1076" s="356"/>
      <c r="AE1076" s="356"/>
      <c r="AF1076" s="356"/>
      <c r="AG1076" s="356"/>
      <c r="AH1076" s="356"/>
      <c r="AI1076" s="356"/>
      <c r="AJ1076" s="356"/>
      <c r="AK1076" s="356"/>
      <c r="AL1076" s="356"/>
      <c r="AM1076" s="356"/>
      <c r="AN1076" s="356"/>
      <c r="AO1076" s="356"/>
    </row>
    <row r="1077" spans="1:41" s="108" customFormat="1" ht="15" customHeight="1" x14ac:dyDescent="0.25">
      <c r="A1077" s="400"/>
      <c r="B1077" s="409"/>
      <c r="C1077" s="87" t="s">
        <v>777</v>
      </c>
      <c r="D1077" s="149"/>
      <c r="E1077" s="90" t="s">
        <v>782</v>
      </c>
      <c r="F1077" s="354"/>
      <c r="G1077" s="354"/>
      <c r="H1077" s="354"/>
      <c r="I1077" s="354"/>
      <c r="J1077" s="354"/>
      <c r="K1077" s="354"/>
      <c r="L1077" s="354"/>
      <c r="M1077" s="354"/>
      <c r="N1077" s="354"/>
      <c r="O1077" s="354"/>
      <c r="P1077" s="354"/>
      <c r="Q1077" s="354"/>
      <c r="R1077" s="354"/>
      <c r="S1077" s="354"/>
      <c r="T1077" s="354"/>
      <c r="U1077" s="354"/>
      <c r="V1077" s="354"/>
      <c r="W1077" s="354"/>
      <c r="X1077" s="354"/>
      <c r="Y1077" s="354"/>
      <c r="Z1077" s="354"/>
      <c r="AA1077" s="354"/>
      <c r="AB1077" s="354"/>
      <c r="AC1077" s="354"/>
      <c r="AD1077" s="354"/>
      <c r="AE1077" s="354"/>
      <c r="AF1077" s="354"/>
      <c r="AG1077" s="354"/>
      <c r="AH1077" s="354"/>
      <c r="AI1077" s="354"/>
      <c r="AJ1077" s="354"/>
      <c r="AK1077" s="354"/>
      <c r="AL1077" s="354"/>
      <c r="AM1077" s="354"/>
      <c r="AN1077" s="354"/>
      <c r="AO1077" s="354"/>
    </row>
    <row r="1078" spans="1:41" s="73" customFormat="1" ht="15" customHeight="1" x14ac:dyDescent="0.25">
      <c r="A1078" s="400"/>
      <c r="B1078" s="409"/>
      <c r="C1078" s="159" t="s">
        <v>486</v>
      </c>
      <c r="D1078" s="109"/>
      <c r="E1078" s="80" t="s">
        <v>803</v>
      </c>
      <c r="F1078" s="356"/>
      <c r="G1078" s="356"/>
      <c r="H1078" s="356"/>
      <c r="I1078" s="356"/>
      <c r="J1078" s="356"/>
      <c r="K1078" s="356"/>
      <c r="L1078" s="356"/>
      <c r="M1078" s="356"/>
      <c r="N1078" s="356"/>
      <c r="O1078" s="356"/>
      <c r="P1078" s="356"/>
      <c r="Q1078" s="356"/>
      <c r="R1078" s="356"/>
      <c r="S1078" s="356"/>
      <c r="T1078" s="356"/>
      <c r="U1078" s="356"/>
      <c r="V1078" s="356"/>
      <c r="W1078" s="356"/>
      <c r="X1078" s="356"/>
      <c r="Y1078" s="356"/>
      <c r="Z1078" s="356"/>
      <c r="AA1078" s="356"/>
      <c r="AB1078" s="356"/>
      <c r="AC1078" s="356"/>
      <c r="AD1078" s="356"/>
      <c r="AE1078" s="356"/>
      <c r="AF1078" s="356"/>
      <c r="AG1078" s="356"/>
      <c r="AH1078" s="356"/>
      <c r="AI1078" s="356"/>
      <c r="AJ1078" s="356"/>
      <c r="AK1078" s="356"/>
      <c r="AL1078" s="356"/>
      <c r="AM1078" s="356"/>
      <c r="AN1078" s="356"/>
      <c r="AO1078" s="356"/>
    </row>
    <row r="1079" spans="1:41" s="73" customFormat="1" ht="15" customHeight="1" x14ac:dyDescent="0.25">
      <c r="A1079" s="400"/>
      <c r="B1079" s="409"/>
      <c r="C1079" s="159" t="s">
        <v>487</v>
      </c>
      <c r="D1079" s="109"/>
      <c r="E1079" s="80" t="s">
        <v>804</v>
      </c>
      <c r="F1079" s="356"/>
      <c r="G1079" s="356"/>
      <c r="H1079" s="356"/>
      <c r="I1079" s="356"/>
      <c r="J1079" s="356"/>
      <c r="K1079" s="356"/>
      <c r="L1079" s="356"/>
      <c r="M1079" s="356"/>
      <c r="N1079" s="356"/>
      <c r="O1079" s="356"/>
      <c r="P1079" s="356"/>
      <c r="Q1079" s="356"/>
      <c r="R1079" s="356"/>
      <c r="S1079" s="356"/>
      <c r="T1079" s="356"/>
      <c r="U1079" s="356"/>
      <c r="V1079" s="356"/>
      <c r="W1079" s="356"/>
      <c r="X1079" s="356"/>
      <c r="Y1079" s="356"/>
      <c r="Z1079" s="356"/>
      <c r="AA1079" s="356"/>
      <c r="AB1079" s="356"/>
      <c r="AC1079" s="356"/>
      <c r="AD1079" s="356"/>
      <c r="AE1079" s="356"/>
      <c r="AF1079" s="356"/>
      <c r="AG1079" s="356"/>
      <c r="AH1079" s="356"/>
      <c r="AI1079" s="356"/>
      <c r="AJ1079" s="356"/>
      <c r="AK1079" s="356"/>
      <c r="AL1079" s="356"/>
      <c r="AM1079" s="356"/>
      <c r="AN1079" s="356"/>
      <c r="AO1079" s="356"/>
    </row>
    <row r="1080" spans="1:41" s="73" customFormat="1" ht="15" customHeight="1" x14ac:dyDescent="0.25">
      <c r="A1080" s="400"/>
      <c r="B1080" s="409"/>
      <c r="C1080" s="159" t="s">
        <v>490</v>
      </c>
      <c r="D1080" s="109"/>
      <c r="E1080" s="80" t="s">
        <v>805</v>
      </c>
      <c r="F1080" s="356"/>
      <c r="G1080" s="356"/>
      <c r="H1080" s="356"/>
      <c r="I1080" s="356"/>
      <c r="J1080" s="356"/>
      <c r="K1080" s="356"/>
      <c r="L1080" s="356"/>
      <c r="M1080" s="356"/>
      <c r="N1080" s="356"/>
      <c r="O1080" s="356"/>
      <c r="P1080" s="356"/>
      <c r="Q1080" s="356"/>
      <c r="R1080" s="356"/>
      <c r="S1080" s="356"/>
      <c r="T1080" s="356"/>
      <c r="U1080" s="356"/>
      <c r="V1080" s="356"/>
      <c r="W1080" s="356"/>
      <c r="X1080" s="356"/>
      <c r="Y1080" s="356"/>
      <c r="Z1080" s="356"/>
      <c r="AA1080" s="356"/>
      <c r="AB1080" s="356"/>
      <c r="AC1080" s="356"/>
      <c r="AD1080" s="356"/>
      <c r="AE1080" s="356"/>
      <c r="AF1080" s="356"/>
      <c r="AG1080" s="356"/>
      <c r="AH1080" s="356"/>
      <c r="AI1080" s="356"/>
      <c r="AJ1080" s="356"/>
      <c r="AK1080" s="356"/>
      <c r="AL1080" s="356"/>
      <c r="AM1080" s="356"/>
      <c r="AN1080" s="356"/>
      <c r="AO1080" s="356"/>
    </row>
    <row r="1081" spans="1:41" s="73" customFormat="1" ht="15" customHeight="1" x14ac:dyDescent="0.25">
      <c r="A1081" s="400"/>
      <c r="B1081" s="409"/>
      <c r="C1081" s="159" t="s">
        <v>491</v>
      </c>
      <c r="D1081" s="109"/>
      <c r="E1081" s="80" t="s">
        <v>806</v>
      </c>
      <c r="F1081" s="356"/>
      <c r="G1081" s="356"/>
      <c r="H1081" s="356"/>
      <c r="I1081" s="356"/>
      <c r="J1081" s="356"/>
      <c r="K1081" s="356"/>
      <c r="L1081" s="356"/>
      <c r="M1081" s="356"/>
      <c r="N1081" s="356"/>
      <c r="O1081" s="356"/>
      <c r="P1081" s="356"/>
      <c r="Q1081" s="356"/>
      <c r="R1081" s="356"/>
      <c r="S1081" s="356"/>
      <c r="T1081" s="356"/>
      <c r="U1081" s="356"/>
      <c r="V1081" s="356"/>
      <c r="W1081" s="356"/>
      <c r="X1081" s="356"/>
      <c r="Y1081" s="356"/>
      <c r="Z1081" s="356"/>
      <c r="AA1081" s="356"/>
      <c r="AB1081" s="356"/>
      <c r="AC1081" s="356"/>
      <c r="AD1081" s="356"/>
      <c r="AE1081" s="356"/>
      <c r="AF1081" s="356"/>
      <c r="AG1081" s="356"/>
      <c r="AH1081" s="356"/>
      <c r="AI1081" s="356"/>
      <c r="AJ1081" s="356"/>
      <c r="AK1081" s="356"/>
      <c r="AL1081" s="356"/>
      <c r="AM1081" s="356"/>
      <c r="AN1081" s="356"/>
      <c r="AO1081" s="356"/>
    </row>
    <row r="1082" spans="1:41" s="108" customFormat="1" ht="15" customHeight="1" x14ac:dyDescent="0.25">
      <c r="A1082" s="400"/>
      <c r="B1082" s="409"/>
      <c r="C1082" s="87" t="s">
        <v>563</v>
      </c>
      <c r="D1082" s="149"/>
      <c r="E1082" s="90" t="s">
        <v>783</v>
      </c>
      <c r="F1082" s="354"/>
      <c r="G1082" s="354"/>
      <c r="H1082" s="354"/>
      <c r="I1082" s="354"/>
      <c r="J1082" s="354"/>
      <c r="K1082" s="354"/>
      <c r="L1082" s="354"/>
      <c r="M1082" s="354"/>
      <c r="N1082" s="354"/>
      <c r="O1082" s="354"/>
      <c r="P1082" s="354"/>
      <c r="Q1082" s="354"/>
      <c r="R1082" s="354"/>
      <c r="S1082" s="354"/>
      <c r="T1082" s="354"/>
      <c r="U1082" s="354"/>
      <c r="V1082" s="354"/>
      <c r="W1082" s="354"/>
      <c r="X1082" s="354"/>
      <c r="Y1082" s="354"/>
      <c r="Z1082" s="354"/>
      <c r="AA1082" s="354"/>
      <c r="AB1082" s="354"/>
      <c r="AC1082" s="354"/>
      <c r="AD1082" s="354"/>
      <c r="AE1082" s="354"/>
      <c r="AF1082" s="354"/>
      <c r="AG1082" s="354"/>
      <c r="AH1082" s="354"/>
      <c r="AI1082" s="354"/>
      <c r="AJ1082" s="354"/>
      <c r="AK1082" s="354"/>
      <c r="AL1082" s="354"/>
      <c r="AM1082" s="354"/>
      <c r="AN1082" s="354"/>
      <c r="AO1082" s="354"/>
    </row>
    <row r="1083" spans="1:41" s="73" customFormat="1" ht="15" customHeight="1" x14ac:dyDescent="0.25">
      <c r="A1083" s="400"/>
      <c r="B1083" s="409"/>
      <c r="C1083" s="159" t="s">
        <v>494</v>
      </c>
      <c r="D1083" s="109"/>
      <c r="E1083" s="80" t="s">
        <v>807</v>
      </c>
      <c r="F1083" s="356"/>
      <c r="G1083" s="356"/>
      <c r="H1083" s="356"/>
      <c r="I1083" s="356"/>
      <c r="J1083" s="356"/>
      <c r="K1083" s="356"/>
      <c r="L1083" s="356"/>
      <c r="M1083" s="356"/>
      <c r="N1083" s="356"/>
      <c r="O1083" s="356"/>
      <c r="P1083" s="356"/>
      <c r="Q1083" s="356"/>
      <c r="R1083" s="356"/>
      <c r="S1083" s="356"/>
      <c r="T1083" s="356"/>
      <c r="U1083" s="356"/>
      <c r="V1083" s="356"/>
      <c r="W1083" s="356"/>
      <c r="X1083" s="356"/>
      <c r="Y1083" s="356"/>
      <c r="Z1083" s="356"/>
      <c r="AA1083" s="356"/>
      <c r="AB1083" s="356"/>
      <c r="AC1083" s="356"/>
      <c r="AD1083" s="356"/>
      <c r="AE1083" s="356"/>
      <c r="AF1083" s="356"/>
      <c r="AG1083" s="356"/>
      <c r="AH1083" s="356"/>
      <c r="AI1083" s="356"/>
      <c r="AJ1083" s="356"/>
      <c r="AK1083" s="356"/>
      <c r="AL1083" s="356"/>
      <c r="AM1083" s="356"/>
      <c r="AN1083" s="356"/>
      <c r="AO1083" s="356"/>
    </row>
    <row r="1084" spans="1:41" s="73" customFormat="1" ht="15" customHeight="1" x14ac:dyDescent="0.25">
      <c r="A1084" s="400"/>
      <c r="B1084" s="409"/>
      <c r="C1084" s="159" t="s">
        <v>495</v>
      </c>
      <c r="D1084" s="109"/>
      <c r="E1084" s="80" t="s">
        <v>808</v>
      </c>
      <c r="F1084" s="356"/>
      <c r="G1084" s="356"/>
      <c r="H1084" s="356"/>
      <c r="I1084" s="356"/>
      <c r="J1084" s="356"/>
      <c r="K1084" s="356"/>
      <c r="L1084" s="356"/>
      <c r="M1084" s="356"/>
      <c r="N1084" s="356"/>
      <c r="O1084" s="356"/>
      <c r="P1084" s="356"/>
      <c r="Q1084" s="356"/>
      <c r="R1084" s="356"/>
      <c r="S1084" s="356"/>
      <c r="T1084" s="356"/>
      <c r="U1084" s="356"/>
      <c r="V1084" s="356"/>
      <c r="W1084" s="356"/>
      <c r="X1084" s="356"/>
      <c r="Y1084" s="356"/>
      <c r="Z1084" s="356"/>
      <c r="AA1084" s="356"/>
      <c r="AB1084" s="356"/>
      <c r="AC1084" s="356"/>
      <c r="AD1084" s="356"/>
      <c r="AE1084" s="356"/>
      <c r="AF1084" s="356"/>
      <c r="AG1084" s="356"/>
      <c r="AH1084" s="356"/>
      <c r="AI1084" s="356"/>
      <c r="AJ1084" s="356"/>
      <c r="AK1084" s="356"/>
      <c r="AL1084" s="356"/>
      <c r="AM1084" s="356"/>
      <c r="AN1084" s="356"/>
      <c r="AO1084" s="356"/>
    </row>
    <row r="1085" spans="1:41" s="73" customFormat="1" ht="15" customHeight="1" x14ac:dyDescent="0.25">
      <c r="A1085" s="400"/>
      <c r="B1085" s="409"/>
      <c r="C1085" s="159" t="s">
        <v>496</v>
      </c>
      <c r="D1085" s="109"/>
      <c r="E1085" s="80" t="s">
        <v>809</v>
      </c>
      <c r="F1085" s="356"/>
      <c r="G1085" s="356"/>
      <c r="H1085" s="356"/>
      <c r="I1085" s="356"/>
      <c r="J1085" s="356"/>
      <c r="K1085" s="356"/>
      <c r="L1085" s="356"/>
      <c r="M1085" s="356"/>
      <c r="N1085" s="356"/>
      <c r="O1085" s="356"/>
      <c r="P1085" s="356"/>
      <c r="Q1085" s="356"/>
      <c r="R1085" s="356"/>
      <c r="S1085" s="356"/>
      <c r="T1085" s="356"/>
      <c r="U1085" s="356"/>
      <c r="V1085" s="356"/>
      <c r="W1085" s="356"/>
      <c r="X1085" s="356"/>
      <c r="Y1085" s="356"/>
      <c r="Z1085" s="356"/>
      <c r="AA1085" s="356"/>
      <c r="AB1085" s="356"/>
      <c r="AC1085" s="356"/>
      <c r="AD1085" s="356"/>
      <c r="AE1085" s="356"/>
      <c r="AF1085" s="356"/>
      <c r="AG1085" s="356"/>
      <c r="AH1085" s="356"/>
      <c r="AI1085" s="356"/>
      <c r="AJ1085" s="356"/>
      <c r="AK1085" s="356"/>
      <c r="AL1085" s="356"/>
      <c r="AM1085" s="356"/>
      <c r="AN1085" s="356"/>
      <c r="AO1085" s="356"/>
    </row>
    <row r="1086" spans="1:41" s="73" customFormat="1" ht="15" customHeight="1" x14ac:dyDescent="0.25">
      <c r="A1086" s="400"/>
      <c r="B1086" s="409"/>
      <c r="C1086" s="159" t="s">
        <v>497</v>
      </c>
      <c r="D1086" s="109"/>
      <c r="E1086" s="80" t="s">
        <v>810</v>
      </c>
      <c r="F1086" s="356"/>
      <c r="G1086" s="356"/>
      <c r="H1086" s="356"/>
      <c r="I1086" s="356"/>
      <c r="J1086" s="356"/>
      <c r="K1086" s="356"/>
      <c r="L1086" s="356"/>
      <c r="M1086" s="356"/>
      <c r="N1086" s="356"/>
      <c r="O1086" s="356"/>
      <c r="P1086" s="356"/>
      <c r="Q1086" s="356"/>
      <c r="R1086" s="356"/>
      <c r="S1086" s="356"/>
      <c r="T1086" s="356"/>
      <c r="U1086" s="356"/>
      <c r="V1086" s="356"/>
      <c r="W1086" s="356"/>
      <c r="X1086" s="356"/>
      <c r="Y1086" s="356"/>
      <c r="Z1086" s="356"/>
      <c r="AA1086" s="356"/>
      <c r="AB1086" s="356"/>
      <c r="AC1086" s="356"/>
      <c r="AD1086" s="356"/>
      <c r="AE1086" s="356"/>
      <c r="AF1086" s="356"/>
      <c r="AG1086" s="356"/>
      <c r="AH1086" s="356"/>
      <c r="AI1086" s="356"/>
      <c r="AJ1086" s="356"/>
      <c r="AK1086" s="356"/>
      <c r="AL1086" s="356"/>
      <c r="AM1086" s="356"/>
      <c r="AN1086" s="356"/>
      <c r="AO1086" s="356"/>
    </row>
    <row r="1087" spans="1:41" s="73" customFormat="1" ht="15" customHeight="1" x14ac:dyDescent="0.25">
      <c r="A1087" s="400"/>
      <c r="B1087" s="409"/>
      <c r="C1087" s="159" t="s">
        <v>498</v>
      </c>
      <c r="D1087" s="109"/>
      <c r="E1087" s="80" t="s">
        <v>811</v>
      </c>
      <c r="F1087" s="356"/>
      <c r="G1087" s="356"/>
      <c r="H1087" s="356"/>
      <c r="I1087" s="356"/>
      <c r="J1087" s="356"/>
      <c r="K1087" s="356"/>
      <c r="L1087" s="356"/>
      <c r="M1087" s="356"/>
      <c r="N1087" s="356"/>
      <c r="O1087" s="356"/>
      <c r="P1087" s="356"/>
      <c r="Q1087" s="356"/>
      <c r="R1087" s="356"/>
      <c r="S1087" s="356"/>
      <c r="T1087" s="356"/>
      <c r="U1087" s="356"/>
      <c r="V1087" s="356"/>
      <c r="W1087" s="356"/>
      <c r="X1087" s="356"/>
      <c r="Y1087" s="356"/>
      <c r="Z1087" s="356"/>
      <c r="AA1087" s="356"/>
      <c r="AB1087" s="356"/>
      <c r="AC1087" s="356"/>
      <c r="AD1087" s="356"/>
      <c r="AE1087" s="356"/>
      <c r="AF1087" s="356"/>
      <c r="AG1087" s="356"/>
      <c r="AH1087" s="356"/>
      <c r="AI1087" s="356"/>
      <c r="AJ1087" s="356"/>
      <c r="AK1087" s="356"/>
      <c r="AL1087" s="356"/>
      <c r="AM1087" s="356"/>
      <c r="AN1087" s="356"/>
      <c r="AO1087" s="356"/>
    </row>
    <row r="1088" spans="1:41" s="73" customFormat="1" ht="15" customHeight="1" x14ac:dyDescent="0.25">
      <c r="A1088" s="400"/>
      <c r="B1088" s="409"/>
      <c r="C1088" s="159" t="s">
        <v>499</v>
      </c>
      <c r="D1088" s="109"/>
      <c r="E1088" s="80" t="s">
        <v>812</v>
      </c>
      <c r="F1088" s="356"/>
      <c r="G1088" s="356"/>
      <c r="H1088" s="356"/>
      <c r="I1088" s="356"/>
      <c r="J1088" s="356"/>
      <c r="K1088" s="356"/>
      <c r="L1088" s="356"/>
      <c r="M1088" s="356"/>
      <c r="N1088" s="356"/>
      <c r="O1088" s="356"/>
      <c r="P1088" s="356"/>
      <c r="Q1088" s="356"/>
      <c r="R1088" s="356"/>
      <c r="S1088" s="356"/>
      <c r="T1088" s="356"/>
      <c r="U1088" s="356"/>
      <c r="V1088" s="356"/>
      <c r="W1088" s="356"/>
      <c r="X1088" s="356"/>
      <c r="Y1088" s="356"/>
      <c r="Z1088" s="356"/>
      <c r="AA1088" s="356"/>
      <c r="AB1088" s="356"/>
      <c r="AC1088" s="356"/>
      <c r="AD1088" s="356"/>
      <c r="AE1088" s="356"/>
      <c r="AF1088" s="356"/>
      <c r="AG1088" s="356"/>
      <c r="AH1088" s="356"/>
      <c r="AI1088" s="356"/>
      <c r="AJ1088" s="356"/>
      <c r="AK1088" s="356"/>
      <c r="AL1088" s="356"/>
      <c r="AM1088" s="356"/>
      <c r="AN1088" s="356"/>
      <c r="AO1088" s="356"/>
    </row>
    <row r="1089" spans="1:41" s="73" customFormat="1" ht="15" customHeight="1" x14ac:dyDescent="0.25">
      <c r="A1089" s="400"/>
      <c r="B1089" s="409"/>
      <c r="C1089" s="159" t="s">
        <v>500</v>
      </c>
      <c r="D1089" s="109"/>
      <c r="E1089" s="80" t="s">
        <v>813</v>
      </c>
      <c r="F1089" s="356"/>
      <c r="G1089" s="356"/>
      <c r="H1089" s="356"/>
      <c r="I1089" s="356"/>
      <c r="J1089" s="356"/>
      <c r="K1089" s="356"/>
      <c r="L1089" s="356"/>
      <c r="M1089" s="356"/>
      <c r="N1089" s="356"/>
      <c r="O1089" s="356"/>
      <c r="P1089" s="356"/>
      <c r="Q1089" s="356"/>
      <c r="R1089" s="356"/>
      <c r="S1089" s="356"/>
      <c r="T1089" s="356"/>
      <c r="U1089" s="356"/>
      <c r="V1089" s="356"/>
      <c r="W1089" s="356"/>
      <c r="X1089" s="356"/>
      <c r="Y1089" s="356"/>
      <c r="Z1089" s="356"/>
      <c r="AA1089" s="356"/>
      <c r="AB1089" s="356"/>
      <c r="AC1089" s="356"/>
      <c r="AD1089" s="356"/>
      <c r="AE1089" s="356"/>
      <c r="AF1089" s="356"/>
      <c r="AG1089" s="356"/>
      <c r="AH1089" s="356"/>
      <c r="AI1089" s="356"/>
      <c r="AJ1089" s="356"/>
      <c r="AK1089" s="356"/>
      <c r="AL1089" s="356"/>
      <c r="AM1089" s="356"/>
      <c r="AN1089" s="356"/>
      <c r="AO1089" s="356"/>
    </row>
    <row r="1090" spans="1:41" s="73" customFormat="1" ht="15" customHeight="1" x14ac:dyDescent="0.25">
      <c r="A1090" s="400"/>
      <c r="B1090" s="409"/>
      <c r="C1090" s="159" t="s">
        <v>501</v>
      </c>
      <c r="D1090" s="109"/>
      <c r="E1090" s="80" t="s">
        <v>814</v>
      </c>
      <c r="F1090" s="356"/>
      <c r="G1090" s="356"/>
      <c r="H1090" s="356"/>
      <c r="I1090" s="356"/>
      <c r="J1090" s="356"/>
      <c r="K1090" s="356"/>
      <c r="L1090" s="356"/>
      <c r="M1090" s="356"/>
      <c r="N1090" s="356"/>
      <c r="O1090" s="356"/>
      <c r="P1090" s="356"/>
      <c r="Q1090" s="356"/>
      <c r="R1090" s="356"/>
      <c r="S1090" s="356"/>
      <c r="T1090" s="356"/>
      <c r="U1090" s="356"/>
      <c r="V1090" s="356"/>
      <c r="W1090" s="356"/>
      <c r="X1090" s="356"/>
      <c r="Y1090" s="356"/>
      <c r="Z1090" s="356"/>
      <c r="AA1090" s="356"/>
      <c r="AB1090" s="356"/>
      <c r="AC1090" s="356"/>
      <c r="AD1090" s="356"/>
      <c r="AE1090" s="356"/>
      <c r="AF1090" s="356"/>
      <c r="AG1090" s="356"/>
      <c r="AH1090" s="356"/>
      <c r="AI1090" s="356"/>
      <c r="AJ1090" s="356"/>
      <c r="AK1090" s="356"/>
      <c r="AL1090" s="356"/>
      <c r="AM1090" s="356"/>
      <c r="AN1090" s="356"/>
      <c r="AO1090" s="356"/>
    </row>
    <row r="1091" spans="1:41" s="73" customFormat="1" ht="15" customHeight="1" x14ac:dyDescent="0.25">
      <c r="A1091" s="400"/>
      <c r="B1091" s="409"/>
      <c r="C1091" s="115" t="s">
        <v>502</v>
      </c>
      <c r="D1091" s="110"/>
      <c r="E1091" s="95" t="s">
        <v>815</v>
      </c>
      <c r="F1091" s="358"/>
      <c r="G1091" s="358"/>
      <c r="H1091" s="358"/>
      <c r="I1091" s="358"/>
      <c r="J1091" s="358"/>
      <c r="K1091" s="358"/>
      <c r="L1091" s="358"/>
      <c r="M1091" s="358"/>
      <c r="N1091" s="358"/>
      <c r="O1091" s="358"/>
      <c r="P1091" s="358"/>
      <c r="Q1091" s="358"/>
      <c r="R1091" s="358"/>
      <c r="S1091" s="358"/>
      <c r="T1091" s="358"/>
      <c r="U1091" s="358"/>
      <c r="V1091" s="358"/>
      <c r="W1091" s="358"/>
      <c r="X1091" s="358"/>
      <c r="Y1091" s="358"/>
      <c r="Z1091" s="358"/>
      <c r="AA1091" s="358"/>
      <c r="AB1091" s="358"/>
      <c r="AC1091" s="358"/>
      <c r="AD1091" s="358"/>
      <c r="AE1091" s="358"/>
      <c r="AF1091" s="358"/>
      <c r="AG1091" s="358"/>
      <c r="AH1091" s="358"/>
      <c r="AI1091" s="358"/>
      <c r="AJ1091" s="358"/>
      <c r="AK1091" s="358"/>
      <c r="AL1091" s="358"/>
      <c r="AM1091" s="358"/>
      <c r="AN1091" s="358"/>
      <c r="AO1091" s="358"/>
    </row>
    <row r="1092" spans="1:41" s="108" customFormat="1" ht="15" customHeight="1" x14ac:dyDescent="0.25">
      <c r="A1092" s="400"/>
      <c r="B1092" s="409"/>
      <c r="C1092" s="87" t="s">
        <v>816</v>
      </c>
      <c r="D1092" s="149"/>
      <c r="E1092" s="90" t="s">
        <v>772</v>
      </c>
      <c r="F1092" s="354"/>
      <c r="G1092" s="354"/>
      <c r="H1092" s="354"/>
      <c r="I1092" s="354"/>
      <c r="J1092" s="354"/>
      <c r="K1092" s="354"/>
      <c r="L1092" s="354"/>
      <c r="M1092" s="354"/>
      <c r="N1092" s="354"/>
      <c r="O1092" s="354"/>
      <c r="P1092" s="354"/>
      <c r="Q1092" s="354"/>
      <c r="R1092" s="354"/>
      <c r="S1092" s="354"/>
      <c r="T1092" s="354"/>
      <c r="U1092" s="354"/>
      <c r="V1092" s="354"/>
      <c r="W1092" s="354"/>
      <c r="X1092" s="354"/>
      <c r="Y1092" s="354"/>
      <c r="Z1092" s="354"/>
      <c r="AA1092" s="354"/>
      <c r="AB1092" s="354"/>
      <c r="AC1092" s="354"/>
      <c r="AD1092" s="354"/>
      <c r="AE1092" s="354"/>
      <c r="AF1092" s="354"/>
      <c r="AG1092" s="354"/>
      <c r="AH1092" s="354"/>
      <c r="AI1092" s="354"/>
      <c r="AJ1092" s="354"/>
      <c r="AK1092" s="354"/>
      <c r="AL1092" s="354"/>
      <c r="AM1092" s="354"/>
      <c r="AN1092" s="354"/>
      <c r="AO1092" s="354"/>
    </row>
    <row r="1093" spans="1:41" s="108" customFormat="1" ht="15" customHeight="1" x14ac:dyDescent="0.25">
      <c r="A1093" s="400"/>
      <c r="B1093" s="409"/>
      <c r="C1093" s="87" t="s">
        <v>817</v>
      </c>
      <c r="D1093" s="149"/>
      <c r="E1093" s="90" t="s">
        <v>778</v>
      </c>
      <c r="F1093" s="354"/>
      <c r="G1093" s="354"/>
      <c r="H1093" s="354"/>
      <c r="I1093" s="354"/>
      <c r="J1093" s="354"/>
      <c r="K1093" s="354"/>
      <c r="L1093" s="354"/>
      <c r="M1093" s="354"/>
      <c r="N1093" s="354"/>
      <c r="O1093" s="354"/>
      <c r="P1093" s="354"/>
      <c r="Q1093" s="354"/>
      <c r="R1093" s="354"/>
      <c r="S1093" s="354"/>
      <c r="T1093" s="354"/>
      <c r="U1093" s="354"/>
      <c r="V1093" s="354"/>
      <c r="W1093" s="354"/>
      <c r="X1093" s="354"/>
      <c r="Y1093" s="354"/>
      <c r="Z1093" s="354"/>
      <c r="AA1093" s="354"/>
      <c r="AB1093" s="354"/>
      <c r="AC1093" s="354"/>
      <c r="AD1093" s="354"/>
      <c r="AE1093" s="354"/>
      <c r="AF1093" s="354"/>
      <c r="AG1093" s="354"/>
      <c r="AH1093" s="354"/>
      <c r="AI1093" s="354"/>
      <c r="AJ1093" s="354"/>
      <c r="AK1093" s="354"/>
      <c r="AL1093" s="354"/>
      <c r="AM1093" s="354"/>
      <c r="AN1093" s="354"/>
      <c r="AO1093" s="354"/>
    </row>
    <row r="1094" spans="1:41" s="73" customFormat="1" ht="15" customHeight="1" x14ac:dyDescent="0.25">
      <c r="A1094" s="400"/>
      <c r="B1094" s="409"/>
      <c r="C1094" s="159" t="s">
        <v>758</v>
      </c>
      <c r="D1094" s="109"/>
      <c r="E1094" s="80" t="s">
        <v>784</v>
      </c>
      <c r="F1094" s="356"/>
      <c r="G1094" s="356"/>
      <c r="H1094" s="356"/>
      <c r="I1094" s="356"/>
      <c r="J1094" s="356"/>
      <c r="K1094" s="356"/>
      <c r="L1094" s="356"/>
      <c r="M1094" s="356"/>
      <c r="N1094" s="356"/>
      <c r="O1094" s="356"/>
      <c r="P1094" s="356"/>
      <c r="Q1094" s="356"/>
      <c r="R1094" s="356"/>
      <c r="S1094" s="356"/>
      <c r="T1094" s="356"/>
      <c r="U1094" s="356"/>
      <c r="V1094" s="356"/>
      <c r="W1094" s="356"/>
      <c r="X1094" s="356"/>
      <c r="Y1094" s="356"/>
      <c r="Z1094" s="356"/>
      <c r="AA1094" s="356"/>
      <c r="AB1094" s="356"/>
      <c r="AC1094" s="356"/>
      <c r="AD1094" s="356"/>
      <c r="AE1094" s="356"/>
      <c r="AF1094" s="356"/>
      <c r="AG1094" s="356"/>
      <c r="AH1094" s="356"/>
      <c r="AI1094" s="356"/>
      <c r="AJ1094" s="356"/>
      <c r="AK1094" s="356"/>
      <c r="AL1094" s="356"/>
      <c r="AM1094" s="356"/>
      <c r="AN1094" s="356"/>
      <c r="AO1094" s="356"/>
    </row>
    <row r="1095" spans="1:41" s="73" customFormat="1" ht="15" customHeight="1" x14ac:dyDescent="0.25">
      <c r="A1095" s="400"/>
      <c r="B1095" s="409"/>
      <c r="C1095" s="159" t="s">
        <v>759</v>
      </c>
      <c r="D1095" s="109"/>
      <c r="E1095" s="80" t="s">
        <v>785</v>
      </c>
      <c r="F1095" s="356"/>
      <c r="G1095" s="356"/>
      <c r="H1095" s="356"/>
      <c r="I1095" s="356"/>
      <c r="J1095" s="356"/>
      <c r="K1095" s="356"/>
      <c r="L1095" s="356"/>
      <c r="M1095" s="356"/>
      <c r="N1095" s="356"/>
      <c r="O1095" s="356"/>
      <c r="P1095" s="356"/>
      <c r="Q1095" s="356"/>
      <c r="R1095" s="356"/>
      <c r="S1095" s="356"/>
      <c r="T1095" s="356"/>
      <c r="U1095" s="356"/>
      <c r="V1095" s="356"/>
      <c r="W1095" s="356"/>
      <c r="X1095" s="356"/>
      <c r="Y1095" s="356"/>
      <c r="Z1095" s="356"/>
      <c r="AA1095" s="356"/>
      <c r="AB1095" s="356"/>
      <c r="AC1095" s="356"/>
      <c r="AD1095" s="356"/>
      <c r="AE1095" s="356"/>
      <c r="AF1095" s="356"/>
      <c r="AG1095" s="356"/>
      <c r="AH1095" s="356"/>
      <c r="AI1095" s="356"/>
      <c r="AJ1095" s="356"/>
      <c r="AK1095" s="356"/>
      <c r="AL1095" s="356"/>
      <c r="AM1095" s="356"/>
      <c r="AN1095" s="356"/>
      <c r="AO1095" s="356"/>
    </row>
    <row r="1096" spans="1:41" s="108" customFormat="1" ht="15" customHeight="1" x14ac:dyDescent="0.25">
      <c r="A1096" s="400"/>
      <c r="B1096" s="409"/>
      <c r="C1096" s="87" t="s">
        <v>818</v>
      </c>
      <c r="D1096" s="149"/>
      <c r="E1096" s="90" t="s">
        <v>824</v>
      </c>
      <c r="F1096" s="354"/>
      <c r="G1096" s="354"/>
      <c r="H1096" s="354"/>
      <c r="I1096" s="354"/>
      <c r="J1096" s="354"/>
      <c r="K1096" s="354"/>
      <c r="L1096" s="354"/>
      <c r="M1096" s="354"/>
      <c r="N1096" s="354"/>
      <c r="O1096" s="354"/>
      <c r="P1096" s="354"/>
      <c r="Q1096" s="354"/>
      <c r="R1096" s="354"/>
      <c r="S1096" s="354"/>
      <c r="T1096" s="354"/>
      <c r="U1096" s="354"/>
      <c r="V1096" s="354"/>
      <c r="W1096" s="354"/>
      <c r="X1096" s="354"/>
      <c r="Y1096" s="354"/>
      <c r="Z1096" s="354"/>
      <c r="AA1096" s="354"/>
      <c r="AB1096" s="354"/>
      <c r="AC1096" s="354"/>
      <c r="AD1096" s="354"/>
      <c r="AE1096" s="354"/>
      <c r="AF1096" s="354"/>
      <c r="AG1096" s="354"/>
      <c r="AH1096" s="354"/>
      <c r="AI1096" s="354"/>
      <c r="AJ1096" s="354"/>
      <c r="AK1096" s="354"/>
      <c r="AL1096" s="354"/>
      <c r="AM1096" s="354"/>
      <c r="AN1096" s="354"/>
      <c r="AO1096" s="354"/>
    </row>
    <row r="1097" spans="1:41" s="73" customFormat="1" ht="15" customHeight="1" x14ac:dyDescent="0.25">
      <c r="A1097" s="400"/>
      <c r="B1097" s="409"/>
      <c r="C1097" s="159" t="s">
        <v>760</v>
      </c>
      <c r="D1097" s="109"/>
      <c r="E1097" s="80" t="s">
        <v>825</v>
      </c>
      <c r="F1097" s="356"/>
      <c r="G1097" s="356"/>
      <c r="H1097" s="356"/>
      <c r="I1097" s="356"/>
      <c r="J1097" s="356"/>
      <c r="K1097" s="356"/>
      <c r="L1097" s="356"/>
      <c r="M1097" s="356"/>
      <c r="N1097" s="356"/>
      <c r="O1097" s="356"/>
      <c r="P1097" s="356"/>
      <c r="Q1097" s="356"/>
      <c r="R1097" s="356"/>
      <c r="S1097" s="356"/>
      <c r="T1097" s="356"/>
      <c r="U1097" s="356"/>
      <c r="V1097" s="356"/>
      <c r="W1097" s="356"/>
      <c r="X1097" s="356"/>
      <c r="Y1097" s="356"/>
      <c r="Z1097" s="356"/>
      <c r="AA1097" s="356"/>
      <c r="AB1097" s="356"/>
      <c r="AC1097" s="356"/>
      <c r="AD1097" s="356"/>
      <c r="AE1097" s="356"/>
      <c r="AF1097" s="356"/>
      <c r="AG1097" s="356"/>
      <c r="AH1097" s="356"/>
      <c r="AI1097" s="356"/>
      <c r="AJ1097" s="356"/>
      <c r="AK1097" s="356"/>
      <c r="AL1097" s="356"/>
      <c r="AM1097" s="356"/>
      <c r="AN1097" s="356"/>
      <c r="AO1097" s="356"/>
    </row>
    <row r="1098" spans="1:41" s="73" customFormat="1" ht="15" customHeight="1" x14ac:dyDescent="0.25">
      <c r="A1098" s="400"/>
      <c r="B1098" s="409"/>
      <c r="C1098" s="159" t="s">
        <v>761</v>
      </c>
      <c r="D1098" s="109"/>
      <c r="E1098" s="80" t="s">
        <v>826</v>
      </c>
      <c r="F1098" s="356"/>
      <c r="G1098" s="356"/>
      <c r="H1098" s="356"/>
      <c r="I1098" s="356"/>
      <c r="J1098" s="356"/>
      <c r="K1098" s="356"/>
      <c r="L1098" s="356"/>
      <c r="M1098" s="356"/>
      <c r="N1098" s="356"/>
      <c r="O1098" s="356"/>
      <c r="P1098" s="356"/>
      <c r="Q1098" s="356"/>
      <c r="R1098" s="356"/>
      <c r="S1098" s="356"/>
      <c r="T1098" s="356"/>
      <c r="U1098" s="356"/>
      <c r="V1098" s="356"/>
      <c r="W1098" s="356"/>
      <c r="X1098" s="356"/>
      <c r="Y1098" s="356"/>
      <c r="Z1098" s="356"/>
      <c r="AA1098" s="356"/>
      <c r="AB1098" s="356"/>
      <c r="AC1098" s="356"/>
      <c r="AD1098" s="356"/>
      <c r="AE1098" s="356"/>
      <c r="AF1098" s="356"/>
      <c r="AG1098" s="356"/>
      <c r="AH1098" s="356"/>
      <c r="AI1098" s="356"/>
      <c r="AJ1098" s="356"/>
      <c r="AK1098" s="356"/>
      <c r="AL1098" s="356"/>
      <c r="AM1098" s="356"/>
      <c r="AN1098" s="356"/>
      <c r="AO1098" s="356"/>
    </row>
    <row r="1099" spans="1:41" s="73" customFormat="1" ht="15" customHeight="1" x14ac:dyDescent="0.25">
      <c r="A1099" s="400"/>
      <c r="B1099" s="409"/>
      <c r="C1099" s="159" t="s">
        <v>762</v>
      </c>
      <c r="D1099" s="109"/>
      <c r="E1099" s="80" t="s">
        <v>827</v>
      </c>
      <c r="F1099" s="356"/>
      <c r="G1099" s="356"/>
      <c r="H1099" s="356"/>
      <c r="I1099" s="356"/>
      <c r="J1099" s="356"/>
      <c r="K1099" s="356"/>
      <c r="L1099" s="356"/>
      <c r="M1099" s="356"/>
      <c r="N1099" s="356"/>
      <c r="O1099" s="356"/>
      <c r="P1099" s="356"/>
      <c r="Q1099" s="356"/>
      <c r="R1099" s="356"/>
      <c r="S1099" s="356"/>
      <c r="T1099" s="356"/>
      <c r="U1099" s="356"/>
      <c r="V1099" s="356"/>
      <c r="W1099" s="356"/>
      <c r="X1099" s="356"/>
      <c r="Y1099" s="356"/>
      <c r="Z1099" s="356"/>
      <c r="AA1099" s="356"/>
      <c r="AB1099" s="356"/>
      <c r="AC1099" s="356"/>
      <c r="AD1099" s="356"/>
      <c r="AE1099" s="356"/>
      <c r="AF1099" s="356"/>
      <c r="AG1099" s="356"/>
      <c r="AH1099" s="356"/>
      <c r="AI1099" s="356"/>
      <c r="AJ1099" s="356"/>
      <c r="AK1099" s="356"/>
      <c r="AL1099" s="356"/>
      <c r="AM1099" s="356"/>
      <c r="AN1099" s="356"/>
      <c r="AO1099" s="356"/>
    </row>
    <row r="1100" spans="1:41" s="73" customFormat="1" ht="15" customHeight="1" x14ac:dyDescent="0.25">
      <c r="A1100" s="400"/>
      <c r="B1100" s="409"/>
      <c r="C1100" s="159" t="s">
        <v>763</v>
      </c>
      <c r="D1100" s="109"/>
      <c r="E1100" s="80" t="s">
        <v>828</v>
      </c>
      <c r="F1100" s="356"/>
      <c r="G1100" s="356"/>
      <c r="H1100" s="356"/>
      <c r="I1100" s="356"/>
      <c r="J1100" s="356"/>
      <c r="K1100" s="356"/>
      <c r="L1100" s="356"/>
      <c r="M1100" s="356"/>
      <c r="N1100" s="356"/>
      <c r="O1100" s="356"/>
      <c r="P1100" s="356"/>
      <c r="Q1100" s="356"/>
      <c r="R1100" s="356"/>
      <c r="S1100" s="356"/>
      <c r="T1100" s="356"/>
      <c r="U1100" s="356"/>
      <c r="V1100" s="356"/>
      <c r="W1100" s="356"/>
      <c r="X1100" s="356"/>
      <c r="Y1100" s="356"/>
      <c r="Z1100" s="356"/>
      <c r="AA1100" s="356"/>
      <c r="AB1100" s="356"/>
      <c r="AC1100" s="356"/>
      <c r="AD1100" s="356"/>
      <c r="AE1100" s="356"/>
      <c r="AF1100" s="356"/>
      <c r="AG1100" s="356"/>
      <c r="AH1100" s="356"/>
      <c r="AI1100" s="356"/>
      <c r="AJ1100" s="356"/>
      <c r="AK1100" s="356"/>
      <c r="AL1100" s="356"/>
      <c r="AM1100" s="356"/>
      <c r="AN1100" s="356"/>
      <c r="AO1100" s="356"/>
    </row>
    <row r="1101" spans="1:41" s="73" customFormat="1" ht="15" customHeight="1" x14ac:dyDescent="0.25">
      <c r="A1101" s="400"/>
      <c r="B1101" s="409"/>
      <c r="C1101" s="159" t="s">
        <v>764</v>
      </c>
      <c r="D1101" s="109"/>
      <c r="E1101" s="80" t="s">
        <v>829</v>
      </c>
      <c r="F1101" s="356"/>
      <c r="G1101" s="356"/>
      <c r="H1101" s="356"/>
      <c r="I1101" s="356"/>
      <c r="J1101" s="356"/>
      <c r="K1101" s="356"/>
      <c r="L1101" s="356"/>
      <c r="M1101" s="356"/>
      <c r="N1101" s="356"/>
      <c r="O1101" s="356"/>
      <c r="P1101" s="356"/>
      <c r="Q1101" s="356"/>
      <c r="R1101" s="356"/>
      <c r="S1101" s="356"/>
      <c r="T1101" s="356"/>
      <c r="U1101" s="356"/>
      <c r="V1101" s="356"/>
      <c r="W1101" s="356"/>
      <c r="X1101" s="356"/>
      <c r="Y1101" s="356"/>
      <c r="Z1101" s="356"/>
      <c r="AA1101" s="356"/>
      <c r="AB1101" s="356"/>
      <c r="AC1101" s="356"/>
      <c r="AD1101" s="356"/>
      <c r="AE1101" s="356"/>
      <c r="AF1101" s="356"/>
      <c r="AG1101" s="356"/>
      <c r="AH1101" s="356"/>
      <c r="AI1101" s="356"/>
      <c r="AJ1101" s="356"/>
      <c r="AK1101" s="356"/>
      <c r="AL1101" s="356"/>
      <c r="AM1101" s="356"/>
      <c r="AN1101" s="356"/>
      <c r="AO1101" s="356"/>
    </row>
    <row r="1102" spans="1:41" s="73" customFormat="1" ht="15" customHeight="1" x14ac:dyDescent="0.25">
      <c r="A1102" s="400"/>
      <c r="B1102" s="409"/>
      <c r="C1102" s="159" t="s">
        <v>765</v>
      </c>
      <c r="D1102" s="109"/>
      <c r="E1102" s="80" t="s">
        <v>830</v>
      </c>
      <c r="F1102" s="356"/>
      <c r="G1102" s="356"/>
      <c r="H1102" s="356"/>
      <c r="I1102" s="356"/>
      <c r="J1102" s="356"/>
      <c r="K1102" s="356"/>
      <c r="L1102" s="356"/>
      <c r="M1102" s="356"/>
      <c r="N1102" s="356"/>
      <c r="O1102" s="356"/>
      <c r="P1102" s="356"/>
      <c r="Q1102" s="356"/>
      <c r="R1102" s="356"/>
      <c r="S1102" s="356"/>
      <c r="T1102" s="356"/>
      <c r="U1102" s="356"/>
      <c r="V1102" s="356"/>
      <c r="W1102" s="356"/>
      <c r="X1102" s="356"/>
      <c r="Y1102" s="356"/>
      <c r="Z1102" s="356"/>
      <c r="AA1102" s="356"/>
      <c r="AB1102" s="356"/>
      <c r="AC1102" s="356"/>
      <c r="AD1102" s="356"/>
      <c r="AE1102" s="356"/>
      <c r="AF1102" s="356"/>
      <c r="AG1102" s="356"/>
      <c r="AH1102" s="356"/>
      <c r="AI1102" s="356"/>
      <c r="AJ1102" s="356"/>
      <c r="AK1102" s="356"/>
      <c r="AL1102" s="356"/>
      <c r="AM1102" s="356"/>
      <c r="AN1102" s="356"/>
      <c r="AO1102" s="356"/>
    </row>
    <row r="1103" spans="1:41" s="73" customFormat="1" ht="15" customHeight="1" x14ac:dyDescent="0.25">
      <c r="A1103" s="400"/>
      <c r="B1103" s="409"/>
      <c r="C1103" s="159" t="s">
        <v>766</v>
      </c>
      <c r="D1103" s="109"/>
      <c r="E1103" s="80" t="s">
        <v>831</v>
      </c>
      <c r="F1103" s="356"/>
      <c r="G1103" s="356"/>
      <c r="H1103" s="356"/>
      <c r="I1103" s="356"/>
      <c r="J1103" s="356"/>
      <c r="K1103" s="356"/>
      <c r="L1103" s="356"/>
      <c r="M1103" s="356"/>
      <c r="N1103" s="356"/>
      <c r="O1103" s="356"/>
      <c r="P1103" s="356"/>
      <c r="Q1103" s="356"/>
      <c r="R1103" s="356"/>
      <c r="S1103" s="356"/>
      <c r="T1103" s="356"/>
      <c r="U1103" s="356"/>
      <c r="V1103" s="356"/>
      <c r="W1103" s="356"/>
      <c r="X1103" s="356"/>
      <c r="Y1103" s="356"/>
      <c r="Z1103" s="356"/>
      <c r="AA1103" s="356"/>
      <c r="AB1103" s="356"/>
      <c r="AC1103" s="356"/>
      <c r="AD1103" s="356"/>
      <c r="AE1103" s="356"/>
      <c r="AF1103" s="356"/>
      <c r="AG1103" s="356"/>
      <c r="AH1103" s="356"/>
      <c r="AI1103" s="356"/>
      <c r="AJ1103" s="356"/>
      <c r="AK1103" s="356"/>
      <c r="AL1103" s="356"/>
      <c r="AM1103" s="356"/>
      <c r="AN1103" s="356"/>
      <c r="AO1103" s="356"/>
    </row>
    <row r="1104" spans="1:41" s="73" customFormat="1" ht="15" customHeight="1" x14ac:dyDescent="0.25">
      <c r="A1104" s="400"/>
      <c r="B1104" s="409"/>
      <c r="C1104" s="159" t="s">
        <v>767</v>
      </c>
      <c r="D1104" s="109"/>
      <c r="E1104" s="80" t="s">
        <v>832</v>
      </c>
      <c r="F1104" s="356"/>
      <c r="G1104" s="356"/>
      <c r="H1104" s="356"/>
      <c r="I1104" s="356"/>
      <c r="J1104" s="356"/>
      <c r="K1104" s="356"/>
      <c r="L1104" s="356"/>
      <c r="M1104" s="356"/>
      <c r="N1104" s="356"/>
      <c r="O1104" s="356"/>
      <c r="P1104" s="356"/>
      <c r="Q1104" s="356"/>
      <c r="R1104" s="356"/>
      <c r="S1104" s="356"/>
      <c r="T1104" s="356"/>
      <c r="U1104" s="356"/>
      <c r="V1104" s="356"/>
      <c r="W1104" s="356"/>
      <c r="X1104" s="356"/>
      <c r="Y1104" s="356"/>
      <c r="Z1104" s="356"/>
      <c r="AA1104" s="356"/>
      <c r="AB1104" s="356"/>
      <c r="AC1104" s="356"/>
      <c r="AD1104" s="356"/>
      <c r="AE1104" s="356"/>
      <c r="AF1104" s="356"/>
      <c r="AG1104" s="356"/>
      <c r="AH1104" s="356"/>
      <c r="AI1104" s="356"/>
      <c r="AJ1104" s="356"/>
      <c r="AK1104" s="356"/>
      <c r="AL1104" s="356"/>
      <c r="AM1104" s="356"/>
      <c r="AN1104" s="356"/>
      <c r="AO1104" s="356"/>
    </row>
    <row r="1105" spans="1:41" s="73" customFormat="1" ht="15" customHeight="1" x14ac:dyDescent="0.25">
      <c r="A1105" s="400"/>
      <c r="B1105" s="409"/>
      <c r="C1105" s="159" t="s">
        <v>768</v>
      </c>
      <c r="D1105" s="109"/>
      <c r="E1105" s="80" t="s">
        <v>833</v>
      </c>
      <c r="F1105" s="356"/>
      <c r="G1105" s="356"/>
      <c r="H1105" s="356"/>
      <c r="I1105" s="356"/>
      <c r="J1105" s="356"/>
      <c r="K1105" s="356"/>
      <c r="L1105" s="356"/>
      <c r="M1105" s="356"/>
      <c r="N1105" s="356"/>
      <c r="O1105" s="356"/>
      <c r="P1105" s="356"/>
      <c r="Q1105" s="356"/>
      <c r="R1105" s="356"/>
      <c r="S1105" s="356"/>
      <c r="T1105" s="356"/>
      <c r="U1105" s="356"/>
      <c r="V1105" s="356"/>
      <c r="W1105" s="356"/>
      <c r="X1105" s="356"/>
      <c r="Y1105" s="356"/>
      <c r="Z1105" s="356"/>
      <c r="AA1105" s="356"/>
      <c r="AB1105" s="356"/>
      <c r="AC1105" s="356"/>
      <c r="AD1105" s="356"/>
      <c r="AE1105" s="356"/>
      <c r="AF1105" s="356"/>
      <c r="AG1105" s="356"/>
      <c r="AH1105" s="356"/>
      <c r="AI1105" s="356"/>
      <c r="AJ1105" s="356"/>
      <c r="AK1105" s="356"/>
      <c r="AL1105" s="356"/>
      <c r="AM1105" s="356"/>
      <c r="AN1105" s="356"/>
      <c r="AO1105" s="356"/>
    </row>
    <row r="1106" spans="1:41" s="73" customFormat="1" ht="15" customHeight="1" x14ac:dyDescent="0.25">
      <c r="A1106" s="400"/>
      <c r="B1106" s="409"/>
      <c r="C1106" s="159" t="s">
        <v>769</v>
      </c>
      <c r="D1106" s="109"/>
      <c r="E1106" s="80" t="s">
        <v>834</v>
      </c>
      <c r="F1106" s="356"/>
      <c r="G1106" s="356"/>
      <c r="H1106" s="356"/>
      <c r="I1106" s="356"/>
      <c r="J1106" s="356"/>
      <c r="K1106" s="356"/>
      <c r="L1106" s="356"/>
      <c r="M1106" s="356"/>
      <c r="N1106" s="356"/>
      <c r="O1106" s="356"/>
      <c r="P1106" s="356"/>
      <c r="Q1106" s="356"/>
      <c r="R1106" s="356"/>
      <c r="S1106" s="356"/>
      <c r="T1106" s="356"/>
      <c r="U1106" s="356"/>
      <c r="V1106" s="356"/>
      <c r="W1106" s="356"/>
      <c r="X1106" s="356"/>
      <c r="Y1106" s="356"/>
      <c r="Z1106" s="356"/>
      <c r="AA1106" s="356"/>
      <c r="AB1106" s="356"/>
      <c r="AC1106" s="356"/>
      <c r="AD1106" s="356"/>
      <c r="AE1106" s="356"/>
      <c r="AF1106" s="356"/>
      <c r="AG1106" s="356"/>
      <c r="AH1106" s="356"/>
      <c r="AI1106" s="356"/>
      <c r="AJ1106" s="356"/>
      <c r="AK1106" s="356"/>
      <c r="AL1106" s="356"/>
      <c r="AM1106" s="356"/>
      <c r="AN1106" s="356"/>
      <c r="AO1106" s="356"/>
    </row>
    <row r="1107" spans="1:41" s="73" customFormat="1" ht="15" customHeight="1" x14ac:dyDescent="0.25">
      <c r="A1107" s="400"/>
      <c r="B1107" s="409"/>
      <c r="C1107" s="159" t="s">
        <v>770</v>
      </c>
      <c r="D1107" s="109"/>
      <c r="E1107" s="80" t="s">
        <v>835</v>
      </c>
      <c r="F1107" s="356"/>
      <c r="G1107" s="356"/>
      <c r="H1107" s="356"/>
      <c r="I1107" s="356"/>
      <c r="J1107" s="356"/>
      <c r="K1107" s="356"/>
      <c r="L1107" s="356"/>
      <c r="M1107" s="356"/>
      <c r="N1107" s="356"/>
      <c r="O1107" s="356"/>
      <c r="P1107" s="356"/>
      <c r="Q1107" s="356"/>
      <c r="R1107" s="356"/>
      <c r="S1107" s="356"/>
      <c r="T1107" s="356"/>
      <c r="U1107" s="356"/>
      <c r="V1107" s="356"/>
      <c r="W1107" s="356"/>
      <c r="X1107" s="356"/>
      <c r="Y1107" s="356"/>
      <c r="Z1107" s="356"/>
      <c r="AA1107" s="356"/>
      <c r="AB1107" s="356"/>
      <c r="AC1107" s="356"/>
      <c r="AD1107" s="356"/>
      <c r="AE1107" s="356"/>
      <c r="AF1107" s="356"/>
      <c r="AG1107" s="356"/>
      <c r="AH1107" s="356"/>
      <c r="AI1107" s="356"/>
      <c r="AJ1107" s="356"/>
      <c r="AK1107" s="356"/>
      <c r="AL1107" s="356"/>
      <c r="AM1107" s="356"/>
      <c r="AN1107" s="356"/>
      <c r="AO1107" s="356"/>
    </row>
    <row r="1108" spans="1:41" s="108" customFormat="1" ht="15" customHeight="1" x14ac:dyDescent="0.25">
      <c r="A1108" s="400"/>
      <c r="B1108" s="409"/>
      <c r="C1108" s="87" t="s">
        <v>819</v>
      </c>
      <c r="D1108" s="149"/>
      <c r="E1108" s="90" t="s">
        <v>836</v>
      </c>
      <c r="F1108" s="354"/>
      <c r="G1108" s="354"/>
      <c r="H1108" s="354"/>
      <c r="I1108" s="354"/>
      <c r="J1108" s="354"/>
      <c r="K1108" s="354"/>
      <c r="L1108" s="354"/>
      <c r="M1108" s="354"/>
      <c r="N1108" s="354"/>
      <c r="O1108" s="354"/>
      <c r="P1108" s="354"/>
      <c r="Q1108" s="354"/>
      <c r="R1108" s="354"/>
      <c r="S1108" s="354"/>
      <c r="T1108" s="354"/>
      <c r="U1108" s="354"/>
      <c r="V1108" s="354"/>
      <c r="W1108" s="354"/>
      <c r="X1108" s="354"/>
      <c r="Y1108" s="354"/>
      <c r="Z1108" s="354"/>
      <c r="AA1108" s="354"/>
      <c r="AB1108" s="354"/>
      <c r="AC1108" s="354"/>
      <c r="AD1108" s="354"/>
      <c r="AE1108" s="354"/>
      <c r="AF1108" s="354"/>
      <c r="AG1108" s="354"/>
      <c r="AH1108" s="354"/>
      <c r="AI1108" s="354"/>
      <c r="AJ1108" s="354"/>
      <c r="AK1108" s="354"/>
      <c r="AL1108" s="354"/>
      <c r="AM1108" s="354"/>
      <c r="AN1108" s="354"/>
      <c r="AO1108" s="354"/>
    </row>
    <row r="1109" spans="1:41" s="73" customFormat="1" ht="15" customHeight="1" x14ac:dyDescent="0.25">
      <c r="A1109" s="400"/>
      <c r="B1109" s="409"/>
      <c r="C1109" s="159" t="s">
        <v>636</v>
      </c>
      <c r="D1109" s="109"/>
      <c r="E1109" s="80" t="s">
        <v>837</v>
      </c>
      <c r="F1109" s="356"/>
      <c r="G1109" s="356"/>
      <c r="H1109" s="356"/>
      <c r="I1109" s="356"/>
      <c r="J1109" s="356"/>
      <c r="K1109" s="356"/>
      <c r="L1109" s="356"/>
      <c r="M1109" s="356"/>
      <c r="N1109" s="356"/>
      <c r="O1109" s="356"/>
      <c r="P1109" s="356"/>
      <c r="Q1109" s="356"/>
      <c r="R1109" s="356"/>
      <c r="S1109" s="356"/>
      <c r="T1109" s="356"/>
      <c r="U1109" s="356"/>
      <c r="V1109" s="356"/>
      <c r="W1109" s="356"/>
      <c r="X1109" s="356"/>
      <c r="Y1109" s="356"/>
      <c r="Z1109" s="356"/>
      <c r="AA1109" s="356"/>
      <c r="AB1109" s="356"/>
      <c r="AC1109" s="356"/>
      <c r="AD1109" s="356"/>
      <c r="AE1109" s="356"/>
      <c r="AF1109" s="356"/>
      <c r="AG1109" s="356"/>
      <c r="AH1109" s="356"/>
      <c r="AI1109" s="356"/>
      <c r="AJ1109" s="356"/>
      <c r="AK1109" s="356"/>
      <c r="AL1109" s="356"/>
      <c r="AM1109" s="356"/>
      <c r="AN1109" s="356"/>
      <c r="AO1109" s="356"/>
    </row>
    <row r="1110" spans="1:41" s="73" customFormat="1" ht="15" customHeight="1" x14ac:dyDescent="0.25">
      <c r="A1110" s="400"/>
      <c r="B1110" s="409"/>
      <c r="C1110" s="159" t="s">
        <v>637</v>
      </c>
      <c r="D1110" s="109"/>
      <c r="E1110" s="80" t="s">
        <v>838</v>
      </c>
      <c r="F1110" s="356"/>
      <c r="G1110" s="356"/>
      <c r="H1110" s="356"/>
      <c r="I1110" s="356"/>
      <c r="J1110" s="356"/>
      <c r="K1110" s="356"/>
      <c r="L1110" s="356"/>
      <c r="M1110" s="356"/>
      <c r="N1110" s="356"/>
      <c r="O1110" s="356"/>
      <c r="P1110" s="356"/>
      <c r="Q1110" s="356"/>
      <c r="R1110" s="356"/>
      <c r="S1110" s="356"/>
      <c r="T1110" s="356"/>
      <c r="U1110" s="356"/>
      <c r="V1110" s="356"/>
      <c r="W1110" s="356"/>
      <c r="X1110" s="356"/>
      <c r="Y1110" s="356"/>
      <c r="Z1110" s="356"/>
      <c r="AA1110" s="356"/>
      <c r="AB1110" s="356"/>
      <c r="AC1110" s="356"/>
      <c r="AD1110" s="356"/>
      <c r="AE1110" s="356"/>
      <c r="AF1110" s="356"/>
      <c r="AG1110" s="356"/>
      <c r="AH1110" s="356"/>
      <c r="AI1110" s="356"/>
      <c r="AJ1110" s="356"/>
      <c r="AK1110" s="356"/>
      <c r="AL1110" s="356"/>
      <c r="AM1110" s="356"/>
      <c r="AN1110" s="356"/>
      <c r="AO1110" s="356"/>
    </row>
    <row r="1111" spans="1:41" s="73" customFormat="1" ht="15" customHeight="1" x14ac:dyDescent="0.25">
      <c r="A1111" s="400"/>
      <c r="B1111" s="409"/>
      <c r="C1111" s="159" t="s">
        <v>638</v>
      </c>
      <c r="D1111" s="109"/>
      <c r="E1111" s="80" t="s">
        <v>839</v>
      </c>
      <c r="F1111" s="356"/>
      <c r="G1111" s="356"/>
      <c r="H1111" s="356"/>
      <c r="I1111" s="356"/>
      <c r="J1111" s="356"/>
      <c r="K1111" s="356"/>
      <c r="L1111" s="356"/>
      <c r="M1111" s="356"/>
      <c r="N1111" s="356"/>
      <c r="O1111" s="356"/>
      <c r="P1111" s="356"/>
      <c r="Q1111" s="356"/>
      <c r="R1111" s="356"/>
      <c r="S1111" s="356"/>
      <c r="T1111" s="356"/>
      <c r="U1111" s="356"/>
      <c r="V1111" s="356"/>
      <c r="W1111" s="356"/>
      <c r="X1111" s="356"/>
      <c r="Y1111" s="356"/>
      <c r="Z1111" s="356"/>
      <c r="AA1111" s="356"/>
      <c r="AB1111" s="356"/>
      <c r="AC1111" s="356"/>
      <c r="AD1111" s="356"/>
      <c r="AE1111" s="356"/>
      <c r="AF1111" s="356"/>
      <c r="AG1111" s="356"/>
      <c r="AH1111" s="356"/>
      <c r="AI1111" s="356"/>
      <c r="AJ1111" s="356"/>
      <c r="AK1111" s="356"/>
      <c r="AL1111" s="356"/>
      <c r="AM1111" s="356"/>
      <c r="AN1111" s="356"/>
      <c r="AO1111" s="356"/>
    </row>
    <row r="1112" spans="1:41" s="73" customFormat="1" ht="15" customHeight="1" x14ac:dyDescent="0.25">
      <c r="A1112" s="400"/>
      <c r="B1112" s="409"/>
      <c r="C1112" s="159" t="s">
        <v>639</v>
      </c>
      <c r="D1112" s="109"/>
      <c r="E1112" s="80" t="s">
        <v>840</v>
      </c>
      <c r="F1112" s="356"/>
      <c r="G1112" s="356"/>
      <c r="H1112" s="356"/>
      <c r="I1112" s="356"/>
      <c r="J1112" s="356"/>
      <c r="K1112" s="356"/>
      <c r="L1112" s="356"/>
      <c r="M1112" s="356"/>
      <c r="N1112" s="356"/>
      <c r="O1112" s="356"/>
      <c r="P1112" s="356"/>
      <c r="Q1112" s="356"/>
      <c r="R1112" s="356"/>
      <c r="S1112" s="356"/>
      <c r="T1112" s="356"/>
      <c r="U1112" s="356"/>
      <c r="V1112" s="356"/>
      <c r="W1112" s="356"/>
      <c r="X1112" s="356"/>
      <c r="Y1112" s="356"/>
      <c r="Z1112" s="356"/>
      <c r="AA1112" s="356"/>
      <c r="AB1112" s="356"/>
      <c r="AC1112" s="356"/>
      <c r="AD1112" s="356"/>
      <c r="AE1112" s="356"/>
      <c r="AF1112" s="356"/>
      <c r="AG1112" s="356"/>
      <c r="AH1112" s="356"/>
      <c r="AI1112" s="356"/>
      <c r="AJ1112" s="356"/>
      <c r="AK1112" s="356"/>
      <c r="AL1112" s="356"/>
      <c r="AM1112" s="356"/>
      <c r="AN1112" s="356"/>
      <c r="AO1112" s="356"/>
    </row>
    <row r="1113" spans="1:41" s="108" customFormat="1" ht="15" customHeight="1" x14ac:dyDescent="0.25">
      <c r="A1113" s="400"/>
      <c r="B1113" s="409"/>
      <c r="C1113" s="87" t="s">
        <v>820</v>
      </c>
      <c r="D1113" s="149"/>
      <c r="E1113" s="90" t="s">
        <v>841</v>
      </c>
      <c r="F1113" s="354"/>
      <c r="G1113" s="354"/>
      <c r="H1113" s="354"/>
      <c r="I1113" s="354"/>
      <c r="J1113" s="354"/>
      <c r="K1113" s="354"/>
      <c r="L1113" s="354"/>
      <c r="M1113" s="354"/>
      <c r="N1113" s="354"/>
      <c r="O1113" s="354"/>
      <c r="P1113" s="354"/>
      <c r="Q1113" s="354"/>
      <c r="R1113" s="354"/>
      <c r="S1113" s="354"/>
      <c r="T1113" s="354"/>
      <c r="U1113" s="354"/>
      <c r="V1113" s="354"/>
      <c r="W1113" s="354"/>
      <c r="X1113" s="354"/>
      <c r="Y1113" s="354"/>
      <c r="Z1113" s="354"/>
      <c r="AA1113" s="354"/>
      <c r="AB1113" s="354"/>
      <c r="AC1113" s="354"/>
      <c r="AD1113" s="354"/>
      <c r="AE1113" s="354"/>
      <c r="AF1113" s="354"/>
      <c r="AG1113" s="354"/>
      <c r="AH1113" s="354"/>
      <c r="AI1113" s="354"/>
      <c r="AJ1113" s="354"/>
      <c r="AK1113" s="354"/>
      <c r="AL1113" s="354"/>
      <c r="AM1113" s="354"/>
      <c r="AN1113" s="354"/>
      <c r="AO1113" s="354"/>
    </row>
    <row r="1114" spans="1:41" s="73" customFormat="1" ht="15" customHeight="1" x14ac:dyDescent="0.25">
      <c r="A1114" s="400"/>
      <c r="B1114" s="409"/>
      <c r="C1114" s="159" t="s">
        <v>640</v>
      </c>
      <c r="D1114" s="109"/>
      <c r="E1114" s="80" t="s">
        <v>842</v>
      </c>
      <c r="F1114" s="356"/>
      <c r="G1114" s="356"/>
      <c r="H1114" s="356"/>
      <c r="I1114" s="356"/>
      <c r="J1114" s="356"/>
      <c r="K1114" s="356"/>
      <c r="L1114" s="356"/>
      <c r="M1114" s="356"/>
      <c r="N1114" s="356"/>
      <c r="O1114" s="356"/>
      <c r="P1114" s="356"/>
      <c r="Q1114" s="356"/>
      <c r="R1114" s="356"/>
      <c r="S1114" s="356"/>
      <c r="T1114" s="356"/>
      <c r="U1114" s="356"/>
      <c r="V1114" s="356"/>
      <c r="W1114" s="356"/>
      <c r="X1114" s="356"/>
      <c r="Y1114" s="356"/>
      <c r="Z1114" s="356"/>
      <c r="AA1114" s="356"/>
      <c r="AB1114" s="356"/>
      <c r="AC1114" s="356"/>
      <c r="AD1114" s="356"/>
      <c r="AE1114" s="356"/>
      <c r="AF1114" s="356"/>
      <c r="AG1114" s="356"/>
      <c r="AH1114" s="356"/>
      <c r="AI1114" s="356"/>
      <c r="AJ1114" s="356"/>
      <c r="AK1114" s="356"/>
      <c r="AL1114" s="356"/>
      <c r="AM1114" s="356"/>
      <c r="AN1114" s="356"/>
      <c r="AO1114" s="356"/>
    </row>
    <row r="1115" spans="1:41" s="73" customFormat="1" ht="15" customHeight="1" x14ac:dyDescent="0.25">
      <c r="A1115" s="400"/>
      <c r="B1115" s="409"/>
      <c r="C1115" s="159" t="s">
        <v>641</v>
      </c>
      <c r="D1115" s="109"/>
      <c r="E1115" s="80" t="s">
        <v>843</v>
      </c>
      <c r="F1115" s="356"/>
      <c r="G1115" s="356"/>
      <c r="H1115" s="356"/>
      <c r="I1115" s="356"/>
      <c r="J1115" s="356"/>
      <c r="K1115" s="356"/>
      <c r="L1115" s="356"/>
      <c r="M1115" s="356"/>
      <c r="N1115" s="356"/>
      <c r="O1115" s="356"/>
      <c r="P1115" s="356"/>
      <c r="Q1115" s="356"/>
      <c r="R1115" s="356"/>
      <c r="S1115" s="356"/>
      <c r="T1115" s="356"/>
      <c r="U1115" s="356"/>
      <c r="V1115" s="356"/>
      <c r="W1115" s="356"/>
      <c r="X1115" s="356"/>
      <c r="Y1115" s="356"/>
      <c r="Z1115" s="356"/>
      <c r="AA1115" s="356"/>
      <c r="AB1115" s="356"/>
      <c r="AC1115" s="356"/>
      <c r="AD1115" s="356"/>
      <c r="AE1115" s="356"/>
      <c r="AF1115" s="356"/>
      <c r="AG1115" s="356"/>
      <c r="AH1115" s="356"/>
      <c r="AI1115" s="356"/>
      <c r="AJ1115" s="356"/>
      <c r="AK1115" s="356"/>
      <c r="AL1115" s="356"/>
      <c r="AM1115" s="356"/>
      <c r="AN1115" s="356"/>
      <c r="AO1115" s="356"/>
    </row>
    <row r="1116" spans="1:41" s="108" customFormat="1" ht="15" customHeight="1" x14ac:dyDescent="0.25">
      <c r="A1116" s="400"/>
      <c r="B1116" s="409"/>
      <c r="C1116" s="87" t="s">
        <v>821</v>
      </c>
      <c r="D1116" s="149"/>
      <c r="E1116" s="90" t="s">
        <v>844</v>
      </c>
      <c r="F1116" s="354"/>
      <c r="G1116" s="354"/>
      <c r="H1116" s="354"/>
      <c r="I1116" s="354"/>
      <c r="J1116" s="354"/>
      <c r="K1116" s="354"/>
      <c r="L1116" s="354"/>
      <c r="M1116" s="354"/>
      <c r="N1116" s="354"/>
      <c r="O1116" s="354"/>
      <c r="P1116" s="354"/>
      <c r="Q1116" s="354"/>
      <c r="R1116" s="354"/>
      <c r="S1116" s="354"/>
      <c r="T1116" s="354"/>
      <c r="U1116" s="354"/>
      <c r="V1116" s="354"/>
      <c r="W1116" s="354"/>
      <c r="X1116" s="354"/>
      <c r="Y1116" s="354"/>
      <c r="Z1116" s="354"/>
      <c r="AA1116" s="354"/>
      <c r="AB1116" s="354"/>
      <c r="AC1116" s="354"/>
      <c r="AD1116" s="354"/>
      <c r="AE1116" s="354"/>
      <c r="AF1116" s="354"/>
      <c r="AG1116" s="354"/>
      <c r="AH1116" s="354"/>
      <c r="AI1116" s="354"/>
      <c r="AJ1116" s="354"/>
      <c r="AK1116" s="354"/>
      <c r="AL1116" s="354"/>
      <c r="AM1116" s="354"/>
      <c r="AN1116" s="354"/>
      <c r="AO1116" s="354"/>
    </row>
    <row r="1117" spans="1:41" s="73" customFormat="1" ht="15" customHeight="1" x14ac:dyDescent="0.25">
      <c r="A1117" s="400"/>
      <c r="B1117" s="409"/>
      <c r="C1117" s="159" t="s">
        <v>486</v>
      </c>
      <c r="D1117" s="109"/>
      <c r="E1117" s="80" t="s">
        <v>845</v>
      </c>
      <c r="F1117" s="356"/>
      <c r="G1117" s="356"/>
      <c r="H1117" s="356"/>
      <c r="I1117" s="356"/>
      <c r="J1117" s="356"/>
      <c r="K1117" s="356"/>
      <c r="L1117" s="356"/>
      <c r="M1117" s="356"/>
      <c r="N1117" s="356"/>
      <c r="O1117" s="356"/>
      <c r="P1117" s="356"/>
      <c r="Q1117" s="356"/>
      <c r="R1117" s="356"/>
      <c r="S1117" s="356"/>
      <c r="T1117" s="356"/>
      <c r="U1117" s="356"/>
      <c r="V1117" s="356"/>
      <c r="W1117" s="356"/>
      <c r="X1117" s="356"/>
      <c r="Y1117" s="356"/>
      <c r="Z1117" s="356"/>
      <c r="AA1117" s="356"/>
      <c r="AB1117" s="356"/>
      <c r="AC1117" s="356"/>
      <c r="AD1117" s="356"/>
      <c r="AE1117" s="356"/>
      <c r="AF1117" s="356"/>
      <c r="AG1117" s="356"/>
      <c r="AH1117" s="356"/>
      <c r="AI1117" s="356"/>
      <c r="AJ1117" s="356"/>
      <c r="AK1117" s="356"/>
      <c r="AL1117" s="356"/>
      <c r="AM1117" s="356"/>
      <c r="AN1117" s="356"/>
      <c r="AO1117" s="356"/>
    </row>
    <row r="1118" spans="1:41" s="73" customFormat="1" ht="15" customHeight="1" x14ac:dyDescent="0.25">
      <c r="A1118" s="400"/>
      <c r="B1118" s="409"/>
      <c r="C1118" s="159" t="s">
        <v>487</v>
      </c>
      <c r="D1118" s="109"/>
      <c r="E1118" s="80" t="s">
        <v>846</v>
      </c>
      <c r="F1118" s="356"/>
      <c r="G1118" s="356"/>
      <c r="H1118" s="356"/>
      <c r="I1118" s="356"/>
      <c r="J1118" s="356"/>
      <c r="K1118" s="356"/>
      <c r="L1118" s="356"/>
      <c r="M1118" s="356"/>
      <c r="N1118" s="356"/>
      <c r="O1118" s="356"/>
      <c r="P1118" s="356"/>
      <c r="Q1118" s="356"/>
      <c r="R1118" s="356"/>
      <c r="S1118" s="356"/>
      <c r="T1118" s="356"/>
      <c r="U1118" s="356"/>
      <c r="V1118" s="356"/>
      <c r="W1118" s="356"/>
      <c r="X1118" s="356"/>
      <c r="Y1118" s="356"/>
      <c r="Z1118" s="356"/>
      <c r="AA1118" s="356"/>
      <c r="AB1118" s="356"/>
      <c r="AC1118" s="356"/>
      <c r="AD1118" s="356"/>
      <c r="AE1118" s="356"/>
      <c r="AF1118" s="356"/>
      <c r="AG1118" s="356"/>
      <c r="AH1118" s="356"/>
      <c r="AI1118" s="356"/>
      <c r="AJ1118" s="356"/>
      <c r="AK1118" s="356"/>
      <c r="AL1118" s="356"/>
      <c r="AM1118" s="356"/>
      <c r="AN1118" s="356"/>
      <c r="AO1118" s="356"/>
    </row>
    <row r="1119" spans="1:41" s="73" customFormat="1" ht="15" customHeight="1" x14ac:dyDescent="0.25">
      <c r="A1119" s="400"/>
      <c r="B1119" s="409"/>
      <c r="C1119" s="159" t="s">
        <v>490</v>
      </c>
      <c r="D1119" s="109"/>
      <c r="E1119" s="80" t="s">
        <v>847</v>
      </c>
      <c r="F1119" s="356"/>
      <c r="G1119" s="356"/>
      <c r="H1119" s="356"/>
      <c r="I1119" s="356"/>
      <c r="J1119" s="356"/>
      <c r="K1119" s="356"/>
      <c r="L1119" s="356"/>
      <c r="M1119" s="356"/>
      <c r="N1119" s="356"/>
      <c r="O1119" s="356"/>
      <c r="P1119" s="356"/>
      <c r="Q1119" s="356"/>
      <c r="R1119" s="356"/>
      <c r="S1119" s="356"/>
      <c r="T1119" s="356"/>
      <c r="U1119" s="356"/>
      <c r="V1119" s="356"/>
      <c r="W1119" s="356"/>
      <c r="X1119" s="356"/>
      <c r="Y1119" s="356"/>
      <c r="Z1119" s="356"/>
      <c r="AA1119" s="356"/>
      <c r="AB1119" s="356"/>
      <c r="AC1119" s="356"/>
      <c r="AD1119" s="356"/>
      <c r="AE1119" s="356"/>
      <c r="AF1119" s="356"/>
      <c r="AG1119" s="356"/>
      <c r="AH1119" s="356"/>
      <c r="AI1119" s="356"/>
      <c r="AJ1119" s="356"/>
      <c r="AK1119" s="356"/>
      <c r="AL1119" s="356"/>
      <c r="AM1119" s="356"/>
      <c r="AN1119" s="356"/>
      <c r="AO1119" s="356"/>
    </row>
    <row r="1120" spans="1:41" s="73" customFormat="1" ht="15" customHeight="1" x14ac:dyDescent="0.25">
      <c r="A1120" s="400"/>
      <c r="B1120" s="409"/>
      <c r="C1120" s="159" t="s">
        <v>491</v>
      </c>
      <c r="D1120" s="109"/>
      <c r="E1120" s="80" t="s">
        <v>848</v>
      </c>
      <c r="F1120" s="356"/>
      <c r="G1120" s="356"/>
      <c r="H1120" s="356"/>
      <c r="I1120" s="356"/>
      <c r="J1120" s="356"/>
      <c r="K1120" s="356"/>
      <c r="L1120" s="356"/>
      <c r="M1120" s="356"/>
      <c r="N1120" s="356"/>
      <c r="O1120" s="356"/>
      <c r="P1120" s="356"/>
      <c r="Q1120" s="356"/>
      <c r="R1120" s="356"/>
      <c r="S1120" s="356"/>
      <c r="T1120" s="356"/>
      <c r="U1120" s="356"/>
      <c r="V1120" s="356"/>
      <c r="W1120" s="356"/>
      <c r="X1120" s="356"/>
      <c r="Y1120" s="356"/>
      <c r="Z1120" s="356"/>
      <c r="AA1120" s="356"/>
      <c r="AB1120" s="356"/>
      <c r="AC1120" s="356"/>
      <c r="AD1120" s="356"/>
      <c r="AE1120" s="356"/>
      <c r="AF1120" s="356"/>
      <c r="AG1120" s="356"/>
      <c r="AH1120" s="356"/>
      <c r="AI1120" s="356"/>
      <c r="AJ1120" s="356"/>
      <c r="AK1120" s="356"/>
      <c r="AL1120" s="356"/>
      <c r="AM1120" s="356"/>
      <c r="AN1120" s="356"/>
      <c r="AO1120" s="356"/>
    </row>
    <row r="1121" spans="1:41" s="108" customFormat="1" ht="15" customHeight="1" x14ac:dyDescent="0.25">
      <c r="A1121" s="400"/>
      <c r="B1121" s="409"/>
      <c r="C1121" s="87" t="s">
        <v>515</v>
      </c>
      <c r="D1121" s="149"/>
      <c r="E1121" s="90" t="s">
        <v>849</v>
      </c>
      <c r="F1121" s="354"/>
      <c r="G1121" s="354"/>
      <c r="H1121" s="354"/>
      <c r="I1121" s="354"/>
      <c r="J1121" s="354"/>
      <c r="K1121" s="354"/>
      <c r="L1121" s="354"/>
      <c r="M1121" s="354"/>
      <c r="N1121" s="354"/>
      <c r="O1121" s="354"/>
      <c r="P1121" s="354"/>
      <c r="Q1121" s="354"/>
      <c r="R1121" s="354"/>
      <c r="S1121" s="354"/>
      <c r="T1121" s="354"/>
      <c r="U1121" s="354"/>
      <c r="V1121" s="354"/>
      <c r="W1121" s="354"/>
      <c r="X1121" s="354"/>
      <c r="Y1121" s="354"/>
      <c r="Z1121" s="354"/>
      <c r="AA1121" s="354"/>
      <c r="AB1121" s="354"/>
      <c r="AC1121" s="354"/>
      <c r="AD1121" s="354"/>
      <c r="AE1121" s="354"/>
      <c r="AF1121" s="354"/>
      <c r="AG1121" s="354"/>
      <c r="AH1121" s="354"/>
      <c r="AI1121" s="354"/>
      <c r="AJ1121" s="354"/>
      <c r="AK1121" s="354"/>
      <c r="AL1121" s="354"/>
      <c r="AM1121" s="354"/>
      <c r="AN1121" s="354"/>
      <c r="AO1121" s="354"/>
    </row>
    <row r="1122" spans="1:41" s="73" customFormat="1" ht="15" customHeight="1" x14ac:dyDescent="0.25">
      <c r="A1122" s="400"/>
      <c r="B1122" s="409"/>
      <c r="C1122" s="159" t="s">
        <v>494</v>
      </c>
      <c r="D1122" s="109"/>
      <c r="E1122" s="80" t="s">
        <v>850</v>
      </c>
      <c r="F1122" s="356"/>
      <c r="G1122" s="356"/>
      <c r="H1122" s="356"/>
      <c r="I1122" s="356"/>
      <c r="J1122" s="356"/>
      <c r="K1122" s="356"/>
      <c r="L1122" s="356"/>
      <c r="M1122" s="356"/>
      <c r="N1122" s="356"/>
      <c r="O1122" s="356"/>
      <c r="P1122" s="356"/>
      <c r="Q1122" s="356"/>
      <c r="R1122" s="356"/>
      <c r="S1122" s="356"/>
      <c r="T1122" s="356"/>
      <c r="U1122" s="356"/>
      <c r="V1122" s="356"/>
      <c r="W1122" s="356"/>
      <c r="X1122" s="356"/>
      <c r="Y1122" s="356"/>
      <c r="Z1122" s="356"/>
      <c r="AA1122" s="356"/>
      <c r="AB1122" s="356"/>
      <c r="AC1122" s="356"/>
      <c r="AD1122" s="356"/>
      <c r="AE1122" s="356"/>
      <c r="AF1122" s="356"/>
      <c r="AG1122" s="356"/>
      <c r="AH1122" s="356"/>
      <c r="AI1122" s="356"/>
      <c r="AJ1122" s="356"/>
      <c r="AK1122" s="356"/>
      <c r="AL1122" s="356"/>
      <c r="AM1122" s="356"/>
      <c r="AN1122" s="356"/>
      <c r="AO1122" s="356"/>
    </row>
    <row r="1123" spans="1:41" s="73" customFormat="1" ht="15" customHeight="1" x14ac:dyDescent="0.25">
      <c r="A1123" s="400"/>
      <c r="B1123" s="409"/>
      <c r="C1123" s="159" t="s">
        <v>495</v>
      </c>
      <c r="D1123" s="109"/>
      <c r="E1123" s="80" t="s">
        <v>851</v>
      </c>
      <c r="F1123" s="356"/>
      <c r="G1123" s="356"/>
      <c r="H1123" s="356"/>
      <c r="I1123" s="356"/>
      <c r="J1123" s="356"/>
      <c r="K1123" s="356"/>
      <c r="L1123" s="356"/>
      <c r="M1123" s="356"/>
      <c r="N1123" s="356"/>
      <c r="O1123" s="356"/>
      <c r="P1123" s="356"/>
      <c r="Q1123" s="356"/>
      <c r="R1123" s="356"/>
      <c r="S1123" s="356"/>
      <c r="T1123" s="356"/>
      <c r="U1123" s="356"/>
      <c r="V1123" s="356"/>
      <c r="W1123" s="356"/>
      <c r="X1123" s="356"/>
      <c r="Y1123" s="356"/>
      <c r="Z1123" s="356"/>
      <c r="AA1123" s="356"/>
      <c r="AB1123" s="356"/>
      <c r="AC1123" s="356"/>
      <c r="AD1123" s="356"/>
      <c r="AE1123" s="356"/>
      <c r="AF1123" s="356"/>
      <c r="AG1123" s="356"/>
      <c r="AH1123" s="356"/>
      <c r="AI1123" s="356"/>
      <c r="AJ1123" s="356"/>
      <c r="AK1123" s="356"/>
      <c r="AL1123" s="356"/>
      <c r="AM1123" s="356"/>
      <c r="AN1123" s="356"/>
      <c r="AO1123" s="356"/>
    </row>
    <row r="1124" spans="1:41" s="73" customFormat="1" ht="15" customHeight="1" x14ac:dyDescent="0.25">
      <c r="A1124" s="400"/>
      <c r="B1124" s="409"/>
      <c r="C1124" s="159" t="s">
        <v>496</v>
      </c>
      <c r="D1124" s="109"/>
      <c r="E1124" s="80" t="s">
        <v>852</v>
      </c>
      <c r="F1124" s="356"/>
      <c r="G1124" s="356"/>
      <c r="H1124" s="356"/>
      <c r="I1124" s="356"/>
      <c r="J1124" s="356"/>
      <c r="K1124" s="356"/>
      <c r="L1124" s="356"/>
      <c r="M1124" s="356"/>
      <c r="N1124" s="356"/>
      <c r="O1124" s="356"/>
      <c r="P1124" s="356"/>
      <c r="Q1124" s="356"/>
      <c r="R1124" s="356"/>
      <c r="S1124" s="356"/>
      <c r="T1124" s="356"/>
      <c r="U1124" s="356"/>
      <c r="V1124" s="356"/>
      <c r="W1124" s="356"/>
      <c r="X1124" s="356"/>
      <c r="Y1124" s="356"/>
      <c r="Z1124" s="356"/>
      <c r="AA1124" s="356"/>
      <c r="AB1124" s="356"/>
      <c r="AC1124" s="356"/>
      <c r="AD1124" s="356"/>
      <c r="AE1124" s="356"/>
      <c r="AF1124" s="356"/>
      <c r="AG1124" s="356"/>
      <c r="AH1124" s="356"/>
      <c r="AI1124" s="356"/>
      <c r="AJ1124" s="356"/>
      <c r="AK1124" s="356"/>
      <c r="AL1124" s="356"/>
      <c r="AM1124" s="356"/>
      <c r="AN1124" s="356"/>
      <c r="AO1124" s="356"/>
    </row>
    <row r="1125" spans="1:41" s="73" customFormat="1" ht="15" customHeight="1" x14ac:dyDescent="0.25">
      <c r="A1125" s="400"/>
      <c r="B1125" s="409"/>
      <c r="C1125" s="159" t="s">
        <v>497</v>
      </c>
      <c r="D1125" s="109"/>
      <c r="E1125" s="80" t="s">
        <v>853</v>
      </c>
      <c r="F1125" s="356"/>
      <c r="G1125" s="356"/>
      <c r="H1125" s="356"/>
      <c r="I1125" s="356"/>
      <c r="J1125" s="356"/>
      <c r="K1125" s="356"/>
      <c r="L1125" s="356"/>
      <c r="M1125" s="356"/>
      <c r="N1125" s="356"/>
      <c r="O1125" s="356"/>
      <c r="P1125" s="356"/>
      <c r="Q1125" s="356"/>
      <c r="R1125" s="356"/>
      <c r="S1125" s="356"/>
      <c r="T1125" s="356"/>
      <c r="U1125" s="356"/>
      <c r="V1125" s="356"/>
      <c r="W1125" s="356"/>
      <c r="X1125" s="356"/>
      <c r="Y1125" s="356"/>
      <c r="Z1125" s="356"/>
      <c r="AA1125" s="356"/>
      <c r="AB1125" s="356"/>
      <c r="AC1125" s="356"/>
      <c r="AD1125" s="356"/>
      <c r="AE1125" s="356"/>
      <c r="AF1125" s="356"/>
      <c r="AG1125" s="356"/>
      <c r="AH1125" s="356"/>
      <c r="AI1125" s="356"/>
      <c r="AJ1125" s="356"/>
      <c r="AK1125" s="356"/>
      <c r="AL1125" s="356"/>
      <c r="AM1125" s="356"/>
      <c r="AN1125" s="356"/>
      <c r="AO1125" s="356"/>
    </row>
    <row r="1126" spans="1:41" s="73" customFormat="1" ht="15" customHeight="1" x14ac:dyDescent="0.25">
      <c r="A1126" s="400"/>
      <c r="B1126" s="409"/>
      <c r="C1126" s="159" t="s">
        <v>498</v>
      </c>
      <c r="D1126" s="109"/>
      <c r="E1126" s="80" t="s">
        <v>854</v>
      </c>
      <c r="F1126" s="356"/>
      <c r="G1126" s="356"/>
      <c r="H1126" s="356"/>
      <c r="I1126" s="356"/>
      <c r="J1126" s="356"/>
      <c r="K1126" s="356"/>
      <c r="L1126" s="356"/>
      <c r="M1126" s="356"/>
      <c r="N1126" s="356"/>
      <c r="O1126" s="356"/>
      <c r="P1126" s="356"/>
      <c r="Q1126" s="356"/>
      <c r="R1126" s="356"/>
      <c r="S1126" s="356"/>
      <c r="T1126" s="356"/>
      <c r="U1126" s="356"/>
      <c r="V1126" s="356"/>
      <c r="W1126" s="356"/>
      <c r="X1126" s="356"/>
      <c r="Y1126" s="356"/>
      <c r="Z1126" s="356"/>
      <c r="AA1126" s="356"/>
      <c r="AB1126" s="356"/>
      <c r="AC1126" s="356"/>
      <c r="AD1126" s="356"/>
      <c r="AE1126" s="356"/>
      <c r="AF1126" s="356"/>
      <c r="AG1126" s="356"/>
      <c r="AH1126" s="356"/>
      <c r="AI1126" s="356"/>
      <c r="AJ1126" s="356"/>
      <c r="AK1126" s="356"/>
      <c r="AL1126" s="356"/>
      <c r="AM1126" s="356"/>
      <c r="AN1126" s="356"/>
      <c r="AO1126" s="356"/>
    </row>
    <row r="1127" spans="1:41" s="73" customFormat="1" ht="15" customHeight="1" x14ac:dyDescent="0.25">
      <c r="A1127" s="400"/>
      <c r="B1127" s="409"/>
      <c r="C1127" s="159" t="s">
        <v>499</v>
      </c>
      <c r="D1127" s="109"/>
      <c r="E1127" s="80" t="s">
        <v>855</v>
      </c>
      <c r="F1127" s="356"/>
      <c r="G1127" s="356"/>
      <c r="H1127" s="356"/>
      <c r="I1127" s="356"/>
      <c r="J1127" s="356"/>
      <c r="K1127" s="356"/>
      <c r="L1127" s="356"/>
      <c r="M1127" s="356"/>
      <c r="N1127" s="356"/>
      <c r="O1127" s="356"/>
      <c r="P1127" s="356"/>
      <c r="Q1127" s="356"/>
      <c r="R1127" s="356"/>
      <c r="S1127" s="356"/>
      <c r="T1127" s="356"/>
      <c r="U1127" s="356"/>
      <c r="V1127" s="356"/>
      <c r="W1127" s="356"/>
      <c r="X1127" s="356"/>
      <c r="Y1127" s="356"/>
      <c r="Z1127" s="356"/>
      <c r="AA1127" s="356"/>
      <c r="AB1127" s="356"/>
      <c r="AC1127" s="356"/>
      <c r="AD1127" s="356"/>
      <c r="AE1127" s="356"/>
      <c r="AF1127" s="356"/>
      <c r="AG1127" s="356"/>
      <c r="AH1127" s="356"/>
      <c r="AI1127" s="356"/>
      <c r="AJ1127" s="356"/>
      <c r="AK1127" s="356"/>
      <c r="AL1127" s="356"/>
      <c r="AM1127" s="356"/>
      <c r="AN1127" s="356"/>
      <c r="AO1127" s="356"/>
    </row>
    <row r="1128" spans="1:41" s="73" customFormat="1" ht="15" customHeight="1" x14ac:dyDescent="0.25">
      <c r="A1128" s="400"/>
      <c r="B1128" s="409"/>
      <c r="C1128" s="159" t="s">
        <v>500</v>
      </c>
      <c r="D1128" s="109"/>
      <c r="E1128" s="80" t="s">
        <v>856</v>
      </c>
      <c r="F1128" s="356"/>
      <c r="G1128" s="356"/>
      <c r="H1128" s="356"/>
      <c r="I1128" s="356"/>
      <c r="J1128" s="356"/>
      <c r="K1128" s="356"/>
      <c r="L1128" s="356"/>
      <c r="M1128" s="356"/>
      <c r="N1128" s="356"/>
      <c r="O1128" s="356"/>
      <c r="P1128" s="356"/>
      <c r="Q1128" s="356"/>
      <c r="R1128" s="356"/>
      <c r="S1128" s="356"/>
      <c r="T1128" s="356"/>
      <c r="U1128" s="356"/>
      <c r="V1128" s="356"/>
      <c r="W1128" s="356"/>
      <c r="X1128" s="356"/>
      <c r="Y1128" s="356"/>
      <c r="Z1128" s="356"/>
      <c r="AA1128" s="356"/>
      <c r="AB1128" s="356"/>
      <c r="AC1128" s="356"/>
      <c r="AD1128" s="356"/>
      <c r="AE1128" s="356"/>
      <c r="AF1128" s="356"/>
      <c r="AG1128" s="356"/>
      <c r="AH1128" s="356"/>
      <c r="AI1128" s="356"/>
      <c r="AJ1128" s="356"/>
      <c r="AK1128" s="356"/>
      <c r="AL1128" s="356"/>
      <c r="AM1128" s="356"/>
      <c r="AN1128" s="356"/>
      <c r="AO1128" s="356"/>
    </row>
    <row r="1129" spans="1:41" s="73" customFormat="1" ht="15" customHeight="1" x14ac:dyDescent="0.25">
      <c r="A1129" s="400"/>
      <c r="B1129" s="409"/>
      <c r="C1129" s="159" t="s">
        <v>501</v>
      </c>
      <c r="D1129" s="109"/>
      <c r="E1129" s="80" t="s">
        <v>857</v>
      </c>
      <c r="F1129" s="356"/>
      <c r="G1129" s="356"/>
      <c r="H1129" s="356"/>
      <c r="I1129" s="356"/>
      <c r="J1129" s="356"/>
      <c r="K1129" s="356"/>
      <c r="L1129" s="356"/>
      <c r="M1129" s="356"/>
      <c r="N1129" s="356"/>
      <c r="O1129" s="356"/>
      <c r="P1129" s="356"/>
      <c r="Q1129" s="356"/>
      <c r="R1129" s="356"/>
      <c r="S1129" s="356"/>
      <c r="T1129" s="356"/>
      <c r="U1129" s="356"/>
      <c r="V1129" s="356"/>
      <c r="W1129" s="356"/>
      <c r="X1129" s="356"/>
      <c r="Y1129" s="356"/>
      <c r="Z1129" s="356"/>
      <c r="AA1129" s="356"/>
      <c r="AB1129" s="356"/>
      <c r="AC1129" s="356"/>
      <c r="AD1129" s="356"/>
      <c r="AE1129" s="356"/>
      <c r="AF1129" s="356"/>
      <c r="AG1129" s="356"/>
      <c r="AH1129" s="356"/>
      <c r="AI1129" s="356"/>
      <c r="AJ1129" s="356"/>
      <c r="AK1129" s="356"/>
      <c r="AL1129" s="356"/>
      <c r="AM1129" s="356"/>
      <c r="AN1129" s="356"/>
      <c r="AO1129" s="356"/>
    </row>
    <row r="1130" spans="1:41" s="73" customFormat="1" ht="15" customHeight="1" x14ac:dyDescent="0.25">
      <c r="A1130" s="400"/>
      <c r="B1130" s="409"/>
      <c r="C1130" s="159" t="s">
        <v>502</v>
      </c>
      <c r="D1130" s="109"/>
      <c r="E1130" s="80" t="s">
        <v>858</v>
      </c>
      <c r="F1130" s="356"/>
      <c r="G1130" s="356"/>
      <c r="H1130" s="356"/>
      <c r="I1130" s="356"/>
      <c r="J1130" s="356"/>
      <c r="K1130" s="356"/>
      <c r="L1130" s="356"/>
      <c r="M1130" s="356"/>
      <c r="N1130" s="356"/>
      <c r="O1130" s="356"/>
      <c r="P1130" s="356"/>
      <c r="Q1130" s="356"/>
      <c r="R1130" s="356"/>
      <c r="S1130" s="356"/>
      <c r="T1130" s="356"/>
      <c r="U1130" s="356"/>
      <c r="V1130" s="356"/>
      <c r="W1130" s="356"/>
      <c r="X1130" s="356"/>
      <c r="Y1130" s="356"/>
      <c r="Z1130" s="356"/>
      <c r="AA1130" s="356"/>
      <c r="AB1130" s="356"/>
      <c r="AC1130" s="356"/>
      <c r="AD1130" s="356"/>
      <c r="AE1130" s="356"/>
      <c r="AF1130" s="356"/>
      <c r="AG1130" s="356"/>
      <c r="AH1130" s="356"/>
      <c r="AI1130" s="356"/>
      <c r="AJ1130" s="356"/>
      <c r="AK1130" s="356"/>
      <c r="AL1130" s="356"/>
      <c r="AM1130" s="356"/>
      <c r="AN1130" s="356"/>
      <c r="AO1130" s="356"/>
    </row>
    <row r="1131" spans="1:41" s="108" customFormat="1" ht="15" customHeight="1" x14ac:dyDescent="0.25">
      <c r="A1131" s="400"/>
      <c r="B1131" s="398" t="s">
        <v>1008</v>
      </c>
      <c r="C1131" s="100" t="s">
        <v>771</v>
      </c>
      <c r="D1131" s="150"/>
      <c r="E1131" s="101" t="s">
        <v>859</v>
      </c>
      <c r="F1131" s="364"/>
      <c r="G1131" s="364"/>
      <c r="H1131" s="364"/>
      <c r="I1131" s="364"/>
      <c r="J1131" s="364"/>
      <c r="K1131" s="364"/>
      <c r="L1131" s="364"/>
      <c r="M1131" s="364"/>
      <c r="N1131" s="364"/>
      <c r="O1131" s="364"/>
      <c r="P1131" s="364"/>
      <c r="Q1131" s="364"/>
      <c r="R1131" s="364"/>
      <c r="S1131" s="364"/>
      <c r="T1131" s="364"/>
      <c r="U1131" s="364"/>
      <c r="V1131" s="364"/>
      <c r="W1131" s="364"/>
      <c r="X1131" s="364"/>
      <c r="Y1131" s="364"/>
      <c r="Z1131" s="364"/>
      <c r="AA1131" s="364"/>
      <c r="AB1131" s="364"/>
      <c r="AC1131" s="364"/>
      <c r="AD1131" s="364"/>
      <c r="AE1131" s="364"/>
      <c r="AF1131" s="364"/>
      <c r="AG1131" s="364"/>
      <c r="AH1131" s="364"/>
      <c r="AI1131" s="364"/>
      <c r="AJ1131" s="364"/>
      <c r="AK1131" s="364"/>
      <c r="AL1131" s="364"/>
      <c r="AM1131" s="364"/>
      <c r="AN1131" s="364"/>
      <c r="AO1131" s="364"/>
    </row>
    <row r="1132" spans="1:41" s="108" customFormat="1" ht="15" customHeight="1" x14ac:dyDescent="0.25">
      <c r="A1132" s="400"/>
      <c r="B1132" s="398"/>
      <c r="C1132" s="100" t="s">
        <v>773</v>
      </c>
      <c r="D1132" s="150"/>
      <c r="E1132" s="101" t="s">
        <v>860</v>
      </c>
      <c r="F1132" s="364"/>
      <c r="G1132" s="364"/>
      <c r="H1132" s="364"/>
      <c r="I1132" s="364"/>
      <c r="J1132" s="364"/>
      <c r="K1132" s="364"/>
      <c r="L1132" s="364"/>
      <c r="M1132" s="364"/>
      <c r="N1132" s="364"/>
      <c r="O1132" s="364"/>
      <c r="P1132" s="364"/>
      <c r="Q1132" s="364"/>
      <c r="R1132" s="364"/>
      <c r="S1132" s="364"/>
      <c r="T1132" s="364"/>
      <c r="U1132" s="364"/>
      <c r="V1132" s="364"/>
      <c r="W1132" s="364"/>
      <c r="X1132" s="364"/>
      <c r="Y1132" s="364"/>
      <c r="Z1132" s="364"/>
      <c r="AA1132" s="364"/>
      <c r="AB1132" s="364"/>
      <c r="AC1132" s="364"/>
      <c r="AD1132" s="364"/>
      <c r="AE1132" s="364"/>
      <c r="AF1132" s="364"/>
      <c r="AG1132" s="364"/>
      <c r="AH1132" s="364"/>
      <c r="AI1132" s="364"/>
      <c r="AJ1132" s="364"/>
      <c r="AK1132" s="364"/>
      <c r="AL1132" s="364"/>
      <c r="AM1132" s="364"/>
      <c r="AN1132" s="364"/>
      <c r="AO1132" s="364"/>
    </row>
    <row r="1133" spans="1:41" s="73" customFormat="1" ht="15" customHeight="1" x14ac:dyDescent="0.25">
      <c r="A1133" s="400"/>
      <c r="B1133" s="398"/>
      <c r="C1133" s="160" t="s">
        <v>758</v>
      </c>
      <c r="D1133" s="111"/>
      <c r="E1133" s="78" t="s">
        <v>861</v>
      </c>
      <c r="F1133" s="363"/>
      <c r="G1133" s="363"/>
      <c r="H1133" s="363"/>
      <c r="I1133" s="363"/>
      <c r="J1133" s="363"/>
      <c r="K1133" s="363"/>
      <c r="L1133" s="363"/>
      <c r="M1133" s="363"/>
      <c r="N1133" s="363"/>
      <c r="O1133" s="363"/>
      <c r="P1133" s="363"/>
      <c r="Q1133" s="363"/>
      <c r="R1133" s="363"/>
      <c r="S1133" s="363"/>
      <c r="T1133" s="363"/>
      <c r="U1133" s="363"/>
      <c r="V1133" s="363"/>
      <c r="W1133" s="363"/>
      <c r="X1133" s="363"/>
      <c r="Y1133" s="363"/>
      <c r="Z1133" s="363"/>
      <c r="AA1133" s="363"/>
      <c r="AB1133" s="363"/>
      <c r="AC1133" s="363"/>
      <c r="AD1133" s="363"/>
      <c r="AE1133" s="363"/>
      <c r="AF1133" s="363"/>
      <c r="AG1133" s="363"/>
      <c r="AH1133" s="363"/>
      <c r="AI1133" s="363"/>
      <c r="AJ1133" s="363"/>
      <c r="AK1133" s="363"/>
      <c r="AL1133" s="363"/>
      <c r="AM1133" s="363"/>
      <c r="AN1133" s="363"/>
      <c r="AO1133" s="363"/>
    </row>
    <row r="1134" spans="1:41" s="73" customFormat="1" ht="15" customHeight="1" x14ac:dyDescent="0.25">
      <c r="A1134" s="400"/>
      <c r="B1134" s="398"/>
      <c r="C1134" s="160" t="s">
        <v>759</v>
      </c>
      <c r="D1134" s="111"/>
      <c r="E1134" s="78" t="s">
        <v>862</v>
      </c>
      <c r="F1134" s="363"/>
      <c r="G1134" s="363"/>
      <c r="H1134" s="363"/>
      <c r="I1134" s="363"/>
      <c r="J1134" s="363"/>
      <c r="K1134" s="363"/>
      <c r="L1134" s="363"/>
      <c r="M1134" s="363"/>
      <c r="N1134" s="363"/>
      <c r="O1134" s="363"/>
      <c r="P1134" s="363"/>
      <c r="Q1134" s="363"/>
      <c r="R1134" s="363"/>
      <c r="S1134" s="363"/>
      <c r="T1134" s="363"/>
      <c r="U1134" s="363"/>
      <c r="V1134" s="363"/>
      <c r="W1134" s="363"/>
      <c r="X1134" s="363"/>
      <c r="Y1134" s="363"/>
      <c r="Z1134" s="363"/>
      <c r="AA1134" s="363"/>
      <c r="AB1134" s="363"/>
      <c r="AC1134" s="363"/>
      <c r="AD1134" s="363"/>
      <c r="AE1134" s="363"/>
      <c r="AF1134" s="363"/>
      <c r="AG1134" s="363"/>
      <c r="AH1134" s="363"/>
      <c r="AI1134" s="363"/>
      <c r="AJ1134" s="363"/>
      <c r="AK1134" s="363"/>
      <c r="AL1134" s="363"/>
      <c r="AM1134" s="363"/>
      <c r="AN1134" s="363"/>
      <c r="AO1134" s="363"/>
    </row>
    <row r="1135" spans="1:41" s="108" customFormat="1" ht="15" customHeight="1" x14ac:dyDescent="0.25">
      <c r="A1135" s="400"/>
      <c r="B1135" s="398"/>
      <c r="C1135" s="100" t="s">
        <v>774</v>
      </c>
      <c r="D1135" s="150"/>
      <c r="E1135" s="101" t="s">
        <v>863</v>
      </c>
      <c r="F1135" s="364"/>
      <c r="G1135" s="364"/>
      <c r="H1135" s="364"/>
      <c r="I1135" s="364"/>
      <c r="J1135" s="364"/>
      <c r="K1135" s="364"/>
      <c r="L1135" s="364"/>
      <c r="M1135" s="364"/>
      <c r="N1135" s="364"/>
      <c r="O1135" s="364"/>
      <c r="P1135" s="364"/>
      <c r="Q1135" s="364"/>
      <c r="R1135" s="364"/>
      <c r="S1135" s="364"/>
      <c r="T1135" s="364"/>
      <c r="U1135" s="364"/>
      <c r="V1135" s="364"/>
      <c r="W1135" s="364"/>
      <c r="X1135" s="364"/>
      <c r="Y1135" s="364"/>
      <c r="Z1135" s="364"/>
      <c r="AA1135" s="364"/>
      <c r="AB1135" s="364"/>
      <c r="AC1135" s="364"/>
      <c r="AD1135" s="364"/>
      <c r="AE1135" s="364"/>
      <c r="AF1135" s="364"/>
      <c r="AG1135" s="364"/>
      <c r="AH1135" s="364"/>
      <c r="AI1135" s="364"/>
      <c r="AJ1135" s="364"/>
      <c r="AK1135" s="364"/>
      <c r="AL1135" s="364"/>
      <c r="AM1135" s="364"/>
      <c r="AN1135" s="364"/>
      <c r="AO1135" s="364"/>
    </row>
    <row r="1136" spans="1:41" s="73" customFormat="1" ht="15" customHeight="1" x14ac:dyDescent="0.25">
      <c r="A1136" s="400"/>
      <c r="B1136" s="398"/>
      <c r="C1136" s="160" t="s">
        <v>760</v>
      </c>
      <c r="D1136" s="111"/>
      <c r="E1136" s="78" t="s">
        <v>864</v>
      </c>
      <c r="F1136" s="363"/>
      <c r="G1136" s="363"/>
      <c r="H1136" s="363"/>
      <c r="I1136" s="363"/>
      <c r="J1136" s="363"/>
      <c r="K1136" s="363"/>
      <c r="L1136" s="363"/>
      <c r="M1136" s="363"/>
      <c r="N1136" s="363"/>
      <c r="O1136" s="363"/>
      <c r="P1136" s="363"/>
      <c r="Q1136" s="363"/>
      <c r="R1136" s="363"/>
      <c r="S1136" s="363"/>
      <c r="T1136" s="363"/>
      <c r="U1136" s="363"/>
      <c r="V1136" s="363"/>
      <c r="W1136" s="363"/>
      <c r="X1136" s="363"/>
      <c r="Y1136" s="363"/>
      <c r="Z1136" s="363"/>
      <c r="AA1136" s="363"/>
      <c r="AB1136" s="363"/>
      <c r="AC1136" s="363"/>
      <c r="AD1136" s="363"/>
      <c r="AE1136" s="363"/>
      <c r="AF1136" s="363"/>
      <c r="AG1136" s="363"/>
      <c r="AH1136" s="363"/>
      <c r="AI1136" s="363"/>
      <c r="AJ1136" s="363"/>
      <c r="AK1136" s="363"/>
      <c r="AL1136" s="363"/>
      <c r="AM1136" s="363"/>
      <c r="AN1136" s="363"/>
      <c r="AO1136" s="363"/>
    </row>
    <row r="1137" spans="1:41" s="73" customFormat="1" ht="15" customHeight="1" x14ac:dyDescent="0.25">
      <c r="A1137" s="400"/>
      <c r="B1137" s="398"/>
      <c r="C1137" s="160" t="s">
        <v>761</v>
      </c>
      <c r="D1137" s="111"/>
      <c r="E1137" s="78" t="s">
        <v>865</v>
      </c>
      <c r="F1137" s="363"/>
      <c r="G1137" s="363"/>
      <c r="H1137" s="363"/>
      <c r="I1137" s="363"/>
      <c r="J1137" s="363"/>
      <c r="K1137" s="363"/>
      <c r="L1137" s="363"/>
      <c r="M1137" s="363"/>
      <c r="N1137" s="363"/>
      <c r="O1137" s="363"/>
      <c r="P1137" s="363"/>
      <c r="Q1137" s="363"/>
      <c r="R1137" s="363"/>
      <c r="S1137" s="363"/>
      <c r="T1137" s="363"/>
      <c r="U1137" s="363"/>
      <c r="V1137" s="363"/>
      <c r="W1137" s="363"/>
      <c r="X1137" s="363"/>
      <c r="Y1137" s="363"/>
      <c r="Z1137" s="363"/>
      <c r="AA1137" s="363"/>
      <c r="AB1137" s="363"/>
      <c r="AC1137" s="363"/>
      <c r="AD1137" s="363"/>
      <c r="AE1137" s="363"/>
      <c r="AF1137" s="363"/>
      <c r="AG1137" s="363"/>
      <c r="AH1137" s="363"/>
      <c r="AI1137" s="363"/>
      <c r="AJ1137" s="363"/>
      <c r="AK1137" s="363"/>
      <c r="AL1137" s="363"/>
      <c r="AM1137" s="363"/>
      <c r="AN1137" s="363"/>
      <c r="AO1137" s="363"/>
    </row>
    <row r="1138" spans="1:41" s="73" customFormat="1" ht="15" customHeight="1" x14ac:dyDescent="0.25">
      <c r="A1138" s="400"/>
      <c r="B1138" s="398"/>
      <c r="C1138" s="160" t="s">
        <v>762</v>
      </c>
      <c r="D1138" s="111"/>
      <c r="E1138" s="78" t="s">
        <v>866</v>
      </c>
      <c r="F1138" s="363"/>
      <c r="G1138" s="363"/>
      <c r="H1138" s="363"/>
      <c r="I1138" s="363"/>
      <c r="J1138" s="363"/>
      <c r="K1138" s="363"/>
      <c r="L1138" s="363"/>
      <c r="M1138" s="363"/>
      <c r="N1138" s="363"/>
      <c r="O1138" s="363"/>
      <c r="P1138" s="363"/>
      <c r="Q1138" s="363"/>
      <c r="R1138" s="363"/>
      <c r="S1138" s="363"/>
      <c r="T1138" s="363"/>
      <c r="U1138" s="363"/>
      <c r="V1138" s="363"/>
      <c r="W1138" s="363"/>
      <c r="X1138" s="363"/>
      <c r="Y1138" s="363"/>
      <c r="Z1138" s="363"/>
      <c r="AA1138" s="363"/>
      <c r="AB1138" s="363"/>
      <c r="AC1138" s="363"/>
      <c r="AD1138" s="363"/>
      <c r="AE1138" s="363"/>
      <c r="AF1138" s="363"/>
      <c r="AG1138" s="363"/>
      <c r="AH1138" s="363"/>
      <c r="AI1138" s="363"/>
      <c r="AJ1138" s="363"/>
      <c r="AK1138" s="363"/>
      <c r="AL1138" s="363"/>
      <c r="AM1138" s="363"/>
      <c r="AN1138" s="363"/>
      <c r="AO1138" s="363"/>
    </row>
    <row r="1139" spans="1:41" s="73" customFormat="1" ht="15" customHeight="1" x14ac:dyDescent="0.25">
      <c r="A1139" s="400"/>
      <c r="B1139" s="398"/>
      <c r="C1139" s="160" t="s">
        <v>763</v>
      </c>
      <c r="D1139" s="111"/>
      <c r="E1139" s="78" t="s">
        <v>867</v>
      </c>
      <c r="F1139" s="363"/>
      <c r="G1139" s="363"/>
      <c r="H1139" s="363"/>
      <c r="I1139" s="363"/>
      <c r="J1139" s="363"/>
      <c r="K1139" s="363"/>
      <c r="L1139" s="363"/>
      <c r="M1139" s="363"/>
      <c r="N1139" s="363"/>
      <c r="O1139" s="363"/>
      <c r="P1139" s="363"/>
      <c r="Q1139" s="363"/>
      <c r="R1139" s="363"/>
      <c r="S1139" s="363"/>
      <c r="T1139" s="363"/>
      <c r="U1139" s="363"/>
      <c r="V1139" s="363"/>
      <c r="W1139" s="363"/>
      <c r="X1139" s="363"/>
      <c r="Y1139" s="363"/>
      <c r="Z1139" s="363"/>
      <c r="AA1139" s="363"/>
      <c r="AB1139" s="363"/>
      <c r="AC1139" s="363"/>
      <c r="AD1139" s="363"/>
      <c r="AE1139" s="363"/>
      <c r="AF1139" s="363"/>
      <c r="AG1139" s="363"/>
      <c r="AH1139" s="363"/>
      <c r="AI1139" s="363"/>
      <c r="AJ1139" s="363"/>
      <c r="AK1139" s="363"/>
      <c r="AL1139" s="363"/>
      <c r="AM1139" s="363"/>
      <c r="AN1139" s="363"/>
      <c r="AO1139" s="363"/>
    </row>
    <row r="1140" spans="1:41" s="73" customFormat="1" ht="15" customHeight="1" x14ac:dyDescent="0.25">
      <c r="A1140" s="400"/>
      <c r="B1140" s="398"/>
      <c r="C1140" s="160" t="s">
        <v>764</v>
      </c>
      <c r="D1140" s="111"/>
      <c r="E1140" s="78" t="s">
        <v>868</v>
      </c>
      <c r="F1140" s="363"/>
      <c r="G1140" s="363"/>
      <c r="H1140" s="363"/>
      <c r="I1140" s="363"/>
      <c r="J1140" s="363"/>
      <c r="K1140" s="363"/>
      <c r="L1140" s="363"/>
      <c r="M1140" s="363"/>
      <c r="N1140" s="363"/>
      <c r="O1140" s="363"/>
      <c r="P1140" s="363"/>
      <c r="Q1140" s="363"/>
      <c r="R1140" s="363"/>
      <c r="S1140" s="363"/>
      <c r="T1140" s="363"/>
      <c r="U1140" s="363"/>
      <c r="V1140" s="363"/>
      <c r="W1140" s="363"/>
      <c r="X1140" s="363"/>
      <c r="Y1140" s="363"/>
      <c r="Z1140" s="363"/>
      <c r="AA1140" s="363"/>
      <c r="AB1140" s="363"/>
      <c r="AC1140" s="363"/>
      <c r="AD1140" s="363"/>
      <c r="AE1140" s="363"/>
      <c r="AF1140" s="363"/>
      <c r="AG1140" s="363"/>
      <c r="AH1140" s="363"/>
      <c r="AI1140" s="363"/>
      <c r="AJ1140" s="363"/>
      <c r="AK1140" s="363"/>
      <c r="AL1140" s="363"/>
      <c r="AM1140" s="363"/>
      <c r="AN1140" s="363"/>
      <c r="AO1140" s="363"/>
    </row>
    <row r="1141" spans="1:41" s="73" customFormat="1" ht="15" customHeight="1" x14ac:dyDescent="0.25">
      <c r="A1141" s="400"/>
      <c r="B1141" s="398"/>
      <c r="C1141" s="160" t="s">
        <v>765</v>
      </c>
      <c r="D1141" s="111"/>
      <c r="E1141" s="78" t="s">
        <v>869</v>
      </c>
      <c r="F1141" s="363"/>
      <c r="G1141" s="363"/>
      <c r="H1141" s="363"/>
      <c r="I1141" s="363"/>
      <c r="J1141" s="363"/>
      <c r="K1141" s="363"/>
      <c r="L1141" s="363"/>
      <c r="M1141" s="363"/>
      <c r="N1141" s="363"/>
      <c r="O1141" s="363"/>
      <c r="P1141" s="363"/>
      <c r="Q1141" s="363"/>
      <c r="R1141" s="363"/>
      <c r="S1141" s="363"/>
      <c r="T1141" s="363"/>
      <c r="U1141" s="363"/>
      <c r="V1141" s="363"/>
      <c r="W1141" s="363"/>
      <c r="X1141" s="363"/>
      <c r="Y1141" s="363"/>
      <c r="Z1141" s="363"/>
      <c r="AA1141" s="363"/>
      <c r="AB1141" s="363"/>
      <c r="AC1141" s="363"/>
      <c r="AD1141" s="363"/>
      <c r="AE1141" s="363"/>
      <c r="AF1141" s="363"/>
      <c r="AG1141" s="363"/>
      <c r="AH1141" s="363"/>
      <c r="AI1141" s="363"/>
      <c r="AJ1141" s="363"/>
      <c r="AK1141" s="363"/>
      <c r="AL1141" s="363"/>
      <c r="AM1141" s="363"/>
      <c r="AN1141" s="363"/>
      <c r="AO1141" s="363"/>
    </row>
    <row r="1142" spans="1:41" s="73" customFormat="1" ht="15" customHeight="1" x14ac:dyDescent="0.25">
      <c r="A1142" s="400"/>
      <c r="B1142" s="398"/>
      <c r="C1142" s="160" t="s">
        <v>766</v>
      </c>
      <c r="D1142" s="111"/>
      <c r="E1142" s="78" t="s">
        <v>870</v>
      </c>
      <c r="F1142" s="363"/>
      <c r="G1142" s="363"/>
      <c r="H1142" s="363"/>
      <c r="I1142" s="363"/>
      <c r="J1142" s="363"/>
      <c r="K1142" s="363"/>
      <c r="L1142" s="363"/>
      <c r="M1142" s="363"/>
      <c r="N1142" s="363"/>
      <c r="O1142" s="363"/>
      <c r="P1142" s="363"/>
      <c r="Q1142" s="363"/>
      <c r="R1142" s="363"/>
      <c r="S1142" s="363"/>
      <c r="T1142" s="363"/>
      <c r="U1142" s="363"/>
      <c r="V1142" s="363"/>
      <c r="W1142" s="363"/>
      <c r="X1142" s="363"/>
      <c r="Y1142" s="363"/>
      <c r="Z1142" s="363"/>
      <c r="AA1142" s="363"/>
      <c r="AB1142" s="363"/>
      <c r="AC1142" s="363"/>
      <c r="AD1142" s="363"/>
      <c r="AE1142" s="363"/>
      <c r="AF1142" s="363"/>
      <c r="AG1142" s="363"/>
      <c r="AH1142" s="363"/>
      <c r="AI1142" s="363"/>
      <c r="AJ1142" s="363"/>
      <c r="AK1142" s="363"/>
      <c r="AL1142" s="363"/>
      <c r="AM1142" s="363"/>
      <c r="AN1142" s="363"/>
      <c r="AO1142" s="363"/>
    </row>
    <row r="1143" spans="1:41" s="73" customFormat="1" ht="15" customHeight="1" x14ac:dyDescent="0.25">
      <c r="A1143" s="400"/>
      <c r="B1143" s="398"/>
      <c r="C1143" s="160" t="s">
        <v>767</v>
      </c>
      <c r="D1143" s="111"/>
      <c r="E1143" s="78" t="s">
        <v>871</v>
      </c>
      <c r="F1143" s="363"/>
      <c r="G1143" s="363"/>
      <c r="H1143" s="363"/>
      <c r="I1143" s="363"/>
      <c r="J1143" s="363"/>
      <c r="K1143" s="363"/>
      <c r="L1143" s="363"/>
      <c r="M1143" s="363"/>
      <c r="N1143" s="363"/>
      <c r="O1143" s="363"/>
      <c r="P1143" s="363"/>
      <c r="Q1143" s="363"/>
      <c r="R1143" s="363"/>
      <c r="S1143" s="363"/>
      <c r="T1143" s="363"/>
      <c r="U1143" s="363"/>
      <c r="V1143" s="363"/>
      <c r="W1143" s="363"/>
      <c r="X1143" s="363"/>
      <c r="Y1143" s="363"/>
      <c r="Z1143" s="363"/>
      <c r="AA1143" s="363"/>
      <c r="AB1143" s="363"/>
      <c r="AC1143" s="363"/>
      <c r="AD1143" s="363"/>
      <c r="AE1143" s="363"/>
      <c r="AF1143" s="363"/>
      <c r="AG1143" s="363"/>
      <c r="AH1143" s="363"/>
      <c r="AI1143" s="363"/>
      <c r="AJ1143" s="363"/>
      <c r="AK1143" s="363"/>
      <c r="AL1143" s="363"/>
      <c r="AM1143" s="363"/>
      <c r="AN1143" s="363"/>
      <c r="AO1143" s="363"/>
    </row>
    <row r="1144" spans="1:41" s="73" customFormat="1" ht="15" customHeight="1" x14ac:dyDescent="0.25">
      <c r="A1144" s="400"/>
      <c r="B1144" s="398"/>
      <c r="C1144" s="160" t="s">
        <v>768</v>
      </c>
      <c r="D1144" s="111"/>
      <c r="E1144" s="78" t="s">
        <v>872</v>
      </c>
      <c r="F1144" s="363"/>
      <c r="G1144" s="363"/>
      <c r="H1144" s="363"/>
      <c r="I1144" s="363"/>
      <c r="J1144" s="363"/>
      <c r="K1144" s="363"/>
      <c r="L1144" s="363"/>
      <c r="M1144" s="363"/>
      <c r="N1144" s="363"/>
      <c r="O1144" s="363"/>
      <c r="P1144" s="363"/>
      <c r="Q1144" s="363"/>
      <c r="R1144" s="363"/>
      <c r="S1144" s="363"/>
      <c r="T1144" s="363"/>
      <c r="U1144" s="363"/>
      <c r="V1144" s="363"/>
      <c r="W1144" s="363"/>
      <c r="X1144" s="363"/>
      <c r="Y1144" s="363"/>
      <c r="Z1144" s="363"/>
      <c r="AA1144" s="363"/>
      <c r="AB1144" s="363"/>
      <c r="AC1144" s="363"/>
      <c r="AD1144" s="363"/>
      <c r="AE1144" s="363"/>
      <c r="AF1144" s="363"/>
      <c r="AG1144" s="363"/>
      <c r="AH1144" s="363"/>
      <c r="AI1144" s="363"/>
      <c r="AJ1144" s="363"/>
      <c r="AK1144" s="363"/>
      <c r="AL1144" s="363"/>
      <c r="AM1144" s="363"/>
      <c r="AN1144" s="363"/>
      <c r="AO1144" s="363"/>
    </row>
    <row r="1145" spans="1:41" s="73" customFormat="1" ht="15" customHeight="1" x14ac:dyDescent="0.25">
      <c r="A1145" s="400"/>
      <c r="B1145" s="398"/>
      <c r="C1145" s="160" t="s">
        <v>769</v>
      </c>
      <c r="D1145" s="111"/>
      <c r="E1145" s="78" t="s">
        <v>873</v>
      </c>
      <c r="F1145" s="363"/>
      <c r="G1145" s="363"/>
      <c r="H1145" s="363"/>
      <c r="I1145" s="363"/>
      <c r="J1145" s="363"/>
      <c r="K1145" s="363"/>
      <c r="L1145" s="363"/>
      <c r="M1145" s="363"/>
      <c r="N1145" s="363"/>
      <c r="O1145" s="363"/>
      <c r="P1145" s="363"/>
      <c r="Q1145" s="363"/>
      <c r="R1145" s="363"/>
      <c r="S1145" s="363"/>
      <c r="T1145" s="363"/>
      <c r="U1145" s="363"/>
      <c r="V1145" s="363"/>
      <c r="W1145" s="363"/>
      <c r="X1145" s="363"/>
      <c r="Y1145" s="363"/>
      <c r="Z1145" s="363"/>
      <c r="AA1145" s="363"/>
      <c r="AB1145" s="363"/>
      <c r="AC1145" s="363"/>
      <c r="AD1145" s="363"/>
      <c r="AE1145" s="363"/>
      <c r="AF1145" s="363"/>
      <c r="AG1145" s="363"/>
      <c r="AH1145" s="363"/>
      <c r="AI1145" s="363"/>
      <c r="AJ1145" s="363"/>
      <c r="AK1145" s="363"/>
      <c r="AL1145" s="363"/>
      <c r="AM1145" s="363"/>
      <c r="AN1145" s="363"/>
      <c r="AO1145" s="363"/>
    </row>
    <row r="1146" spans="1:41" s="73" customFormat="1" ht="15" customHeight="1" x14ac:dyDescent="0.25">
      <c r="A1146" s="400"/>
      <c r="B1146" s="398"/>
      <c r="C1146" s="160" t="s">
        <v>770</v>
      </c>
      <c r="D1146" s="111"/>
      <c r="E1146" s="78" t="s">
        <v>874</v>
      </c>
      <c r="F1146" s="363"/>
      <c r="G1146" s="363"/>
      <c r="H1146" s="363"/>
      <c r="I1146" s="363"/>
      <c r="J1146" s="363"/>
      <c r="K1146" s="363"/>
      <c r="L1146" s="363"/>
      <c r="M1146" s="363"/>
      <c r="N1146" s="363"/>
      <c r="O1146" s="363"/>
      <c r="P1146" s="363"/>
      <c r="Q1146" s="363"/>
      <c r="R1146" s="363"/>
      <c r="S1146" s="363"/>
      <c r="T1146" s="363"/>
      <c r="U1146" s="363"/>
      <c r="V1146" s="363"/>
      <c r="W1146" s="363"/>
      <c r="X1146" s="363"/>
      <c r="Y1146" s="363"/>
      <c r="Z1146" s="363"/>
      <c r="AA1146" s="363"/>
      <c r="AB1146" s="363"/>
      <c r="AC1146" s="363"/>
      <c r="AD1146" s="363"/>
      <c r="AE1146" s="363"/>
      <c r="AF1146" s="363"/>
      <c r="AG1146" s="363"/>
      <c r="AH1146" s="363"/>
      <c r="AI1146" s="363"/>
      <c r="AJ1146" s="363"/>
      <c r="AK1146" s="363"/>
      <c r="AL1146" s="363"/>
      <c r="AM1146" s="363"/>
      <c r="AN1146" s="363"/>
      <c r="AO1146" s="363"/>
    </row>
    <row r="1147" spans="1:41" s="108" customFormat="1" ht="15" customHeight="1" x14ac:dyDescent="0.25">
      <c r="A1147" s="400"/>
      <c r="B1147" s="398"/>
      <c r="C1147" s="100" t="s">
        <v>775</v>
      </c>
      <c r="D1147" s="150"/>
      <c r="E1147" s="101" t="s">
        <v>875</v>
      </c>
      <c r="F1147" s="364"/>
      <c r="G1147" s="364"/>
      <c r="H1147" s="364"/>
      <c r="I1147" s="364"/>
      <c r="J1147" s="364"/>
      <c r="K1147" s="364"/>
      <c r="L1147" s="364"/>
      <c r="M1147" s="364"/>
      <c r="N1147" s="364"/>
      <c r="O1147" s="364"/>
      <c r="P1147" s="364"/>
      <c r="Q1147" s="364"/>
      <c r="R1147" s="364"/>
      <c r="S1147" s="364"/>
      <c r="T1147" s="364"/>
      <c r="U1147" s="364"/>
      <c r="V1147" s="364"/>
      <c r="W1147" s="364"/>
      <c r="X1147" s="364"/>
      <c r="Y1147" s="364"/>
      <c r="Z1147" s="364"/>
      <c r="AA1147" s="364"/>
      <c r="AB1147" s="364"/>
      <c r="AC1147" s="364"/>
      <c r="AD1147" s="364"/>
      <c r="AE1147" s="364"/>
      <c r="AF1147" s="364"/>
      <c r="AG1147" s="364"/>
      <c r="AH1147" s="364"/>
      <c r="AI1147" s="364"/>
      <c r="AJ1147" s="364"/>
      <c r="AK1147" s="364"/>
      <c r="AL1147" s="364"/>
      <c r="AM1147" s="364"/>
      <c r="AN1147" s="364"/>
      <c r="AO1147" s="364"/>
    </row>
    <row r="1148" spans="1:41" s="73" customFormat="1" ht="15" customHeight="1" x14ac:dyDescent="0.25">
      <c r="A1148" s="400"/>
      <c r="B1148" s="398"/>
      <c r="C1148" s="160" t="s">
        <v>636</v>
      </c>
      <c r="D1148" s="111"/>
      <c r="E1148" s="78" t="s">
        <v>876</v>
      </c>
      <c r="F1148" s="363"/>
      <c r="G1148" s="363"/>
      <c r="H1148" s="363"/>
      <c r="I1148" s="363"/>
      <c r="J1148" s="363"/>
      <c r="K1148" s="363"/>
      <c r="L1148" s="363"/>
      <c r="M1148" s="363"/>
      <c r="N1148" s="363"/>
      <c r="O1148" s="363"/>
      <c r="P1148" s="363"/>
      <c r="Q1148" s="363"/>
      <c r="R1148" s="363"/>
      <c r="S1148" s="363"/>
      <c r="T1148" s="363"/>
      <c r="U1148" s="363"/>
      <c r="V1148" s="363"/>
      <c r="W1148" s="363"/>
      <c r="X1148" s="363"/>
      <c r="Y1148" s="363"/>
      <c r="Z1148" s="363"/>
      <c r="AA1148" s="363"/>
      <c r="AB1148" s="363"/>
      <c r="AC1148" s="363"/>
      <c r="AD1148" s="363"/>
      <c r="AE1148" s="363"/>
      <c r="AF1148" s="363"/>
      <c r="AG1148" s="363"/>
      <c r="AH1148" s="363"/>
      <c r="AI1148" s="363"/>
      <c r="AJ1148" s="363"/>
      <c r="AK1148" s="363"/>
      <c r="AL1148" s="363"/>
      <c r="AM1148" s="363"/>
      <c r="AN1148" s="363"/>
      <c r="AO1148" s="363"/>
    </row>
    <row r="1149" spans="1:41" s="73" customFormat="1" ht="15" customHeight="1" x14ac:dyDescent="0.25">
      <c r="A1149" s="400"/>
      <c r="B1149" s="398"/>
      <c r="C1149" s="160" t="s">
        <v>637</v>
      </c>
      <c r="D1149" s="111"/>
      <c r="E1149" s="78" t="s">
        <v>877</v>
      </c>
      <c r="F1149" s="363"/>
      <c r="G1149" s="363"/>
      <c r="H1149" s="363"/>
      <c r="I1149" s="363"/>
      <c r="J1149" s="363"/>
      <c r="K1149" s="363"/>
      <c r="L1149" s="363"/>
      <c r="M1149" s="363"/>
      <c r="N1149" s="363"/>
      <c r="O1149" s="363"/>
      <c r="P1149" s="363"/>
      <c r="Q1149" s="363"/>
      <c r="R1149" s="363"/>
      <c r="S1149" s="363"/>
      <c r="T1149" s="363"/>
      <c r="U1149" s="363"/>
      <c r="V1149" s="363"/>
      <c r="W1149" s="363"/>
      <c r="X1149" s="363"/>
      <c r="Y1149" s="363"/>
      <c r="Z1149" s="363"/>
      <c r="AA1149" s="363"/>
      <c r="AB1149" s="363"/>
      <c r="AC1149" s="363"/>
      <c r="AD1149" s="363"/>
      <c r="AE1149" s="363"/>
      <c r="AF1149" s="363"/>
      <c r="AG1149" s="363"/>
      <c r="AH1149" s="363"/>
      <c r="AI1149" s="363"/>
      <c r="AJ1149" s="363"/>
      <c r="AK1149" s="363"/>
      <c r="AL1149" s="363"/>
      <c r="AM1149" s="363"/>
      <c r="AN1149" s="363"/>
      <c r="AO1149" s="363"/>
    </row>
    <row r="1150" spans="1:41" s="73" customFormat="1" ht="15" customHeight="1" x14ac:dyDescent="0.25">
      <c r="A1150" s="400"/>
      <c r="B1150" s="398"/>
      <c r="C1150" s="160" t="s">
        <v>638</v>
      </c>
      <c r="D1150" s="111"/>
      <c r="E1150" s="78" t="s">
        <v>878</v>
      </c>
      <c r="F1150" s="363"/>
      <c r="G1150" s="363"/>
      <c r="H1150" s="363"/>
      <c r="I1150" s="363"/>
      <c r="J1150" s="363"/>
      <c r="K1150" s="363"/>
      <c r="L1150" s="363"/>
      <c r="M1150" s="363"/>
      <c r="N1150" s="363"/>
      <c r="O1150" s="363"/>
      <c r="P1150" s="363"/>
      <c r="Q1150" s="363"/>
      <c r="R1150" s="363"/>
      <c r="S1150" s="363"/>
      <c r="T1150" s="363"/>
      <c r="U1150" s="363"/>
      <c r="V1150" s="363"/>
      <c r="W1150" s="363"/>
      <c r="X1150" s="363"/>
      <c r="Y1150" s="363"/>
      <c r="Z1150" s="363"/>
      <c r="AA1150" s="363"/>
      <c r="AB1150" s="363"/>
      <c r="AC1150" s="363"/>
      <c r="AD1150" s="363"/>
      <c r="AE1150" s="363"/>
      <c r="AF1150" s="363"/>
      <c r="AG1150" s="363"/>
      <c r="AH1150" s="363"/>
      <c r="AI1150" s="363"/>
      <c r="AJ1150" s="363"/>
      <c r="AK1150" s="363"/>
      <c r="AL1150" s="363"/>
      <c r="AM1150" s="363"/>
      <c r="AN1150" s="363"/>
      <c r="AO1150" s="363"/>
    </row>
    <row r="1151" spans="1:41" s="73" customFormat="1" ht="15" customHeight="1" x14ac:dyDescent="0.25">
      <c r="A1151" s="400"/>
      <c r="B1151" s="398"/>
      <c r="C1151" s="160" t="s">
        <v>639</v>
      </c>
      <c r="D1151" s="111"/>
      <c r="E1151" s="78" t="s">
        <v>879</v>
      </c>
      <c r="F1151" s="363"/>
      <c r="G1151" s="363"/>
      <c r="H1151" s="363"/>
      <c r="I1151" s="363"/>
      <c r="J1151" s="363"/>
      <c r="K1151" s="363"/>
      <c r="L1151" s="363"/>
      <c r="M1151" s="363"/>
      <c r="N1151" s="363"/>
      <c r="O1151" s="363"/>
      <c r="P1151" s="363"/>
      <c r="Q1151" s="363"/>
      <c r="R1151" s="363"/>
      <c r="S1151" s="363"/>
      <c r="T1151" s="363"/>
      <c r="U1151" s="363"/>
      <c r="V1151" s="363"/>
      <c r="W1151" s="363"/>
      <c r="X1151" s="363"/>
      <c r="Y1151" s="363"/>
      <c r="Z1151" s="363"/>
      <c r="AA1151" s="363"/>
      <c r="AB1151" s="363"/>
      <c r="AC1151" s="363"/>
      <c r="AD1151" s="363"/>
      <c r="AE1151" s="363"/>
      <c r="AF1151" s="363"/>
      <c r="AG1151" s="363"/>
      <c r="AH1151" s="363"/>
      <c r="AI1151" s="363"/>
      <c r="AJ1151" s="363"/>
      <c r="AK1151" s="363"/>
      <c r="AL1151" s="363"/>
      <c r="AM1151" s="363"/>
      <c r="AN1151" s="363"/>
      <c r="AO1151" s="363"/>
    </row>
    <row r="1152" spans="1:41" s="108" customFormat="1" ht="15" customHeight="1" x14ac:dyDescent="0.25">
      <c r="A1152" s="400"/>
      <c r="B1152" s="398"/>
      <c r="C1152" s="100" t="s">
        <v>776</v>
      </c>
      <c r="D1152" s="150"/>
      <c r="E1152" s="101" t="s">
        <v>880</v>
      </c>
      <c r="F1152" s="364"/>
      <c r="G1152" s="364"/>
      <c r="H1152" s="364"/>
      <c r="I1152" s="364"/>
      <c r="J1152" s="364"/>
      <c r="K1152" s="364"/>
      <c r="L1152" s="364"/>
      <c r="M1152" s="364"/>
      <c r="N1152" s="364"/>
      <c r="O1152" s="364"/>
      <c r="P1152" s="364"/>
      <c r="Q1152" s="364"/>
      <c r="R1152" s="364"/>
      <c r="S1152" s="364"/>
      <c r="T1152" s="364"/>
      <c r="U1152" s="364"/>
      <c r="V1152" s="364"/>
      <c r="W1152" s="364"/>
      <c r="X1152" s="364"/>
      <c r="Y1152" s="364"/>
      <c r="Z1152" s="364"/>
      <c r="AA1152" s="364"/>
      <c r="AB1152" s="364"/>
      <c r="AC1152" s="364"/>
      <c r="AD1152" s="364"/>
      <c r="AE1152" s="364"/>
      <c r="AF1152" s="364"/>
      <c r="AG1152" s="364"/>
      <c r="AH1152" s="364"/>
      <c r="AI1152" s="364"/>
      <c r="AJ1152" s="364"/>
      <c r="AK1152" s="364"/>
      <c r="AL1152" s="364"/>
      <c r="AM1152" s="364"/>
      <c r="AN1152" s="364"/>
      <c r="AO1152" s="364"/>
    </row>
    <row r="1153" spans="1:41" s="73" customFormat="1" ht="15" customHeight="1" x14ac:dyDescent="0.25">
      <c r="A1153" s="400"/>
      <c r="B1153" s="398"/>
      <c r="C1153" s="160" t="s">
        <v>640</v>
      </c>
      <c r="D1153" s="111"/>
      <c r="E1153" s="78" t="s">
        <v>881</v>
      </c>
      <c r="F1153" s="363"/>
      <c r="G1153" s="363"/>
      <c r="H1153" s="363"/>
      <c r="I1153" s="363"/>
      <c r="J1153" s="363"/>
      <c r="K1153" s="363"/>
      <c r="L1153" s="363"/>
      <c r="M1153" s="363"/>
      <c r="N1153" s="363"/>
      <c r="O1153" s="363"/>
      <c r="P1153" s="363"/>
      <c r="Q1153" s="363"/>
      <c r="R1153" s="363"/>
      <c r="S1153" s="363"/>
      <c r="T1153" s="363"/>
      <c r="U1153" s="363"/>
      <c r="V1153" s="363"/>
      <c r="W1153" s="363"/>
      <c r="X1153" s="363"/>
      <c r="Y1153" s="363"/>
      <c r="Z1153" s="363"/>
      <c r="AA1153" s="363"/>
      <c r="AB1153" s="363"/>
      <c r="AC1153" s="363"/>
      <c r="AD1153" s="363"/>
      <c r="AE1153" s="363"/>
      <c r="AF1153" s="363"/>
      <c r="AG1153" s="363"/>
      <c r="AH1153" s="363"/>
      <c r="AI1153" s="363"/>
      <c r="AJ1153" s="363"/>
      <c r="AK1153" s="363"/>
      <c r="AL1153" s="363"/>
      <c r="AM1153" s="363"/>
      <c r="AN1153" s="363"/>
      <c r="AO1153" s="363"/>
    </row>
    <row r="1154" spans="1:41" s="73" customFormat="1" ht="15" customHeight="1" x14ac:dyDescent="0.25">
      <c r="A1154" s="400"/>
      <c r="B1154" s="398"/>
      <c r="C1154" s="160" t="s">
        <v>641</v>
      </c>
      <c r="D1154" s="111"/>
      <c r="E1154" s="78" t="s">
        <v>882</v>
      </c>
      <c r="F1154" s="363"/>
      <c r="G1154" s="363"/>
      <c r="H1154" s="363"/>
      <c r="I1154" s="363"/>
      <c r="J1154" s="363"/>
      <c r="K1154" s="363"/>
      <c r="L1154" s="363"/>
      <c r="M1154" s="363"/>
      <c r="N1154" s="363"/>
      <c r="O1154" s="363"/>
      <c r="P1154" s="363"/>
      <c r="Q1154" s="363"/>
      <c r="R1154" s="363"/>
      <c r="S1154" s="363"/>
      <c r="T1154" s="363"/>
      <c r="U1154" s="363"/>
      <c r="V1154" s="363"/>
      <c r="W1154" s="363"/>
      <c r="X1154" s="363"/>
      <c r="Y1154" s="363"/>
      <c r="Z1154" s="363"/>
      <c r="AA1154" s="363"/>
      <c r="AB1154" s="363"/>
      <c r="AC1154" s="363"/>
      <c r="AD1154" s="363"/>
      <c r="AE1154" s="363"/>
      <c r="AF1154" s="363"/>
      <c r="AG1154" s="363"/>
      <c r="AH1154" s="363"/>
      <c r="AI1154" s="363"/>
      <c r="AJ1154" s="363"/>
      <c r="AK1154" s="363"/>
      <c r="AL1154" s="363"/>
      <c r="AM1154" s="363"/>
      <c r="AN1154" s="363"/>
      <c r="AO1154" s="363"/>
    </row>
    <row r="1155" spans="1:41" s="108" customFormat="1" ht="15" customHeight="1" x14ac:dyDescent="0.25">
      <c r="A1155" s="400"/>
      <c r="B1155" s="398"/>
      <c r="C1155" s="100" t="s">
        <v>777</v>
      </c>
      <c r="D1155" s="150"/>
      <c r="E1155" s="101" t="s">
        <v>883</v>
      </c>
      <c r="F1155" s="364"/>
      <c r="G1155" s="364"/>
      <c r="H1155" s="364"/>
      <c r="I1155" s="364"/>
      <c r="J1155" s="364"/>
      <c r="K1155" s="364"/>
      <c r="L1155" s="364"/>
      <c r="M1155" s="364"/>
      <c r="N1155" s="364"/>
      <c r="O1155" s="364"/>
      <c r="P1155" s="364"/>
      <c r="Q1155" s="364"/>
      <c r="R1155" s="364"/>
      <c r="S1155" s="364"/>
      <c r="T1155" s="364"/>
      <c r="U1155" s="364"/>
      <c r="V1155" s="364"/>
      <c r="W1155" s="364"/>
      <c r="X1155" s="364"/>
      <c r="Y1155" s="364"/>
      <c r="Z1155" s="364"/>
      <c r="AA1155" s="364"/>
      <c r="AB1155" s="364"/>
      <c r="AC1155" s="364"/>
      <c r="AD1155" s="364"/>
      <c r="AE1155" s="364"/>
      <c r="AF1155" s="364"/>
      <c r="AG1155" s="364"/>
      <c r="AH1155" s="364"/>
      <c r="AI1155" s="364"/>
      <c r="AJ1155" s="364"/>
      <c r="AK1155" s="364"/>
      <c r="AL1155" s="364"/>
      <c r="AM1155" s="364"/>
      <c r="AN1155" s="364"/>
      <c r="AO1155" s="364"/>
    </row>
    <row r="1156" spans="1:41" s="73" customFormat="1" ht="15" customHeight="1" x14ac:dyDescent="0.25">
      <c r="A1156" s="400"/>
      <c r="B1156" s="398"/>
      <c r="C1156" s="160" t="s">
        <v>486</v>
      </c>
      <c r="D1156" s="111"/>
      <c r="E1156" s="78" t="s">
        <v>884</v>
      </c>
      <c r="F1156" s="363"/>
      <c r="G1156" s="363"/>
      <c r="H1156" s="363"/>
      <c r="I1156" s="363"/>
      <c r="J1156" s="363"/>
      <c r="K1156" s="363"/>
      <c r="L1156" s="363"/>
      <c r="M1156" s="363"/>
      <c r="N1156" s="363"/>
      <c r="O1156" s="363"/>
      <c r="P1156" s="363"/>
      <c r="Q1156" s="363"/>
      <c r="R1156" s="363"/>
      <c r="S1156" s="363"/>
      <c r="T1156" s="363"/>
      <c r="U1156" s="363"/>
      <c r="V1156" s="363"/>
      <c r="W1156" s="363"/>
      <c r="X1156" s="363"/>
      <c r="Y1156" s="363"/>
      <c r="Z1156" s="363"/>
      <c r="AA1156" s="363"/>
      <c r="AB1156" s="363"/>
      <c r="AC1156" s="363"/>
      <c r="AD1156" s="363"/>
      <c r="AE1156" s="363"/>
      <c r="AF1156" s="363"/>
      <c r="AG1156" s="363"/>
      <c r="AH1156" s="363"/>
      <c r="AI1156" s="363"/>
      <c r="AJ1156" s="363"/>
      <c r="AK1156" s="363"/>
      <c r="AL1156" s="363"/>
      <c r="AM1156" s="363"/>
      <c r="AN1156" s="363"/>
      <c r="AO1156" s="363"/>
    </row>
    <row r="1157" spans="1:41" s="73" customFormat="1" ht="15" customHeight="1" x14ac:dyDescent="0.25">
      <c r="A1157" s="400"/>
      <c r="B1157" s="398"/>
      <c r="C1157" s="160" t="s">
        <v>487</v>
      </c>
      <c r="D1157" s="111"/>
      <c r="E1157" s="78" t="s">
        <v>885</v>
      </c>
      <c r="F1157" s="363"/>
      <c r="G1157" s="363"/>
      <c r="H1157" s="363"/>
      <c r="I1157" s="363"/>
      <c r="J1157" s="363"/>
      <c r="K1157" s="363"/>
      <c r="L1157" s="363"/>
      <c r="M1157" s="363"/>
      <c r="N1157" s="363"/>
      <c r="O1157" s="363"/>
      <c r="P1157" s="363"/>
      <c r="Q1157" s="363"/>
      <c r="R1157" s="363"/>
      <c r="S1157" s="363"/>
      <c r="T1157" s="363"/>
      <c r="U1157" s="363"/>
      <c r="V1157" s="363"/>
      <c r="W1157" s="363"/>
      <c r="X1157" s="363"/>
      <c r="Y1157" s="363"/>
      <c r="Z1157" s="363"/>
      <c r="AA1157" s="363"/>
      <c r="AB1157" s="363"/>
      <c r="AC1157" s="363"/>
      <c r="AD1157" s="363"/>
      <c r="AE1157" s="363"/>
      <c r="AF1157" s="363"/>
      <c r="AG1157" s="363"/>
      <c r="AH1157" s="363"/>
      <c r="AI1157" s="363"/>
      <c r="AJ1157" s="363"/>
      <c r="AK1157" s="363"/>
      <c r="AL1157" s="363"/>
      <c r="AM1157" s="363"/>
      <c r="AN1157" s="363"/>
      <c r="AO1157" s="363"/>
    </row>
    <row r="1158" spans="1:41" s="73" customFormat="1" ht="15" customHeight="1" x14ac:dyDescent="0.25">
      <c r="A1158" s="400"/>
      <c r="B1158" s="398"/>
      <c r="C1158" s="160" t="s">
        <v>490</v>
      </c>
      <c r="D1158" s="111"/>
      <c r="E1158" s="78" t="s">
        <v>886</v>
      </c>
      <c r="F1158" s="363"/>
      <c r="G1158" s="363"/>
      <c r="H1158" s="363"/>
      <c r="I1158" s="363"/>
      <c r="J1158" s="363"/>
      <c r="K1158" s="363"/>
      <c r="L1158" s="363"/>
      <c r="M1158" s="363"/>
      <c r="N1158" s="363"/>
      <c r="O1158" s="363"/>
      <c r="P1158" s="363"/>
      <c r="Q1158" s="363"/>
      <c r="R1158" s="363"/>
      <c r="S1158" s="363"/>
      <c r="T1158" s="363"/>
      <c r="U1158" s="363"/>
      <c r="V1158" s="363"/>
      <c r="W1158" s="363"/>
      <c r="X1158" s="363"/>
      <c r="Y1158" s="363"/>
      <c r="Z1158" s="363"/>
      <c r="AA1158" s="363"/>
      <c r="AB1158" s="363"/>
      <c r="AC1158" s="363"/>
      <c r="AD1158" s="363"/>
      <c r="AE1158" s="363"/>
      <c r="AF1158" s="363"/>
      <c r="AG1158" s="363"/>
      <c r="AH1158" s="363"/>
      <c r="AI1158" s="363"/>
      <c r="AJ1158" s="363"/>
      <c r="AK1158" s="363"/>
      <c r="AL1158" s="363"/>
      <c r="AM1158" s="363"/>
      <c r="AN1158" s="363"/>
      <c r="AO1158" s="363"/>
    </row>
    <row r="1159" spans="1:41" s="73" customFormat="1" ht="15" customHeight="1" x14ac:dyDescent="0.25">
      <c r="A1159" s="400"/>
      <c r="B1159" s="398"/>
      <c r="C1159" s="160" t="s">
        <v>491</v>
      </c>
      <c r="D1159" s="111"/>
      <c r="E1159" s="78" t="s">
        <v>887</v>
      </c>
      <c r="F1159" s="363"/>
      <c r="G1159" s="363"/>
      <c r="H1159" s="363"/>
      <c r="I1159" s="363"/>
      <c r="J1159" s="363"/>
      <c r="K1159" s="363"/>
      <c r="L1159" s="363"/>
      <c r="M1159" s="363"/>
      <c r="N1159" s="363"/>
      <c r="O1159" s="363"/>
      <c r="P1159" s="363"/>
      <c r="Q1159" s="363"/>
      <c r="R1159" s="363"/>
      <c r="S1159" s="363"/>
      <c r="T1159" s="363"/>
      <c r="U1159" s="363"/>
      <c r="V1159" s="363"/>
      <c r="W1159" s="363"/>
      <c r="X1159" s="363"/>
      <c r="Y1159" s="363"/>
      <c r="Z1159" s="363"/>
      <c r="AA1159" s="363"/>
      <c r="AB1159" s="363"/>
      <c r="AC1159" s="363"/>
      <c r="AD1159" s="363"/>
      <c r="AE1159" s="363"/>
      <c r="AF1159" s="363"/>
      <c r="AG1159" s="363"/>
      <c r="AH1159" s="363"/>
      <c r="AI1159" s="363"/>
      <c r="AJ1159" s="363"/>
      <c r="AK1159" s="363"/>
      <c r="AL1159" s="363"/>
      <c r="AM1159" s="363"/>
      <c r="AN1159" s="363"/>
      <c r="AO1159" s="363"/>
    </row>
    <row r="1160" spans="1:41" s="108" customFormat="1" ht="15" customHeight="1" x14ac:dyDescent="0.25">
      <c r="A1160" s="400"/>
      <c r="B1160" s="398"/>
      <c r="C1160" s="100" t="s">
        <v>563</v>
      </c>
      <c r="D1160" s="150"/>
      <c r="E1160" s="101" t="s">
        <v>888</v>
      </c>
      <c r="F1160" s="364"/>
      <c r="G1160" s="364"/>
      <c r="H1160" s="364"/>
      <c r="I1160" s="364"/>
      <c r="J1160" s="364"/>
      <c r="K1160" s="364"/>
      <c r="L1160" s="364"/>
      <c r="M1160" s="364"/>
      <c r="N1160" s="364"/>
      <c r="O1160" s="364"/>
      <c r="P1160" s="364"/>
      <c r="Q1160" s="364"/>
      <c r="R1160" s="364"/>
      <c r="S1160" s="364"/>
      <c r="T1160" s="364"/>
      <c r="U1160" s="364"/>
      <c r="V1160" s="364"/>
      <c r="W1160" s="364"/>
      <c r="X1160" s="364"/>
      <c r="Y1160" s="364"/>
      <c r="Z1160" s="364"/>
      <c r="AA1160" s="364"/>
      <c r="AB1160" s="364"/>
      <c r="AC1160" s="364"/>
      <c r="AD1160" s="364"/>
      <c r="AE1160" s="364"/>
      <c r="AF1160" s="364"/>
      <c r="AG1160" s="364"/>
      <c r="AH1160" s="364"/>
      <c r="AI1160" s="364"/>
      <c r="AJ1160" s="364"/>
      <c r="AK1160" s="364"/>
      <c r="AL1160" s="364"/>
      <c r="AM1160" s="364"/>
      <c r="AN1160" s="364"/>
      <c r="AO1160" s="364"/>
    </row>
    <row r="1161" spans="1:41" s="73" customFormat="1" ht="15" customHeight="1" x14ac:dyDescent="0.25">
      <c r="A1161" s="400"/>
      <c r="B1161" s="398"/>
      <c r="C1161" s="160" t="s">
        <v>494</v>
      </c>
      <c r="D1161" s="111"/>
      <c r="E1161" s="78" t="s">
        <v>889</v>
      </c>
      <c r="F1161" s="363"/>
      <c r="G1161" s="363"/>
      <c r="H1161" s="363"/>
      <c r="I1161" s="363"/>
      <c r="J1161" s="363"/>
      <c r="K1161" s="363"/>
      <c r="L1161" s="363"/>
      <c r="M1161" s="363"/>
      <c r="N1161" s="363"/>
      <c r="O1161" s="363"/>
      <c r="P1161" s="363"/>
      <c r="Q1161" s="363"/>
      <c r="R1161" s="363"/>
      <c r="S1161" s="363"/>
      <c r="T1161" s="363"/>
      <c r="U1161" s="363"/>
      <c r="V1161" s="363"/>
      <c r="W1161" s="363"/>
      <c r="X1161" s="363"/>
      <c r="Y1161" s="363"/>
      <c r="Z1161" s="363"/>
      <c r="AA1161" s="363"/>
      <c r="AB1161" s="363"/>
      <c r="AC1161" s="363"/>
      <c r="AD1161" s="363"/>
      <c r="AE1161" s="363"/>
      <c r="AF1161" s="363"/>
      <c r="AG1161" s="363"/>
      <c r="AH1161" s="363"/>
      <c r="AI1161" s="363"/>
      <c r="AJ1161" s="363"/>
      <c r="AK1161" s="363"/>
      <c r="AL1161" s="363"/>
      <c r="AM1161" s="363"/>
      <c r="AN1161" s="363"/>
      <c r="AO1161" s="363"/>
    </row>
    <row r="1162" spans="1:41" s="73" customFormat="1" ht="15" customHeight="1" x14ac:dyDescent="0.25">
      <c r="A1162" s="400"/>
      <c r="B1162" s="398"/>
      <c r="C1162" s="160" t="s">
        <v>495</v>
      </c>
      <c r="D1162" s="111"/>
      <c r="E1162" s="78" t="s">
        <v>890</v>
      </c>
      <c r="F1162" s="363"/>
      <c r="G1162" s="363"/>
      <c r="H1162" s="363"/>
      <c r="I1162" s="363"/>
      <c r="J1162" s="363"/>
      <c r="K1162" s="363"/>
      <c r="L1162" s="363"/>
      <c r="M1162" s="363"/>
      <c r="N1162" s="363"/>
      <c r="O1162" s="363"/>
      <c r="P1162" s="363"/>
      <c r="Q1162" s="363"/>
      <c r="R1162" s="363"/>
      <c r="S1162" s="363"/>
      <c r="T1162" s="363"/>
      <c r="U1162" s="363"/>
      <c r="V1162" s="363"/>
      <c r="W1162" s="363"/>
      <c r="X1162" s="363"/>
      <c r="Y1162" s="363"/>
      <c r="Z1162" s="363"/>
      <c r="AA1162" s="363"/>
      <c r="AB1162" s="363"/>
      <c r="AC1162" s="363"/>
      <c r="AD1162" s="363"/>
      <c r="AE1162" s="363"/>
      <c r="AF1162" s="363"/>
      <c r="AG1162" s="363"/>
      <c r="AH1162" s="363"/>
      <c r="AI1162" s="363"/>
      <c r="AJ1162" s="363"/>
      <c r="AK1162" s="363"/>
      <c r="AL1162" s="363"/>
      <c r="AM1162" s="363"/>
      <c r="AN1162" s="363"/>
      <c r="AO1162" s="363"/>
    </row>
    <row r="1163" spans="1:41" s="73" customFormat="1" ht="15" customHeight="1" x14ac:dyDescent="0.25">
      <c r="A1163" s="400"/>
      <c r="B1163" s="398"/>
      <c r="C1163" s="160" t="s">
        <v>496</v>
      </c>
      <c r="D1163" s="111"/>
      <c r="E1163" s="78" t="s">
        <v>891</v>
      </c>
      <c r="F1163" s="363"/>
      <c r="G1163" s="363"/>
      <c r="H1163" s="363"/>
      <c r="I1163" s="363"/>
      <c r="J1163" s="363"/>
      <c r="K1163" s="363"/>
      <c r="L1163" s="363"/>
      <c r="M1163" s="363"/>
      <c r="N1163" s="363"/>
      <c r="O1163" s="363"/>
      <c r="P1163" s="363"/>
      <c r="Q1163" s="363"/>
      <c r="R1163" s="363"/>
      <c r="S1163" s="363"/>
      <c r="T1163" s="363"/>
      <c r="U1163" s="363"/>
      <c r="V1163" s="363"/>
      <c r="W1163" s="363"/>
      <c r="X1163" s="363"/>
      <c r="Y1163" s="363"/>
      <c r="Z1163" s="363"/>
      <c r="AA1163" s="363"/>
      <c r="AB1163" s="363"/>
      <c r="AC1163" s="363"/>
      <c r="AD1163" s="363"/>
      <c r="AE1163" s="363"/>
      <c r="AF1163" s="363"/>
      <c r="AG1163" s="363"/>
      <c r="AH1163" s="363"/>
      <c r="AI1163" s="363"/>
      <c r="AJ1163" s="363"/>
      <c r="AK1163" s="363"/>
      <c r="AL1163" s="363"/>
      <c r="AM1163" s="363"/>
      <c r="AN1163" s="363"/>
      <c r="AO1163" s="363"/>
    </row>
    <row r="1164" spans="1:41" s="73" customFormat="1" ht="15" customHeight="1" x14ac:dyDescent="0.25">
      <c r="A1164" s="400"/>
      <c r="B1164" s="398"/>
      <c r="C1164" s="160" t="s">
        <v>497</v>
      </c>
      <c r="D1164" s="111"/>
      <c r="E1164" s="78" t="s">
        <v>892</v>
      </c>
      <c r="F1164" s="363"/>
      <c r="G1164" s="363"/>
      <c r="H1164" s="363"/>
      <c r="I1164" s="363"/>
      <c r="J1164" s="363"/>
      <c r="K1164" s="363"/>
      <c r="L1164" s="363"/>
      <c r="M1164" s="363"/>
      <c r="N1164" s="363"/>
      <c r="O1164" s="363"/>
      <c r="P1164" s="363"/>
      <c r="Q1164" s="363"/>
      <c r="R1164" s="363"/>
      <c r="S1164" s="363"/>
      <c r="T1164" s="363"/>
      <c r="U1164" s="363"/>
      <c r="V1164" s="363"/>
      <c r="W1164" s="363"/>
      <c r="X1164" s="363"/>
      <c r="Y1164" s="363"/>
      <c r="Z1164" s="363"/>
      <c r="AA1164" s="363"/>
      <c r="AB1164" s="363"/>
      <c r="AC1164" s="363"/>
      <c r="AD1164" s="363"/>
      <c r="AE1164" s="363"/>
      <c r="AF1164" s="363"/>
      <c r="AG1164" s="363"/>
      <c r="AH1164" s="363"/>
      <c r="AI1164" s="363"/>
      <c r="AJ1164" s="363"/>
      <c r="AK1164" s="363"/>
      <c r="AL1164" s="363"/>
      <c r="AM1164" s="363"/>
      <c r="AN1164" s="363"/>
      <c r="AO1164" s="363"/>
    </row>
    <row r="1165" spans="1:41" s="73" customFormat="1" ht="15" customHeight="1" x14ac:dyDescent="0.25">
      <c r="A1165" s="400"/>
      <c r="B1165" s="398"/>
      <c r="C1165" s="160" t="s">
        <v>498</v>
      </c>
      <c r="D1165" s="111"/>
      <c r="E1165" s="78" t="s">
        <v>893</v>
      </c>
      <c r="F1165" s="363"/>
      <c r="G1165" s="363"/>
      <c r="H1165" s="363"/>
      <c r="I1165" s="363"/>
      <c r="J1165" s="363"/>
      <c r="K1165" s="363"/>
      <c r="L1165" s="363"/>
      <c r="M1165" s="363"/>
      <c r="N1165" s="363"/>
      <c r="O1165" s="363"/>
      <c r="P1165" s="363"/>
      <c r="Q1165" s="363"/>
      <c r="R1165" s="363"/>
      <c r="S1165" s="363"/>
      <c r="T1165" s="363"/>
      <c r="U1165" s="363"/>
      <c r="V1165" s="363"/>
      <c r="W1165" s="363"/>
      <c r="X1165" s="363"/>
      <c r="Y1165" s="363"/>
      <c r="Z1165" s="363"/>
      <c r="AA1165" s="363"/>
      <c r="AB1165" s="363"/>
      <c r="AC1165" s="363"/>
      <c r="AD1165" s="363"/>
      <c r="AE1165" s="363"/>
      <c r="AF1165" s="363"/>
      <c r="AG1165" s="363"/>
      <c r="AH1165" s="363"/>
      <c r="AI1165" s="363"/>
      <c r="AJ1165" s="363"/>
      <c r="AK1165" s="363"/>
      <c r="AL1165" s="363"/>
      <c r="AM1165" s="363"/>
      <c r="AN1165" s="363"/>
      <c r="AO1165" s="363"/>
    </row>
    <row r="1166" spans="1:41" s="73" customFormat="1" ht="15" customHeight="1" x14ac:dyDescent="0.25">
      <c r="A1166" s="400"/>
      <c r="B1166" s="398"/>
      <c r="C1166" s="160" t="s">
        <v>499</v>
      </c>
      <c r="D1166" s="111"/>
      <c r="E1166" s="78" t="s">
        <v>894</v>
      </c>
      <c r="F1166" s="363"/>
      <c r="G1166" s="363"/>
      <c r="H1166" s="363"/>
      <c r="I1166" s="363"/>
      <c r="J1166" s="363"/>
      <c r="K1166" s="363"/>
      <c r="L1166" s="363"/>
      <c r="M1166" s="363"/>
      <c r="N1166" s="363"/>
      <c r="O1166" s="363"/>
      <c r="P1166" s="363"/>
      <c r="Q1166" s="363"/>
      <c r="R1166" s="363"/>
      <c r="S1166" s="363"/>
      <c r="T1166" s="363"/>
      <c r="U1166" s="363"/>
      <c r="V1166" s="363"/>
      <c r="W1166" s="363"/>
      <c r="X1166" s="363"/>
      <c r="Y1166" s="363"/>
      <c r="Z1166" s="363"/>
      <c r="AA1166" s="363"/>
      <c r="AB1166" s="363"/>
      <c r="AC1166" s="363"/>
      <c r="AD1166" s="363"/>
      <c r="AE1166" s="363"/>
      <c r="AF1166" s="363"/>
      <c r="AG1166" s="363"/>
      <c r="AH1166" s="363"/>
      <c r="AI1166" s="363"/>
      <c r="AJ1166" s="363"/>
      <c r="AK1166" s="363"/>
      <c r="AL1166" s="363"/>
      <c r="AM1166" s="363"/>
      <c r="AN1166" s="363"/>
      <c r="AO1166" s="363"/>
    </row>
    <row r="1167" spans="1:41" s="73" customFormat="1" ht="15" customHeight="1" x14ac:dyDescent="0.25">
      <c r="A1167" s="400"/>
      <c r="B1167" s="398"/>
      <c r="C1167" s="160" t="s">
        <v>500</v>
      </c>
      <c r="D1167" s="111"/>
      <c r="E1167" s="78" t="s">
        <v>895</v>
      </c>
      <c r="F1167" s="363"/>
      <c r="G1167" s="363"/>
      <c r="H1167" s="363"/>
      <c r="I1167" s="363"/>
      <c r="J1167" s="363"/>
      <c r="K1167" s="363"/>
      <c r="L1167" s="363"/>
      <c r="M1167" s="363"/>
      <c r="N1167" s="363"/>
      <c r="O1167" s="363"/>
      <c r="P1167" s="363"/>
      <c r="Q1167" s="363"/>
      <c r="R1167" s="363"/>
      <c r="S1167" s="363"/>
      <c r="T1167" s="363"/>
      <c r="U1167" s="363"/>
      <c r="V1167" s="363"/>
      <c r="W1167" s="363"/>
      <c r="X1167" s="363"/>
      <c r="Y1167" s="363"/>
      <c r="Z1167" s="363"/>
      <c r="AA1167" s="363"/>
      <c r="AB1167" s="363"/>
      <c r="AC1167" s="363"/>
      <c r="AD1167" s="363"/>
      <c r="AE1167" s="363"/>
      <c r="AF1167" s="363"/>
      <c r="AG1167" s="363"/>
      <c r="AH1167" s="363"/>
      <c r="AI1167" s="363"/>
      <c r="AJ1167" s="363"/>
      <c r="AK1167" s="363"/>
      <c r="AL1167" s="363"/>
      <c r="AM1167" s="363"/>
      <c r="AN1167" s="363"/>
      <c r="AO1167" s="363"/>
    </row>
    <row r="1168" spans="1:41" s="73" customFormat="1" ht="15" customHeight="1" x14ac:dyDescent="0.25">
      <c r="A1168" s="400"/>
      <c r="B1168" s="398"/>
      <c r="C1168" s="160" t="s">
        <v>501</v>
      </c>
      <c r="D1168" s="111"/>
      <c r="E1168" s="78" t="s">
        <v>896</v>
      </c>
      <c r="F1168" s="363"/>
      <c r="G1168" s="363"/>
      <c r="H1168" s="363"/>
      <c r="I1168" s="363"/>
      <c r="J1168" s="363"/>
      <c r="K1168" s="363"/>
      <c r="L1168" s="363"/>
      <c r="M1168" s="363"/>
      <c r="N1168" s="363"/>
      <c r="O1168" s="363"/>
      <c r="P1168" s="363"/>
      <c r="Q1168" s="363"/>
      <c r="R1168" s="363"/>
      <c r="S1168" s="363"/>
      <c r="T1168" s="363"/>
      <c r="U1168" s="363"/>
      <c r="V1168" s="363"/>
      <c r="W1168" s="363"/>
      <c r="X1168" s="363"/>
      <c r="Y1168" s="363"/>
      <c r="Z1168" s="363"/>
      <c r="AA1168" s="363"/>
      <c r="AB1168" s="363"/>
      <c r="AC1168" s="363"/>
      <c r="AD1168" s="363"/>
      <c r="AE1168" s="363"/>
      <c r="AF1168" s="363"/>
      <c r="AG1168" s="363"/>
      <c r="AH1168" s="363"/>
      <c r="AI1168" s="363"/>
      <c r="AJ1168" s="363"/>
      <c r="AK1168" s="363"/>
      <c r="AL1168" s="363"/>
      <c r="AM1168" s="363"/>
      <c r="AN1168" s="363"/>
      <c r="AO1168" s="363"/>
    </row>
    <row r="1169" spans="1:41" s="73" customFormat="1" ht="15" customHeight="1" x14ac:dyDescent="0.25">
      <c r="A1169" s="400"/>
      <c r="B1169" s="398"/>
      <c r="C1169" s="161" t="s">
        <v>502</v>
      </c>
      <c r="D1169" s="112"/>
      <c r="E1169" s="102" t="s">
        <v>897</v>
      </c>
      <c r="F1169" s="365"/>
      <c r="G1169" s="365"/>
      <c r="H1169" s="365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5"/>
      <c r="S1169" s="365"/>
      <c r="T1169" s="365"/>
      <c r="U1169" s="365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  <c r="AI1169" s="365"/>
      <c r="AJ1169" s="365"/>
      <c r="AK1169" s="365"/>
      <c r="AL1169" s="365"/>
      <c r="AM1169" s="365"/>
      <c r="AN1169" s="365"/>
      <c r="AO1169" s="365"/>
    </row>
    <row r="1170" spans="1:41" s="108" customFormat="1" ht="15" customHeight="1" x14ac:dyDescent="0.25">
      <c r="A1170" s="400"/>
      <c r="B1170" s="398"/>
      <c r="C1170" s="100" t="s">
        <v>816</v>
      </c>
      <c r="D1170" s="150"/>
      <c r="E1170" s="101" t="s">
        <v>859</v>
      </c>
      <c r="F1170" s="364"/>
      <c r="G1170" s="364"/>
      <c r="H1170" s="364"/>
      <c r="I1170" s="364"/>
      <c r="J1170" s="364"/>
      <c r="K1170" s="364"/>
      <c r="L1170" s="364"/>
      <c r="M1170" s="364"/>
      <c r="N1170" s="364"/>
      <c r="O1170" s="364"/>
      <c r="P1170" s="364"/>
      <c r="Q1170" s="364"/>
      <c r="R1170" s="364"/>
      <c r="S1170" s="364"/>
      <c r="T1170" s="364"/>
      <c r="U1170" s="364"/>
      <c r="V1170" s="364"/>
      <c r="W1170" s="364"/>
      <c r="X1170" s="364"/>
      <c r="Y1170" s="364"/>
      <c r="Z1170" s="364"/>
      <c r="AA1170" s="364"/>
      <c r="AB1170" s="364"/>
      <c r="AC1170" s="364"/>
      <c r="AD1170" s="364"/>
      <c r="AE1170" s="364"/>
      <c r="AF1170" s="364"/>
      <c r="AG1170" s="364"/>
      <c r="AH1170" s="364"/>
      <c r="AI1170" s="364"/>
      <c r="AJ1170" s="364"/>
      <c r="AK1170" s="364"/>
      <c r="AL1170" s="364"/>
      <c r="AM1170" s="364"/>
      <c r="AN1170" s="364"/>
      <c r="AO1170" s="364"/>
    </row>
    <row r="1171" spans="1:41" s="108" customFormat="1" ht="15" customHeight="1" x14ac:dyDescent="0.25">
      <c r="A1171" s="400"/>
      <c r="B1171" s="398"/>
      <c r="C1171" s="100" t="s">
        <v>817</v>
      </c>
      <c r="D1171" s="150"/>
      <c r="E1171" s="101" t="s">
        <v>860</v>
      </c>
      <c r="F1171" s="364"/>
      <c r="G1171" s="364"/>
      <c r="H1171" s="364"/>
      <c r="I1171" s="364"/>
      <c r="J1171" s="364"/>
      <c r="K1171" s="364"/>
      <c r="L1171" s="364"/>
      <c r="M1171" s="364"/>
      <c r="N1171" s="364"/>
      <c r="O1171" s="364"/>
      <c r="P1171" s="364"/>
      <c r="Q1171" s="364"/>
      <c r="R1171" s="364"/>
      <c r="S1171" s="364"/>
      <c r="T1171" s="364"/>
      <c r="U1171" s="364"/>
      <c r="V1171" s="364"/>
      <c r="W1171" s="364"/>
      <c r="X1171" s="364"/>
      <c r="Y1171" s="364"/>
      <c r="Z1171" s="364"/>
      <c r="AA1171" s="364"/>
      <c r="AB1171" s="364"/>
      <c r="AC1171" s="364"/>
      <c r="AD1171" s="364"/>
      <c r="AE1171" s="364"/>
      <c r="AF1171" s="364"/>
      <c r="AG1171" s="364"/>
      <c r="AH1171" s="364"/>
      <c r="AI1171" s="364"/>
      <c r="AJ1171" s="364"/>
      <c r="AK1171" s="364"/>
      <c r="AL1171" s="364"/>
      <c r="AM1171" s="364"/>
      <c r="AN1171" s="364"/>
      <c r="AO1171" s="364"/>
    </row>
    <row r="1172" spans="1:41" s="73" customFormat="1" ht="15" customHeight="1" x14ac:dyDescent="0.25">
      <c r="A1172" s="400"/>
      <c r="B1172" s="398"/>
      <c r="C1172" s="160" t="s">
        <v>758</v>
      </c>
      <c r="D1172" s="111"/>
      <c r="E1172" s="78" t="s">
        <v>861</v>
      </c>
      <c r="F1172" s="363"/>
      <c r="G1172" s="363"/>
      <c r="H1172" s="363"/>
      <c r="I1172" s="363"/>
      <c r="J1172" s="363"/>
      <c r="K1172" s="363"/>
      <c r="L1172" s="363"/>
      <c r="M1172" s="363"/>
      <c r="N1172" s="363"/>
      <c r="O1172" s="363"/>
      <c r="P1172" s="363"/>
      <c r="Q1172" s="363"/>
      <c r="R1172" s="363"/>
      <c r="S1172" s="363"/>
      <c r="T1172" s="363"/>
      <c r="U1172" s="363"/>
      <c r="V1172" s="363"/>
      <c r="W1172" s="363"/>
      <c r="X1172" s="363"/>
      <c r="Y1172" s="363"/>
      <c r="Z1172" s="363"/>
      <c r="AA1172" s="363"/>
      <c r="AB1172" s="363"/>
      <c r="AC1172" s="363"/>
      <c r="AD1172" s="363"/>
      <c r="AE1172" s="363"/>
      <c r="AF1172" s="363"/>
      <c r="AG1172" s="363"/>
      <c r="AH1172" s="363"/>
      <c r="AI1172" s="363"/>
      <c r="AJ1172" s="363"/>
      <c r="AK1172" s="363"/>
      <c r="AL1172" s="363"/>
      <c r="AM1172" s="363"/>
      <c r="AN1172" s="363"/>
      <c r="AO1172" s="363"/>
    </row>
    <row r="1173" spans="1:41" s="73" customFormat="1" ht="15" customHeight="1" x14ac:dyDescent="0.25">
      <c r="A1173" s="400"/>
      <c r="B1173" s="398"/>
      <c r="C1173" s="160" t="s">
        <v>759</v>
      </c>
      <c r="D1173" s="111"/>
      <c r="E1173" s="78" t="s">
        <v>862</v>
      </c>
      <c r="F1173" s="363"/>
      <c r="G1173" s="363"/>
      <c r="H1173" s="363"/>
      <c r="I1173" s="363"/>
      <c r="J1173" s="363"/>
      <c r="K1173" s="363"/>
      <c r="L1173" s="363"/>
      <c r="M1173" s="363"/>
      <c r="N1173" s="363"/>
      <c r="O1173" s="363"/>
      <c r="P1173" s="363"/>
      <c r="Q1173" s="363"/>
      <c r="R1173" s="363"/>
      <c r="S1173" s="363"/>
      <c r="T1173" s="363"/>
      <c r="U1173" s="363"/>
      <c r="V1173" s="363"/>
      <c r="W1173" s="363"/>
      <c r="X1173" s="363"/>
      <c r="Y1173" s="363"/>
      <c r="Z1173" s="363"/>
      <c r="AA1173" s="363"/>
      <c r="AB1173" s="363"/>
      <c r="AC1173" s="363"/>
      <c r="AD1173" s="363"/>
      <c r="AE1173" s="363"/>
      <c r="AF1173" s="363"/>
      <c r="AG1173" s="363"/>
      <c r="AH1173" s="363"/>
      <c r="AI1173" s="363"/>
      <c r="AJ1173" s="363"/>
      <c r="AK1173" s="363"/>
      <c r="AL1173" s="363"/>
      <c r="AM1173" s="363"/>
      <c r="AN1173" s="363"/>
      <c r="AO1173" s="363"/>
    </row>
    <row r="1174" spans="1:41" s="108" customFormat="1" ht="15" customHeight="1" x14ac:dyDescent="0.25">
      <c r="A1174" s="400"/>
      <c r="B1174" s="398"/>
      <c r="C1174" s="100" t="s">
        <v>818</v>
      </c>
      <c r="D1174" s="150"/>
      <c r="E1174" s="101" t="s">
        <v>898</v>
      </c>
      <c r="F1174" s="364"/>
      <c r="G1174" s="364"/>
      <c r="H1174" s="364"/>
      <c r="I1174" s="364"/>
      <c r="J1174" s="364"/>
      <c r="K1174" s="364"/>
      <c r="L1174" s="364"/>
      <c r="M1174" s="364"/>
      <c r="N1174" s="364"/>
      <c r="O1174" s="364"/>
      <c r="P1174" s="364"/>
      <c r="Q1174" s="364"/>
      <c r="R1174" s="364"/>
      <c r="S1174" s="364"/>
      <c r="T1174" s="364"/>
      <c r="U1174" s="364"/>
      <c r="V1174" s="364"/>
      <c r="W1174" s="364"/>
      <c r="X1174" s="364"/>
      <c r="Y1174" s="364"/>
      <c r="Z1174" s="364"/>
      <c r="AA1174" s="364"/>
      <c r="AB1174" s="364"/>
      <c r="AC1174" s="364"/>
      <c r="AD1174" s="364"/>
      <c r="AE1174" s="364"/>
      <c r="AF1174" s="364"/>
      <c r="AG1174" s="364"/>
      <c r="AH1174" s="364"/>
      <c r="AI1174" s="364"/>
      <c r="AJ1174" s="364"/>
      <c r="AK1174" s="364"/>
      <c r="AL1174" s="364"/>
      <c r="AM1174" s="364"/>
      <c r="AN1174" s="364"/>
      <c r="AO1174" s="364"/>
    </row>
    <row r="1175" spans="1:41" s="73" customFormat="1" ht="15" customHeight="1" x14ac:dyDescent="0.25">
      <c r="A1175" s="400"/>
      <c r="B1175" s="398"/>
      <c r="C1175" s="160" t="s">
        <v>760</v>
      </c>
      <c r="D1175" s="111"/>
      <c r="E1175" s="78" t="s">
        <v>899</v>
      </c>
      <c r="F1175" s="363"/>
      <c r="G1175" s="363"/>
      <c r="H1175" s="363"/>
      <c r="I1175" s="363"/>
      <c r="J1175" s="363"/>
      <c r="K1175" s="363"/>
      <c r="L1175" s="363"/>
      <c r="M1175" s="363"/>
      <c r="N1175" s="363"/>
      <c r="O1175" s="363"/>
      <c r="P1175" s="363"/>
      <c r="Q1175" s="363"/>
      <c r="R1175" s="363"/>
      <c r="S1175" s="363"/>
      <c r="T1175" s="363"/>
      <c r="U1175" s="363"/>
      <c r="V1175" s="363"/>
      <c r="W1175" s="363"/>
      <c r="X1175" s="363"/>
      <c r="Y1175" s="363"/>
      <c r="Z1175" s="363"/>
      <c r="AA1175" s="363"/>
      <c r="AB1175" s="363"/>
      <c r="AC1175" s="363"/>
      <c r="AD1175" s="363"/>
      <c r="AE1175" s="363"/>
      <c r="AF1175" s="363"/>
      <c r="AG1175" s="363"/>
      <c r="AH1175" s="363"/>
      <c r="AI1175" s="363"/>
      <c r="AJ1175" s="363"/>
      <c r="AK1175" s="363"/>
      <c r="AL1175" s="363"/>
      <c r="AM1175" s="363"/>
      <c r="AN1175" s="363"/>
      <c r="AO1175" s="363"/>
    </row>
    <row r="1176" spans="1:41" s="73" customFormat="1" ht="15" customHeight="1" x14ac:dyDescent="0.25">
      <c r="A1176" s="400"/>
      <c r="B1176" s="398"/>
      <c r="C1176" s="160" t="s">
        <v>761</v>
      </c>
      <c r="D1176" s="111"/>
      <c r="E1176" s="78" t="s">
        <v>900</v>
      </c>
      <c r="F1176" s="363"/>
      <c r="G1176" s="363"/>
      <c r="H1176" s="363"/>
      <c r="I1176" s="363"/>
      <c r="J1176" s="363"/>
      <c r="K1176" s="363"/>
      <c r="L1176" s="363"/>
      <c r="M1176" s="363"/>
      <c r="N1176" s="363"/>
      <c r="O1176" s="363"/>
      <c r="P1176" s="363"/>
      <c r="Q1176" s="363"/>
      <c r="R1176" s="363"/>
      <c r="S1176" s="363"/>
      <c r="T1176" s="363"/>
      <c r="U1176" s="363"/>
      <c r="V1176" s="363"/>
      <c r="W1176" s="363"/>
      <c r="X1176" s="363"/>
      <c r="Y1176" s="363"/>
      <c r="Z1176" s="363"/>
      <c r="AA1176" s="363"/>
      <c r="AB1176" s="363"/>
      <c r="AC1176" s="363"/>
      <c r="AD1176" s="363"/>
      <c r="AE1176" s="363"/>
      <c r="AF1176" s="363"/>
      <c r="AG1176" s="363"/>
      <c r="AH1176" s="363"/>
      <c r="AI1176" s="363"/>
      <c r="AJ1176" s="363"/>
      <c r="AK1176" s="363"/>
      <c r="AL1176" s="363"/>
      <c r="AM1176" s="363"/>
      <c r="AN1176" s="363"/>
      <c r="AO1176" s="363"/>
    </row>
    <row r="1177" spans="1:41" s="73" customFormat="1" ht="15" customHeight="1" x14ac:dyDescent="0.25">
      <c r="A1177" s="400"/>
      <c r="B1177" s="398"/>
      <c r="C1177" s="160" t="s">
        <v>762</v>
      </c>
      <c r="D1177" s="111"/>
      <c r="E1177" s="78" t="s">
        <v>901</v>
      </c>
      <c r="F1177" s="363"/>
      <c r="G1177" s="363"/>
      <c r="H1177" s="363"/>
      <c r="I1177" s="363"/>
      <c r="J1177" s="363"/>
      <c r="K1177" s="363"/>
      <c r="L1177" s="363"/>
      <c r="M1177" s="363"/>
      <c r="N1177" s="363"/>
      <c r="O1177" s="363"/>
      <c r="P1177" s="363"/>
      <c r="Q1177" s="363"/>
      <c r="R1177" s="363"/>
      <c r="S1177" s="363"/>
      <c r="T1177" s="363"/>
      <c r="U1177" s="363"/>
      <c r="V1177" s="363"/>
      <c r="W1177" s="363"/>
      <c r="X1177" s="363"/>
      <c r="Y1177" s="363"/>
      <c r="Z1177" s="363"/>
      <c r="AA1177" s="363"/>
      <c r="AB1177" s="363"/>
      <c r="AC1177" s="363"/>
      <c r="AD1177" s="363"/>
      <c r="AE1177" s="363"/>
      <c r="AF1177" s="363"/>
      <c r="AG1177" s="363"/>
      <c r="AH1177" s="363"/>
      <c r="AI1177" s="363"/>
      <c r="AJ1177" s="363"/>
      <c r="AK1177" s="363"/>
      <c r="AL1177" s="363"/>
      <c r="AM1177" s="363"/>
      <c r="AN1177" s="363"/>
      <c r="AO1177" s="363"/>
    </row>
    <row r="1178" spans="1:41" s="73" customFormat="1" ht="15" customHeight="1" x14ac:dyDescent="0.25">
      <c r="A1178" s="400"/>
      <c r="B1178" s="398"/>
      <c r="C1178" s="160" t="s">
        <v>763</v>
      </c>
      <c r="D1178" s="111"/>
      <c r="E1178" s="78" t="s">
        <v>902</v>
      </c>
      <c r="F1178" s="363"/>
      <c r="G1178" s="363"/>
      <c r="H1178" s="363"/>
      <c r="I1178" s="363"/>
      <c r="J1178" s="363"/>
      <c r="K1178" s="363"/>
      <c r="L1178" s="363"/>
      <c r="M1178" s="363"/>
      <c r="N1178" s="363"/>
      <c r="O1178" s="363"/>
      <c r="P1178" s="363"/>
      <c r="Q1178" s="363"/>
      <c r="R1178" s="363"/>
      <c r="S1178" s="363"/>
      <c r="T1178" s="363"/>
      <c r="U1178" s="363"/>
      <c r="V1178" s="363"/>
      <c r="W1178" s="363"/>
      <c r="X1178" s="363"/>
      <c r="Y1178" s="363"/>
      <c r="Z1178" s="363"/>
      <c r="AA1178" s="363"/>
      <c r="AB1178" s="363"/>
      <c r="AC1178" s="363"/>
      <c r="AD1178" s="363"/>
      <c r="AE1178" s="363"/>
      <c r="AF1178" s="363"/>
      <c r="AG1178" s="363"/>
      <c r="AH1178" s="363"/>
      <c r="AI1178" s="363"/>
      <c r="AJ1178" s="363"/>
      <c r="AK1178" s="363"/>
      <c r="AL1178" s="363"/>
      <c r="AM1178" s="363"/>
      <c r="AN1178" s="363"/>
      <c r="AO1178" s="363"/>
    </row>
    <row r="1179" spans="1:41" s="73" customFormat="1" ht="15" customHeight="1" x14ac:dyDescent="0.25">
      <c r="A1179" s="400"/>
      <c r="B1179" s="398"/>
      <c r="C1179" s="160" t="s">
        <v>764</v>
      </c>
      <c r="D1179" s="111"/>
      <c r="E1179" s="78" t="s">
        <v>903</v>
      </c>
      <c r="F1179" s="363"/>
      <c r="G1179" s="363"/>
      <c r="H1179" s="363"/>
      <c r="I1179" s="363"/>
      <c r="J1179" s="363"/>
      <c r="K1179" s="363"/>
      <c r="L1179" s="363"/>
      <c r="M1179" s="363"/>
      <c r="N1179" s="363"/>
      <c r="O1179" s="363"/>
      <c r="P1179" s="363"/>
      <c r="Q1179" s="363"/>
      <c r="R1179" s="363"/>
      <c r="S1179" s="363"/>
      <c r="T1179" s="363"/>
      <c r="U1179" s="363"/>
      <c r="V1179" s="363"/>
      <c r="W1179" s="363"/>
      <c r="X1179" s="363"/>
      <c r="Y1179" s="363"/>
      <c r="Z1179" s="363"/>
      <c r="AA1179" s="363"/>
      <c r="AB1179" s="363"/>
      <c r="AC1179" s="363"/>
      <c r="AD1179" s="363"/>
      <c r="AE1179" s="363"/>
      <c r="AF1179" s="363"/>
      <c r="AG1179" s="363"/>
      <c r="AH1179" s="363"/>
      <c r="AI1179" s="363"/>
      <c r="AJ1179" s="363"/>
      <c r="AK1179" s="363"/>
      <c r="AL1179" s="363"/>
      <c r="AM1179" s="363"/>
      <c r="AN1179" s="363"/>
      <c r="AO1179" s="363"/>
    </row>
    <row r="1180" spans="1:41" s="73" customFormat="1" ht="15" customHeight="1" x14ac:dyDescent="0.25">
      <c r="A1180" s="400"/>
      <c r="B1180" s="398"/>
      <c r="C1180" s="160" t="s">
        <v>765</v>
      </c>
      <c r="D1180" s="111"/>
      <c r="E1180" s="78" t="s">
        <v>904</v>
      </c>
      <c r="F1180" s="363"/>
      <c r="G1180" s="363"/>
      <c r="H1180" s="363"/>
      <c r="I1180" s="363"/>
      <c r="J1180" s="363"/>
      <c r="K1180" s="363"/>
      <c r="L1180" s="363"/>
      <c r="M1180" s="363"/>
      <c r="N1180" s="363"/>
      <c r="O1180" s="363"/>
      <c r="P1180" s="363"/>
      <c r="Q1180" s="363"/>
      <c r="R1180" s="363"/>
      <c r="S1180" s="363"/>
      <c r="T1180" s="363"/>
      <c r="U1180" s="363"/>
      <c r="V1180" s="363"/>
      <c r="W1180" s="363"/>
      <c r="X1180" s="363"/>
      <c r="Y1180" s="363"/>
      <c r="Z1180" s="363"/>
      <c r="AA1180" s="363"/>
      <c r="AB1180" s="363"/>
      <c r="AC1180" s="363"/>
      <c r="AD1180" s="363"/>
      <c r="AE1180" s="363"/>
      <c r="AF1180" s="363"/>
      <c r="AG1180" s="363"/>
      <c r="AH1180" s="363"/>
      <c r="AI1180" s="363"/>
      <c r="AJ1180" s="363"/>
      <c r="AK1180" s="363"/>
      <c r="AL1180" s="363"/>
      <c r="AM1180" s="363"/>
      <c r="AN1180" s="363"/>
      <c r="AO1180" s="363"/>
    </row>
    <row r="1181" spans="1:41" s="73" customFormat="1" ht="15" customHeight="1" x14ac:dyDescent="0.25">
      <c r="A1181" s="400"/>
      <c r="B1181" s="398"/>
      <c r="C1181" s="160" t="s">
        <v>766</v>
      </c>
      <c r="D1181" s="111"/>
      <c r="E1181" s="78" t="s">
        <v>905</v>
      </c>
      <c r="F1181" s="363"/>
      <c r="G1181" s="363"/>
      <c r="H1181" s="363"/>
      <c r="I1181" s="363"/>
      <c r="J1181" s="363"/>
      <c r="K1181" s="363"/>
      <c r="L1181" s="363"/>
      <c r="M1181" s="363"/>
      <c r="N1181" s="363"/>
      <c r="O1181" s="363"/>
      <c r="P1181" s="363"/>
      <c r="Q1181" s="363"/>
      <c r="R1181" s="363"/>
      <c r="S1181" s="363"/>
      <c r="T1181" s="363"/>
      <c r="U1181" s="363"/>
      <c r="V1181" s="363"/>
      <c r="W1181" s="363"/>
      <c r="X1181" s="363"/>
      <c r="Y1181" s="363"/>
      <c r="Z1181" s="363"/>
      <c r="AA1181" s="363"/>
      <c r="AB1181" s="363"/>
      <c r="AC1181" s="363"/>
      <c r="AD1181" s="363"/>
      <c r="AE1181" s="363"/>
      <c r="AF1181" s="363"/>
      <c r="AG1181" s="363"/>
      <c r="AH1181" s="363"/>
      <c r="AI1181" s="363"/>
      <c r="AJ1181" s="363"/>
      <c r="AK1181" s="363"/>
      <c r="AL1181" s="363"/>
      <c r="AM1181" s="363"/>
      <c r="AN1181" s="363"/>
      <c r="AO1181" s="363"/>
    </row>
    <row r="1182" spans="1:41" s="73" customFormat="1" ht="15" customHeight="1" x14ac:dyDescent="0.25">
      <c r="A1182" s="400"/>
      <c r="B1182" s="398"/>
      <c r="C1182" s="160" t="s">
        <v>767</v>
      </c>
      <c r="D1182" s="111"/>
      <c r="E1182" s="78" t="s">
        <v>906</v>
      </c>
      <c r="F1182" s="363"/>
      <c r="G1182" s="363"/>
      <c r="H1182" s="363"/>
      <c r="I1182" s="363"/>
      <c r="J1182" s="363"/>
      <c r="K1182" s="363"/>
      <c r="L1182" s="363"/>
      <c r="M1182" s="363"/>
      <c r="N1182" s="363"/>
      <c r="O1182" s="363"/>
      <c r="P1182" s="363"/>
      <c r="Q1182" s="363"/>
      <c r="R1182" s="363"/>
      <c r="S1182" s="363"/>
      <c r="T1182" s="363"/>
      <c r="U1182" s="363"/>
      <c r="V1182" s="363"/>
      <c r="W1182" s="363"/>
      <c r="X1182" s="363"/>
      <c r="Y1182" s="363"/>
      <c r="Z1182" s="363"/>
      <c r="AA1182" s="363"/>
      <c r="AB1182" s="363"/>
      <c r="AC1182" s="363"/>
      <c r="AD1182" s="363"/>
      <c r="AE1182" s="363"/>
      <c r="AF1182" s="363"/>
      <c r="AG1182" s="363"/>
      <c r="AH1182" s="363"/>
      <c r="AI1182" s="363"/>
      <c r="AJ1182" s="363"/>
      <c r="AK1182" s="363"/>
      <c r="AL1182" s="363"/>
      <c r="AM1182" s="363"/>
      <c r="AN1182" s="363"/>
      <c r="AO1182" s="363"/>
    </row>
    <row r="1183" spans="1:41" s="73" customFormat="1" ht="15" customHeight="1" x14ac:dyDescent="0.25">
      <c r="A1183" s="400"/>
      <c r="B1183" s="398"/>
      <c r="C1183" s="160" t="s">
        <v>768</v>
      </c>
      <c r="D1183" s="111"/>
      <c r="E1183" s="78" t="s">
        <v>907</v>
      </c>
      <c r="F1183" s="363"/>
      <c r="G1183" s="363"/>
      <c r="H1183" s="363"/>
      <c r="I1183" s="363"/>
      <c r="J1183" s="363"/>
      <c r="K1183" s="363"/>
      <c r="L1183" s="363"/>
      <c r="M1183" s="363"/>
      <c r="N1183" s="363"/>
      <c r="O1183" s="363"/>
      <c r="P1183" s="363"/>
      <c r="Q1183" s="363"/>
      <c r="R1183" s="363"/>
      <c r="S1183" s="363"/>
      <c r="T1183" s="363"/>
      <c r="U1183" s="363"/>
      <c r="V1183" s="363"/>
      <c r="W1183" s="363"/>
      <c r="X1183" s="363"/>
      <c r="Y1183" s="363"/>
      <c r="Z1183" s="363"/>
      <c r="AA1183" s="363"/>
      <c r="AB1183" s="363"/>
      <c r="AC1183" s="363"/>
      <c r="AD1183" s="363"/>
      <c r="AE1183" s="363"/>
      <c r="AF1183" s="363"/>
      <c r="AG1183" s="363"/>
      <c r="AH1183" s="363"/>
      <c r="AI1183" s="363"/>
      <c r="AJ1183" s="363"/>
      <c r="AK1183" s="363"/>
      <c r="AL1183" s="363"/>
      <c r="AM1183" s="363"/>
      <c r="AN1183" s="363"/>
      <c r="AO1183" s="363"/>
    </row>
    <row r="1184" spans="1:41" s="73" customFormat="1" ht="15" customHeight="1" x14ac:dyDescent="0.25">
      <c r="A1184" s="400"/>
      <c r="B1184" s="398"/>
      <c r="C1184" s="160" t="s">
        <v>769</v>
      </c>
      <c r="D1184" s="111"/>
      <c r="E1184" s="78" t="s">
        <v>908</v>
      </c>
      <c r="F1184" s="363"/>
      <c r="G1184" s="363"/>
      <c r="H1184" s="363"/>
      <c r="I1184" s="363"/>
      <c r="J1184" s="363"/>
      <c r="K1184" s="363"/>
      <c r="L1184" s="363"/>
      <c r="M1184" s="363"/>
      <c r="N1184" s="363"/>
      <c r="O1184" s="363"/>
      <c r="P1184" s="363"/>
      <c r="Q1184" s="363"/>
      <c r="R1184" s="363"/>
      <c r="S1184" s="363"/>
      <c r="T1184" s="363"/>
      <c r="U1184" s="363"/>
      <c r="V1184" s="363"/>
      <c r="W1184" s="363"/>
      <c r="X1184" s="363"/>
      <c r="Y1184" s="363"/>
      <c r="Z1184" s="363"/>
      <c r="AA1184" s="363"/>
      <c r="AB1184" s="363"/>
      <c r="AC1184" s="363"/>
      <c r="AD1184" s="363"/>
      <c r="AE1184" s="363"/>
      <c r="AF1184" s="363"/>
      <c r="AG1184" s="363"/>
      <c r="AH1184" s="363"/>
      <c r="AI1184" s="363"/>
      <c r="AJ1184" s="363"/>
      <c r="AK1184" s="363"/>
      <c r="AL1184" s="363"/>
      <c r="AM1184" s="363"/>
      <c r="AN1184" s="363"/>
      <c r="AO1184" s="363"/>
    </row>
    <row r="1185" spans="1:41" s="73" customFormat="1" ht="15" customHeight="1" x14ac:dyDescent="0.25">
      <c r="A1185" s="400"/>
      <c r="B1185" s="398"/>
      <c r="C1185" s="160" t="s">
        <v>770</v>
      </c>
      <c r="D1185" s="111"/>
      <c r="E1185" s="78" t="s">
        <v>909</v>
      </c>
      <c r="F1185" s="363"/>
      <c r="G1185" s="363"/>
      <c r="H1185" s="363"/>
      <c r="I1185" s="363"/>
      <c r="J1185" s="363"/>
      <c r="K1185" s="363"/>
      <c r="L1185" s="363"/>
      <c r="M1185" s="363"/>
      <c r="N1185" s="363"/>
      <c r="O1185" s="363"/>
      <c r="P1185" s="363"/>
      <c r="Q1185" s="363"/>
      <c r="R1185" s="363"/>
      <c r="S1185" s="363"/>
      <c r="T1185" s="363"/>
      <c r="U1185" s="363"/>
      <c r="V1185" s="363"/>
      <c r="W1185" s="363"/>
      <c r="X1185" s="363"/>
      <c r="Y1185" s="363"/>
      <c r="Z1185" s="363"/>
      <c r="AA1185" s="363"/>
      <c r="AB1185" s="363"/>
      <c r="AC1185" s="363"/>
      <c r="AD1185" s="363"/>
      <c r="AE1185" s="363"/>
      <c r="AF1185" s="363"/>
      <c r="AG1185" s="363"/>
      <c r="AH1185" s="363"/>
      <c r="AI1185" s="363"/>
      <c r="AJ1185" s="363"/>
      <c r="AK1185" s="363"/>
      <c r="AL1185" s="363"/>
      <c r="AM1185" s="363"/>
      <c r="AN1185" s="363"/>
      <c r="AO1185" s="363"/>
    </row>
    <row r="1186" spans="1:41" s="108" customFormat="1" ht="15" customHeight="1" x14ac:dyDescent="0.25">
      <c r="A1186" s="400"/>
      <c r="B1186" s="398"/>
      <c r="C1186" s="100" t="s">
        <v>819</v>
      </c>
      <c r="D1186" s="150"/>
      <c r="E1186" s="101" t="s">
        <v>910</v>
      </c>
      <c r="F1186" s="364"/>
      <c r="G1186" s="364"/>
      <c r="H1186" s="364"/>
      <c r="I1186" s="364"/>
      <c r="J1186" s="364"/>
      <c r="K1186" s="364"/>
      <c r="L1186" s="364"/>
      <c r="M1186" s="364"/>
      <c r="N1186" s="364"/>
      <c r="O1186" s="364"/>
      <c r="P1186" s="364"/>
      <c r="Q1186" s="364"/>
      <c r="R1186" s="364"/>
      <c r="S1186" s="364"/>
      <c r="T1186" s="364"/>
      <c r="U1186" s="364"/>
      <c r="V1186" s="364"/>
      <c r="W1186" s="364"/>
      <c r="X1186" s="364"/>
      <c r="Y1186" s="364"/>
      <c r="Z1186" s="364"/>
      <c r="AA1186" s="364"/>
      <c r="AB1186" s="364"/>
      <c r="AC1186" s="364"/>
      <c r="AD1186" s="364"/>
      <c r="AE1186" s="364"/>
      <c r="AF1186" s="364"/>
      <c r="AG1186" s="364"/>
      <c r="AH1186" s="364"/>
      <c r="AI1186" s="364"/>
      <c r="AJ1186" s="364"/>
      <c r="AK1186" s="364"/>
      <c r="AL1186" s="364"/>
      <c r="AM1186" s="364"/>
      <c r="AN1186" s="364"/>
      <c r="AO1186" s="364"/>
    </row>
    <row r="1187" spans="1:41" s="73" customFormat="1" ht="15" customHeight="1" x14ac:dyDescent="0.25">
      <c r="A1187" s="400"/>
      <c r="B1187" s="398"/>
      <c r="C1187" s="160" t="s">
        <v>636</v>
      </c>
      <c r="D1187" s="111"/>
      <c r="E1187" s="78" t="s">
        <v>911</v>
      </c>
      <c r="F1187" s="363"/>
      <c r="G1187" s="363"/>
      <c r="H1187" s="363"/>
      <c r="I1187" s="363"/>
      <c r="J1187" s="363"/>
      <c r="K1187" s="363"/>
      <c r="L1187" s="363"/>
      <c r="M1187" s="363"/>
      <c r="N1187" s="363"/>
      <c r="O1187" s="363"/>
      <c r="P1187" s="363"/>
      <c r="Q1187" s="363"/>
      <c r="R1187" s="363"/>
      <c r="S1187" s="363"/>
      <c r="T1187" s="363"/>
      <c r="U1187" s="363"/>
      <c r="V1187" s="363"/>
      <c r="W1187" s="363"/>
      <c r="X1187" s="363"/>
      <c r="Y1187" s="363"/>
      <c r="Z1187" s="363"/>
      <c r="AA1187" s="363"/>
      <c r="AB1187" s="363"/>
      <c r="AC1187" s="363"/>
      <c r="AD1187" s="363"/>
      <c r="AE1187" s="363"/>
      <c r="AF1187" s="363"/>
      <c r="AG1187" s="363"/>
      <c r="AH1187" s="363"/>
      <c r="AI1187" s="363"/>
      <c r="AJ1187" s="363"/>
      <c r="AK1187" s="363"/>
      <c r="AL1187" s="363"/>
      <c r="AM1187" s="363"/>
      <c r="AN1187" s="363"/>
      <c r="AO1187" s="363"/>
    </row>
    <row r="1188" spans="1:41" s="73" customFormat="1" ht="15" customHeight="1" x14ac:dyDescent="0.25">
      <c r="A1188" s="400"/>
      <c r="B1188" s="398"/>
      <c r="C1188" s="160" t="s">
        <v>637</v>
      </c>
      <c r="D1188" s="111"/>
      <c r="E1188" s="78" t="s">
        <v>912</v>
      </c>
      <c r="F1188" s="363"/>
      <c r="G1188" s="363"/>
      <c r="H1188" s="363"/>
      <c r="I1188" s="363"/>
      <c r="J1188" s="363"/>
      <c r="K1188" s="363"/>
      <c r="L1188" s="363"/>
      <c r="M1188" s="363"/>
      <c r="N1188" s="363"/>
      <c r="O1188" s="363"/>
      <c r="P1188" s="363"/>
      <c r="Q1188" s="363"/>
      <c r="R1188" s="363"/>
      <c r="S1188" s="363"/>
      <c r="T1188" s="363"/>
      <c r="U1188" s="363"/>
      <c r="V1188" s="363"/>
      <c r="W1188" s="363"/>
      <c r="X1188" s="363"/>
      <c r="Y1188" s="363"/>
      <c r="Z1188" s="363"/>
      <c r="AA1188" s="363"/>
      <c r="AB1188" s="363"/>
      <c r="AC1188" s="363"/>
      <c r="AD1188" s="363"/>
      <c r="AE1188" s="363"/>
      <c r="AF1188" s="363"/>
      <c r="AG1188" s="363"/>
      <c r="AH1188" s="363"/>
      <c r="AI1188" s="363"/>
      <c r="AJ1188" s="363"/>
      <c r="AK1188" s="363"/>
      <c r="AL1188" s="363"/>
      <c r="AM1188" s="363"/>
      <c r="AN1188" s="363"/>
      <c r="AO1188" s="363"/>
    </row>
    <row r="1189" spans="1:41" s="73" customFormat="1" ht="15" customHeight="1" x14ac:dyDescent="0.25">
      <c r="A1189" s="400"/>
      <c r="B1189" s="398"/>
      <c r="C1189" s="160" t="s">
        <v>638</v>
      </c>
      <c r="D1189" s="111"/>
      <c r="E1189" s="78" t="s">
        <v>913</v>
      </c>
      <c r="F1189" s="363"/>
      <c r="G1189" s="363"/>
      <c r="H1189" s="363"/>
      <c r="I1189" s="363"/>
      <c r="J1189" s="363"/>
      <c r="K1189" s="363"/>
      <c r="L1189" s="363"/>
      <c r="M1189" s="363"/>
      <c r="N1189" s="363"/>
      <c r="O1189" s="363"/>
      <c r="P1189" s="363"/>
      <c r="Q1189" s="363"/>
      <c r="R1189" s="363"/>
      <c r="S1189" s="363"/>
      <c r="T1189" s="363"/>
      <c r="U1189" s="363"/>
      <c r="V1189" s="363"/>
      <c r="W1189" s="363"/>
      <c r="X1189" s="363"/>
      <c r="Y1189" s="363"/>
      <c r="Z1189" s="363"/>
      <c r="AA1189" s="363"/>
      <c r="AB1189" s="363"/>
      <c r="AC1189" s="363"/>
      <c r="AD1189" s="363"/>
      <c r="AE1189" s="363"/>
      <c r="AF1189" s="363"/>
      <c r="AG1189" s="363"/>
      <c r="AH1189" s="363"/>
      <c r="AI1189" s="363"/>
      <c r="AJ1189" s="363"/>
      <c r="AK1189" s="363"/>
      <c r="AL1189" s="363"/>
      <c r="AM1189" s="363"/>
      <c r="AN1189" s="363"/>
      <c r="AO1189" s="363"/>
    </row>
    <row r="1190" spans="1:41" s="73" customFormat="1" ht="15" customHeight="1" x14ac:dyDescent="0.25">
      <c r="A1190" s="400"/>
      <c r="B1190" s="398"/>
      <c r="C1190" s="160" t="s">
        <v>639</v>
      </c>
      <c r="D1190" s="111"/>
      <c r="E1190" s="78" t="s">
        <v>914</v>
      </c>
      <c r="F1190" s="363"/>
      <c r="G1190" s="363"/>
      <c r="H1190" s="363"/>
      <c r="I1190" s="363"/>
      <c r="J1190" s="363"/>
      <c r="K1190" s="363"/>
      <c r="L1190" s="363"/>
      <c r="M1190" s="363"/>
      <c r="N1190" s="363"/>
      <c r="O1190" s="363"/>
      <c r="P1190" s="363"/>
      <c r="Q1190" s="363"/>
      <c r="R1190" s="363"/>
      <c r="S1190" s="363"/>
      <c r="T1190" s="363"/>
      <c r="U1190" s="363"/>
      <c r="V1190" s="363"/>
      <c r="W1190" s="363"/>
      <c r="X1190" s="363"/>
      <c r="Y1190" s="363"/>
      <c r="Z1190" s="363"/>
      <c r="AA1190" s="363"/>
      <c r="AB1190" s="363"/>
      <c r="AC1190" s="363"/>
      <c r="AD1190" s="363"/>
      <c r="AE1190" s="363"/>
      <c r="AF1190" s="363"/>
      <c r="AG1190" s="363"/>
      <c r="AH1190" s="363"/>
      <c r="AI1190" s="363"/>
      <c r="AJ1190" s="363"/>
      <c r="AK1190" s="363"/>
      <c r="AL1190" s="363"/>
      <c r="AM1190" s="363"/>
      <c r="AN1190" s="363"/>
      <c r="AO1190" s="363"/>
    </row>
    <row r="1191" spans="1:41" s="108" customFormat="1" ht="15" customHeight="1" x14ac:dyDescent="0.25">
      <c r="A1191" s="400"/>
      <c r="B1191" s="398"/>
      <c r="C1191" s="100" t="s">
        <v>820</v>
      </c>
      <c r="D1191" s="150"/>
      <c r="E1191" s="101" t="s">
        <v>915</v>
      </c>
      <c r="F1191" s="364"/>
      <c r="G1191" s="364"/>
      <c r="H1191" s="364"/>
      <c r="I1191" s="364"/>
      <c r="J1191" s="364"/>
      <c r="K1191" s="364"/>
      <c r="L1191" s="364"/>
      <c r="M1191" s="364"/>
      <c r="N1191" s="364"/>
      <c r="O1191" s="364"/>
      <c r="P1191" s="364"/>
      <c r="Q1191" s="364"/>
      <c r="R1191" s="364"/>
      <c r="S1191" s="364"/>
      <c r="T1191" s="364"/>
      <c r="U1191" s="364"/>
      <c r="V1191" s="364"/>
      <c r="W1191" s="364"/>
      <c r="X1191" s="364"/>
      <c r="Y1191" s="364"/>
      <c r="Z1191" s="364"/>
      <c r="AA1191" s="364"/>
      <c r="AB1191" s="364"/>
      <c r="AC1191" s="364"/>
      <c r="AD1191" s="364"/>
      <c r="AE1191" s="364"/>
      <c r="AF1191" s="364"/>
      <c r="AG1191" s="364"/>
      <c r="AH1191" s="364"/>
      <c r="AI1191" s="364"/>
      <c r="AJ1191" s="364"/>
      <c r="AK1191" s="364"/>
      <c r="AL1191" s="364"/>
      <c r="AM1191" s="364"/>
      <c r="AN1191" s="364"/>
      <c r="AO1191" s="364"/>
    </row>
    <row r="1192" spans="1:41" s="73" customFormat="1" ht="15" customHeight="1" x14ac:dyDescent="0.25">
      <c r="A1192" s="400"/>
      <c r="B1192" s="398"/>
      <c r="C1192" s="160" t="s">
        <v>640</v>
      </c>
      <c r="D1192" s="111"/>
      <c r="E1192" s="78" t="s">
        <v>916</v>
      </c>
      <c r="F1192" s="363"/>
      <c r="G1192" s="363"/>
      <c r="H1192" s="363"/>
      <c r="I1192" s="363"/>
      <c r="J1192" s="363"/>
      <c r="K1192" s="363"/>
      <c r="L1192" s="363"/>
      <c r="M1192" s="363"/>
      <c r="N1192" s="363"/>
      <c r="O1192" s="363"/>
      <c r="P1192" s="363"/>
      <c r="Q1192" s="363"/>
      <c r="R1192" s="363"/>
      <c r="S1192" s="363"/>
      <c r="T1192" s="363"/>
      <c r="U1192" s="363"/>
      <c r="V1192" s="363"/>
      <c r="W1192" s="363"/>
      <c r="X1192" s="363"/>
      <c r="Y1192" s="363"/>
      <c r="Z1192" s="363"/>
      <c r="AA1192" s="363"/>
      <c r="AB1192" s="363"/>
      <c r="AC1192" s="363"/>
      <c r="AD1192" s="363"/>
      <c r="AE1192" s="363"/>
      <c r="AF1192" s="363"/>
      <c r="AG1192" s="363"/>
      <c r="AH1192" s="363"/>
      <c r="AI1192" s="363"/>
      <c r="AJ1192" s="363"/>
      <c r="AK1192" s="363"/>
      <c r="AL1192" s="363"/>
      <c r="AM1192" s="363"/>
      <c r="AN1192" s="363"/>
      <c r="AO1192" s="363"/>
    </row>
    <row r="1193" spans="1:41" s="73" customFormat="1" ht="15" customHeight="1" x14ac:dyDescent="0.25">
      <c r="A1193" s="400"/>
      <c r="B1193" s="398"/>
      <c r="C1193" s="160" t="s">
        <v>641</v>
      </c>
      <c r="D1193" s="111"/>
      <c r="E1193" s="78" t="s">
        <v>917</v>
      </c>
      <c r="F1193" s="363"/>
      <c r="G1193" s="363"/>
      <c r="H1193" s="363"/>
      <c r="I1193" s="363"/>
      <c r="J1193" s="363"/>
      <c r="K1193" s="363"/>
      <c r="L1193" s="363"/>
      <c r="M1193" s="363"/>
      <c r="N1193" s="363"/>
      <c r="O1193" s="363"/>
      <c r="P1193" s="363"/>
      <c r="Q1193" s="363"/>
      <c r="R1193" s="363"/>
      <c r="S1193" s="363"/>
      <c r="T1193" s="363"/>
      <c r="U1193" s="363"/>
      <c r="V1193" s="363"/>
      <c r="W1193" s="363"/>
      <c r="X1193" s="363"/>
      <c r="Y1193" s="363"/>
      <c r="Z1193" s="363"/>
      <c r="AA1193" s="363"/>
      <c r="AB1193" s="363"/>
      <c r="AC1193" s="363"/>
      <c r="AD1193" s="363"/>
      <c r="AE1193" s="363"/>
      <c r="AF1193" s="363"/>
      <c r="AG1193" s="363"/>
      <c r="AH1193" s="363"/>
      <c r="AI1193" s="363"/>
      <c r="AJ1193" s="363"/>
      <c r="AK1193" s="363"/>
      <c r="AL1193" s="363"/>
      <c r="AM1193" s="363"/>
      <c r="AN1193" s="363"/>
      <c r="AO1193" s="363"/>
    </row>
    <row r="1194" spans="1:41" s="108" customFormat="1" ht="15" customHeight="1" x14ac:dyDescent="0.25">
      <c r="A1194" s="400"/>
      <c r="B1194" s="398"/>
      <c r="C1194" s="100" t="s">
        <v>821</v>
      </c>
      <c r="D1194" s="150"/>
      <c r="E1194" s="101" t="s">
        <v>918</v>
      </c>
      <c r="F1194" s="364"/>
      <c r="G1194" s="364"/>
      <c r="H1194" s="364"/>
      <c r="I1194" s="364"/>
      <c r="J1194" s="364"/>
      <c r="K1194" s="364"/>
      <c r="L1194" s="364"/>
      <c r="M1194" s="364"/>
      <c r="N1194" s="364"/>
      <c r="O1194" s="364"/>
      <c r="P1194" s="364"/>
      <c r="Q1194" s="364"/>
      <c r="R1194" s="364"/>
      <c r="S1194" s="364"/>
      <c r="T1194" s="364"/>
      <c r="U1194" s="364"/>
      <c r="V1194" s="364"/>
      <c r="W1194" s="364"/>
      <c r="X1194" s="364"/>
      <c r="Y1194" s="364"/>
      <c r="Z1194" s="364"/>
      <c r="AA1194" s="364"/>
      <c r="AB1194" s="364"/>
      <c r="AC1194" s="364"/>
      <c r="AD1194" s="364"/>
      <c r="AE1194" s="364"/>
      <c r="AF1194" s="364"/>
      <c r="AG1194" s="364"/>
      <c r="AH1194" s="364"/>
      <c r="AI1194" s="364"/>
      <c r="AJ1194" s="364"/>
      <c r="AK1194" s="364"/>
      <c r="AL1194" s="364"/>
      <c r="AM1194" s="364"/>
      <c r="AN1194" s="364"/>
      <c r="AO1194" s="364"/>
    </row>
    <row r="1195" spans="1:41" s="73" customFormat="1" ht="15" customHeight="1" x14ac:dyDescent="0.25">
      <c r="A1195" s="400"/>
      <c r="B1195" s="398"/>
      <c r="C1195" s="160" t="s">
        <v>486</v>
      </c>
      <c r="D1195" s="111"/>
      <c r="E1195" s="78" t="s">
        <v>919</v>
      </c>
      <c r="F1195" s="363"/>
      <c r="G1195" s="363"/>
      <c r="H1195" s="363"/>
      <c r="I1195" s="363"/>
      <c r="J1195" s="363"/>
      <c r="K1195" s="363"/>
      <c r="L1195" s="363"/>
      <c r="M1195" s="363"/>
      <c r="N1195" s="363"/>
      <c r="O1195" s="363"/>
      <c r="P1195" s="363"/>
      <c r="Q1195" s="363"/>
      <c r="R1195" s="363"/>
      <c r="S1195" s="363"/>
      <c r="T1195" s="363"/>
      <c r="U1195" s="363"/>
      <c r="V1195" s="363"/>
      <c r="W1195" s="363"/>
      <c r="X1195" s="363"/>
      <c r="Y1195" s="363"/>
      <c r="Z1195" s="363"/>
      <c r="AA1195" s="363"/>
      <c r="AB1195" s="363"/>
      <c r="AC1195" s="363"/>
      <c r="AD1195" s="363"/>
      <c r="AE1195" s="363"/>
      <c r="AF1195" s="363"/>
      <c r="AG1195" s="363"/>
      <c r="AH1195" s="363"/>
      <c r="AI1195" s="363"/>
      <c r="AJ1195" s="363"/>
      <c r="AK1195" s="363"/>
      <c r="AL1195" s="363"/>
      <c r="AM1195" s="363"/>
      <c r="AN1195" s="363"/>
      <c r="AO1195" s="363"/>
    </row>
    <row r="1196" spans="1:41" s="73" customFormat="1" ht="15" customHeight="1" x14ac:dyDescent="0.25">
      <c r="A1196" s="400"/>
      <c r="B1196" s="398"/>
      <c r="C1196" s="160" t="s">
        <v>487</v>
      </c>
      <c r="D1196" s="111"/>
      <c r="E1196" s="78" t="s">
        <v>920</v>
      </c>
      <c r="F1196" s="363"/>
      <c r="G1196" s="363"/>
      <c r="H1196" s="363"/>
      <c r="I1196" s="363"/>
      <c r="J1196" s="363"/>
      <c r="K1196" s="363"/>
      <c r="L1196" s="363"/>
      <c r="M1196" s="363"/>
      <c r="N1196" s="363"/>
      <c r="O1196" s="363"/>
      <c r="P1196" s="363"/>
      <c r="Q1196" s="363"/>
      <c r="R1196" s="363"/>
      <c r="S1196" s="363"/>
      <c r="T1196" s="363"/>
      <c r="U1196" s="363"/>
      <c r="V1196" s="363"/>
      <c r="W1196" s="363"/>
      <c r="X1196" s="363"/>
      <c r="Y1196" s="363"/>
      <c r="Z1196" s="363"/>
      <c r="AA1196" s="363"/>
      <c r="AB1196" s="363"/>
      <c r="AC1196" s="363"/>
      <c r="AD1196" s="363"/>
      <c r="AE1196" s="363"/>
      <c r="AF1196" s="363"/>
      <c r="AG1196" s="363"/>
      <c r="AH1196" s="363"/>
      <c r="AI1196" s="363"/>
      <c r="AJ1196" s="363"/>
      <c r="AK1196" s="363"/>
      <c r="AL1196" s="363"/>
      <c r="AM1196" s="363"/>
      <c r="AN1196" s="363"/>
      <c r="AO1196" s="363"/>
    </row>
    <row r="1197" spans="1:41" s="73" customFormat="1" ht="15" customHeight="1" x14ac:dyDescent="0.25">
      <c r="A1197" s="400"/>
      <c r="B1197" s="398"/>
      <c r="C1197" s="160" t="s">
        <v>490</v>
      </c>
      <c r="D1197" s="111"/>
      <c r="E1197" s="78" t="s">
        <v>921</v>
      </c>
      <c r="F1197" s="363"/>
      <c r="G1197" s="363"/>
      <c r="H1197" s="363"/>
      <c r="I1197" s="363"/>
      <c r="J1197" s="363"/>
      <c r="K1197" s="363"/>
      <c r="L1197" s="363"/>
      <c r="M1197" s="363"/>
      <c r="N1197" s="363"/>
      <c r="O1197" s="363"/>
      <c r="P1197" s="363"/>
      <c r="Q1197" s="363"/>
      <c r="R1197" s="363"/>
      <c r="S1197" s="363"/>
      <c r="T1197" s="363"/>
      <c r="U1197" s="363"/>
      <c r="V1197" s="363"/>
      <c r="W1197" s="363"/>
      <c r="X1197" s="363"/>
      <c r="Y1197" s="363"/>
      <c r="Z1197" s="363"/>
      <c r="AA1197" s="363"/>
      <c r="AB1197" s="363"/>
      <c r="AC1197" s="363"/>
      <c r="AD1197" s="363"/>
      <c r="AE1197" s="363"/>
      <c r="AF1197" s="363"/>
      <c r="AG1197" s="363"/>
      <c r="AH1197" s="363"/>
      <c r="AI1197" s="363"/>
      <c r="AJ1197" s="363"/>
      <c r="AK1197" s="363"/>
      <c r="AL1197" s="363"/>
      <c r="AM1197" s="363"/>
      <c r="AN1197" s="363"/>
      <c r="AO1197" s="363"/>
    </row>
    <row r="1198" spans="1:41" s="73" customFormat="1" ht="15" customHeight="1" x14ac:dyDescent="0.25">
      <c r="A1198" s="400"/>
      <c r="B1198" s="398"/>
      <c r="C1198" s="160" t="s">
        <v>491</v>
      </c>
      <c r="D1198" s="111"/>
      <c r="E1198" s="78" t="s">
        <v>922</v>
      </c>
      <c r="F1198" s="363"/>
      <c r="G1198" s="363"/>
      <c r="H1198" s="363"/>
      <c r="I1198" s="363"/>
      <c r="J1198" s="363"/>
      <c r="K1198" s="363"/>
      <c r="L1198" s="363"/>
      <c r="M1198" s="363"/>
      <c r="N1198" s="363"/>
      <c r="O1198" s="363"/>
      <c r="P1198" s="363"/>
      <c r="Q1198" s="363"/>
      <c r="R1198" s="363"/>
      <c r="S1198" s="363"/>
      <c r="T1198" s="363"/>
      <c r="U1198" s="363"/>
      <c r="V1198" s="363"/>
      <c r="W1198" s="363"/>
      <c r="X1198" s="363"/>
      <c r="Y1198" s="363"/>
      <c r="Z1198" s="363"/>
      <c r="AA1198" s="363"/>
      <c r="AB1198" s="363"/>
      <c r="AC1198" s="363"/>
      <c r="AD1198" s="363"/>
      <c r="AE1198" s="363"/>
      <c r="AF1198" s="363"/>
      <c r="AG1198" s="363"/>
      <c r="AH1198" s="363"/>
      <c r="AI1198" s="363"/>
      <c r="AJ1198" s="363"/>
      <c r="AK1198" s="363"/>
      <c r="AL1198" s="363"/>
      <c r="AM1198" s="363"/>
      <c r="AN1198" s="363"/>
      <c r="AO1198" s="363"/>
    </row>
    <row r="1199" spans="1:41" s="108" customFormat="1" ht="15" customHeight="1" x14ac:dyDescent="0.25">
      <c r="A1199" s="400"/>
      <c r="B1199" s="398"/>
      <c r="C1199" s="100" t="s">
        <v>515</v>
      </c>
      <c r="D1199" s="150"/>
      <c r="E1199" s="101" t="s">
        <v>923</v>
      </c>
      <c r="F1199" s="364"/>
      <c r="G1199" s="364"/>
      <c r="H1199" s="364"/>
      <c r="I1199" s="364"/>
      <c r="J1199" s="364"/>
      <c r="K1199" s="364"/>
      <c r="L1199" s="364"/>
      <c r="M1199" s="364"/>
      <c r="N1199" s="364"/>
      <c r="O1199" s="364"/>
      <c r="P1199" s="364"/>
      <c r="Q1199" s="364"/>
      <c r="R1199" s="364"/>
      <c r="S1199" s="364"/>
      <c r="T1199" s="364"/>
      <c r="U1199" s="364"/>
      <c r="V1199" s="364"/>
      <c r="W1199" s="364"/>
      <c r="X1199" s="364"/>
      <c r="Y1199" s="364"/>
      <c r="Z1199" s="364"/>
      <c r="AA1199" s="364"/>
      <c r="AB1199" s="364"/>
      <c r="AC1199" s="364"/>
      <c r="AD1199" s="364"/>
      <c r="AE1199" s="364"/>
      <c r="AF1199" s="364"/>
      <c r="AG1199" s="364"/>
      <c r="AH1199" s="364"/>
      <c r="AI1199" s="364"/>
      <c r="AJ1199" s="364"/>
      <c r="AK1199" s="364"/>
      <c r="AL1199" s="364"/>
      <c r="AM1199" s="364"/>
      <c r="AN1199" s="364"/>
      <c r="AO1199" s="364"/>
    </row>
    <row r="1200" spans="1:41" s="73" customFormat="1" ht="15" customHeight="1" x14ac:dyDescent="0.25">
      <c r="A1200" s="400"/>
      <c r="B1200" s="398"/>
      <c r="C1200" s="160" t="s">
        <v>494</v>
      </c>
      <c r="D1200" s="111"/>
      <c r="E1200" s="78" t="s">
        <v>924</v>
      </c>
      <c r="F1200" s="363"/>
      <c r="G1200" s="363"/>
      <c r="H1200" s="363"/>
      <c r="I1200" s="363"/>
      <c r="J1200" s="363"/>
      <c r="K1200" s="363"/>
      <c r="L1200" s="363"/>
      <c r="M1200" s="363"/>
      <c r="N1200" s="363"/>
      <c r="O1200" s="363"/>
      <c r="P1200" s="363"/>
      <c r="Q1200" s="363"/>
      <c r="R1200" s="363"/>
      <c r="S1200" s="363"/>
      <c r="T1200" s="363"/>
      <c r="U1200" s="363"/>
      <c r="V1200" s="363"/>
      <c r="W1200" s="363"/>
      <c r="X1200" s="363"/>
      <c r="Y1200" s="363"/>
      <c r="Z1200" s="363"/>
      <c r="AA1200" s="363"/>
      <c r="AB1200" s="363"/>
      <c r="AC1200" s="363"/>
      <c r="AD1200" s="363"/>
      <c r="AE1200" s="363"/>
      <c r="AF1200" s="363"/>
      <c r="AG1200" s="363"/>
      <c r="AH1200" s="363"/>
      <c r="AI1200" s="363"/>
      <c r="AJ1200" s="363"/>
      <c r="AK1200" s="363"/>
      <c r="AL1200" s="363"/>
      <c r="AM1200" s="363"/>
      <c r="AN1200" s="363"/>
      <c r="AO1200" s="363"/>
    </row>
    <row r="1201" spans="1:41" s="73" customFormat="1" ht="15" customHeight="1" x14ac:dyDescent="0.25">
      <c r="A1201" s="400"/>
      <c r="B1201" s="398"/>
      <c r="C1201" s="160" t="s">
        <v>495</v>
      </c>
      <c r="D1201" s="111"/>
      <c r="E1201" s="78" t="s">
        <v>925</v>
      </c>
      <c r="F1201" s="363"/>
      <c r="G1201" s="363"/>
      <c r="H1201" s="363"/>
      <c r="I1201" s="363"/>
      <c r="J1201" s="363"/>
      <c r="K1201" s="363"/>
      <c r="L1201" s="363"/>
      <c r="M1201" s="363"/>
      <c r="N1201" s="363"/>
      <c r="O1201" s="363"/>
      <c r="P1201" s="363"/>
      <c r="Q1201" s="363"/>
      <c r="R1201" s="363"/>
      <c r="S1201" s="363"/>
      <c r="T1201" s="363"/>
      <c r="U1201" s="363"/>
      <c r="V1201" s="363"/>
      <c r="W1201" s="363"/>
      <c r="X1201" s="363"/>
      <c r="Y1201" s="363"/>
      <c r="Z1201" s="363"/>
      <c r="AA1201" s="363"/>
      <c r="AB1201" s="363"/>
      <c r="AC1201" s="363"/>
      <c r="AD1201" s="363"/>
      <c r="AE1201" s="363"/>
      <c r="AF1201" s="363"/>
      <c r="AG1201" s="363"/>
      <c r="AH1201" s="363"/>
      <c r="AI1201" s="363"/>
      <c r="AJ1201" s="363"/>
      <c r="AK1201" s="363"/>
      <c r="AL1201" s="363"/>
      <c r="AM1201" s="363"/>
      <c r="AN1201" s="363"/>
      <c r="AO1201" s="363"/>
    </row>
    <row r="1202" spans="1:41" s="73" customFormat="1" ht="15" customHeight="1" x14ac:dyDescent="0.25">
      <c r="A1202" s="400"/>
      <c r="B1202" s="398"/>
      <c r="C1202" s="160" t="s">
        <v>496</v>
      </c>
      <c r="D1202" s="111"/>
      <c r="E1202" s="78" t="s">
        <v>926</v>
      </c>
      <c r="F1202" s="363"/>
      <c r="G1202" s="363"/>
      <c r="H1202" s="363"/>
      <c r="I1202" s="363"/>
      <c r="J1202" s="363"/>
      <c r="K1202" s="363"/>
      <c r="L1202" s="363"/>
      <c r="M1202" s="363"/>
      <c r="N1202" s="363"/>
      <c r="O1202" s="363"/>
      <c r="P1202" s="363"/>
      <c r="Q1202" s="363"/>
      <c r="R1202" s="363"/>
      <c r="S1202" s="363"/>
      <c r="T1202" s="363"/>
      <c r="U1202" s="363"/>
      <c r="V1202" s="363"/>
      <c r="W1202" s="363"/>
      <c r="X1202" s="363"/>
      <c r="Y1202" s="363"/>
      <c r="Z1202" s="363"/>
      <c r="AA1202" s="363"/>
      <c r="AB1202" s="363"/>
      <c r="AC1202" s="363"/>
      <c r="AD1202" s="363"/>
      <c r="AE1202" s="363"/>
      <c r="AF1202" s="363"/>
      <c r="AG1202" s="363"/>
      <c r="AH1202" s="363"/>
      <c r="AI1202" s="363"/>
      <c r="AJ1202" s="363"/>
      <c r="AK1202" s="363"/>
      <c r="AL1202" s="363"/>
      <c r="AM1202" s="363"/>
      <c r="AN1202" s="363"/>
      <c r="AO1202" s="363"/>
    </row>
    <row r="1203" spans="1:41" s="73" customFormat="1" ht="15" customHeight="1" x14ac:dyDescent="0.25">
      <c r="A1203" s="400"/>
      <c r="B1203" s="398"/>
      <c r="C1203" s="160" t="s">
        <v>497</v>
      </c>
      <c r="D1203" s="111"/>
      <c r="E1203" s="78" t="s">
        <v>927</v>
      </c>
      <c r="F1203" s="363"/>
      <c r="G1203" s="363"/>
      <c r="H1203" s="363"/>
      <c r="I1203" s="363"/>
      <c r="J1203" s="363"/>
      <c r="K1203" s="363"/>
      <c r="L1203" s="363"/>
      <c r="M1203" s="363"/>
      <c r="N1203" s="363"/>
      <c r="O1203" s="363"/>
      <c r="P1203" s="363"/>
      <c r="Q1203" s="363"/>
      <c r="R1203" s="363"/>
      <c r="S1203" s="363"/>
      <c r="T1203" s="363"/>
      <c r="U1203" s="363"/>
      <c r="V1203" s="363"/>
      <c r="W1203" s="363"/>
      <c r="X1203" s="363"/>
      <c r="Y1203" s="363"/>
      <c r="Z1203" s="363"/>
      <c r="AA1203" s="363"/>
      <c r="AB1203" s="363"/>
      <c r="AC1203" s="363"/>
      <c r="AD1203" s="363"/>
      <c r="AE1203" s="363"/>
      <c r="AF1203" s="363"/>
      <c r="AG1203" s="363"/>
      <c r="AH1203" s="363"/>
      <c r="AI1203" s="363"/>
      <c r="AJ1203" s="363"/>
      <c r="AK1203" s="363"/>
      <c r="AL1203" s="363"/>
      <c r="AM1203" s="363"/>
      <c r="AN1203" s="363"/>
      <c r="AO1203" s="363"/>
    </row>
    <row r="1204" spans="1:41" s="73" customFormat="1" ht="15" customHeight="1" x14ac:dyDescent="0.25">
      <c r="A1204" s="400"/>
      <c r="B1204" s="398"/>
      <c r="C1204" s="160" t="s">
        <v>498</v>
      </c>
      <c r="D1204" s="111"/>
      <c r="E1204" s="78" t="s">
        <v>928</v>
      </c>
      <c r="F1204" s="363"/>
      <c r="G1204" s="363"/>
      <c r="H1204" s="363"/>
      <c r="I1204" s="363"/>
      <c r="J1204" s="363"/>
      <c r="K1204" s="363"/>
      <c r="L1204" s="363"/>
      <c r="M1204" s="363"/>
      <c r="N1204" s="363"/>
      <c r="O1204" s="363"/>
      <c r="P1204" s="363"/>
      <c r="Q1204" s="363"/>
      <c r="R1204" s="363"/>
      <c r="S1204" s="363"/>
      <c r="T1204" s="363"/>
      <c r="U1204" s="363"/>
      <c r="V1204" s="363"/>
      <c r="W1204" s="363"/>
      <c r="X1204" s="363"/>
      <c r="Y1204" s="363"/>
      <c r="Z1204" s="363"/>
      <c r="AA1204" s="363"/>
      <c r="AB1204" s="363"/>
      <c r="AC1204" s="363"/>
      <c r="AD1204" s="363"/>
      <c r="AE1204" s="363"/>
      <c r="AF1204" s="363"/>
      <c r="AG1204" s="363"/>
      <c r="AH1204" s="363"/>
      <c r="AI1204" s="363"/>
      <c r="AJ1204" s="363"/>
      <c r="AK1204" s="363"/>
      <c r="AL1204" s="363"/>
      <c r="AM1204" s="363"/>
      <c r="AN1204" s="363"/>
      <c r="AO1204" s="363"/>
    </row>
    <row r="1205" spans="1:41" s="73" customFormat="1" ht="15" customHeight="1" x14ac:dyDescent="0.25">
      <c r="A1205" s="400"/>
      <c r="B1205" s="398"/>
      <c r="C1205" s="160" t="s">
        <v>499</v>
      </c>
      <c r="D1205" s="111"/>
      <c r="E1205" s="78" t="s">
        <v>929</v>
      </c>
      <c r="F1205" s="363"/>
      <c r="G1205" s="363"/>
      <c r="H1205" s="363"/>
      <c r="I1205" s="363"/>
      <c r="J1205" s="363"/>
      <c r="K1205" s="363"/>
      <c r="L1205" s="363"/>
      <c r="M1205" s="363"/>
      <c r="N1205" s="363"/>
      <c r="O1205" s="363"/>
      <c r="P1205" s="363"/>
      <c r="Q1205" s="363"/>
      <c r="R1205" s="363"/>
      <c r="S1205" s="363"/>
      <c r="T1205" s="363"/>
      <c r="U1205" s="363"/>
      <c r="V1205" s="363"/>
      <c r="W1205" s="363"/>
      <c r="X1205" s="363"/>
      <c r="Y1205" s="363"/>
      <c r="Z1205" s="363"/>
      <c r="AA1205" s="363"/>
      <c r="AB1205" s="363"/>
      <c r="AC1205" s="363"/>
      <c r="AD1205" s="363"/>
      <c r="AE1205" s="363"/>
      <c r="AF1205" s="363"/>
      <c r="AG1205" s="363"/>
      <c r="AH1205" s="363"/>
      <c r="AI1205" s="363"/>
      <c r="AJ1205" s="363"/>
      <c r="AK1205" s="363"/>
      <c r="AL1205" s="363"/>
      <c r="AM1205" s="363"/>
      <c r="AN1205" s="363"/>
      <c r="AO1205" s="363"/>
    </row>
    <row r="1206" spans="1:41" s="73" customFormat="1" ht="15" customHeight="1" x14ac:dyDescent="0.25">
      <c r="A1206" s="400"/>
      <c r="B1206" s="398"/>
      <c r="C1206" s="160" t="s">
        <v>500</v>
      </c>
      <c r="D1206" s="111"/>
      <c r="E1206" s="78" t="s">
        <v>930</v>
      </c>
      <c r="F1206" s="363"/>
      <c r="G1206" s="363"/>
      <c r="H1206" s="363"/>
      <c r="I1206" s="363"/>
      <c r="J1206" s="363"/>
      <c r="K1206" s="363"/>
      <c r="L1206" s="363"/>
      <c r="M1206" s="363"/>
      <c r="N1206" s="363"/>
      <c r="O1206" s="363"/>
      <c r="P1206" s="363"/>
      <c r="Q1206" s="363"/>
      <c r="R1206" s="363"/>
      <c r="S1206" s="363"/>
      <c r="T1206" s="363"/>
      <c r="U1206" s="363"/>
      <c r="V1206" s="363"/>
      <c r="W1206" s="363"/>
      <c r="X1206" s="363"/>
      <c r="Y1206" s="363"/>
      <c r="Z1206" s="363"/>
      <c r="AA1206" s="363"/>
      <c r="AB1206" s="363"/>
      <c r="AC1206" s="363"/>
      <c r="AD1206" s="363"/>
      <c r="AE1206" s="363"/>
      <c r="AF1206" s="363"/>
      <c r="AG1206" s="363"/>
      <c r="AH1206" s="363"/>
      <c r="AI1206" s="363"/>
      <c r="AJ1206" s="363"/>
      <c r="AK1206" s="363"/>
      <c r="AL1206" s="363"/>
      <c r="AM1206" s="363"/>
      <c r="AN1206" s="363"/>
      <c r="AO1206" s="363"/>
    </row>
    <row r="1207" spans="1:41" s="73" customFormat="1" ht="15" customHeight="1" x14ac:dyDescent="0.25">
      <c r="A1207" s="400"/>
      <c r="B1207" s="398"/>
      <c r="C1207" s="160" t="s">
        <v>501</v>
      </c>
      <c r="D1207" s="111"/>
      <c r="E1207" s="78" t="s">
        <v>931</v>
      </c>
      <c r="F1207" s="363"/>
      <c r="G1207" s="363"/>
      <c r="H1207" s="363"/>
      <c r="I1207" s="363"/>
      <c r="J1207" s="363"/>
      <c r="K1207" s="363"/>
      <c r="L1207" s="363"/>
      <c r="M1207" s="363"/>
      <c r="N1207" s="363"/>
      <c r="O1207" s="363"/>
      <c r="P1207" s="363"/>
      <c r="Q1207" s="363"/>
      <c r="R1207" s="363"/>
      <c r="S1207" s="363"/>
      <c r="T1207" s="363"/>
      <c r="U1207" s="363"/>
      <c r="V1207" s="363"/>
      <c r="W1207" s="363"/>
      <c r="X1207" s="363"/>
      <c r="Y1207" s="363"/>
      <c r="Z1207" s="363"/>
      <c r="AA1207" s="363"/>
      <c r="AB1207" s="363"/>
      <c r="AC1207" s="363"/>
      <c r="AD1207" s="363"/>
      <c r="AE1207" s="363"/>
      <c r="AF1207" s="363"/>
      <c r="AG1207" s="363"/>
      <c r="AH1207" s="363"/>
      <c r="AI1207" s="363"/>
      <c r="AJ1207" s="363"/>
      <c r="AK1207" s="363"/>
      <c r="AL1207" s="363"/>
      <c r="AM1207" s="363"/>
      <c r="AN1207" s="363"/>
      <c r="AO1207" s="363"/>
    </row>
    <row r="1208" spans="1:41" s="73" customFormat="1" ht="15" customHeight="1" x14ac:dyDescent="0.25">
      <c r="A1208" s="400"/>
      <c r="B1208" s="398"/>
      <c r="C1208" s="160" t="s">
        <v>502</v>
      </c>
      <c r="D1208" s="111"/>
      <c r="E1208" s="78" t="s">
        <v>932</v>
      </c>
      <c r="F1208" s="363"/>
      <c r="G1208" s="363"/>
      <c r="H1208" s="363"/>
      <c r="I1208" s="363"/>
      <c r="J1208" s="363"/>
      <c r="K1208" s="363"/>
      <c r="L1208" s="363"/>
      <c r="M1208" s="363"/>
      <c r="N1208" s="363"/>
      <c r="O1208" s="363"/>
      <c r="P1208" s="363"/>
      <c r="Q1208" s="363"/>
      <c r="R1208" s="363"/>
      <c r="S1208" s="363"/>
      <c r="T1208" s="363"/>
      <c r="U1208" s="363"/>
      <c r="V1208" s="363"/>
      <c r="W1208" s="363"/>
      <c r="X1208" s="363"/>
      <c r="Y1208" s="363"/>
      <c r="Z1208" s="363"/>
      <c r="AA1208" s="363"/>
      <c r="AB1208" s="363"/>
      <c r="AC1208" s="363"/>
      <c r="AD1208" s="363"/>
      <c r="AE1208" s="363"/>
      <c r="AF1208" s="363"/>
      <c r="AG1208" s="363"/>
      <c r="AH1208" s="363"/>
      <c r="AI1208" s="363"/>
      <c r="AJ1208" s="363"/>
      <c r="AK1208" s="363"/>
      <c r="AL1208" s="363"/>
      <c r="AM1208" s="363"/>
      <c r="AN1208" s="363"/>
      <c r="AO1208" s="363"/>
    </row>
    <row r="1209" spans="1:41" s="73" customFormat="1" ht="15" customHeight="1" x14ac:dyDescent="0.25">
      <c r="A1209" s="400"/>
      <c r="B1209" s="404" t="s">
        <v>1010</v>
      </c>
      <c r="C1209" s="105" t="s">
        <v>551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400"/>
      <c r="B1210" s="404"/>
      <c r="C1210" s="113" t="s">
        <v>1011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400"/>
      <c r="B1211" s="404"/>
      <c r="C1211" s="113" t="s">
        <v>1012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400"/>
      <c r="B1212" s="404"/>
      <c r="C1212" s="114" t="s">
        <v>1013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400"/>
      <c r="B1213" s="404"/>
      <c r="C1213" s="115" t="s">
        <v>1014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400"/>
      <c r="B1214" s="404"/>
      <c r="C1214" s="105" t="s">
        <v>476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400"/>
      <c r="B1215" s="404"/>
      <c r="C1215" s="113" t="s">
        <v>1011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400"/>
      <c r="B1216" s="404"/>
      <c r="C1216" s="113" t="s">
        <v>1012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400"/>
      <c r="B1217" s="404"/>
      <c r="C1217" s="114" t="s">
        <v>1013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400"/>
      <c r="B1218" s="404"/>
      <c r="C1218" s="114" t="s">
        <v>1014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400"/>
      <c r="B1219" s="403" t="s">
        <v>1018</v>
      </c>
      <c r="C1219" s="104" t="s">
        <v>771</v>
      </c>
      <c r="D1219" s="151"/>
      <c r="E1219" s="89" t="s">
        <v>933</v>
      </c>
      <c r="F1219" s="311"/>
      <c r="G1219" s="311"/>
      <c r="H1219" s="311"/>
      <c r="I1219" s="311"/>
      <c r="J1219" s="311"/>
      <c r="K1219" s="311"/>
      <c r="L1219" s="311"/>
      <c r="M1219" s="311"/>
      <c r="N1219" s="311"/>
      <c r="O1219" s="311"/>
      <c r="P1219" s="311"/>
      <c r="Q1219" s="311"/>
      <c r="R1219" s="311"/>
      <c r="S1219" s="311"/>
      <c r="T1219" s="311"/>
      <c r="U1219" s="311"/>
      <c r="V1219" s="311"/>
      <c r="W1219" s="311"/>
      <c r="X1219" s="311"/>
      <c r="Y1219" s="311"/>
      <c r="Z1219" s="311"/>
      <c r="AA1219" s="311"/>
      <c r="AB1219" s="311"/>
      <c r="AC1219" s="311"/>
      <c r="AD1219" s="311"/>
      <c r="AE1219" s="311"/>
      <c r="AF1219" s="311"/>
      <c r="AG1219" s="311"/>
      <c r="AH1219" s="311"/>
      <c r="AI1219" s="311"/>
      <c r="AJ1219" s="311"/>
      <c r="AK1219" s="311"/>
      <c r="AL1219" s="311"/>
      <c r="AM1219" s="311"/>
      <c r="AN1219" s="311"/>
      <c r="AO1219" s="311"/>
    </row>
    <row r="1220" spans="1:41" s="108" customFormat="1" ht="15" customHeight="1" x14ac:dyDescent="0.25">
      <c r="A1220" s="400"/>
      <c r="B1220" s="403"/>
      <c r="C1220" s="104" t="s">
        <v>773</v>
      </c>
      <c r="D1220" s="151"/>
      <c r="E1220" s="89" t="s">
        <v>934</v>
      </c>
      <c r="F1220" s="311"/>
      <c r="G1220" s="311"/>
      <c r="H1220" s="311"/>
      <c r="I1220" s="311"/>
      <c r="J1220" s="311"/>
      <c r="K1220" s="311"/>
      <c r="L1220" s="311"/>
      <c r="M1220" s="311"/>
      <c r="N1220" s="311"/>
      <c r="O1220" s="311"/>
      <c r="P1220" s="311"/>
      <c r="Q1220" s="311"/>
      <c r="R1220" s="311"/>
      <c r="S1220" s="311"/>
      <c r="T1220" s="311"/>
      <c r="U1220" s="311"/>
      <c r="V1220" s="311"/>
      <c r="W1220" s="311"/>
      <c r="X1220" s="311"/>
      <c r="Y1220" s="311"/>
      <c r="Z1220" s="311"/>
      <c r="AA1220" s="311"/>
      <c r="AB1220" s="311"/>
      <c r="AC1220" s="311"/>
      <c r="AD1220" s="311"/>
      <c r="AE1220" s="311"/>
      <c r="AF1220" s="311"/>
      <c r="AG1220" s="311"/>
      <c r="AH1220" s="311"/>
      <c r="AI1220" s="311"/>
      <c r="AJ1220" s="311"/>
      <c r="AK1220" s="311"/>
      <c r="AL1220" s="311"/>
      <c r="AM1220" s="311"/>
      <c r="AN1220" s="311"/>
      <c r="AO1220" s="311"/>
    </row>
    <row r="1221" spans="1:41" s="73" customFormat="1" ht="15" customHeight="1" x14ac:dyDescent="0.25">
      <c r="A1221" s="400"/>
      <c r="B1221" s="403"/>
      <c r="C1221" s="162" t="s">
        <v>758</v>
      </c>
      <c r="D1221" s="116"/>
      <c r="E1221" s="79" t="s">
        <v>935</v>
      </c>
      <c r="F1221" s="312"/>
      <c r="G1221" s="312"/>
      <c r="H1221" s="312"/>
      <c r="I1221" s="312"/>
      <c r="J1221" s="312"/>
      <c r="K1221" s="312"/>
      <c r="L1221" s="312"/>
      <c r="M1221" s="312"/>
      <c r="N1221" s="312"/>
      <c r="O1221" s="312"/>
      <c r="P1221" s="312"/>
      <c r="Q1221" s="312"/>
      <c r="R1221" s="312"/>
      <c r="S1221" s="312"/>
      <c r="T1221" s="312"/>
      <c r="U1221" s="312"/>
      <c r="V1221" s="312"/>
      <c r="W1221" s="312"/>
      <c r="X1221" s="312"/>
      <c r="Y1221" s="312"/>
      <c r="Z1221" s="312"/>
      <c r="AA1221" s="312"/>
      <c r="AB1221" s="312"/>
      <c r="AC1221" s="312"/>
      <c r="AD1221" s="312"/>
      <c r="AE1221" s="312"/>
      <c r="AF1221" s="312"/>
      <c r="AG1221" s="312"/>
      <c r="AH1221" s="312"/>
      <c r="AI1221" s="312"/>
      <c r="AJ1221" s="312"/>
      <c r="AK1221" s="312"/>
      <c r="AL1221" s="312"/>
      <c r="AM1221" s="312"/>
      <c r="AN1221" s="312"/>
      <c r="AO1221" s="312"/>
    </row>
    <row r="1222" spans="1:41" s="73" customFormat="1" ht="15" customHeight="1" x14ac:dyDescent="0.25">
      <c r="A1222" s="400"/>
      <c r="B1222" s="403"/>
      <c r="C1222" s="162" t="s">
        <v>759</v>
      </c>
      <c r="D1222" s="116"/>
      <c r="E1222" s="79" t="s">
        <v>936</v>
      </c>
      <c r="F1222" s="312"/>
      <c r="G1222" s="312"/>
      <c r="H1222" s="312"/>
      <c r="I1222" s="312"/>
      <c r="J1222" s="312"/>
      <c r="K1222" s="312"/>
      <c r="L1222" s="312"/>
      <c r="M1222" s="312"/>
      <c r="N1222" s="312"/>
      <c r="O1222" s="312"/>
      <c r="P1222" s="312"/>
      <c r="Q1222" s="312"/>
      <c r="R1222" s="312"/>
      <c r="S1222" s="312"/>
      <c r="T1222" s="312"/>
      <c r="U1222" s="312"/>
      <c r="V1222" s="312"/>
      <c r="W1222" s="312"/>
      <c r="X1222" s="312"/>
      <c r="Y1222" s="312"/>
      <c r="Z1222" s="312"/>
      <c r="AA1222" s="312"/>
      <c r="AB1222" s="312"/>
      <c r="AC1222" s="312"/>
      <c r="AD1222" s="312"/>
      <c r="AE1222" s="312"/>
      <c r="AF1222" s="312"/>
      <c r="AG1222" s="312"/>
      <c r="AH1222" s="312"/>
      <c r="AI1222" s="312"/>
      <c r="AJ1222" s="312"/>
      <c r="AK1222" s="312"/>
      <c r="AL1222" s="312"/>
      <c r="AM1222" s="312"/>
      <c r="AN1222" s="312"/>
      <c r="AO1222" s="312"/>
    </row>
    <row r="1223" spans="1:41" s="108" customFormat="1" ht="15" customHeight="1" x14ac:dyDescent="0.25">
      <c r="A1223" s="400"/>
      <c r="B1223" s="403"/>
      <c r="C1223" s="104" t="s">
        <v>774</v>
      </c>
      <c r="D1223" s="151"/>
      <c r="E1223" s="89" t="s">
        <v>937</v>
      </c>
      <c r="F1223" s="311"/>
      <c r="G1223" s="311"/>
      <c r="H1223" s="311"/>
      <c r="I1223" s="311"/>
      <c r="J1223" s="311"/>
      <c r="K1223" s="311"/>
      <c r="L1223" s="311"/>
      <c r="M1223" s="311"/>
      <c r="N1223" s="311"/>
      <c r="O1223" s="311"/>
      <c r="P1223" s="311"/>
      <c r="Q1223" s="311"/>
      <c r="R1223" s="311"/>
      <c r="S1223" s="311"/>
      <c r="T1223" s="311"/>
      <c r="U1223" s="311"/>
      <c r="V1223" s="311"/>
      <c r="W1223" s="311"/>
      <c r="X1223" s="311"/>
      <c r="Y1223" s="311"/>
      <c r="Z1223" s="311"/>
      <c r="AA1223" s="311"/>
      <c r="AB1223" s="311"/>
      <c r="AC1223" s="311"/>
      <c r="AD1223" s="311"/>
      <c r="AE1223" s="311"/>
      <c r="AF1223" s="311"/>
      <c r="AG1223" s="311"/>
      <c r="AH1223" s="311"/>
      <c r="AI1223" s="311"/>
      <c r="AJ1223" s="311"/>
      <c r="AK1223" s="311"/>
      <c r="AL1223" s="311"/>
      <c r="AM1223" s="311"/>
      <c r="AN1223" s="311"/>
      <c r="AO1223" s="311"/>
    </row>
    <row r="1224" spans="1:41" s="73" customFormat="1" ht="15" customHeight="1" x14ac:dyDescent="0.25">
      <c r="A1224" s="400"/>
      <c r="B1224" s="403"/>
      <c r="C1224" s="162" t="s">
        <v>760</v>
      </c>
      <c r="D1224" s="116"/>
      <c r="E1224" s="79" t="s">
        <v>938</v>
      </c>
      <c r="F1224" s="312"/>
      <c r="G1224" s="312"/>
      <c r="H1224" s="312"/>
      <c r="I1224" s="312"/>
      <c r="J1224" s="312"/>
      <c r="K1224" s="312"/>
      <c r="L1224" s="312"/>
      <c r="M1224" s="312"/>
      <c r="N1224" s="312"/>
      <c r="O1224" s="312"/>
      <c r="P1224" s="312"/>
      <c r="Q1224" s="312"/>
      <c r="R1224" s="312"/>
      <c r="S1224" s="312"/>
      <c r="T1224" s="312"/>
      <c r="U1224" s="312"/>
      <c r="V1224" s="312"/>
      <c r="W1224" s="312"/>
      <c r="X1224" s="312"/>
      <c r="Y1224" s="312"/>
      <c r="Z1224" s="312"/>
      <c r="AA1224" s="312"/>
      <c r="AB1224" s="312"/>
      <c r="AC1224" s="312"/>
      <c r="AD1224" s="312"/>
      <c r="AE1224" s="312"/>
      <c r="AF1224" s="312"/>
      <c r="AG1224" s="312"/>
      <c r="AH1224" s="312"/>
      <c r="AI1224" s="312"/>
      <c r="AJ1224" s="312"/>
      <c r="AK1224" s="312"/>
      <c r="AL1224" s="312"/>
      <c r="AM1224" s="312"/>
      <c r="AN1224" s="312"/>
      <c r="AO1224" s="312"/>
    </row>
    <row r="1225" spans="1:41" s="73" customFormat="1" ht="15" customHeight="1" x14ac:dyDescent="0.25">
      <c r="A1225" s="400"/>
      <c r="B1225" s="403"/>
      <c r="C1225" s="162" t="s">
        <v>761</v>
      </c>
      <c r="D1225" s="116"/>
      <c r="E1225" s="79" t="s">
        <v>939</v>
      </c>
      <c r="F1225" s="312"/>
      <c r="G1225" s="312"/>
      <c r="H1225" s="312"/>
      <c r="I1225" s="312"/>
      <c r="J1225" s="312"/>
      <c r="K1225" s="312"/>
      <c r="L1225" s="312"/>
      <c r="M1225" s="312"/>
      <c r="N1225" s="312"/>
      <c r="O1225" s="312"/>
      <c r="P1225" s="312"/>
      <c r="Q1225" s="312"/>
      <c r="R1225" s="312"/>
      <c r="S1225" s="312"/>
      <c r="T1225" s="312"/>
      <c r="U1225" s="312"/>
      <c r="V1225" s="312"/>
      <c r="W1225" s="312"/>
      <c r="X1225" s="312"/>
      <c r="Y1225" s="312"/>
      <c r="Z1225" s="312"/>
      <c r="AA1225" s="312"/>
      <c r="AB1225" s="312"/>
      <c r="AC1225" s="312"/>
      <c r="AD1225" s="312"/>
      <c r="AE1225" s="312"/>
      <c r="AF1225" s="312"/>
      <c r="AG1225" s="312"/>
      <c r="AH1225" s="312"/>
      <c r="AI1225" s="312"/>
      <c r="AJ1225" s="312"/>
      <c r="AK1225" s="312"/>
      <c r="AL1225" s="312"/>
      <c r="AM1225" s="312"/>
      <c r="AN1225" s="312"/>
      <c r="AO1225" s="312"/>
    </row>
    <row r="1226" spans="1:41" s="73" customFormat="1" ht="15" customHeight="1" x14ac:dyDescent="0.25">
      <c r="A1226" s="400"/>
      <c r="B1226" s="403"/>
      <c r="C1226" s="162" t="s">
        <v>762</v>
      </c>
      <c r="D1226" s="116"/>
      <c r="E1226" s="79" t="s">
        <v>940</v>
      </c>
      <c r="F1226" s="312"/>
      <c r="G1226" s="312"/>
      <c r="H1226" s="312"/>
      <c r="I1226" s="312"/>
      <c r="J1226" s="312"/>
      <c r="K1226" s="312"/>
      <c r="L1226" s="312"/>
      <c r="M1226" s="312"/>
      <c r="N1226" s="312"/>
      <c r="O1226" s="312"/>
      <c r="P1226" s="312"/>
      <c r="Q1226" s="312"/>
      <c r="R1226" s="312"/>
      <c r="S1226" s="312"/>
      <c r="T1226" s="312"/>
      <c r="U1226" s="312"/>
      <c r="V1226" s="312"/>
      <c r="W1226" s="312"/>
      <c r="X1226" s="312"/>
      <c r="Y1226" s="312"/>
      <c r="Z1226" s="312"/>
      <c r="AA1226" s="312"/>
      <c r="AB1226" s="312"/>
      <c r="AC1226" s="312"/>
      <c r="AD1226" s="312"/>
      <c r="AE1226" s="312"/>
      <c r="AF1226" s="312"/>
      <c r="AG1226" s="312"/>
      <c r="AH1226" s="312"/>
      <c r="AI1226" s="312"/>
      <c r="AJ1226" s="312"/>
      <c r="AK1226" s="312"/>
      <c r="AL1226" s="312"/>
      <c r="AM1226" s="312"/>
      <c r="AN1226" s="312"/>
      <c r="AO1226" s="312"/>
    </row>
    <row r="1227" spans="1:41" s="73" customFormat="1" ht="15" customHeight="1" x14ac:dyDescent="0.25">
      <c r="A1227" s="400"/>
      <c r="B1227" s="403"/>
      <c r="C1227" s="162" t="s">
        <v>763</v>
      </c>
      <c r="D1227" s="116"/>
      <c r="E1227" s="79" t="s">
        <v>941</v>
      </c>
      <c r="F1227" s="312"/>
      <c r="G1227" s="312"/>
      <c r="H1227" s="312"/>
      <c r="I1227" s="312"/>
      <c r="J1227" s="312"/>
      <c r="K1227" s="312"/>
      <c r="L1227" s="312"/>
      <c r="M1227" s="312"/>
      <c r="N1227" s="312"/>
      <c r="O1227" s="312"/>
      <c r="P1227" s="312"/>
      <c r="Q1227" s="312"/>
      <c r="R1227" s="312"/>
      <c r="S1227" s="312"/>
      <c r="T1227" s="312"/>
      <c r="U1227" s="312"/>
      <c r="V1227" s="312"/>
      <c r="W1227" s="312"/>
      <c r="X1227" s="312"/>
      <c r="Y1227" s="312"/>
      <c r="Z1227" s="312"/>
      <c r="AA1227" s="312"/>
      <c r="AB1227" s="312"/>
      <c r="AC1227" s="312"/>
      <c r="AD1227" s="312"/>
      <c r="AE1227" s="312"/>
      <c r="AF1227" s="312"/>
      <c r="AG1227" s="312"/>
      <c r="AH1227" s="312"/>
      <c r="AI1227" s="312"/>
      <c r="AJ1227" s="312"/>
      <c r="AK1227" s="312"/>
      <c r="AL1227" s="312"/>
      <c r="AM1227" s="312"/>
      <c r="AN1227" s="312"/>
      <c r="AO1227" s="312"/>
    </row>
    <row r="1228" spans="1:41" s="73" customFormat="1" ht="15" customHeight="1" x14ac:dyDescent="0.25">
      <c r="A1228" s="400"/>
      <c r="B1228" s="403"/>
      <c r="C1228" s="162" t="s">
        <v>764</v>
      </c>
      <c r="D1228" s="116"/>
      <c r="E1228" s="79" t="s">
        <v>942</v>
      </c>
      <c r="F1228" s="312"/>
      <c r="G1228" s="312"/>
      <c r="H1228" s="312"/>
      <c r="I1228" s="312"/>
      <c r="J1228" s="312"/>
      <c r="K1228" s="312"/>
      <c r="L1228" s="312"/>
      <c r="M1228" s="312"/>
      <c r="N1228" s="312"/>
      <c r="O1228" s="312"/>
      <c r="P1228" s="312"/>
      <c r="Q1228" s="312"/>
      <c r="R1228" s="312"/>
      <c r="S1228" s="312"/>
      <c r="T1228" s="312"/>
      <c r="U1228" s="312"/>
      <c r="V1228" s="312"/>
      <c r="W1228" s="312"/>
      <c r="X1228" s="312"/>
      <c r="Y1228" s="312"/>
      <c r="Z1228" s="312"/>
      <c r="AA1228" s="312"/>
      <c r="AB1228" s="312"/>
      <c r="AC1228" s="312"/>
      <c r="AD1228" s="312"/>
      <c r="AE1228" s="312"/>
      <c r="AF1228" s="312"/>
      <c r="AG1228" s="312"/>
      <c r="AH1228" s="312"/>
      <c r="AI1228" s="312"/>
      <c r="AJ1228" s="312"/>
      <c r="AK1228" s="312"/>
      <c r="AL1228" s="312"/>
      <c r="AM1228" s="312"/>
      <c r="AN1228" s="312"/>
      <c r="AO1228" s="312"/>
    </row>
    <row r="1229" spans="1:41" s="73" customFormat="1" ht="15" customHeight="1" x14ac:dyDescent="0.25">
      <c r="A1229" s="400"/>
      <c r="B1229" s="403"/>
      <c r="C1229" s="162" t="s">
        <v>765</v>
      </c>
      <c r="D1229" s="116"/>
      <c r="E1229" s="79" t="s">
        <v>943</v>
      </c>
      <c r="F1229" s="312"/>
      <c r="G1229" s="312"/>
      <c r="H1229" s="312"/>
      <c r="I1229" s="312"/>
      <c r="J1229" s="312"/>
      <c r="K1229" s="312"/>
      <c r="L1229" s="312"/>
      <c r="M1229" s="312"/>
      <c r="N1229" s="312"/>
      <c r="O1229" s="312"/>
      <c r="P1229" s="312"/>
      <c r="Q1229" s="312"/>
      <c r="R1229" s="312"/>
      <c r="S1229" s="312"/>
      <c r="T1229" s="312"/>
      <c r="U1229" s="312"/>
      <c r="V1229" s="312"/>
      <c r="W1229" s="312"/>
      <c r="X1229" s="312"/>
      <c r="Y1229" s="312"/>
      <c r="Z1229" s="312"/>
      <c r="AA1229" s="312"/>
      <c r="AB1229" s="312"/>
      <c r="AC1229" s="312"/>
      <c r="AD1229" s="312"/>
      <c r="AE1229" s="312"/>
      <c r="AF1229" s="312"/>
      <c r="AG1229" s="312"/>
      <c r="AH1229" s="312"/>
      <c r="AI1229" s="312"/>
      <c r="AJ1229" s="312"/>
      <c r="AK1229" s="312"/>
      <c r="AL1229" s="312"/>
      <c r="AM1229" s="312"/>
      <c r="AN1229" s="312"/>
      <c r="AO1229" s="312"/>
    </row>
    <row r="1230" spans="1:41" s="73" customFormat="1" ht="15" customHeight="1" x14ac:dyDescent="0.25">
      <c r="A1230" s="400"/>
      <c r="B1230" s="403"/>
      <c r="C1230" s="162" t="s">
        <v>766</v>
      </c>
      <c r="D1230" s="116"/>
      <c r="E1230" s="79" t="s">
        <v>944</v>
      </c>
      <c r="F1230" s="312"/>
      <c r="G1230" s="312"/>
      <c r="H1230" s="312"/>
      <c r="I1230" s="312"/>
      <c r="J1230" s="312"/>
      <c r="K1230" s="312"/>
      <c r="L1230" s="312"/>
      <c r="M1230" s="312"/>
      <c r="N1230" s="312"/>
      <c r="O1230" s="312"/>
      <c r="P1230" s="312"/>
      <c r="Q1230" s="312"/>
      <c r="R1230" s="312"/>
      <c r="S1230" s="312"/>
      <c r="T1230" s="312"/>
      <c r="U1230" s="312"/>
      <c r="V1230" s="312"/>
      <c r="W1230" s="312"/>
      <c r="X1230" s="312"/>
      <c r="Y1230" s="312"/>
      <c r="Z1230" s="312"/>
      <c r="AA1230" s="312"/>
      <c r="AB1230" s="312"/>
      <c r="AC1230" s="312"/>
      <c r="AD1230" s="312"/>
      <c r="AE1230" s="312"/>
      <c r="AF1230" s="312"/>
      <c r="AG1230" s="312"/>
      <c r="AH1230" s="312"/>
      <c r="AI1230" s="312"/>
      <c r="AJ1230" s="312"/>
      <c r="AK1230" s="312"/>
      <c r="AL1230" s="312"/>
      <c r="AM1230" s="312"/>
      <c r="AN1230" s="312"/>
      <c r="AO1230" s="312"/>
    </row>
    <row r="1231" spans="1:41" s="73" customFormat="1" ht="15" customHeight="1" x14ac:dyDescent="0.25">
      <c r="A1231" s="400"/>
      <c r="B1231" s="403"/>
      <c r="C1231" s="162" t="s">
        <v>767</v>
      </c>
      <c r="D1231" s="116"/>
      <c r="E1231" s="79" t="s">
        <v>945</v>
      </c>
      <c r="F1231" s="312"/>
      <c r="G1231" s="312"/>
      <c r="H1231" s="312"/>
      <c r="I1231" s="312"/>
      <c r="J1231" s="312"/>
      <c r="K1231" s="312"/>
      <c r="L1231" s="312"/>
      <c r="M1231" s="312"/>
      <c r="N1231" s="312"/>
      <c r="O1231" s="312"/>
      <c r="P1231" s="312"/>
      <c r="Q1231" s="312"/>
      <c r="R1231" s="312"/>
      <c r="S1231" s="312"/>
      <c r="T1231" s="312"/>
      <c r="U1231" s="312"/>
      <c r="V1231" s="312"/>
      <c r="W1231" s="312"/>
      <c r="X1231" s="312"/>
      <c r="Y1231" s="312"/>
      <c r="Z1231" s="312"/>
      <c r="AA1231" s="312"/>
      <c r="AB1231" s="312"/>
      <c r="AC1231" s="312"/>
      <c r="AD1231" s="312"/>
      <c r="AE1231" s="312"/>
      <c r="AF1231" s="312"/>
      <c r="AG1231" s="312"/>
      <c r="AH1231" s="312"/>
      <c r="AI1231" s="312"/>
      <c r="AJ1231" s="312"/>
      <c r="AK1231" s="312"/>
      <c r="AL1231" s="312"/>
      <c r="AM1231" s="312"/>
      <c r="AN1231" s="312"/>
      <c r="AO1231" s="312"/>
    </row>
    <row r="1232" spans="1:41" s="73" customFormat="1" ht="15" customHeight="1" x14ac:dyDescent="0.25">
      <c r="A1232" s="400"/>
      <c r="B1232" s="403"/>
      <c r="C1232" s="162" t="s">
        <v>768</v>
      </c>
      <c r="D1232" s="116"/>
      <c r="E1232" s="79" t="s">
        <v>946</v>
      </c>
      <c r="F1232" s="312"/>
      <c r="G1232" s="312"/>
      <c r="H1232" s="312"/>
      <c r="I1232" s="312"/>
      <c r="J1232" s="312"/>
      <c r="K1232" s="312"/>
      <c r="L1232" s="312"/>
      <c r="M1232" s="312"/>
      <c r="N1232" s="312"/>
      <c r="O1232" s="312"/>
      <c r="P1232" s="312"/>
      <c r="Q1232" s="312"/>
      <c r="R1232" s="312"/>
      <c r="S1232" s="312"/>
      <c r="T1232" s="312"/>
      <c r="U1232" s="312"/>
      <c r="V1232" s="312"/>
      <c r="W1232" s="312"/>
      <c r="X1232" s="312"/>
      <c r="Y1232" s="312"/>
      <c r="Z1232" s="312"/>
      <c r="AA1232" s="312"/>
      <c r="AB1232" s="312"/>
      <c r="AC1232" s="312"/>
      <c r="AD1232" s="312"/>
      <c r="AE1232" s="312"/>
      <c r="AF1232" s="312"/>
      <c r="AG1232" s="312"/>
      <c r="AH1232" s="312"/>
      <c r="AI1232" s="312"/>
      <c r="AJ1232" s="312"/>
      <c r="AK1232" s="312"/>
      <c r="AL1232" s="312"/>
      <c r="AM1232" s="312"/>
      <c r="AN1232" s="312"/>
      <c r="AO1232" s="312"/>
    </row>
    <row r="1233" spans="1:41" s="73" customFormat="1" ht="15" customHeight="1" x14ac:dyDescent="0.25">
      <c r="A1233" s="400"/>
      <c r="B1233" s="403"/>
      <c r="C1233" s="162" t="s">
        <v>769</v>
      </c>
      <c r="D1233" s="116"/>
      <c r="E1233" s="79" t="s">
        <v>947</v>
      </c>
      <c r="F1233" s="312"/>
      <c r="G1233" s="312"/>
      <c r="H1233" s="312"/>
      <c r="I1233" s="312"/>
      <c r="J1233" s="312"/>
      <c r="K1233" s="312"/>
      <c r="L1233" s="312"/>
      <c r="M1233" s="312"/>
      <c r="N1233" s="312"/>
      <c r="O1233" s="312"/>
      <c r="P1233" s="312"/>
      <c r="Q1233" s="312"/>
      <c r="R1233" s="312"/>
      <c r="S1233" s="312"/>
      <c r="T1233" s="312"/>
      <c r="U1233" s="312"/>
      <c r="V1233" s="312"/>
      <c r="W1233" s="312"/>
      <c r="X1233" s="312"/>
      <c r="Y1233" s="312"/>
      <c r="Z1233" s="312"/>
      <c r="AA1233" s="312"/>
      <c r="AB1233" s="312"/>
      <c r="AC1233" s="312"/>
      <c r="AD1233" s="312"/>
      <c r="AE1233" s="312"/>
      <c r="AF1233" s="312"/>
      <c r="AG1233" s="312"/>
      <c r="AH1233" s="312"/>
      <c r="AI1233" s="312"/>
      <c r="AJ1233" s="312"/>
      <c r="AK1233" s="312"/>
      <c r="AL1233" s="312"/>
      <c r="AM1233" s="312"/>
      <c r="AN1233" s="312"/>
      <c r="AO1233" s="312"/>
    </row>
    <row r="1234" spans="1:41" s="73" customFormat="1" ht="15" customHeight="1" x14ac:dyDescent="0.25">
      <c r="A1234" s="400"/>
      <c r="B1234" s="403"/>
      <c r="C1234" s="162" t="s">
        <v>770</v>
      </c>
      <c r="D1234" s="116"/>
      <c r="E1234" s="79" t="s">
        <v>948</v>
      </c>
      <c r="F1234" s="312"/>
      <c r="G1234" s="312"/>
      <c r="H1234" s="312"/>
      <c r="I1234" s="312"/>
      <c r="J1234" s="312"/>
      <c r="K1234" s="312"/>
      <c r="L1234" s="312"/>
      <c r="M1234" s="312"/>
      <c r="N1234" s="312"/>
      <c r="O1234" s="312"/>
      <c r="P1234" s="312"/>
      <c r="Q1234" s="312"/>
      <c r="R1234" s="312"/>
      <c r="S1234" s="312"/>
      <c r="T1234" s="312"/>
      <c r="U1234" s="312"/>
      <c r="V1234" s="312"/>
      <c r="W1234" s="312"/>
      <c r="X1234" s="312"/>
      <c r="Y1234" s="312"/>
      <c r="Z1234" s="312"/>
      <c r="AA1234" s="312"/>
      <c r="AB1234" s="312"/>
      <c r="AC1234" s="312"/>
      <c r="AD1234" s="312"/>
      <c r="AE1234" s="312"/>
      <c r="AF1234" s="312"/>
      <c r="AG1234" s="312"/>
      <c r="AH1234" s="312"/>
      <c r="AI1234" s="312"/>
      <c r="AJ1234" s="312"/>
      <c r="AK1234" s="312"/>
      <c r="AL1234" s="312"/>
      <c r="AM1234" s="312"/>
      <c r="AN1234" s="312"/>
      <c r="AO1234" s="312"/>
    </row>
    <row r="1235" spans="1:41" s="108" customFormat="1" ht="15" customHeight="1" x14ac:dyDescent="0.25">
      <c r="A1235" s="400"/>
      <c r="B1235" s="403"/>
      <c r="C1235" s="104" t="s">
        <v>775</v>
      </c>
      <c r="D1235" s="151"/>
      <c r="E1235" s="89" t="s">
        <v>949</v>
      </c>
      <c r="F1235" s="311"/>
      <c r="G1235" s="311"/>
      <c r="H1235" s="311"/>
      <c r="I1235" s="311"/>
      <c r="J1235" s="311"/>
      <c r="K1235" s="311"/>
      <c r="L1235" s="311"/>
      <c r="M1235" s="311"/>
      <c r="N1235" s="311"/>
      <c r="O1235" s="311"/>
      <c r="P1235" s="311"/>
      <c r="Q1235" s="311"/>
      <c r="R1235" s="311"/>
      <c r="S1235" s="311"/>
      <c r="T1235" s="311"/>
      <c r="U1235" s="311"/>
      <c r="V1235" s="311"/>
      <c r="W1235" s="311"/>
      <c r="X1235" s="311"/>
      <c r="Y1235" s="311"/>
      <c r="Z1235" s="311"/>
      <c r="AA1235" s="311"/>
      <c r="AB1235" s="311"/>
      <c r="AC1235" s="311"/>
      <c r="AD1235" s="311"/>
      <c r="AE1235" s="311"/>
      <c r="AF1235" s="311"/>
      <c r="AG1235" s="311"/>
      <c r="AH1235" s="311"/>
      <c r="AI1235" s="311"/>
      <c r="AJ1235" s="311"/>
      <c r="AK1235" s="311"/>
      <c r="AL1235" s="311"/>
      <c r="AM1235" s="311"/>
      <c r="AN1235" s="311"/>
      <c r="AO1235" s="311"/>
    </row>
    <row r="1236" spans="1:41" s="73" customFormat="1" ht="15" customHeight="1" x14ac:dyDescent="0.25">
      <c r="A1236" s="400"/>
      <c r="B1236" s="403"/>
      <c r="C1236" s="162" t="s">
        <v>636</v>
      </c>
      <c r="D1236" s="116"/>
      <c r="E1236" s="79" t="s">
        <v>950</v>
      </c>
      <c r="F1236" s="312"/>
      <c r="G1236" s="312"/>
      <c r="H1236" s="312"/>
      <c r="I1236" s="312"/>
      <c r="J1236" s="312"/>
      <c r="K1236" s="312"/>
      <c r="L1236" s="312"/>
      <c r="M1236" s="312"/>
      <c r="N1236" s="312"/>
      <c r="O1236" s="312"/>
      <c r="P1236" s="312"/>
      <c r="Q1236" s="312"/>
      <c r="R1236" s="312"/>
      <c r="S1236" s="312"/>
      <c r="T1236" s="312"/>
      <c r="U1236" s="312"/>
      <c r="V1236" s="312"/>
      <c r="W1236" s="312"/>
      <c r="X1236" s="312"/>
      <c r="Y1236" s="312"/>
      <c r="Z1236" s="312"/>
      <c r="AA1236" s="312"/>
      <c r="AB1236" s="312"/>
      <c r="AC1236" s="312"/>
      <c r="AD1236" s="312"/>
      <c r="AE1236" s="312"/>
      <c r="AF1236" s="312"/>
      <c r="AG1236" s="312"/>
      <c r="AH1236" s="312"/>
      <c r="AI1236" s="312"/>
      <c r="AJ1236" s="312"/>
      <c r="AK1236" s="312"/>
      <c r="AL1236" s="312"/>
      <c r="AM1236" s="312"/>
      <c r="AN1236" s="312"/>
      <c r="AO1236" s="312"/>
    </row>
    <row r="1237" spans="1:41" s="73" customFormat="1" ht="15" customHeight="1" x14ac:dyDescent="0.25">
      <c r="A1237" s="400"/>
      <c r="B1237" s="403"/>
      <c r="C1237" s="162" t="s">
        <v>637</v>
      </c>
      <c r="D1237" s="116"/>
      <c r="E1237" s="79" t="s">
        <v>951</v>
      </c>
      <c r="F1237" s="312"/>
      <c r="G1237" s="312"/>
      <c r="H1237" s="312"/>
      <c r="I1237" s="312"/>
      <c r="J1237" s="312"/>
      <c r="K1237" s="312"/>
      <c r="L1237" s="312"/>
      <c r="M1237" s="312"/>
      <c r="N1237" s="312"/>
      <c r="O1237" s="312"/>
      <c r="P1237" s="312"/>
      <c r="Q1237" s="312"/>
      <c r="R1237" s="312"/>
      <c r="S1237" s="312"/>
      <c r="T1237" s="312"/>
      <c r="U1237" s="312"/>
      <c r="V1237" s="312"/>
      <c r="W1237" s="312"/>
      <c r="X1237" s="312"/>
      <c r="Y1237" s="312"/>
      <c r="Z1237" s="312"/>
      <c r="AA1237" s="312"/>
      <c r="AB1237" s="312"/>
      <c r="AC1237" s="312"/>
      <c r="AD1237" s="312"/>
      <c r="AE1237" s="312"/>
      <c r="AF1237" s="312"/>
      <c r="AG1237" s="312"/>
      <c r="AH1237" s="312"/>
      <c r="AI1237" s="312"/>
      <c r="AJ1237" s="312"/>
      <c r="AK1237" s="312"/>
      <c r="AL1237" s="312"/>
      <c r="AM1237" s="312"/>
      <c r="AN1237" s="312"/>
      <c r="AO1237" s="312"/>
    </row>
    <row r="1238" spans="1:41" s="73" customFormat="1" ht="15" customHeight="1" x14ac:dyDescent="0.25">
      <c r="A1238" s="400"/>
      <c r="B1238" s="403"/>
      <c r="C1238" s="162" t="s">
        <v>638</v>
      </c>
      <c r="D1238" s="116"/>
      <c r="E1238" s="79" t="s">
        <v>952</v>
      </c>
      <c r="F1238" s="312"/>
      <c r="G1238" s="312"/>
      <c r="H1238" s="312"/>
      <c r="I1238" s="312"/>
      <c r="J1238" s="312"/>
      <c r="K1238" s="312"/>
      <c r="L1238" s="312"/>
      <c r="M1238" s="312"/>
      <c r="N1238" s="312"/>
      <c r="O1238" s="312"/>
      <c r="P1238" s="312"/>
      <c r="Q1238" s="312"/>
      <c r="R1238" s="312"/>
      <c r="S1238" s="312"/>
      <c r="T1238" s="312"/>
      <c r="U1238" s="312"/>
      <c r="V1238" s="312"/>
      <c r="W1238" s="312"/>
      <c r="X1238" s="312"/>
      <c r="Y1238" s="312"/>
      <c r="Z1238" s="312"/>
      <c r="AA1238" s="312"/>
      <c r="AB1238" s="312"/>
      <c r="AC1238" s="312"/>
      <c r="AD1238" s="312"/>
      <c r="AE1238" s="312"/>
      <c r="AF1238" s="312"/>
      <c r="AG1238" s="312"/>
      <c r="AH1238" s="312"/>
      <c r="AI1238" s="312"/>
      <c r="AJ1238" s="312"/>
      <c r="AK1238" s="312"/>
      <c r="AL1238" s="312"/>
      <c r="AM1238" s="312"/>
      <c r="AN1238" s="312"/>
      <c r="AO1238" s="312"/>
    </row>
    <row r="1239" spans="1:41" s="73" customFormat="1" ht="15" customHeight="1" x14ac:dyDescent="0.25">
      <c r="A1239" s="400"/>
      <c r="B1239" s="403"/>
      <c r="C1239" s="162" t="s">
        <v>639</v>
      </c>
      <c r="D1239" s="116"/>
      <c r="E1239" s="79" t="s">
        <v>953</v>
      </c>
      <c r="F1239" s="312"/>
      <c r="G1239" s="312"/>
      <c r="H1239" s="312"/>
      <c r="I1239" s="312"/>
      <c r="J1239" s="312"/>
      <c r="K1239" s="312"/>
      <c r="L1239" s="312"/>
      <c r="M1239" s="312"/>
      <c r="N1239" s="312"/>
      <c r="O1239" s="312"/>
      <c r="P1239" s="312"/>
      <c r="Q1239" s="312"/>
      <c r="R1239" s="312"/>
      <c r="S1239" s="312"/>
      <c r="T1239" s="312"/>
      <c r="U1239" s="312"/>
      <c r="V1239" s="312"/>
      <c r="W1239" s="312"/>
      <c r="X1239" s="312"/>
      <c r="Y1239" s="312"/>
      <c r="Z1239" s="312"/>
      <c r="AA1239" s="312"/>
      <c r="AB1239" s="312"/>
      <c r="AC1239" s="312"/>
      <c r="AD1239" s="312"/>
      <c r="AE1239" s="312"/>
      <c r="AF1239" s="312"/>
      <c r="AG1239" s="312"/>
      <c r="AH1239" s="312"/>
      <c r="AI1239" s="312"/>
      <c r="AJ1239" s="312"/>
      <c r="AK1239" s="312"/>
      <c r="AL1239" s="312"/>
      <c r="AM1239" s="312"/>
      <c r="AN1239" s="312"/>
      <c r="AO1239" s="312"/>
    </row>
    <row r="1240" spans="1:41" s="108" customFormat="1" ht="15" customHeight="1" x14ac:dyDescent="0.25">
      <c r="A1240" s="400"/>
      <c r="B1240" s="403"/>
      <c r="C1240" s="104" t="s">
        <v>776</v>
      </c>
      <c r="D1240" s="151"/>
      <c r="E1240" s="89" t="s">
        <v>954</v>
      </c>
      <c r="F1240" s="311"/>
      <c r="G1240" s="311"/>
      <c r="H1240" s="311"/>
      <c r="I1240" s="311"/>
      <c r="J1240" s="311"/>
      <c r="K1240" s="311"/>
      <c r="L1240" s="311"/>
      <c r="M1240" s="311"/>
      <c r="N1240" s="311"/>
      <c r="O1240" s="311"/>
      <c r="P1240" s="311"/>
      <c r="Q1240" s="311"/>
      <c r="R1240" s="311"/>
      <c r="S1240" s="311"/>
      <c r="T1240" s="311"/>
      <c r="U1240" s="311"/>
      <c r="V1240" s="311"/>
      <c r="W1240" s="311"/>
      <c r="X1240" s="311"/>
      <c r="Y1240" s="311"/>
      <c r="Z1240" s="311"/>
      <c r="AA1240" s="311"/>
      <c r="AB1240" s="311"/>
      <c r="AC1240" s="311"/>
      <c r="AD1240" s="311"/>
      <c r="AE1240" s="311"/>
      <c r="AF1240" s="311"/>
      <c r="AG1240" s="311"/>
      <c r="AH1240" s="311"/>
      <c r="AI1240" s="311"/>
      <c r="AJ1240" s="311"/>
      <c r="AK1240" s="311"/>
      <c r="AL1240" s="311"/>
      <c r="AM1240" s="311"/>
      <c r="AN1240" s="311"/>
      <c r="AO1240" s="311"/>
    </row>
    <row r="1241" spans="1:41" s="73" customFormat="1" ht="15" customHeight="1" x14ac:dyDescent="0.25">
      <c r="A1241" s="400"/>
      <c r="B1241" s="403"/>
      <c r="C1241" s="162" t="s">
        <v>640</v>
      </c>
      <c r="D1241" s="116"/>
      <c r="E1241" s="79" t="s">
        <v>955</v>
      </c>
      <c r="F1241" s="312"/>
      <c r="G1241" s="312"/>
      <c r="H1241" s="312"/>
      <c r="I1241" s="312"/>
      <c r="J1241" s="312"/>
      <c r="K1241" s="312"/>
      <c r="L1241" s="312"/>
      <c r="M1241" s="312"/>
      <c r="N1241" s="312"/>
      <c r="O1241" s="312"/>
      <c r="P1241" s="312"/>
      <c r="Q1241" s="312"/>
      <c r="R1241" s="312"/>
      <c r="S1241" s="312"/>
      <c r="T1241" s="312"/>
      <c r="U1241" s="312"/>
      <c r="V1241" s="312"/>
      <c r="W1241" s="312"/>
      <c r="X1241" s="312"/>
      <c r="Y1241" s="312"/>
      <c r="Z1241" s="312"/>
      <c r="AA1241" s="312"/>
      <c r="AB1241" s="312"/>
      <c r="AC1241" s="312"/>
      <c r="AD1241" s="312"/>
      <c r="AE1241" s="312"/>
      <c r="AF1241" s="312"/>
      <c r="AG1241" s="312"/>
      <c r="AH1241" s="312"/>
      <c r="AI1241" s="312"/>
      <c r="AJ1241" s="312"/>
      <c r="AK1241" s="312"/>
      <c r="AL1241" s="312"/>
      <c r="AM1241" s="312"/>
      <c r="AN1241" s="312"/>
      <c r="AO1241" s="312"/>
    </row>
    <row r="1242" spans="1:41" s="73" customFormat="1" ht="15" customHeight="1" x14ac:dyDescent="0.25">
      <c r="A1242" s="400"/>
      <c r="B1242" s="403"/>
      <c r="C1242" s="162" t="s">
        <v>641</v>
      </c>
      <c r="D1242" s="116"/>
      <c r="E1242" s="79" t="s">
        <v>956</v>
      </c>
      <c r="F1242" s="312"/>
      <c r="G1242" s="312"/>
      <c r="H1242" s="312"/>
      <c r="I1242" s="312"/>
      <c r="J1242" s="312"/>
      <c r="K1242" s="312"/>
      <c r="L1242" s="312"/>
      <c r="M1242" s="312"/>
      <c r="N1242" s="312"/>
      <c r="O1242" s="312"/>
      <c r="P1242" s="312"/>
      <c r="Q1242" s="312"/>
      <c r="R1242" s="312"/>
      <c r="S1242" s="312"/>
      <c r="T1242" s="312"/>
      <c r="U1242" s="312"/>
      <c r="V1242" s="312"/>
      <c r="W1242" s="312"/>
      <c r="X1242" s="312"/>
      <c r="Y1242" s="312"/>
      <c r="Z1242" s="312"/>
      <c r="AA1242" s="312"/>
      <c r="AB1242" s="312"/>
      <c r="AC1242" s="312"/>
      <c r="AD1242" s="312"/>
      <c r="AE1242" s="312"/>
      <c r="AF1242" s="312"/>
      <c r="AG1242" s="312"/>
      <c r="AH1242" s="312"/>
      <c r="AI1242" s="312"/>
      <c r="AJ1242" s="312"/>
      <c r="AK1242" s="312"/>
      <c r="AL1242" s="312"/>
      <c r="AM1242" s="312"/>
      <c r="AN1242" s="312"/>
      <c r="AO1242" s="312"/>
    </row>
    <row r="1243" spans="1:41" s="108" customFormat="1" ht="15" customHeight="1" x14ac:dyDescent="0.25">
      <c r="A1243" s="400"/>
      <c r="B1243" s="403"/>
      <c r="C1243" s="104" t="s">
        <v>777</v>
      </c>
      <c r="D1243" s="151"/>
      <c r="E1243" s="89" t="s">
        <v>957</v>
      </c>
      <c r="F1243" s="311"/>
      <c r="G1243" s="311"/>
      <c r="H1243" s="311"/>
      <c r="I1243" s="311"/>
      <c r="J1243" s="311"/>
      <c r="K1243" s="311"/>
      <c r="L1243" s="311"/>
      <c r="M1243" s="311"/>
      <c r="N1243" s="311"/>
      <c r="O1243" s="311"/>
      <c r="P1243" s="311"/>
      <c r="Q1243" s="311"/>
      <c r="R1243" s="311"/>
      <c r="S1243" s="311"/>
      <c r="T1243" s="311"/>
      <c r="U1243" s="311"/>
      <c r="V1243" s="311"/>
      <c r="W1243" s="311"/>
      <c r="X1243" s="311"/>
      <c r="Y1243" s="311"/>
      <c r="Z1243" s="311"/>
      <c r="AA1243" s="311"/>
      <c r="AB1243" s="311"/>
      <c r="AC1243" s="311"/>
      <c r="AD1243" s="311"/>
      <c r="AE1243" s="311"/>
      <c r="AF1243" s="311"/>
      <c r="AG1243" s="311"/>
      <c r="AH1243" s="311"/>
      <c r="AI1243" s="311"/>
      <c r="AJ1243" s="311"/>
      <c r="AK1243" s="311"/>
      <c r="AL1243" s="311"/>
      <c r="AM1243" s="311"/>
      <c r="AN1243" s="311"/>
      <c r="AO1243" s="311"/>
    </row>
    <row r="1244" spans="1:41" s="73" customFormat="1" ht="15" customHeight="1" x14ac:dyDescent="0.25">
      <c r="A1244" s="400"/>
      <c r="B1244" s="403"/>
      <c r="C1244" s="162" t="s">
        <v>486</v>
      </c>
      <c r="D1244" s="116"/>
      <c r="E1244" s="79" t="s">
        <v>958</v>
      </c>
      <c r="F1244" s="312"/>
      <c r="G1244" s="312"/>
      <c r="H1244" s="312"/>
      <c r="I1244" s="312"/>
      <c r="J1244" s="312"/>
      <c r="K1244" s="312"/>
      <c r="L1244" s="312"/>
      <c r="M1244" s="312"/>
      <c r="N1244" s="312"/>
      <c r="O1244" s="312"/>
      <c r="P1244" s="312"/>
      <c r="Q1244" s="312"/>
      <c r="R1244" s="312"/>
      <c r="S1244" s="312"/>
      <c r="T1244" s="312"/>
      <c r="U1244" s="312"/>
      <c r="V1244" s="312"/>
      <c r="W1244" s="312"/>
      <c r="X1244" s="312"/>
      <c r="Y1244" s="312"/>
      <c r="Z1244" s="312"/>
      <c r="AA1244" s="312"/>
      <c r="AB1244" s="312"/>
      <c r="AC1244" s="312"/>
      <c r="AD1244" s="312"/>
      <c r="AE1244" s="312"/>
      <c r="AF1244" s="312"/>
      <c r="AG1244" s="312"/>
      <c r="AH1244" s="312"/>
      <c r="AI1244" s="312"/>
      <c r="AJ1244" s="312"/>
      <c r="AK1244" s="312"/>
      <c r="AL1244" s="312"/>
      <c r="AM1244" s="312"/>
      <c r="AN1244" s="312"/>
      <c r="AO1244" s="312"/>
    </row>
    <row r="1245" spans="1:41" s="73" customFormat="1" ht="15" customHeight="1" x14ac:dyDescent="0.25">
      <c r="A1245" s="400"/>
      <c r="B1245" s="403"/>
      <c r="C1245" s="162" t="s">
        <v>487</v>
      </c>
      <c r="D1245" s="116"/>
      <c r="E1245" s="79" t="s">
        <v>959</v>
      </c>
      <c r="F1245" s="312"/>
      <c r="G1245" s="312"/>
      <c r="H1245" s="312"/>
      <c r="I1245" s="312"/>
      <c r="J1245" s="312"/>
      <c r="K1245" s="312"/>
      <c r="L1245" s="312"/>
      <c r="M1245" s="312"/>
      <c r="N1245" s="312"/>
      <c r="O1245" s="312"/>
      <c r="P1245" s="312"/>
      <c r="Q1245" s="312"/>
      <c r="R1245" s="312"/>
      <c r="S1245" s="312"/>
      <c r="T1245" s="312"/>
      <c r="U1245" s="312"/>
      <c r="V1245" s="312"/>
      <c r="W1245" s="312"/>
      <c r="X1245" s="312"/>
      <c r="Y1245" s="312"/>
      <c r="Z1245" s="312"/>
      <c r="AA1245" s="312"/>
      <c r="AB1245" s="312"/>
      <c r="AC1245" s="312"/>
      <c r="AD1245" s="312"/>
      <c r="AE1245" s="312"/>
      <c r="AF1245" s="312"/>
      <c r="AG1245" s="312"/>
      <c r="AH1245" s="312"/>
      <c r="AI1245" s="312"/>
      <c r="AJ1245" s="312"/>
      <c r="AK1245" s="312"/>
      <c r="AL1245" s="312"/>
      <c r="AM1245" s="312"/>
      <c r="AN1245" s="312"/>
      <c r="AO1245" s="312"/>
    </row>
    <row r="1246" spans="1:41" s="73" customFormat="1" ht="15" customHeight="1" x14ac:dyDescent="0.25">
      <c r="A1246" s="400"/>
      <c r="B1246" s="403"/>
      <c r="C1246" s="162" t="s">
        <v>490</v>
      </c>
      <c r="D1246" s="116"/>
      <c r="E1246" s="79" t="s">
        <v>960</v>
      </c>
      <c r="F1246" s="312"/>
      <c r="G1246" s="312"/>
      <c r="H1246" s="312"/>
      <c r="I1246" s="312"/>
      <c r="J1246" s="312"/>
      <c r="K1246" s="312"/>
      <c r="L1246" s="312"/>
      <c r="M1246" s="312"/>
      <c r="N1246" s="312"/>
      <c r="O1246" s="312"/>
      <c r="P1246" s="312"/>
      <c r="Q1246" s="312"/>
      <c r="R1246" s="312"/>
      <c r="S1246" s="312"/>
      <c r="T1246" s="312"/>
      <c r="U1246" s="312"/>
      <c r="V1246" s="312"/>
      <c r="W1246" s="312"/>
      <c r="X1246" s="312"/>
      <c r="Y1246" s="312"/>
      <c r="Z1246" s="312"/>
      <c r="AA1246" s="312"/>
      <c r="AB1246" s="312"/>
      <c r="AC1246" s="312"/>
      <c r="AD1246" s="312"/>
      <c r="AE1246" s="312"/>
      <c r="AF1246" s="312"/>
      <c r="AG1246" s="312"/>
      <c r="AH1246" s="312"/>
      <c r="AI1246" s="312"/>
      <c r="AJ1246" s="312"/>
      <c r="AK1246" s="312"/>
      <c r="AL1246" s="312"/>
      <c r="AM1246" s="312"/>
      <c r="AN1246" s="312"/>
      <c r="AO1246" s="312"/>
    </row>
    <row r="1247" spans="1:41" s="73" customFormat="1" ht="15" customHeight="1" x14ac:dyDescent="0.25">
      <c r="A1247" s="400"/>
      <c r="B1247" s="403"/>
      <c r="C1247" s="162" t="s">
        <v>491</v>
      </c>
      <c r="D1247" s="116"/>
      <c r="E1247" s="79" t="s">
        <v>961</v>
      </c>
      <c r="F1247" s="312"/>
      <c r="G1247" s="312"/>
      <c r="H1247" s="312"/>
      <c r="I1247" s="312"/>
      <c r="J1247" s="312"/>
      <c r="K1247" s="312"/>
      <c r="L1247" s="312"/>
      <c r="M1247" s="312"/>
      <c r="N1247" s="312"/>
      <c r="O1247" s="312"/>
      <c r="P1247" s="312"/>
      <c r="Q1247" s="312"/>
      <c r="R1247" s="312"/>
      <c r="S1247" s="312"/>
      <c r="T1247" s="312"/>
      <c r="U1247" s="312"/>
      <c r="V1247" s="312"/>
      <c r="W1247" s="312"/>
      <c r="X1247" s="312"/>
      <c r="Y1247" s="312"/>
      <c r="Z1247" s="312"/>
      <c r="AA1247" s="312"/>
      <c r="AB1247" s="312"/>
      <c r="AC1247" s="312"/>
      <c r="AD1247" s="312"/>
      <c r="AE1247" s="312"/>
      <c r="AF1247" s="312"/>
      <c r="AG1247" s="312"/>
      <c r="AH1247" s="312"/>
      <c r="AI1247" s="312"/>
      <c r="AJ1247" s="312"/>
      <c r="AK1247" s="312"/>
      <c r="AL1247" s="312"/>
      <c r="AM1247" s="312"/>
      <c r="AN1247" s="312"/>
      <c r="AO1247" s="312"/>
    </row>
    <row r="1248" spans="1:41" s="108" customFormat="1" ht="15" customHeight="1" x14ac:dyDescent="0.25">
      <c r="A1248" s="400"/>
      <c r="B1248" s="403"/>
      <c r="C1248" s="104" t="s">
        <v>563</v>
      </c>
      <c r="D1248" s="151"/>
      <c r="E1248" s="89" t="s">
        <v>962</v>
      </c>
      <c r="F1248" s="311"/>
      <c r="G1248" s="311"/>
      <c r="H1248" s="311"/>
      <c r="I1248" s="311"/>
      <c r="J1248" s="311"/>
      <c r="K1248" s="311"/>
      <c r="L1248" s="311"/>
      <c r="M1248" s="311"/>
      <c r="N1248" s="311"/>
      <c r="O1248" s="311"/>
      <c r="P1248" s="311"/>
      <c r="Q1248" s="311"/>
      <c r="R1248" s="311"/>
      <c r="S1248" s="311"/>
      <c r="T1248" s="311"/>
      <c r="U1248" s="311"/>
      <c r="V1248" s="311"/>
      <c r="W1248" s="311"/>
      <c r="X1248" s="311"/>
      <c r="Y1248" s="311"/>
      <c r="Z1248" s="311"/>
      <c r="AA1248" s="311"/>
      <c r="AB1248" s="311"/>
      <c r="AC1248" s="311"/>
      <c r="AD1248" s="311"/>
      <c r="AE1248" s="311"/>
      <c r="AF1248" s="311"/>
      <c r="AG1248" s="311"/>
      <c r="AH1248" s="311"/>
      <c r="AI1248" s="311"/>
      <c r="AJ1248" s="311"/>
      <c r="AK1248" s="311"/>
      <c r="AL1248" s="311"/>
      <c r="AM1248" s="311"/>
      <c r="AN1248" s="311"/>
      <c r="AO1248" s="311"/>
    </row>
    <row r="1249" spans="1:41" s="73" customFormat="1" ht="15" customHeight="1" x14ac:dyDescent="0.25">
      <c r="A1249" s="400"/>
      <c r="B1249" s="403"/>
      <c r="C1249" s="162" t="s">
        <v>494</v>
      </c>
      <c r="D1249" s="116"/>
      <c r="E1249" s="79" t="s">
        <v>963</v>
      </c>
      <c r="F1249" s="312"/>
      <c r="G1249" s="312"/>
      <c r="H1249" s="312"/>
      <c r="I1249" s="312"/>
      <c r="J1249" s="312"/>
      <c r="K1249" s="312"/>
      <c r="L1249" s="312"/>
      <c r="M1249" s="312"/>
      <c r="N1249" s="312"/>
      <c r="O1249" s="312"/>
      <c r="P1249" s="312"/>
      <c r="Q1249" s="312"/>
      <c r="R1249" s="312"/>
      <c r="S1249" s="312"/>
      <c r="T1249" s="312"/>
      <c r="U1249" s="312"/>
      <c r="V1249" s="312"/>
      <c r="W1249" s="312"/>
      <c r="X1249" s="312"/>
      <c r="Y1249" s="312"/>
      <c r="Z1249" s="312"/>
      <c r="AA1249" s="312"/>
      <c r="AB1249" s="312"/>
      <c r="AC1249" s="312"/>
      <c r="AD1249" s="312"/>
      <c r="AE1249" s="312"/>
      <c r="AF1249" s="312"/>
      <c r="AG1249" s="312"/>
      <c r="AH1249" s="312"/>
      <c r="AI1249" s="312"/>
      <c r="AJ1249" s="312"/>
      <c r="AK1249" s="312"/>
      <c r="AL1249" s="312"/>
      <c r="AM1249" s="312"/>
      <c r="AN1249" s="312"/>
      <c r="AO1249" s="312"/>
    </row>
    <row r="1250" spans="1:41" s="73" customFormat="1" ht="15" customHeight="1" x14ac:dyDescent="0.25">
      <c r="A1250" s="400"/>
      <c r="B1250" s="403"/>
      <c r="C1250" s="162" t="s">
        <v>495</v>
      </c>
      <c r="D1250" s="116"/>
      <c r="E1250" s="79" t="s">
        <v>964</v>
      </c>
      <c r="F1250" s="312"/>
      <c r="G1250" s="312"/>
      <c r="H1250" s="312"/>
      <c r="I1250" s="312"/>
      <c r="J1250" s="312"/>
      <c r="K1250" s="312"/>
      <c r="L1250" s="312"/>
      <c r="M1250" s="312"/>
      <c r="N1250" s="312"/>
      <c r="O1250" s="312"/>
      <c r="P1250" s="312"/>
      <c r="Q1250" s="312"/>
      <c r="R1250" s="312"/>
      <c r="S1250" s="312"/>
      <c r="T1250" s="312"/>
      <c r="U1250" s="312"/>
      <c r="V1250" s="312"/>
      <c r="W1250" s="312"/>
      <c r="X1250" s="312"/>
      <c r="Y1250" s="312"/>
      <c r="Z1250" s="312"/>
      <c r="AA1250" s="312"/>
      <c r="AB1250" s="312"/>
      <c r="AC1250" s="312"/>
      <c r="AD1250" s="312"/>
      <c r="AE1250" s="312"/>
      <c r="AF1250" s="312"/>
      <c r="AG1250" s="312"/>
      <c r="AH1250" s="312"/>
      <c r="AI1250" s="312"/>
      <c r="AJ1250" s="312"/>
      <c r="AK1250" s="312"/>
      <c r="AL1250" s="312"/>
      <c r="AM1250" s="312"/>
      <c r="AN1250" s="312"/>
      <c r="AO1250" s="312"/>
    </row>
    <row r="1251" spans="1:41" s="73" customFormat="1" ht="15" customHeight="1" x14ac:dyDescent="0.25">
      <c r="A1251" s="400"/>
      <c r="B1251" s="403"/>
      <c r="C1251" s="162" t="s">
        <v>496</v>
      </c>
      <c r="D1251" s="116"/>
      <c r="E1251" s="79" t="s">
        <v>965</v>
      </c>
      <c r="F1251" s="312"/>
      <c r="G1251" s="312"/>
      <c r="H1251" s="312"/>
      <c r="I1251" s="312"/>
      <c r="J1251" s="312"/>
      <c r="K1251" s="312"/>
      <c r="L1251" s="312"/>
      <c r="M1251" s="312"/>
      <c r="N1251" s="312"/>
      <c r="O1251" s="312"/>
      <c r="P1251" s="312"/>
      <c r="Q1251" s="312"/>
      <c r="R1251" s="312"/>
      <c r="S1251" s="312"/>
      <c r="T1251" s="312"/>
      <c r="U1251" s="312"/>
      <c r="V1251" s="312"/>
      <c r="W1251" s="312"/>
      <c r="X1251" s="312"/>
      <c r="Y1251" s="312"/>
      <c r="Z1251" s="312"/>
      <c r="AA1251" s="312"/>
      <c r="AB1251" s="312"/>
      <c r="AC1251" s="312"/>
      <c r="AD1251" s="312"/>
      <c r="AE1251" s="312"/>
      <c r="AF1251" s="312"/>
      <c r="AG1251" s="312"/>
      <c r="AH1251" s="312"/>
      <c r="AI1251" s="312"/>
      <c r="AJ1251" s="312"/>
      <c r="AK1251" s="312"/>
      <c r="AL1251" s="312"/>
      <c r="AM1251" s="312"/>
      <c r="AN1251" s="312"/>
      <c r="AO1251" s="312"/>
    </row>
    <row r="1252" spans="1:41" s="73" customFormat="1" ht="15" customHeight="1" x14ac:dyDescent="0.25">
      <c r="A1252" s="400"/>
      <c r="B1252" s="403"/>
      <c r="C1252" s="162" t="s">
        <v>497</v>
      </c>
      <c r="D1252" s="116"/>
      <c r="E1252" s="79" t="s">
        <v>966</v>
      </c>
      <c r="F1252" s="312"/>
      <c r="G1252" s="312"/>
      <c r="H1252" s="312"/>
      <c r="I1252" s="312"/>
      <c r="J1252" s="312"/>
      <c r="K1252" s="312"/>
      <c r="L1252" s="312"/>
      <c r="M1252" s="312"/>
      <c r="N1252" s="312"/>
      <c r="O1252" s="312"/>
      <c r="P1252" s="312"/>
      <c r="Q1252" s="312"/>
      <c r="R1252" s="312"/>
      <c r="S1252" s="312"/>
      <c r="T1252" s="312"/>
      <c r="U1252" s="312"/>
      <c r="V1252" s="312"/>
      <c r="W1252" s="312"/>
      <c r="X1252" s="312"/>
      <c r="Y1252" s="312"/>
      <c r="Z1252" s="312"/>
      <c r="AA1252" s="312"/>
      <c r="AB1252" s="312"/>
      <c r="AC1252" s="312"/>
      <c r="AD1252" s="312"/>
      <c r="AE1252" s="312"/>
      <c r="AF1252" s="312"/>
      <c r="AG1252" s="312"/>
      <c r="AH1252" s="312"/>
      <c r="AI1252" s="312"/>
      <c r="AJ1252" s="312"/>
      <c r="AK1252" s="312"/>
      <c r="AL1252" s="312"/>
      <c r="AM1252" s="312"/>
      <c r="AN1252" s="312"/>
      <c r="AO1252" s="312"/>
    </row>
    <row r="1253" spans="1:41" s="73" customFormat="1" ht="15" customHeight="1" x14ac:dyDescent="0.25">
      <c r="A1253" s="400"/>
      <c r="B1253" s="403"/>
      <c r="C1253" s="162" t="s">
        <v>498</v>
      </c>
      <c r="D1253" s="116"/>
      <c r="E1253" s="79" t="s">
        <v>967</v>
      </c>
      <c r="F1253" s="312"/>
      <c r="G1253" s="312"/>
      <c r="H1253" s="312"/>
      <c r="I1253" s="312"/>
      <c r="J1253" s="312"/>
      <c r="K1253" s="312"/>
      <c r="L1253" s="312"/>
      <c r="M1253" s="312"/>
      <c r="N1253" s="312"/>
      <c r="O1253" s="312"/>
      <c r="P1253" s="312"/>
      <c r="Q1253" s="312"/>
      <c r="R1253" s="312"/>
      <c r="S1253" s="312"/>
      <c r="T1253" s="312"/>
      <c r="U1253" s="312"/>
      <c r="V1253" s="312"/>
      <c r="W1253" s="312"/>
      <c r="X1253" s="312"/>
      <c r="Y1253" s="312"/>
      <c r="Z1253" s="312"/>
      <c r="AA1253" s="312"/>
      <c r="AB1253" s="312"/>
      <c r="AC1253" s="312"/>
      <c r="AD1253" s="312"/>
      <c r="AE1253" s="312"/>
      <c r="AF1253" s="312"/>
      <c r="AG1253" s="312"/>
      <c r="AH1253" s="312"/>
      <c r="AI1253" s="312"/>
      <c r="AJ1253" s="312"/>
      <c r="AK1253" s="312"/>
      <c r="AL1253" s="312"/>
      <c r="AM1253" s="312"/>
      <c r="AN1253" s="312"/>
      <c r="AO1253" s="312"/>
    </row>
    <row r="1254" spans="1:41" s="73" customFormat="1" ht="15" customHeight="1" x14ac:dyDescent="0.25">
      <c r="A1254" s="400"/>
      <c r="B1254" s="403"/>
      <c r="C1254" s="162" t="s">
        <v>499</v>
      </c>
      <c r="D1254" s="116"/>
      <c r="E1254" s="79" t="s">
        <v>968</v>
      </c>
      <c r="F1254" s="312"/>
      <c r="G1254" s="312"/>
      <c r="H1254" s="312"/>
      <c r="I1254" s="312"/>
      <c r="J1254" s="312"/>
      <c r="K1254" s="312"/>
      <c r="L1254" s="312"/>
      <c r="M1254" s="312"/>
      <c r="N1254" s="312"/>
      <c r="O1254" s="312"/>
      <c r="P1254" s="312"/>
      <c r="Q1254" s="312"/>
      <c r="R1254" s="312"/>
      <c r="S1254" s="312"/>
      <c r="T1254" s="312"/>
      <c r="U1254" s="312"/>
      <c r="V1254" s="312"/>
      <c r="W1254" s="312"/>
      <c r="X1254" s="312"/>
      <c r="Y1254" s="312"/>
      <c r="Z1254" s="312"/>
      <c r="AA1254" s="312"/>
      <c r="AB1254" s="312"/>
      <c r="AC1254" s="312"/>
      <c r="AD1254" s="312"/>
      <c r="AE1254" s="312"/>
      <c r="AF1254" s="312"/>
      <c r="AG1254" s="312"/>
      <c r="AH1254" s="312"/>
      <c r="AI1254" s="312"/>
      <c r="AJ1254" s="312"/>
      <c r="AK1254" s="312"/>
      <c r="AL1254" s="312"/>
      <c r="AM1254" s="312"/>
      <c r="AN1254" s="312"/>
      <c r="AO1254" s="312"/>
    </row>
    <row r="1255" spans="1:41" s="73" customFormat="1" ht="15" customHeight="1" x14ac:dyDescent="0.25">
      <c r="A1255" s="400"/>
      <c r="B1255" s="403"/>
      <c r="C1255" s="162" t="s">
        <v>500</v>
      </c>
      <c r="D1255" s="116"/>
      <c r="E1255" s="79" t="s">
        <v>969</v>
      </c>
      <c r="F1255" s="312"/>
      <c r="G1255" s="312"/>
      <c r="H1255" s="312"/>
      <c r="I1255" s="312"/>
      <c r="J1255" s="312"/>
      <c r="K1255" s="312"/>
      <c r="L1255" s="312"/>
      <c r="M1255" s="312"/>
      <c r="N1255" s="312"/>
      <c r="O1255" s="312"/>
      <c r="P1255" s="312"/>
      <c r="Q1255" s="312"/>
      <c r="R1255" s="312"/>
      <c r="S1255" s="312"/>
      <c r="T1255" s="312"/>
      <c r="U1255" s="312"/>
      <c r="V1255" s="312"/>
      <c r="W1255" s="312"/>
      <c r="X1255" s="312"/>
      <c r="Y1255" s="312"/>
      <c r="Z1255" s="312"/>
      <c r="AA1255" s="312"/>
      <c r="AB1255" s="312"/>
      <c r="AC1255" s="312"/>
      <c r="AD1255" s="312"/>
      <c r="AE1255" s="312"/>
      <c r="AF1255" s="312"/>
      <c r="AG1255" s="312"/>
      <c r="AH1255" s="312"/>
      <c r="AI1255" s="312"/>
      <c r="AJ1255" s="312"/>
      <c r="AK1255" s="312"/>
      <c r="AL1255" s="312"/>
      <c r="AM1255" s="312"/>
      <c r="AN1255" s="312"/>
      <c r="AO1255" s="312"/>
    </row>
    <row r="1256" spans="1:41" s="73" customFormat="1" ht="15" customHeight="1" x14ac:dyDescent="0.25">
      <c r="A1256" s="400"/>
      <c r="B1256" s="403"/>
      <c r="C1256" s="162" t="s">
        <v>501</v>
      </c>
      <c r="D1256" s="116"/>
      <c r="E1256" s="79" t="s">
        <v>970</v>
      </c>
      <c r="F1256" s="312"/>
      <c r="G1256" s="312"/>
      <c r="H1256" s="312"/>
      <c r="I1256" s="312"/>
      <c r="J1256" s="312"/>
      <c r="K1256" s="312"/>
      <c r="L1256" s="312"/>
      <c r="M1256" s="312"/>
      <c r="N1256" s="312"/>
      <c r="O1256" s="312"/>
      <c r="P1256" s="312"/>
      <c r="Q1256" s="312"/>
      <c r="R1256" s="312"/>
      <c r="S1256" s="312"/>
      <c r="T1256" s="312"/>
      <c r="U1256" s="312"/>
      <c r="V1256" s="312"/>
      <c r="W1256" s="312"/>
      <c r="X1256" s="312"/>
      <c r="Y1256" s="312"/>
      <c r="Z1256" s="312"/>
      <c r="AA1256" s="312"/>
      <c r="AB1256" s="312"/>
      <c r="AC1256" s="312"/>
      <c r="AD1256" s="312"/>
      <c r="AE1256" s="312"/>
      <c r="AF1256" s="312"/>
      <c r="AG1256" s="312"/>
      <c r="AH1256" s="312"/>
      <c r="AI1256" s="312"/>
      <c r="AJ1256" s="312"/>
      <c r="AK1256" s="312"/>
      <c r="AL1256" s="312"/>
      <c r="AM1256" s="312"/>
      <c r="AN1256" s="312"/>
      <c r="AO1256" s="312"/>
    </row>
    <row r="1257" spans="1:41" s="73" customFormat="1" ht="15" customHeight="1" x14ac:dyDescent="0.25">
      <c r="A1257" s="400"/>
      <c r="B1257" s="403"/>
      <c r="C1257" s="163" t="s">
        <v>502</v>
      </c>
      <c r="D1257" s="117"/>
      <c r="E1257" s="52" t="s">
        <v>971</v>
      </c>
      <c r="F1257" s="313"/>
      <c r="G1257" s="313"/>
      <c r="H1257" s="313"/>
      <c r="I1257" s="313"/>
      <c r="J1257" s="313"/>
      <c r="K1257" s="313"/>
      <c r="L1257" s="313"/>
      <c r="M1257" s="313"/>
      <c r="N1257" s="313"/>
      <c r="O1257" s="313"/>
      <c r="P1257" s="313"/>
      <c r="Q1257" s="313"/>
      <c r="R1257" s="313"/>
      <c r="S1257" s="313"/>
      <c r="T1257" s="313"/>
      <c r="U1257" s="313"/>
      <c r="V1257" s="313"/>
      <c r="W1257" s="313"/>
      <c r="X1257" s="313"/>
      <c r="Y1257" s="313"/>
      <c r="Z1257" s="313"/>
      <c r="AA1257" s="313"/>
      <c r="AB1257" s="313"/>
      <c r="AC1257" s="313"/>
      <c r="AD1257" s="313"/>
      <c r="AE1257" s="313"/>
      <c r="AF1257" s="313"/>
      <c r="AG1257" s="313"/>
      <c r="AH1257" s="313"/>
      <c r="AI1257" s="313"/>
      <c r="AJ1257" s="313"/>
      <c r="AK1257" s="313"/>
      <c r="AL1257" s="313"/>
      <c r="AM1257" s="313"/>
      <c r="AN1257" s="313"/>
      <c r="AO1257" s="313"/>
    </row>
    <row r="1258" spans="1:41" s="108" customFormat="1" ht="15" customHeight="1" x14ac:dyDescent="0.25">
      <c r="A1258" s="400"/>
      <c r="B1258" s="403"/>
      <c r="C1258" s="104" t="s">
        <v>816</v>
      </c>
      <c r="D1258" s="151"/>
      <c r="E1258" s="89" t="s">
        <v>933</v>
      </c>
      <c r="F1258" s="311"/>
      <c r="G1258" s="311"/>
      <c r="H1258" s="311"/>
      <c r="I1258" s="311"/>
      <c r="J1258" s="311"/>
      <c r="K1258" s="311"/>
      <c r="L1258" s="311"/>
      <c r="M1258" s="311"/>
      <c r="N1258" s="311"/>
      <c r="O1258" s="311"/>
      <c r="P1258" s="311"/>
      <c r="Q1258" s="311"/>
      <c r="R1258" s="311"/>
      <c r="S1258" s="311"/>
      <c r="T1258" s="311"/>
      <c r="U1258" s="311"/>
      <c r="V1258" s="311"/>
      <c r="W1258" s="311"/>
      <c r="X1258" s="311"/>
      <c r="Y1258" s="311"/>
      <c r="Z1258" s="311"/>
      <c r="AA1258" s="311"/>
      <c r="AB1258" s="311"/>
      <c r="AC1258" s="311"/>
      <c r="AD1258" s="311"/>
      <c r="AE1258" s="311"/>
      <c r="AF1258" s="311"/>
      <c r="AG1258" s="311"/>
      <c r="AH1258" s="311"/>
      <c r="AI1258" s="311"/>
      <c r="AJ1258" s="311"/>
      <c r="AK1258" s="311"/>
      <c r="AL1258" s="311"/>
      <c r="AM1258" s="311"/>
      <c r="AN1258" s="311"/>
      <c r="AO1258" s="311"/>
    </row>
    <row r="1259" spans="1:41" s="108" customFormat="1" ht="15" customHeight="1" x14ac:dyDescent="0.25">
      <c r="A1259" s="400"/>
      <c r="B1259" s="403"/>
      <c r="C1259" s="104" t="s">
        <v>817</v>
      </c>
      <c r="D1259" s="151"/>
      <c r="E1259" s="89" t="s">
        <v>934</v>
      </c>
      <c r="F1259" s="311"/>
      <c r="G1259" s="311"/>
      <c r="H1259" s="311"/>
      <c r="I1259" s="311"/>
      <c r="J1259" s="311"/>
      <c r="K1259" s="311"/>
      <c r="L1259" s="311"/>
      <c r="M1259" s="311"/>
      <c r="N1259" s="311"/>
      <c r="O1259" s="311"/>
      <c r="P1259" s="311"/>
      <c r="Q1259" s="311"/>
      <c r="R1259" s="311"/>
      <c r="S1259" s="311"/>
      <c r="T1259" s="311"/>
      <c r="U1259" s="311"/>
      <c r="V1259" s="311"/>
      <c r="W1259" s="311"/>
      <c r="X1259" s="311"/>
      <c r="Y1259" s="311"/>
      <c r="Z1259" s="311"/>
      <c r="AA1259" s="311"/>
      <c r="AB1259" s="311"/>
      <c r="AC1259" s="311"/>
      <c r="AD1259" s="311"/>
      <c r="AE1259" s="311"/>
      <c r="AF1259" s="311"/>
      <c r="AG1259" s="311"/>
      <c r="AH1259" s="311"/>
      <c r="AI1259" s="311"/>
      <c r="AJ1259" s="311"/>
      <c r="AK1259" s="311"/>
      <c r="AL1259" s="311"/>
      <c r="AM1259" s="311"/>
      <c r="AN1259" s="311"/>
      <c r="AO1259" s="311"/>
    </row>
    <row r="1260" spans="1:41" s="73" customFormat="1" ht="15" customHeight="1" x14ac:dyDescent="0.25">
      <c r="A1260" s="400"/>
      <c r="B1260" s="403"/>
      <c r="C1260" s="162" t="s">
        <v>758</v>
      </c>
      <c r="D1260" s="116"/>
      <c r="E1260" s="79" t="s">
        <v>935</v>
      </c>
      <c r="F1260" s="312"/>
      <c r="G1260" s="312"/>
      <c r="H1260" s="312"/>
      <c r="I1260" s="312"/>
      <c r="J1260" s="312"/>
      <c r="K1260" s="312"/>
      <c r="L1260" s="312"/>
      <c r="M1260" s="312"/>
      <c r="N1260" s="312"/>
      <c r="O1260" s="312"/>
      <c r="P1260" s="312"/>
      <c r="Q1260" s="312"/>
      <c r="R1260" s="312"/>
      <c r="S1260" s="312"/>
      <c r="T1260" s="312"/>
      <c r="U1260" s="312"/>
      <c r="V1260" s="312"/>
      <c r="W1260" s="312"/>
      <c r="X1260" s="312"/>
      <c r="Y1260" s="312"/>
      <c r="Z1260" s="312"/>
      <c r="AA1260" s="312"/>
      <c r="AB1260" s="312"/>
      <c r="AC1260" s="312"/>
      <c r="AD1260" s="312"/>
      <c r="AE1260" s="312"/>
      <c r="AF1260" s="312"/>
      <c r="AG1260" s="312"/>
      <c r="AH1260" s="312"/>
      <c r="AI1260" s="312"/>
      <c r="AJ1260" s="312"/>
      <c r="AK1260" s="312"/>
      <c r="AL1260" s="312"/>
      <c r="AM1260" s="312"/>
      <c r="AN1260" s="312"/>
      <c r="AO1260" s="312"/>
    </row>
    <row r="1261" spans="1:41" s="73" customFormat="1" ht="15" customHeight="1" x14ac:dyDescent="0.25">
      <c r="A1261" s="400"/>
      <c r="B1261" s="403"/>
      <c r="C1261" s="162" t="s">
        <v>759</v>
      </c>
      <c r="D1261" s="116"/>
      <c r="E1261" s="79" t="s">
        <v>936</v>
      </c>
      <c r="F1261" s="312"/>
      <c r="G1261" s="312"/>
      <c r="H1261" s="312"/>
      <c r="I1261" s="312"/>
      <c r="J1261" s="312"/>
      <c r="K1261" s="312"/>
      <c r="L1261" s="312"/>
      <c r="M1261" s="312"/>
      <c r="N1261" s="312"/>
      <c r="O1261" s="312"/>
      <c r="P1261" s="312"/>
      <c r="Q1261" s="312"/>
      <c r="R1261" s="312"/>
      <c r="S1261" s="312"/>
      <c r="T1261" s="312"/>
      <c r="U1261" s="312"/>
      <c r="V1261" s="312"/>
      <c r="W1261" s="312"/>
      <c r="X1261" s="312"/>
      <c r="Y1261" s="312"/>
      <c r="Z1261" s="312"/>
      <c r="AA1261" s="312"/>
      <c r="AB1261" s="312"/>
      <c r="AC1261" s="312"/>
      <c r="AD1261" s="312"/>
      <c r="AE1261" s="312"/>
      <c r="AF1261" s="312"/>
      <c r="AG1261" s="312"/>
      <c r="AH1261" s="312"/>
      <c r="AI1261" s="312"/>
      <c r="AJ1261" s="312"/>
      <c r="AK1261" s="312"/>
      <c r="AL1261" s="312"/>
      <c r="AM1261" s="312"/>
      <c r="AN1261" s="312"/>
      <c r="AO1261" s="312"/>
    </row>
    <row r="1262" spans="1:41" s="108" customFormat="1" ht="15" customHeight="1" x14ac:dyDescent="0.25">
      <c r="A1262" s="400"/>
      <c r="B1262" s="403"/>
      <c r="C1262" s="104" t="s">
        <v>818</v>
      </c>
      <c r="D1262" s="151"/>
      <c r="E1262" s="89" t="s">
        <v>972</v>
      </c>
      <c r="F1262" s="311"/>
      <c r="G1262" s="311"/>
      <c r="H1262" s="311"/>
      <c r="I1262" s="311"/>
      <c r="J1262" s="311"/>
      <c r="K1262" s="311"/>
      <c r="L1262" s="311"/>
      <c r="M1262" s="311"/>
      <c r="N1262" s="311"/>
      <c r="O1262" s="311"/>
      <c r="P1262" s="311"/>
      <c r="Q1262" s="311"/>
      <c r="R1262" s="311"/>
      <c r="S1262" s="311"/>
      <c r="T1262" s="311"/>
      <c r="U1262" s="311"/>
      <c r="V1262" s="311"/>
      <c r="W1262" s="311"/>
      <c r="X1262" s="311"/>
      <c r="Y1262" s="311"/>
      <c r="Z1262" s="311"/>
      <c r="AA1262" s="311"/>
      <c r="AB1262" s="311"/>
      <c r="AC1262" s="311"/>
      <c r="AD1262" s="311"/>
      <c r="AE1262" s="311"/>
      <c r="AF1262" s="311"/>
      <c r="AG1262" s="311"/>
      <c r="AH1262" s="311"/>
      <c r="AI1262" s="311"/>
      <c r="AJ1262" s="311"/>
      <c r="AK1262" s="311"/>
      <c r="AL1262" s="311"/>
      <c r="AM1262" s="311"/>
      <c r="AN1262" s="311"/>
      <c r="AO1262" s="311"/>
    </row>
    <row r="1263" spans="1:41" s="73" customFormat="1" ht="15" customHeight="1" x14ac:dyDescent="0.25">
      <c r="A1263" s="400"/>
      <c r="B1263" s="403"/>
      <c r="C1263" s="162" t="s">
        <v>760</v>
      </c>
      <c r="D1263" s="116"/>
      <c r="E1263" s="79" t="s">
        <v>973</v>
      </c>
      <c r="F1263" s="312"/>
      <c r="G1263" s="312"/>
      <c r="H1263" s="312"/>
      <c r="I1263" s="312"/>
      <c r="J1263" s="312"/>
      <c r="K1263" s="312"/>
      <c r="L1263" s="312"/>
      <c r="M1263" s="312"/>
      <c r="N1263" s="312"/>
      <c r="O1263" s="312"/>
      <c r="P1263" s="312"/>
      <c r="Q1263" s="312"/>
      <c r="R1263" s="312"/>
      <c r="S1263" s="312"/>
      <c r="T1263" s="312"/>
      <c r="U1263" s="312"/>
      <c r="V1263" s="312"/>
      <c r="W1263" s="312"/>
      <c r="X1263" s="312"/>
      <c r="Y1263" s="312"/>
      <c r="Z1263" s="312"/>
      <c r="AA1263" s="312"/>
      <c r="AB1263" s="312"/>
      <c r="AC1263" s="312"/>
      <c r="AD1263" s="312"/>
      <c r="AE1263" s="312"/>
      <c r="AF1263" s="312"/>
      <c r="AG1263" s="312"/>
      <c r="AH1263" s="312"/>
      <c r="AI1263" s="312"/>
      <c r="AJ1263" s="312"/>
      <c r="AK1263" s="312"/>
      <c r="AL1263" s="312"/>
      <c r="AM1263" s="312"/>
      <c r="AN1263" s="312"/>
      <c r="AO1263" s="312"/>
    </row>
    <row r="1264" spans="1:41" s="73" customFormat="1" ht="15" customHeight="1" x14ac:dyDescent="0.25">
      <c r="A1264" s="400"/>
      <c r="B1264" s="403"/>
      <c r="C1264" s="162" t="s">
        <v>761</v>
      </c>
      <c r="D1264" s="116"/>
      <c r="E1264" s="79" t="s">
        <v>974</v>
      </c>
      <c r="F1264" s="312"/>
      <c r="G1264" s="312"/>
      <c r="H1264" s="312"/>
      <c r="I1264" s="312"/>
      <c r="J1264" s="312"/>
      <c r="K1264" s="312"/>
      <c r="L1264" s="312"/>
      <c r="M1264" s="312"/>
      <c r="N1264" s="312"/>
      <c r="O1264" s="312"/>
      <c r="P1264" s="312"/>
      <c r="Q1264" s="312"/>
      <c r="R1264" s="312"/>
      <c r="S1264" s="312"/>
      <c r="T1264" s="312"/>
      <c r="U1264" s="312"/>
      <c r="V1264" s="312"/>
      <c r="W1264" s="312"/>
      <c r="X1264" s="312"/>
      <c r="Y1264" s="312"/>
      <c r="Z1264" s="312"/>
      <c r="AA1264" s="312"/>
      <c r="AB1264" s="312"/>
      <c r="AC1264" s="312"/>
      <c r="AD1264" s="312"/>
      <c r="AE1264" s="312"/>
      <c r="AF1264" s="312"/>
      <c r="AG1264" s="312"/>
      <c r="AH1264" s="312"/>
      <c r="AI1264" s="312"/>
      <c r="AJ1264" s="312"/>
      <c r="AK1264" s="312"/>
      <c r="AL1264" s="312"/>
      <c r="AM1264" s="312"/>
      <c r="AN1264" s="312"/>
      <c r="AO1264" s="312"/>
    </row>
    <row r="1265" spans="1:41" s="73" customFormat="1" ht="15" customHeight="1" x14ac:dyDescent="0.25">
      <c r="A1265" s="400"/>
      <c r="B1265" s="403"/>
      <c r="C1265" s="162" t="s">
        <v>762</v>
      </c>
      <c r="D1265" s="116"/>
      <c r="E1265" s="79" t="s">
        <v>975</v>
      </c>
      <c r="F1265" s="312"/>
      <c r="G1265" s="312"/>
      <c r="H1265" s="312"/>
      <c r="I1265" s="312"/>
      <c r="J1265" s="312"/>
      <c r="K1265" s="312"/>
      <c r="L1265" s="312"/>
      <c r="M1265" s="312"/>
      <c r="N1265" s="312"/>
      <c r="O1265" s="312"/>
      <c r="P1265" s="312"/>
      <c r="Q1265" s="312"/>
      <c r="R1265" s="312"/>
      <c r="S1265" s="312"/>
      <c r="T1265" s="312"/>
      <c r="U1265" s="312"/>
      <c r="V1265" s="312"/>
      <c r="W1265" s="312"/>
      <c r="X1265" s="312"/>
      <c r="Y1265" s="312"/>
      <c r="Z1265" s="312"/>
      <c r="AA1265" s="312"/>
      <c r="AB1265" s="312"/>
      <c r="AC1265" s="312"/>
      <c r="AD1265" s="312"/>
      <c r="AE1265" s="312"/>
      <c r="AF1265" s="312"/>
      <c r="AG1265" s="312"/>
      <c r="AH1265" s="312"/>
      <c r="AI1265" s="312"/>
      <c r="AJ1265" s="312"/>
      <c r="AK1265" s="312"/>
      <c r="AL1265" s="312"/>
      <c r="AM1265" s="312"/>
      <c r="AN1265" s="312"/>
      <c r="AO1265" s="312"/>
    </row>
    <row r="1266" spans="1:41" s="73" customFormat="1" ht="15" customHeight="1" x14ac:dyDescent="0.25">
      <c r="A1266" s="400"/>
      <c r="B1266" s="403"/>
      <c r="C1266" s="162" t="s">
        <v>763</v>
      </c>
      <c r="D1266" s="116"/>
      <c r="E1266" s="79" t="s">
        <v>976</v>
      </c>
      <c r="F1266" s="312"/>
      <c r="G1266" s="312"/>
      <c r="H1266" s="312"/>
      <c r="I1266" s="312"/>
      <c r="J1266" s="312"/>
      <c r="K1266" s="312"/>
      <c r="L1266" s="312"/>
      <c r="M1266" s="312"/>
      <c r="N1266" s="312"/>
      <c r="O1266" s="312"/>
      <c r="P1266" s="312"/>
      <c r="Q1266" s="312"/>
      <c r="R1266" s="312"/>
      <c r="S1266" s="312"/>
      <c r="T1266" s="312"/>
      <c r="U1266" s="312"/>
      <c r="V1266" s="312"/>
      <c r="W1266" s="312"/>
      <c r="X1266" s="312"/>
      <c r="Y1266" s="312"/>
      <c r="Z1266" s="312"/>
      <c r="AA1266" s="312"/>
      <c r="AB1266" s="312"/>
      <c r="AC1266" s="312"/>
      <c r="AD1266" s="312"/>
      <c r="AE1266" s="312"/>
      <c r="AF1266" s="312"/>
      <c r="AG1266" s="312"/>
      <c r="AH1266" s="312"/>
      <c r="AI1266" s="312"/>
      <c r="AJ1266" s="312"/>
      <c r="AK1266" s="312"/>
      <c r="AL1266" s="312"/>
      <c r="AM1266" s="312"/>
      <c r="AN1266" s="312"/>
      <c r="AO1266" s="312"/>
    </row>
    <row r="1267" spans="1:41" s="73" customFormat="1" ht="15" customHeight="1" x14ac:dyDescent="0.25">
      <c r="A1267" s="400"/>
      <c r="B1267" s="403"/>
      <c r="C1267" s="162" t="s">
        <v>764</v>
      </c>
      <c r="D1267" s="116"/>
      <c r="E1267" s="79" t="s">
        <v>977</v>
      </c>
      <c r="F1267" s="312"/>
      <c r="G1267" s="312"/>
      <c r="H1267" s="312"/>
      <c r="I1267" s="312"/>
      <c r="J1267" s="312"/>
      <c r="K1267" s="312"/>
      <c r="L1267" s="312"/>
      <c r="M1267" s="312"/>
      <c r="N1267" s="312"/>
      <c r="O1267" s="312"/>
      <c r="P1267" s="312"/>
      <c r="Q1267" s="312"/>
      <c r="R1267" s="312"/>
      <c r="S1267" s="312"/>
      <c r="T1267" s="312"/>
      <c r="U1267" s="312"/>
      <c r="V1267" s="312"/>
      <c r="W1267" s="312"/>
      <c r="X1267" s="312"/>
      <c r="Y1267" s="312"/>
      <c r="Z1267" s="312"/>
      <c r="AA1267" s="312"/>
      <c r="AB1267" s="312"/>
      <c r="AC1267" s="312"/>
      <c r="AD1267" s="312"/>
      <c r="AE1267" s="312"/>
      <c r="AF1267" s="312"/>
      <c r="AG1267" s="312"/>
      <c r="AH1267" s="312"/>
      <c r="AI1267" s="312"/>
      <c r="AJ1267" s="312"/>
      <c r="AK1267" s="312"/>
      <c r="AL1267" s="312"/>
      <c r="AM1267" s="312"/>
      <c r="AN1267" s="312"/>
      <c r="AO1267" s="312"/>
    </row>
    <row r="1268" spans="1:41" s="73" customFormat="1" ht="15" customHeight="1" x14ac:dyDescent="0.25">
      <c r="A1268" s="400"/>
      <c r="B1268" s="403"/>
      <c r="C1268" s="162" t="s">
        <v>765</v>
      </c>
      <c r="D1268" s="116"/>
      <c r="E1268" s="79" t="s">
        <v>978</v>
      </c>
      <c r="F1268" s="312"/>
      <c r="G1268" s="312"/>
      <c r="H1268" s="312"/>
      <c r="I1268" s="312"/>
      <c r="J1268" s="312"/>
      <c r="K1268" s="312"/>
      <c r="L1268" s="312"/>
      <c r="M1268" s="312"/>
      <c r="N1268" s="312"/>
      <c r="O1268" s="312"/>
      <c r="P1268" s="312"/>
      <c r="Q1268" s="312"/>
      <c r="R1268" s="312"/>
      <c r="S1268" s="312"/>
      <c r="T1268" s="312"/>
      <c r="U1268" s="312"/>
      <c r="V1268" s="312"/>
      <c r="W1268" s="312"/>
      <c r="X1268" s="312"/>
      <c r="Y1268" s="312"/>
      <c r="Z1268" s="312"/>
      <c r="AA1268" s="312"/>
      <c r="AB1268" s="312"/>
      <c r="AC1268" s="312"/>
      <c r="AD1268" s="312"/>
      <c r="AE1268" s="312"/>
      <c r="AF1268" s="312"/>
      <c r="AG1268" s="312"/>
      <c r="AH1268" s="312"/>
      <c r="AI1268" s="312"/>
      <c r="AJ1268" s="312"/>
      <c r="AK1268" s="312"/>
      <c r="AL1268" s="312"/>
      <c r="AM1268" s="312"/>
      <c r="AN1268" s="312"/>
      <c r="AO1268" s="312"/>
    </row>
    <row r="1269" spans="1:41" s="73" customFormat="1" ht="15" customHeight="1" x14ac:dyDescent="0.25">
      <c r="A1269" s="400"/>
      <c r="B1269" s="403"/>
      <c r="C1269" s="162" t="s">
        <v>766</v>
      </c>
      <c r="D1269" s="116"/>
      <c r="E1269" s="79" t="s">
        <v>979</v>
      </c>
      <c r="F1269" s="312"/>
      <c r="G1269" s="312"/>
      <c r="H1269" s="312"/>
      <c r="I1269" s="312"/>
      <c r="J1269" s="312"/>
      <c r="K1269" s="312"/>
      <c r="L1269" s="312"/>
      <c r="M1269" s="312"/>
      <c r="N1269" s="312"/>
      <c r="O1269" s="312"/>
      <c r="P1269" s="312"/>
      <c r="Q1269" s="312"/>
      <c r="R1269" s="312"/>
      <c r="S1269" s="312"/>
      <c r="T1269" s="312"/>
      <c r="U1269" s="312"/>
      <c r="V1269" s="312"/>
      <c r="W1269" s="312"/>
      <c r="X1269" s="312"/>
      <c r="Y1269" s="312"/>
      <c r="Z1269" s="312"/>
      <c r="AA1269" s="312"/>
      <c r="AB1269" s="312"/>
      <c r="AC1269" s="312"/>
      <c r="AD1269" s="312"/>
      <c r="AE1269" s="312"/>
      <c r="AF1269" s="312"/>
      <c r="AG1269" s="312"/>
      <c r="AH1269" s="312"/>
      <c r="AI1269" s="312"/>
      <c r="AJ1269" s="312"/>
      <c r="AK1269" s="312"/>
      <c r="AL1269" s="312"/>
      <c r="AM1269" s="312"/>
      <c r="AN1269" s="312"/>
      <c r="AO1269" s="312"/>
    </row>
    <row r="1270" spans="1:41" s="73" customFormat="1" ht="15" customHeight="1" x14ac:dyDescent="0.25">
      <c r="A1270" s="400"/>
      <c r="B1270" s="403"/>
      <c r="C1270" s="162" t="s">
        <v>767</v>
      </c>
      <c r="D1270" s="116"/>
      <c r="E1270" s="79" t="s">
        <v>980</v>
      </c>
      <c r="F1270" s="312"/>
      <c r="G1270" s="312"/>
      <c r="H1270" s="312"/>
      <c r="I1270" s="312"/>
      <c r="J1270" s="312"/>
      <c r="K1270" s="312"/>
      <c r="L1270" s="312"/>
      <c r="M1270" s="312"/>
      <c r="N1270" s="312"/>
      <c r="O1270" s="312"/>
      <c r="P1270" s="312"/>
      <c r="Q1270" s="312"/>
      <c r="R1270" s="312"/>
      <c r="S1270" s="312"/>
      <c r="T1270" s="312"/>
      <c r="U1270" s="312"/>
      <c r="V1270" s="312"/>
      <c r="W1270" s="312"/>
      <c r="X1270" s="312"/>
      <c r="Y1270" s="312"/>
      <c r="Z1270" s="312"/>
      <c r="AA1270" s="312"/>
      <c r="AB1270" s="312"/>
      <c r="AC1270" s="312"/>
      <c r="AD1270" s="312"/>
      <c r="AE1270" s="312"/>
      <c r="AF1270" s="312"/>
      <c r="AG1270" s="312"/>
      <c r="AH1270" s="312"/>
      <c r="AI1270" s="312"/>
      <c r="AJ1270" s="312"/>
      <c r="AK1270" s="312"/>
      <c r="AL1270" s="312"/>
      <c r="AM1270" s="312"/>
      <c r="AN1270" s="312"/>
      <c r="AO1270" s="312"/>
    </row>
    <row r="1271" spans="1:41" s="73" customFormat="1" ht="15" customHeight="1" x14ac:dyDescent="0.25">
      <c r="A1271" s="400"/>
      <c r="B1271" s="403"/>
      <c r="C1271" s="162" t="s">
        <v>768</v>
      </c>
      <c r="D1271" s="116"/>
      <c r="E1271" s="79" t="s">
        <v>981</v>
      </c>
      <c r="F1271" s="312"/>
      <c r="G1271" s="312"/>
      <c r="H1271" s="312"/>
      <c r="I1271" s="312"/>
      <c r="J1271" s="312"/>
      <c r="K1271" s="312"/>
      <c r="L1271" s="312"/>
      <c r="M1271" s="312"/>
      <c r="N1271" s="312"/>
      <c r="O1271" s="312"/>
      <c r="P1271" s="312"/>
      <c r="Q1271" s="312"/>
      <c r="R1271" s="312"/>
      <c r="S1271" s="312"/>
      <c r="T1271" s="312"/>
      <c r="U1271" s="312"/>
      <c r="V1271" s="312"/>
      <c r="W1271" s="312"/>
      <c r="X1271" s="312"/>
      <c r="Y1271" s="312"/>
      <c r="Z1271" s="312"/>
      <c r="AA1271" s="312"/>
      <c r="AB1271" s="312"/>
      <c r="AC1271" s="312"/>
      <c r="AD1271" s="312"/>
      <c r="AE1271" s="312"/>
      <c r="AF1271" s="312"/>
      <c r="AG1271" s="312"/>
      <c r="AH1271" s="312"/>
      <c r="AI1271" s="312"/>
      <c r="AJ1271" s="312"/>
      <c r="AK1271" s="312"/>
      <c r="AL1271" s="312"/>
      <c r="AM1271" s="312"/>
      <c r="AN1271" s="312"/>
      <c r="AO1271" s="312"/>
    </row>
    <row r="1272" spans="1:41" s="73" customFormat="1" ht="15" customHeight="1" x14ac:dyDescent="0.25">
      <c r="A1272" s="400"/>
      <c r="B1272" s="403"/>
      <c r="C1272" s="162" t="s">
        <v>769</v>
      </c>
      <c r="D1272" s="116"/>
      <c r="E1272" s="79" t="s">
        <v>982</v>
      </c>
      <c r="F1272" s="312"/>
      <c r="G1272" s="312"/>
      <c r="H1272" s="312"/>
      <c r="I1272" s="312"/>
      <c r="J1272" s="312"/>
      <c r="K1272" s="312"/>
      <c r="L1272" s="312"/>
      <c r="M1272" s="312"/>
      <c r="N1272" s="312"/>
      <c r="O1272" s="312"/>
      <c r="P1272" s="312"/>
      <c r="Q1272" s="312"/>
      <c r="R1272" s="312"/>
      <c r="S1272" s="312"/>
      <c r="T1272" s="312"/>
      <c r="U1272" s="312"/>
      <c r="V1272" s="312"/>
      <c r="W1272" s="312"/>
      <c r="X1272" s="312"/>
      <c r="Y1272" s="312"/>
      <c r="Z1272" s="312"/>
      <c r="AA1272" s="312"/>
      <c r="AB1272" s="312"/>
      <c r="AC1272" s="312"/>
      <c r="AD1272" s="312"/>
      <c r="AE1272" s="312"/>
      <c r="AF1272" s="312"/>
      <c r="AG1272" s="312"/>
      <c r="AH1272" s="312"/>
      <c r="AI1272" s="312"/>
      <c r="AJ1272" s="312"/>
      <c r="AK1272" s="312"/>
      <c r="AL1272" s="312"/>
      <c r="AM1272" s="312"/>
      <c r="AN1272" s="312"/>
      <c r="AO1272" s="312"/>
    </row>
    <row r="1273" spans="1:41" s="73" customFormat="1" ht="15" customHeight="1" x14ac:dyDescent="0.25">
      <c r="A1273" s="400"/>
      <c r="B1273" s="403"/>
      <c r="C1273" s="162" t="s">
        <v>770</v>
      </c>
      <c r="D1273" s="116"/>
      <c r="E1273" s="79" t="s">
        <v>983</v>
      </c>
      <c r="F1273" s="312"/>
      <c r="G1273" s="312"/>
      <c r="H1273" s="312"/>
      <c r="I1273" s="312"/>
      <c r="J1273" s="312"/>
      <c r="K1273" s="312"/>
      <c r="L1273" s="312"/>
      <c r="M1273" s="312"/>
      <c r="N1273" s="312"/>
      <c r="O1273" s="312"/>
      <c r="P1273" s="312"/>
      <c r="Q1273" s="312"/>
      <c r="R1273" s="312"/>
      <c r="S1273" s="312"/>
      <c r="T1273" s="312"/>
      <c r="U1273" s="312"/>
      <c r="V1273" s="312"/>
      <c r="W1273" s="312"/>
      <c r="X1273" s="312"/>
      <c r="Y1273" s="312"/>
      <c r="Z1273" s="312"/>
      <c r="AA1273" s="312"/>
      <c r="AB1273" s="312"/>
      <c r="AC1273" s="312"/>
      <c r="AD1273" s="312"/>
      <c r="AE1273" s="312"/>
      <c r="AF1273" s="312"/>
      <c r="AG1273" s="312"/>
      <c r="AH1273" s="312"/>
      <c r="AI1273" s="312"/>
      <c r="AJ1273" s="312"/>
      <c r="AK1273" s="312"/>
      <c r="AL1273" s="312"/>
      <c r="AM1273" s="312"/>
      <c r="AN1273" s="312"/>
      <c r="AO1273" s="312"/>
    </row>
    <row r="1274" spans="1:41" s="108" customFormat="1" ht="15" customHeight="1" x14ac:dyDescent="0.25">
      <c r="A1274" s="400"/>
      <c r="B1274" s="403"/>
      <c r="C1274" s="104" t="s">
        <v>819</v>
      </c>
      <c r="D1274" s="151"/>
      <c r="E1274" s="89" t="s">
        <v>984</v>
      </c>
      <c r="F1274" s="311"/>
      <c r="G1274" s="311"/>
      <c r="H1274" s="311"/>
      <c r="I1274" s="311"/>
      <c r="J1274" s="311"/>
      <c r="K1274" s="311"/>
      <c r="L1274" s="311"/>
      <c r="M1274" s="311"/>
      <c r="N1274" s="311"/>
      <c r="O1274" s="311"/>
      <c r="P1274" s="311"/>
      <c r="Q1274" s="311"/>
      <c r="R1274" s="311"/>
      <c r="S1274" s="311"/>
      <c r="T1274" s="311"/>
      <c r="U1274" s="311"/>
      <c r="V1274" s="311"/>
      <c r="W1274" s="311"/>
      <c r="X1274" s="311"/>
      <c r="Y1274" s="311"/>
      <c r="Z1274" s="311"/>
      <c r="AA1274" s="311"/>
      <c r="AB1274" s="311"/>
      <c r="AC1274" s="311"/>
      <c r="AD1274" s="311"/>
      <c r="AE1274" s="311"/>
      <c r="AF1274" s="311"/>
      <c r="AG1274" s="311"/>
      <c r="AH1274" s="311"/>
      <c r="AI1274" s="311"/>
      <c r="AJ1274" s="311"/>
      <c r="AK1274" s="311"/>
      <c r="AL1274" s="311"/>
      <c r="AM1274" s="311"/>
      <c r="AN1274" s="311"/>
      <c r="AO1274" s="311"/>
    </row>
    <row r="1275" spans="1:41" s="73" customFormat="1" ht="15" customHeight="1" x14ac:dyDescent="0.25">
      <c r="A1275" s="400"/>
      <c r="B1275" s="403"/>
      <c r="C1275" s="162" t="s">
        <v>636</v>
      </c>
      <c r="D1275" s="116"/>
      <c r="E1275" s="79" t="s">
        <v>985</v>
      </c>
      <c r="F1275" s="312"/>
      <c r="G1275" s="312"/>
      <c r="H1275" s="312"/>
      <c r="I1275" s="312"/>
      <c r="J1275" s="312"/>
      <c r="K1275" s="312"/>
      <c r="L1275" s="312"/>
      <c r="M1275" s="312"/>
      <c r="N1275" s="312"/>
      <c r="O1275" s="312"/>
      <c r="P1275" s="312"/>
      <c r="Q1275" s="312"/>
      <c r="R1275" s="312"/>
      <c r="S1275" s="312"/>
      <c r="T1275" s="312"/>
      <c r="U1275" s="312"/>
      <c r="V1275" s="312"/>
      <c r="W1275" s="312"/>
      <c r="X1275" s="312"/>
      <c r="Y1275" s="312"/>
      <c r="Z1275" s="312"/>
      <c r="AA1275" s="312"/>
      <c r="AB1275" s="312"/>
      <c r="AC1275" s="312"/>
      <c r="AD1275" s="312"/>
      <c r="AE1275" s="312"/>
      <c r="AF1275" s="312"/>
      <c r="AG1275" s="312"/>
      <c r="AH1275" s="312"/>
      <c r="AI1275" s="312"/>
      <c r="AJ1275" s="312"/>
      <c r="AK1275" s="312"/>
      <c r="AL1275" s="312"/>
      <c r="AM1275" s="312"/>
      <c r="AN1275" s="312"/>
      <c r="AO1275" s="312"/>
    </row>
    <row r="1276" spans="1:41" s="73" customFormat="1" ht="15" customHeight="1" x14ac:dyDescent="0.25">
      <c r="A1276" s="400"/>
      <c r="B1276" s="403"/>
      <c r="C1276" s="162" t="s">
        <v>637</v>
      </c>
      <c r="D1276" s="116"/>
      <c r="E1276" s="79" t="s">
        <v>986</v>
      </c>
      <c r="F1276" s="312"/>
      <c r="G1276" s="312"/>
      <c r="H1276" s="312"/>
      <c r="I1276" s="312"/>
      <c r="J1276" s="312"/>
      <c r="K1276" s="312"/>
      <c r="L1276" s="312"/>
      <c r="M1276" s="312"/>
      <c r="N1276" s="312"/>
      <c r="O1276" s="312"/>
      <c r="P1276" s="312"/>
      <c r="Q1276" s="312"/>
      <c r="R1276" s="312"/>
      <c r="S1276" s="312"/>
      <c r="T1276" s="312"/>
      <c r="U1276" s="312"/>
      <c r="V1276" s="312"/>
      <c r="W1276" s="312"/>
      <c r="X1276" s="312"/>
      <c r="Y1276" s="312"/>
      <c r="Z1276" s="312"/>
      <c r="AA1276" s="312"/>
      <c r="AB1276" s="312"/>
      <c r="AC1276" s="312"/>
      <c r="AD1276" s="312"/>
      <c r="AE1276" s="312"/>
      <c r="AF1276" s="312"/>
      <c r="AG1276" s="312"/>
      <c r="AH1276" s="312"/>
      <c r="AI1276" s="312"/>
      <c r="AJ1276" s="312"/>
      <c r="AK1276" s="312"/>
      <c r="AL1276" s="312"/>
      <c r="AM1276" s="312"/>
      <c r="AN1276" s="312"/>
      <c r="AO1276" s="312"/>
    </row>
    <row r="1277" spans="1:41" s="73" customFormat="1" ht="15" customHeight="1" x14ac:dyDescent="0.25">
      <c r="A1277" s="400"/>
      <c r="B1277" s="403"/>
      <c r="C1277" s="162" t="s">
        <v>638</v>
      </c>
      <c r="D1277" s="116"/>
      <c r="E1277" s="79" t="s">
        <v>987</v>
      </c>
      <c r="F1277" s="312"/>
      <c r="G1277" s="312"/>
      <c r="H1277" s="312"/>
      <c r="I1277" s="312"/>
      <c r="J1277" s="312"/>
      <c r="K1277" s="312"/>
      <c r="L1277" s="312"/>
      <c r="M1277" s="312"/>
      <c r="N1277" s="312"/>
      <c r="O1277" s="312"/>
      <c r="P1277" s="312"/>
      <c r="Q1277" s="312"/>
      <c r="R1277" s="312"/>
      <c r="S1277" s="312"/>
      <c r="T1277" s="312"/>
      <c r="U1277" s="312"/>
      <c r="V1277" s="312"/>
      <c r="W1277" s="312"/>
      <c r="X1277" s="312"/>
      <c r="Y1277" s="312"/>
      <c r="Z1277" s="312"/>
      <c r="AA1277" s="312"/>
      <c r="AB1277" s="312"/>
      <c r="AC1277" s="312"/>
      <c r="AD1277" s="312"/>
      <c r="AE1277" s="312"/>
      <c r="AF1277" s="312"/>
      <c r="AG1277" s="312"/>
      <c r="AH1277" s="312"/>
      <c r="AI1277" s="312"/>
      <c r="AJ1277" s="312"/>
      <c r="AK1277" s="312"/>
      <c r="AL1277" s="312"/>
      <c r="AM1277" s="312"/>
      <c r="AN1277" s="312"/>
      <c r="AO1277" s="312"/>
    </row>
    <row r="1278" spans="1:41" s="73" customFormat="1" ht="15" customHeight="1" x14ac:dyDescent="0.25">
      <c r="A1278" s="400"/>
      <c r="B1278" s="403"/>
      <c r="C1278" s="162" t="s">
        <v>639</v>
      </c>
      <c r="D1278" s="116"/>
      <c r="E1278" s="79" t="s">
        <v>988</v>
      </c>
      <c r="F1278" s="312"/>
      <c r="G1278" s="312"/>
      <c r="H1278" s="312"/>
      <c r="I1278" s="312"/>
      <c r="J1278" s="312"/>
      <c r="K1278" s="312"/>
      <c r="L1278" s="312"/>
      <c r="M1278" s="312"/>
      <c r="N1278" s="312"/>
      <c r="O1278" s="312"/>
      <c r="P1278" s="312"/>
      <c r="Q1278" s="312"/>
      <c r="R1278" s="312"/>
      <c r="S1278" s="312"/>
      <c r="T1278" s="312"/>
      <c r="U1278" s="312"/>
      <c r="V1278" s="312"/>
      <c r="W1278" s="312"/>
      <c r="X1278" s="312"/>
      <c r="Y1278" s="312"/>
      <c r="Z1278" s="312"/>
      <c r="AA1278" s="312"/>
      <c r="AB1278" s="312"/>
      <c r="AC1278" s="312"/>
      <c r="AD1278" s="312"/>
      <c r="AE1278" s="312"/>
      <c r="AF1278" s="312"/>
      <c r="AG1278" s="312"/>
      <c r="AH1278" s="312"/>
      <c r="AI1278" s="312"/>
      <c r="AJ1278" s="312"/>
      <c r="AK1278" s="312"/>
      <c r="AL1278" s="312"/>
      <c r="AM1278" s="312"/>
      <c r="AN1278" s="312"/>
      <c r="AO1278" s="312"/>
    </row>
    <row r="1279" spans="1:41" s="108" customFormat="1" ht="15" customHeight="1" x14ac:dyDescent="0.25">
      <c r="A1279" s="400"/>
      <c r="B1279" s="403"/>
      <c r="C1279" s="104" t="s">
        <v>820</v>
      </c>
      <c r="D1279" s="151"/>
      <c r="E1279" s="89" t="s">
        <v>989</v>
      </c>
      <c r="F1279" s="311"/>
      <c r="G1279" s="311"/>
      <c r="H1279" s="311"/>
      <c r="I1279" s="311"/>
      <c r="J1279" s="311"/>
      <c r="K1279" s="311"/>
      <c r="L1279" s="311"/>
      <c r="M1279" s="311"/>
      <c r="N1279" s="311"/>
      <c r="O1279" s="311"/>
      <c r="P1279" s="311"/>
      <c r="Q1279" s="311"/>
      <c r="R1279" s="311"/>
      <c r="S1279" s="311"/>
      <c r="T1279" s="311"/>
      <c r="U1279" s="311"/>
      <c r="V1279" s="311"/>
      <c r="W1279" s="311"/>
      <c r="X1279" s="311"/>
      <c r="Y1279" s="311"/>
      <c r="Z1279" s="311"/>
      <c r="AA1279" s="311"/>
      <c r="AB1279" s="311"/>
      <c r="AC1279" s="311"/>
      <c r="AD1279" s="311"/>
      <c r="AE1279" s="311"/>
      <c r="AF1279" s="311"/>
      <c r="AG1279" s="311"/>
      <c r="AH1279" s="311"/>
      <c r="AI1279" s="311"/>
      <c r="AJ1279" s="311"/>
      <c r="AK1279" s="311"/>
      <c r="AL1279" s="311"/>
      <c r="AM1279" s="311"/>
      <c r="AN1279" s="311"/>
      <c r="AO1279" s="311"/>
    </row>
    <row r="1280" spans="1:41" s="73" customFormat="1" ht="15" customHeight="1" x14ac:dyDescent="0.25">
      <c r="A1280" s="400"/>
      <c r="B1280" s="403"/>
      <c r="C1280" s="162" t="s">
        <v>640</v>
      </c>
      <c r="D1280" s="116"/>
      <c r="E1280" s="79" t="s">
        <v>990</v>
      </c>
      <c r="F1280" s="312"/>
      <c r="G1280" s="312"/>
      <c r="H1280" s="312"/>
      <c r="I1280" s="312"/>
      <c r="J1280" s="312"/>
      <c r="K1280" s="312"/>
      <c r="L1280" s="312"/>
      <c r="M1280" s="312"/>
      <c r="N1280" s="312"/>
      <c r="O1280" s="312"/>
      <c r="P1280" s="312"/>
      <c r="Q1280" s="312"/>
      <c r="R1280" s="312"/>
      <c r="S1280" s="312"/>
      <c r="T1280" s="312"/>
      <c r="U1280" s="312"/>
      <c r="V1280" s="312"/>
      <c r="W1280" s="312"/>
      <c r="X1280" s="312"/>
      <c r="Y1280" s="312"/>
      <c r="Z1280" s="312"/>
      <c r="AA1280" s="312"/>
      <c r="AB1280" s="312"/>
      <c r="AC1280" s="312"/>
      <c r="AD1280" s="312"/>
      <c r="AE1280" s="312"/>
      <c r="AF1280" s="312"/>
      <c r="AG1280" s="312"/>
      <c r="AH1280" s="312"/>
      <c r="AI1280" s="312"/>
      <c r="AJ1280" s="312"/>
      <c r="AK1280" s="312"/>
      <c r="AL1280" s="312"/>
      <c r="AM1280" s="312"/>
      <c r="AN1280" s="312"/>
      <c r="AO1280" s="312"/>
    </row>
    <row r="1281" spans="1:41" s="73" customFormat="1" ht="15" customHeight="1" x14ac:dyDescent="0.25">
      <c r="A1281" s="400"/>
      <c r="B1281" s="403"/>
      <c r="C1281" s="162" t="s">
        <v>641</v>
      </c>
      <c r="D1281" s="116"/>
      <c r="E1281" s="79" t="s">
        <v>991</v>
      </c>
      <c r="F1281" s="312"/>
      <c r="G1281" s="312"/>
      <c r="H1281" s="312"/>
      <c r="I1281" s="312"/>
      <c r="J1281" s="312"/>
      <c r="K1281" s="312"/>
      <c r="L1281" s="312"/>
      <c r="M1281" s="312"/>
      <c r="N1281" s="312"/>
      <c r="O1281" s="312"/>
      <c r="P1281" s="312"/>
      <c r="Q1281" s="312"/>
      <c r="R1281" s="312"/>
      <c r="S1281" s="312"/>
      <c r="T1281" s="312"/>
      <c r="U1281" s="312"/>
      <c r="V1281" s="312"/>
      <c r="W1281" s="312"/>
      <c r="X1281" s="312"/>
      <c r="Y1281" s="312"/>
      <c r="Z1281" s="312"/>
      <c r="AA1281" s="312"/>
      <c r="AB1281" s="312"/>
      <c r="AC1281" s="312"/>
      <c r="AD1281" s="312"/>
      <c r="AE1281" s="312"/>
      <c r="AF1281" s="312"/>
      <c r="AG1281" s="312"/>
      <c r="AH1281" s="312"/>
      <c r="AI1281" s="312"/>
      <c r="AJ1281" s="312"/>
      <c r="AK1281" s="312"/>
      <c r="AL1281" s="312"/>
      <c r="AM1281" s="312"/>
      <c r="AN1281" s="312"/>
      <c r="AO1281" s="312"/>
    </row>
    <row r="1282" spans="1:41" s="108" customFormat="1" ht="15" customHeight="1" x14ac:dyDescent="0.25">
      <c r="A1282" s="400"/>
      <c r="B1282" s="403"/>
      <c r="C1282" s="104" t="s">
        <v>821</v>
      </c>
      <c r="D1282" s="151"/>
      <c r="E1282" s="89" t="s">
        <v>992</v>
      </c>
      <c r="F1282" s="311"/>
      <c r="G1282" s="311"/>
      <c r="H1282" s="311"/>
      <c r="I1282" s="311"/>
      <c r="J1282" s="311"/>
      <c r="K1282" s="311"/>
      <c r="L1282" s="311"/>
      <c r="M1282" s="311"/>
      <c r="N1282" s="311"/>
      <c r="O1282" s="311"/>
      <c r="P1282" s="311"/>
      <c r="Q1282" s="311"/>
      <c r="R1282" s="311"/>
      <c r="S1282" s="311"/>
      <c r="T1282" s="311"/>
      <c r="U1282" s="311"/>
      <c r="V1282" s="311"/>
      <c r="W1282" s="311"/>
      <c r="X1282" s="311"/>
      <c r="Y1282" s="311"/>
      <c r="Z1282" s="311"/>
      <c r="AA1282" s="311"/>
      <c r="AB1282" s="311"/>
      <c r="AC1282" s="311"/>
      <c r="AD1282" s="311"/>
      <c r="AE1282" s="311"/>
      <c r="AF1282" s="311"/>
      <c r="AG1282" s="311"/>
      <c r="AH1282" s="311"/>
      <c r="AI1282" s="311"/>
      <c r="AJ1282" s="311"/>
      <c r="AK1282" s="311"/>
      <c r="AL1282" s="311"/>
      <c r="AM1282" s="311"/>
      <c r="AN1282" s="311"/>
      <c r="AO1282" s="311"/>
    </row>
    <row r="1283" spans="1:41" s="73" customFormat="1" ht="15" customHeight="1" x14ac:dyDescent="0.25">
      <c r="A1283" s="400"/>
      <c r="B1283" s="403"/>
      <c r="C1283" s="162" t="s">
        <v>486</v>
      </c>
      <c r="D1283" s="116"/>
      <c r="E1283" s="79" t="s">
        <v>993</v>
      </c>
      <c r="F1283" s="312"/>
      <c r="G1283" s="312"/>
      <c r="H1283" s="312"/>
      <c r="I1283" s="312"/>
      <c r="J1283" s="312"/>
      <c r="K1283" s="312"/>
      <c r="L1283" s="312"/>
      <c r="M1283" s="312"/>
      <c r="N1283" s="312"/>
      <c r="O1283" s="312"/>
      <c r="P1283" s="312"/>
      <c r="Q1283" s="312"/>
      <c r="R1283" s="312"/>
      <c r="S1283" s="312"/>
      <c r="T1283" s="312"/>
      <c r="U1283" s="312"/>
      <c r="V1283" s="312"/>
      <c r="W1283" s="312"/>
      <c r="X1283" s="312"/>
      <c r="Y1283" s="312"/>
      <c r="Z1283" s="312"/>
      <c r="AA1283" s="312"/>
      <c r="AB1283" s="312"/>
      <c r="AC1283" s="312"/>
      <c r="AD1283" s="312"/>
      <c r="AE1283" s="312"/>
      <c r="AF1283" s="312"/>
      <c r="AG1283" s="312"/>
      <c r="AH1283" s="312"/>
      <c r="AI1283" s="312"/>
      <c r="AJ1283" s="312"/>
      <c r="AK1283" s="312"/>
      <c r="AL1283" s="312"/>
      <c r="AM1283" s="312"/>
      <c r="AN1283" s="312"/>
      <c r="AO1283" s="312"/>
    </row>
    <row r="1284" spans="1:41" s="73" customFormat="1" ht="15" customHeight="1" x14ac:dyDescent="0.25">
      <c r="A1284" s="400"/>
      <c r="B1284" s="403"/>
      <c r="C1284" s="162" t="s">
        <v>487</v>
      </c>
      <c r="D1284" s="116"/>
      <c r="E1284" s="79" t="s">
        <v>994</v>
      </c>
      <c r="F1284" s="312"/>
      <c r="G1284" s="312"/>
      <c r="H1284" s="312"/>
      <c r="I1284" s="312"/>
      <c r="J1284" s="312"/>
      <c r="K1284" s="312"/>
      <c r="L1284" s="312"/>
      <c r="M1284" s="312"/>
      <c r="N1284" s="312"/>
      <c r="O1284" s="312"/>
      <c r="P1284" s="312"/>
      <c r="Q1284" s="312"/>
      <c r="R1284" s="312"/>
      <c r="S1284" s="312"/>
      <c r="T1284" s="312"/>
      <c r="U1284" s="312"/>
      <c r="V1284" s="312"/>
      <c r="W1284" s="312"/>
      <c r="X1284" s="312"/>
      <c r="Y1284" s="312"/>
      <c r="Z1284" s="312"/>
      <c r="AA1284" s="312"/>
      <c r="AB1284" s="312"/>
      <c r="AC1284" s="312"/>
      <c r="AD1284" s="312"/>
      <c r="AE1284" s="312"/>
      <c r="AF1284" s="312"/>
      <c r="AG1284" s="312"/>
      <c r="AH1284" s="312"/>
      <c r="AI1284" s="312"/>
      <c r="AJ1284" s="312"/>
      <c r="AK1284" s="312"/>
      <c r="AL1284" s="312"/>
      <c r="AM1284" s="312"/>
      <c r="AN1284" s="312"/>
      <c r="AO1284" s="312"/>
    </row>
    <row r="1285" spans="1:41" s="73" customFormat="1" ht="15" customHeight="1" x14ac:dyDescent="0.25">
      <c r="A1285" s="400"/>
      <c r="B1285" s="403"/>
      <c r="C1285" s="162" t="s">
        <v>490</v>
      </c>
      <c r="D1285" s="116"/>
      <c r="E1285" s="79" t="s">
        <v>995</v>
      </c>
      <c r="F1285" s="312"/>
      <c r="G1285" s="312"/>
      <c r="H1285" s="312"/>
      <c r="I1285" s="312"/>
      <c r="J1285" s="312"/>
      <c r="K1285" s="312"/>
      <c r="L1285" s="312"/>
      <c r="M1285" s="312"/>
      <c r="N1285" s="312"/>
      <c r="O1285" s="312"/>
      <c r="P1285" s="312"/>
      <c r="Q1285" s="312"/>
      <c r="R1285" s="312"/>
      <c r="S1285" s="312"/>
      <c r="T1285" s="312"/>
      <c r="U1285" s="312"/>
      <c r="V1285" s="312"/>
      <c r="W1285" s="312"/>
      <c r="X1285" s="312"/>
      <c r="Y1285" s="312"/>
      <c r="Z1285" s="312"/>
      <c r="AA1285" s="312"/>
      <c r="AB1285" s="312"/>
      <c r="AC1285" s="312"/>
      <c r="AD1285" s="312"/>
      <c r="AE1285" s="312"/>
      <c r="AF1285" s="312"/>
      <c r="AG1285" s="312"/>
      <c r="AH1285" s="312"/>
      <c r="AI1285" s="312"/>
      <c r="AJ1285" s="312"/>
      <c r="AK1285" s="312"/>
      <c r="AL1285" s="312"/>
      <c r="AM1285" s="312"/>
      <c r="AN1285" s="312"/>
      <c r="AO1285" s="312"/>
    </row>
    <row r="1286" spans="1:41" s="73" customFormat="1" ht="15" customHeight="1" x14ac:dyDescent="0.25">
      <c r="A1286" s="400"/>
      <c r="B1286" s="403"/>
      <c r="C1286" s="162" t="s">
        <v>491</v>
      </c>
      <c r="D1286" s="116"/>
      <c r="E1286" s="79" t="s">
        <v>996</v>
      </c>
      <c r="F1286" s="312"/>
      <c r="G1286" s="312"/>
      <c r="H1286" s="312"/>
      <c r="I1286" s="312"/>
      <c r="J1286" s="312"/>
      <c r="K1286" s="312"/>
      <c r="L1286" s="312"/>
      <c r="M1286" s="312"/>
      <c r="N1286" s="312"/>
      <c r="O1286" s="312"/>
      <c r="P1286" s="312"/>
      <c r="Q1286" s="312"/>
      <c r="R1286" s="312"/>
      <c r="S1286" s="312"/>
      <c r="T1286" s="312"/>
      <c r="U1286" s="312"/>
      <c r="V1286" s="312"/>
      <c r="W1286" s="312"/>
      <c r="X1286" s="312"/>
      <c r="Y1286" s="312"/>
      <c r="Z1286" s="312"/>
      <c r="AA1286" s="312"/>
      <c r="AB1286" s="312"/>
      <c r="AC1286" s="312"/>
      <c r="AD1286" s="312"/>
      <c r="AE1286" s="312"/>
      <c r="AF1286" s="312"/>
      <c r="AG1286" s="312"/>
      <c r="AH1286" s="312"/>
      <c r="AI1286" s="312"/>
      <c r="AJ1286" s="312"/>
      <c r="AK1286" s="312"/>
      <c r="AL1286" s="312"/>
      <c r="AM1286" s="312"/>
      <c r="AN1286" s="312"/>
      <c r="AO1286" s="312"/>
    </row>
    <row r="1287" spans="1:41" s="108" customFormat="1" ht="15" customHeight="1" x14ac:dyDescent="0.25">
      <c r="A1287" s="400"/>
      <c r="B1287" s="403"/>
      <c r="C1287" s="104" t="s">
        <v>515</v>
      </c>
      <c r="D1287" s="151"/>
      <c r="E1287" s="89" t="s">
        <v>997</v>
      </c>
      <c r="F1287" s="311"/>
      <c r="G1287" s="311"/>
      <c r="H1287" s="311"/>
      <c r="I1287" s="311"/>
      <c r="J1287" s="311"/>
      <c r="K1287" s="311"/>
      <c r="L1287" s="311"/>
      <c r="M1287" s="311"/>
      <c r="N1287" s="311"/>
      <c r="O1287" s="311"/>
      <c r="P1287" s="311"/>
      <c r="Q1287" s="311"/>
      <c r="R1287" s="311"/>
      <c r="S1287" s="311"/>
      <c r="T1287" s="311"/>
      <c r="U1287" s="311"/>
      <c r="V1287" s="311"/>
      <c r="W1287" s="311"/>
      <c r="X1287" s="311"/>
      <c r="Y1287" s="311"/>
      <c r="Z1287" s="311"/>
      <c r="AA1287" s="311"/>
      <c r="AB1287" s="311"/>
      <c r="AC1287" s="311"/>
      <c r="AD1287" s="311"/>
      <c r="AE1287" s="311"/>
      <c r="AF1287" s="311"/>
      <c r="AG1287" s="311"/>
      <c r="AH1287" s="311"/>
      <c r="AI1287" s="311"/>
      <c r="AJ1287" s="311"/>
      <c r="AK1287" s="311"/>
      <c r="AL1287" s="311"/>
      <c r="AM1287" s="311"/>
      <c r="AN1287" s="311"/>
      <c r="AO1287" s="311"/>
    </row>
    <row r="1288" spans="1:41" s="73" customFormat="1" ht="15" customHeight="1" x14ac:dyDescent="0.25">
      <c r="A1288" s="400"/>
      <c r="B1288" s="403"/>
      <c r="C1288" s="162" t="s">
        <v>494</v>
      </c>
      <c r="D1288" s="116"/>
      <c r="E1288" s="79" t="s">
        <v>998</v>
      </c>
      <c r="F1288" s="312"/>
      <c r="G1288" s="312"/>
      <c r="H1288" s="312"/>
      <c r="I1288" s="312"/>
      <c r="J1288" s="312"/>
      <c r="K1288" s="312"/>
      <c r="L1288" s="312"/>
      <c r="M1288" s="312"/>
      <c r="N1288" s="312"/>
      <c r="O1288" s="312"/>
      <c r="P1288" s="312"/>
      <c r="Q1288" s="312"/>
      <c r="R1288" s="312"/>
      <c r="S1288" s="312"/>
      <c r="T1288" s="312"/>
      <c r="U1288" s="312"/>
      <c r="V1288" s="312"/>
      <c r="W1288" s="312"/>
      <c r="X1288" s="312"/>
      <c r="Y1288" s="312"/>
      <c r="Z1288" s="312"/>
      <c r="AA1288" s="312"/>
      <c r="AB1288" s="312"/>
      <c r="AC1288" s="312"/>
      <c r="AD1288" s="312"/>
      <c r="AE1288" s="312"/>
      <c r="AF1288" s="312"/>
      <c r="AG1288" s="312"/>
      <c r="AH1288" s="312"/>
      <c r="AI1288" s="312"/>
      <c r="AJ1288" s="312"/>
      <c r="AK1288" s="312"/>
      <c r="AL1288" s="312"/>
      <c r="AM1288" s="312"/>
      <c r="AN1288" s="312"/>
      <c r="AO1288" s="312"/>
    </row>
    <row r="1289" spans="1:41" s="73" customFormat="1" ht="15" customHeight="1" x14ac:dyDescent="0.25">
      <c r="A1289" s="400"/>
      <c r="B1289" s="403"/>
      <c r="C1289" s="162" t="s">
        <v>495</v>
      </c>
      <c r="D1289" s="116"/>
      <c r="E1289" s="79" t="s">
        <v>999</v>
      </c>
      <c r="F1289" s="312"/>
      <c r="G1289" s="312"/>
      <c r="H1289" s="312"/>
      <c r="I1289" s="312"/>
      <c r="J1289" s="312"/>
      <c r="K1289" s="312"/>
      <c r="L1289" s="312"/>
      <c r="M1289" s="312"/>
      <c r="N1289" s="312"/>
      <c r="O1289" s="312"/>
      <c r="P1289" s="312"/>
      <c r="Q1289" s="312"/>
      <c r="R1289" s="312"/>
      <c r="S1289" s="312"/>
      <c r="T1289" s="312"/>
      <c r="U1289" s="312"/>
      <c r="V1289" s="312"/>
      <c r="W1289" s="312"/>
      <c r="X1289" s="312"/>
      <c r="Y1289" s="312"/>
      <c r="Z1289" s="312"/>
      <c r="AA1289" s="312"/>
      <c r="AB1289" s="312"/>
      <c r="AC1289" s="312"/>
      <c r="AD1289" s="312"/>
      <c r="AE1289" s="312"/>
      <c r="AF1289" s="312"/>
      <c r="AG1289" s="312"/>
      <c r="AH1289" s="312"/>
      <c r="AI1289" s="312"/>
      <c r="AJ1289" s="312"/>
      <c r="AK1289" s="312"/>
      <c r="AL1289" s="312"/>
      <c r="AM1289" s="312"/>
      <c r="AN1289" s="312"/>
      <c r="AO1289" s="312"/>
    </row>
    <row r="1290" spans="1:41" s="73" customFormat="1" ht="15" customHeight="1" x14ac:dyDescent="0.25">
      <c r="A1290" s="400"/>
      <c r="B1290" s="403"/>
      <c r="C1290" s="162" t="s">
        <v>496</v>
      </c>
      <c r="D1290" s="116"/>
      <c r="E1290" s="79" t="s">
        <v>1000</v>
      </c>
      <c r="F1290" s="312"/>
      <c r="G1290" s="312"/>
      <c r="H1290" s="312"/>
      <c r="I1290" s="312"/>
      <c r="J1290" s="312"/>
      <c r="K1290" s="312"/>
      <c r="L1290" s="312"/>
      <c r="M1290" s="312"/>
      <c r="N1290" s="312"/>
      <c r="O1290" s="312"/>
      <c r="P1290" s="312"/>
      <c r="Q1290" s="312"/>
      <c r="R1290" s="312"/>
      <c r="S1290" s="312"/>
      <c r="T1290" s="312"/>
      <c r="U1290" s="312"/>
      <c r="V1290" s="312"/>
      <c r="W1290" s="312"/>
      <c r="X1290" s="312"/>
      <c r="Y1290" s="312"/>
      <c r="Z1290" s="312"/>
      <c r="AA1290" s="312"/>
      <c r="AB1290" s="312"/>
      <c r="AC1290" s="312"/>
      <c r="AD1290" s="312"/>
      <c r="AE1290" s="312"/>
      <c r="AF1290" s="312"/>
      <c r="AG1290" s="312"/>
      <c r="AH1290" s="312"/>
      <c r="AI1290" s="312"/>
      <c r="AJ1290" s="312"/>
      <c r="AK1290" s="312"/>
      <c r="AL1290" s="312"/>
      <c r="AM1290" s="312"/>
      <c r="AN1290" s="312"/>
      <c r="AO1290" s="312"/>
    </row>
    <row r="1291" spans="1:41" s="73" customFormat="1" ht="15" customHeight="1" x14ac:dyDescent="0.25">
      <c r="A1291" s="400"/>
      <c r="B1291" s="403"/>
      <c r="C1291" s="162" t="s">
        <v>497</v>
      </c>
      <c r="D1291" s="116"/>
      <c r="E1291" s="79" t="s">
        <v>1001</v>
      </c>
      <c r="F1291" s="312"/>
      <c r="G1291" s="312"/>
      <c r="H1291" s="312"/>
      <c r="I1291" s="312"/>
      <c r="J1291" s="312"/>
      <c r="K1291" s="312"/>
      <c r="L1291" s="312"/>
      <c r="M1291" s="312"/>
      <c r="N1291" s="312"/>
      <c r="O1291" s="312"/>
      <c r="P1291" s="312"/>
      <c r="Q1291" s="312"/>
      <c r="R1291" s="312"/>
      <c r="S1291" s="312"/>
      <c r="T1291" s="312"/>
      <c r="U1291" s="312"/>
      <c r="V1291" s="312"/>
      <c r="W1291" s="312"/>
      <c r="X1291" s="312"/>
      <c r="Y1291" s="312"/>
      <c r="Z1291" s="312"/>
      <c r="AA1291" s="312"/>
      <c r="AB1291" s="312"/>
      <c r="AC1291" s="312"/>
      <c r="AD1291" s="312"/>
      <c r="AE1291" s="312"/>
      <c r="AF1291" s="312"/>
      <c r="AG1291" s="312"/>
      <c r="AH1291" s="312"/>
      <c r="AI1291" s="312"/>
      <c r="AJ1291" s="312"/>
      <c r="AK1291" s="312"/>
      <c r="AL1291" s="312"/>
      <c r="AM1291" s="312"/>
      <c r="AN1291" s="312"/>
      <c r="AO1291" s="312"/>
    </row>
    <row r="1292" spans="1:41" s="73" customFormat="1" ht="15" customHeight="1" x14ac:dyDescent="0.25">
      <c r="A1292" s="400"/>
      <c r="B1292" s="403"/>
      <c r="C1292" s="162" t="s">
        <v>498</v>
      </c>
      <c r="D1292" s="116"/>
      <c r="E1292" s="79" t="s">
        <v>1002</v>
      </c>
      <c r="F1292" s="312"/>
      <c r="G1292" s="312"/>
      <c r="H1292" s="312"/>
      <c r="I1292" s="312"/>
      <c r="J1292" s="312"/>
      <c r="K1292" s="312"/>
      <c r="L1292" s="312"/>
      <c r="M1292" s="312"/>
      <c r="N1292" s="312"/>
      <c r="O1292" s="312"/>
      <c r="P1292" s="312"/>
      <c r="Q1292" s="312"/>
      <c r="R1292" s="312"/>
      <c r="S1292" s="312"/>
      <c r="T1292" s="312"/>
      <c r="U1292" s="312"/>
      <c r="V1292" s="312"/>
      <c r="W1292" s="312"/>
      <c r="X1292" s="312"/>
      <c r="Y1292" s="312"/>
      <c r="Z1292" s="312"/>
      <c r="AA1292" s="312"/>
      <c r="AB1292" s="312"/>
      <c r="AC1292" s="312"/>
      <c r="AD1292" s="312"/>
      <c r="AE1292" s="312"/>
      <c r="AF1292" s="312"/>
      <c r="AG1292" s="312"/>
      <c r="AH1292" s="312"/>
      <c r="AI1292" s="312"/>
      <c r="AJ1292" s="312"/>
      <c r="AK1292" s="312"/>
      <c r="AL1292" s="312"/>
      <c r="AM1292" s="312"/>
      <c r="AN1292" s="312"/>
      <c r="AO1292" s="312"/>
    </row>
    <row r="1293" spans="1:41" s="73" customFormat="1" ht="15" customHeight="1" x14ac:dyDescent="0.25">
      <c r="A1293" s="400"/>
      <c r="B1293" s="403"/>
      <c r="C1293" s="162" t="s">
        <v>499</v>
      </c>
      <c r="D1293" s="116"/>
      <c r="E1293" s="79" t="s">
        <v>1003</v>
      </c>
      <c r="F1293" s="312"/>
      <c r="G1293" s="312"/>
      <c r="H1293" s="312"/>
      <c r="I1293" s="312"/>
      <c r="J1293" s="312"/>
      <c r="K1293" s="312"/>
      <c r="L1293" s="312"/>
      <c r="M1293" s="312"/>
      <c r="N1293" s="312"/>
      <c r="O1293" s="312"/>
      <c r="P1293" s="312"/>
      <c r="Q1293" s="312"/>
      <c r="R1293" s="312"/>
      <c r="S1293" s="312"/>
      <c r="T1293" s="312"/>
      <c r="U1293" s="312"/>
      <c r="V1293" s="312"/>
      <c r="W1293" s="312"/>
      <c r="X1293" s="312"/>
      <c r="Y1293" s="312"/>
      <c r="Z1293" s="312"/>
      <c r="AA1293" s="312"/>
      <c r="AB1293" s="312"/>
      <c r="AC1293" s="312"/>
      <c r="AD1293" s="312"/>
      <c r="AE1293" s="312"/>
      <c r="AF1293" s="312"/>
      <c r="AG1293" s="312"/>
      <c r="AH1293" s="312"/>
      <c r="AI1293" s="312"/>
      <c r="AJ1293" s="312"/>
      <c r="AK1293" s="312"/>
      <c r="AL1293" s="312"/>
      <c r="AM1293" s="312"/>
      <c r="AN1293" s="312"/>
      <c r="AO1293" s="312"/>
    </row>
    <row r="1294" spans="1:41" s="73" customFormat="1" ht="15" customHeight="1" x14ac:dyDescent="0.25">
      <c r="A1294" s="400"/>
      <c r="B1294" s="403"/>
      <c r="C1294" s="162" t="s">
        <v>500</v>
      </c>
      <c r="D1294" s="116"/>
      <c r="E1294" s="79" t="s">
        <v>1004</v>
      </c>
      <c r="F1294" s="312"/>
      <c r="G1294" s="312"/>
      <c r="H1294" s="312"/>
      <c r="I1294" s="312"/>
      <c r="J1294" s="312"/>
      <c r="K1294" s="312"/>
      <c r="L1294" s="312"/>
      <c r="M1294" s="312"/>
      <c r="N1294" s="312"/>
      <c r="O1294" s="312"/>
      <c r="P1294" s="312"/>
      <c r="Q1294" s="312"/>
      <c r="R1294" s="312"/>
      <c r="S1294" s="312"/>
      <c r="T1294" s="312"/>
      <c r="U1294" s="312"/>
      <c r="V1294" s="312"/>
      <c r="W1294" s="312"/>
      <c r="X1294" s="312"/>
      <c r="Y1294" s="312"/>
      <c r="Z1294" s="312"/>
      <c r="AA1294" s="312"/>
      <c r="AB1294" s="312"/>
      <c r="AC1294" s="312"/>
      <c r="AD1294" s="312"/>
      <c r="AE1294" s="312"/>
      <c r="AF1294" s="312"/>
      <c r="AG1294" s="312"/>
      <c r="AH1294" s="312"/>
      <c r="AI1294" s="312"/>
      <c r="AJ1294" s="312"/>
      <c r="AK1294" s="312"/>
      <c r="AL1294" s="312"/>
      <c r="AM1294" s="312"/>
      <c r="AN1294" s="312"/>
      <c r="AO1294" s="312"/>
    </row>
    <row r="1295" spans="1:41" s="73" customFormat="1" ht="15" customHeight="1" x14ac:dyDescent="0.25">
      <c r="A1295" s="400"/>
      <c r="B1295" s="403"/>
      <c r="C1295" s="162" t="s">
        <v>501</v>
      </c>
      <c r="D1295" s="116"/>
      <c r="E1295" s="79" t="s">
        <v>1005</v>
      </c>
      <c r="F1295" s="312"/>
      <c r="G1295" s="312"/>
      <c r="H1295" s="312"/>
      <c r="I1295" s="312"/>
      <c r="J1295" s="312"/>
      <c r="K1295" s="312"/>
      <c r="L1295" s="312"/>
      <c r="M1295" s="312"/>
      <c r="N1295" s="312"/>
      <c r="O1295" s="312"/>
      <c r="P1295" s="312"/>
      <c r="Q1295" s="312"/>
      <c r="R1295" s="312"/>
      <c r="S1295" s="312"/>
      <c r="T1295" s="312"/>
      <c r="U1295" s="312"/>
      <c r="V1295" s="312"/>
      <c r="W1295" s="312"/>
      <c r="X1295" s="312"/>
      <c r="Y1295" s="312"/>
      <c r="Z1295" s="312"/>
      <c r="AA1295" s="312"/>
      <c r="AB1295" s="312"/>
      <c r="AC1295" s="312"/>
      <c r="AD1295" s="312"/>
      <c r="AE1295" s="312"/>
      <c r="AF1295" s="312"/>
      <c r="AG1295" s="312"/>
      <c r="AH1295" s="312"/>
      <c r="AI1295" s="312"/>
      <c r="AJ1295" s="312"/>
      <c r="AK1295" s="312"/>
      <c r="AL1295" s="312"/>
      <c r="AM1295" s="312"/>
      <c r="AN1295" s="312"/>
      <c r="AO1295" s="312"/>
    </row>
    <row r="1296" spans="1:41" s="73" customFormat="1" ht="15" customHeight="1" x14ac:dyDescent="0.25">
      <c r="A1296" s="400"/>
      <c r="B1296" s="403"/>
      <c r="C1296" s="162" t="s">
        <v>502</v>
      </c>
      <c r="D1296" s="116"/>
      <c r="E1296" s="79" t="s">
        <v>1006</v>
      </c>
      <c r="F1296" s="312"/>
      <c r="G1296" s="312"/>
      <c r="H1296" s="312"/>
      <c r="I1296" s="312"/>
      <c r="J1296" s="312"/>
      <c r="K1296" s="312"/>
      <c r="L1296" s="312"/>
      <c r="M1296" s="312"/>
      <c r="N1296" s="312"/>
      <c r="O1296" s="312"/>
      <c r="P1296" s="312"/>
      <c r="Q1296" s="312"/>
      <c r="R1296" s="312"/>
      <c r="S1296" s="312"/>
      <c r="T1296" s="312"/>
      <c r="U1296" s="312"/>
      <c r="V1296" s="312"/>
      <c r="W1296" s="312"/>
      <c r="X1296" s="312"/>
      <c r="Y1296" s="312"/>
      <c r="Z1296" s="312"/>
      <c r="AA1296" s="312"/>
      <c r="AB1296" s="312"/>
      <c r="AC1296" s="312"/>
      <c r="AD1296" s="312"/>
      <c r="AE1296" s="312"/>
      <c r="AF1296" s="312"/>
      <c r="AG1296" s="312"/>
      <c r="AH1296" s="312"/>
      <c r="AI1296" s="312"/>
      <c r="AJ1296" s="312"/>
      <c r="AK1296" s="312"/>
      <c r="AL1296" s="312"/>
      <c r="AM1296" s="312"/>
      <c r="AN1296" s="312"/>
      <c r="AO1296" s="312"/>
    </row>
    <row r="1297" spans="1:41" ht="15" customHeight="1" x14ac:dyDescent="0.25">
      <c r="A1297" s="400"/>
      <c r="B1297" s="410" t="s">
        <v>1019</v>
      </c>
      <c r="C1297" s="181"/>
      <c r="D1297" s="142"/>
      <c r="E1297" s="76" t="s">
        <v>1030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400"/>
      <c r="B1298" s="410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400"/>
      <c r="B1299" s="410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400"/>
      <c r="B1300" s="410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400"/>
      <c r="B1301" s="410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400"/>
      <c r="B1302" s="410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400"/>
      <c r="B1303" s="410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400"/>
      <c r="B1304" s="410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400"/>
      <c r="B1305" s="410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400"/>
      <c r="B1306" s="410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400"/>
      <c r="B1307" s="410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400"/>
      <c r="B1308" s="410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400"/>
      <c r="B1309" s="410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400"/>
      <c r="B1310" s="410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400"/>
      <c r="B1311" s="410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400"/>
      <c r="B1312" s="410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400"/>
      <c r="B1313" s="405" t="s">
        <v>1020</v>
      </c>
      <c r="C1313" s="183" t="s">
        <v>551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400"/>
      <c r="B1314" s="405"/>
      <c r="C1314" s="184" t="s">
        <v>1015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400"/>
      <c r="B1315" s="405"/>
      <c r="C1315" s="184" t="s">
        <v>1016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400"/>
      <c r="B1316" s="405"/>
      <c r="C1316" s="185" t="s">
        <v>1017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400"/>
      <c r="B1317" s="405"/>
      <c r="C1317" s="186" t="s">
        <v>476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400"/>
      <c r="B1318" s="405"/>
      <c r="C1318" s="184" t="s">
        <v>1015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400"/>
      <c r="B1319" s="405"/>
      <c r="C1319" s="184" t="s">
        <v>1016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400"/>
      <c r="B1320" s="405"/>
      <c r="C1320" s="184" t="s">
        <v>1017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400"/>
      <c r="B1321" s="401" t="s">
        <v>1021</v>
      </c>
      <c r="C1321" s="85" t="s">
        <v>771</v>
      </c>
      <c r="D1321" s="152"/>
      <c r="E1321" s="85" t="s">
        <v>700</v>
      </c>
      <c r="F1321" s="368"/>
      <c r="G1321" s="368"/>
      <c r="H1321" s="368"/>
      <c r="I1321" s="368"/>
      <c r="J1321" s="369"/>
      <c r="K1321" s="369"/>
      <c r="L1321" s="369"/>
      <c r="M1321" s="369"/>
      <c r="N1321" s="369"/>
      <c r="O1321" s="369"/>
      <c r="P1321" s="369"/>
      <c r="Q1321" s="369"/>
      <c r="R1321" s="369"/>
      <c r="S1321" s="369"/>
      <c r="T1321" s="369"/>
      <c r="U1321" s="369"/>
      <c r="V1321" s="369"/>
      <c r="W1321" s="369"/>
      <c r="X1321" s="369"/>
      <c r="Y1321" s="369"/>
      <c r="Z1321" s="369"/>
      <c r="AA1321" s="369"/>
      <c r="AB1321" s="369"/>
      <c r="AC1321" s="369"/>
      <c r="AD1321" s="369"/>
      <c r="AE1321" s="369"/>
      <c r="AF1321" s="369"/>
      <c r="AG1321" s="369"/>
      <c r="AH1321" s="369"/>
      <c r="AI1321" s="369"/>
      <c r="AJ1321" s="369"/>
      <c r="AK1321" s="369"/>
      <c r="AL1321" s="369"/>
      <c r="AM1321" s="369"/>
      <c r="AN1321" s="369"/>
      <c r="AO1321" s="369"/>
    </row>
    <row r="1322" spans="1:41" s="73" customFormat="1" ht="15" customHeight="1" x14ac:dyDescent="0.25">
      <c r="A1322" s="400"/>
      <c r="B1322" s="402"/>
      <c r="C1322" s="82" t="s">
        <v>624</v>
      </c>
      <c r="D1322" s="86"/>
      <c r="E1322" s="82" t="s">
        <v>701</v>
      </c>
      <c r="F1322" s="368"/>
      <c r="G1322" s="368"/>
      <c r="H1322" s="368"/>
      <c r="I1322" s="368"/>
      <c r="J1322" s="370"/>
      <c r="K1322" s="370"/>
      <c r="L1322" s="370"/>
      <c r="M1322" s="370"/>
      <c r="N1322" s="370"/>
      <c r="O1322" s="370"/>
      <c r="P1322" s="370"/>
      <c r="Q1322" s="370"/>
      <c r="R1322" s="370"/>
      <c r="S1322" s="370"/>
      <c r="T1322" s="370"/>
      <c r="U1322" s="370"/>
      <c r="V1322" s="370"/>
      <c r="W1322" s="370"/>
      <c r="X1322" s="370"/>
      <c r="Y1322" s="370"/>
      <c r="Z1322" s="370"/>
      <c r="AA1322" s="370"/>
      <c r="AB1322" s="370"/>
      <c r="AC1322" s="370"/>
      <c r="AD1322" s="370"/>
      <c r="AE1322" s="370"/>
      <c r="AF1322" s="370"/>
      <c r="AG1322" s="370"/>
      <c r="AH1322" s="370"/>
      <c r="AI1322" s="370"/>
      <c r="AJ1322" s="370"/>
      <c r="AK1322" s="370"/>
      <c r="AL1322" s="370"/>
      <c r="AM1322" s="370"/>
      <c r="AN1322" s="370"/>
      <c r="AO1322" s="370"/>
    </row>
    <row r="1323" spans="1:41" s="73" customFormat="1" ht="15" customHeight="1" x14ac:dyDescent="0.25">
      <c r="A1323" s="400"/>
      <c r="B1323" s="402"/>
      <c r="C1323" s="82" t="s">
        <v>625</v>
      </c>
      <c r="D1323" s="86"/>
      <c r="E1323" s="82" t="s">
        <v>702</v>
      </c>
      <c r="F1323" s="368"/>
      <c r="G1323" s="368"/>
      <c r="H1323" s="368"/>
      <c r="I1323" s="368"/>
      <c r="J1323" s="370"/>
      <c r="K1323" s="370"/>
      <c r="L1323" s="370"/>
      <c r="M1323" s="370"/>
      <c r="N1323" s="370"/>
      <c r="O1323" s="370"/>
      <c r="P1323" s="370"/>
      <c r="Q1323" s="370"/>
      <c r="R1323" s="370"/>
      <c r="S1323" s="370"/>
      <c r="T1323" s="370"/>
      <c r="U1323" s="370"/>
      <c r="V1323" s="370"/>
      <c r="W1323" s="370"/>
      <c r="X1323" s="370"/>
      <c r="Y1323" s="370"/>
      <c r="Z1323" s="370"/>
      <c r="AA1323" s="370"/>
      <c r="AB1323" s="370"/>
      <c r="AC1323" s="370"/>
      <c r="AD1323" s="370"/>
      <c r="AE1323" s="370"/>
      <c r="AF1323" s="370"/>
      <c r="AG1323" s="370"/>
      <c r="AH1323" s="370"/>
      <c r="AI1323" s="370"/>
      <c r="AJ1323" s="370"/>
      <c r="AK1323" s="370"/>
      <c r="AL1323" s="370"/>
      <c r="AM1323" s="370"/>
      <c r="AN1323" s="370"/>
      <c r="AO1323" s="370"/>
    </row>
    <row r="1324" spans="1:41" s="73" customFormat="1" ht="15" customHeight="1" x14ac:dyDescent="0.25">
      <c r="A1324" s="400"/>
      <c r="B1324" s="402"/>
      <c r="C1324" s="82" t="s">
        <v>626</v>
      </c>
      <c r="D1324" s="86"/>
      <c r="E1324" s="82" t="s">
        <v>703</v>
      </c>
      <c r="F1324" s="368"/>
      <c r="G1324" s="368"/>
      <c r="H1324" s="368"/>
      <c r="I1324" s="368"/>
      <c r="J1324" s="370"/>
      <c r="K1324" s="370"/>
      <c r="L1324" s="370"/>
      <c r="M1324" s="370"/>
      <c r="N1324" s="370"/>
      <c r="O1324" s="370"/>
      <c r="P1324" s="370"/>
      <c r="Q1324" s="370"/>
      <c r="R1324" s="370"/>
      <c r="S1324" s="370"/>
      <c r="T1324" s="370"/>
      <c r="U1324" s="370"/>
      <c r="V1324" s="370"/>
      <c r="W1324" s="370"/>
      <c r="X1324" s="370"/>
      <c r="Y1324" s="370"/>
      <c r="Z1324" s="370"/>
      <c r="AA1324" s="370"/>
      <c r="AB1324" s="370"/>
      <c r="AC1324" s="370"/>
      <c r="AD1324" s="370"/>
      <c r="AE1324" s="370"/>
      <c r="AF1324" s="370"/>
      <c r="AG1324" s="370"/>
      <c r="AH1324" s="370"/>
      <c r="AI1324" s="370"/>
      <c r="AJ1324" s="370"/>
      <c r="AK1324" s="370"/>
      <c r="AL1324" s="370"/>
      <c r="AM1324" s="370"/>
      <c r="AN1324" s="370"/>
      <c r="AO1324" s="370"/>
    </row>
    <row r="1325" spans="1:41" s="73" customFormat="1" ht="15" customHeight="1" x14ac:dyDescent="0.25">
      <c r="A1325" s="400"/>
      <c r="B1325" s="402"/>
      <c r="C1325" s="82" t="s">
        <v>627</v>
      </c>
      <c r="D1325" s="86"/>
      <c r="E1325" s="82" t="s">
        <v>704</v>
      </c>
      <c r="F1325" s="368"/>
      <c r="G1325" s="368"/>
      <c r="H1325" s="368"/>
      <c r="I1325" s="368"/>
      <c r="J1325" s="370"/>
      <c r="K1325" s="370"/>
      <c r="L1325" s="370"/>
      <c r="M1325" s="370"/>
      <c r="N1325" s="370"/>
      <c r="O1325" s="370"/>
      <c r="P1325" s="370"/>
      <c r="Q1325" s="370"/>
      <c r="R1325" s="370"/>
      <c r="S1325" s="370"/>
      <c r="T1325" s="370"/>
      <c r="U1325" s="370"/>
      <c r="V1325" s="370"/>
      <c r="W1325" s="370"/>
      <c r="X1325" s="370"/>
      <c r="Y1325" s="370"/>
      <c r="Z1325" s="370"/>
      <c r="AA1325" s="370"/>
      <c r="AB1325" s="370"/>
      <c r="AC1325" s="370"/>
      <c r="AD1325" s="370"/>
      <c r="AE1325" s="370"/>
      <c r="AF1325" s="370"/>
      <c r="AG1325" s="370"/>
      <c r="AH1325" s="370"/>
      <c r="AI1325" s="370"/>
      <c r="AJ1325" s="370"/>
      <c r="AK1325" s="370"/>
      <c r="AL1325" s="370"/>
      <c r="AM1325" s="370"/>
      <c r="AN1325" s="370"/>
      <c r="AO1325" s="370"/>
    </row>
    <row r="1326" spans="1:41" s="73" customFormat="1" ht="15" customHeight="1" x14ac:dyDescent="0.25">
      <c r="A1326" s="400"/>
      <c r="B1326" s="402"/>
      <c r="C1326" s="82" t="s">
        <v>628</v>
      </c>
      <c r="D1326" s="86"/>
      <c r="E1326" s="82" t="s">
        <v>705</v>
      </c>
      <c r="F1326" s="368"/>
      <c r="G1326" s="368"/>
      <c r="H1326" s="368"/>
      <c r="I1326" s="368"/>
      <c r="J1326" s="370"/>
      <c r="K1326" s="370"/>
      <c r="L1326" s="370"/>
      <c r="M1326" s="370"/>
      <c r="N1326" s="370"/>
      <c r="O1326" s="370"/>
      <c r="P1326" s="370"/>
      <c r="Q1326" s="370"/>
      <c r="R1326" s="370"/>
      <c r="S1326" s="370"/>
      <c r="T1326" s="370"/>
      <c r="U1326" s="370"/>
      <c r="V1326" s="370"/>
      <c r="W1326" s="370"/>
      <c r="X1326" s="370"/>
      <c r="Y1326" s="370"/>
      <c r="Z1326" s="370"/>
      <c r="AA1326" s="370"/>
      <c r="AB1326" s="370"/>
      <c r="AC1326" s="370"/>
      <c r="AD1326" s="370"/>
      <c r="AE1326" s="370"/>
      <c r="AF1326" s="370"/>
      <c r="AG1326" s="370"/>
      <c r="AH1326" s="370"/>
      <c r="AI1326" s="370"/>
      <c r="AJ1326" s="370"/>
      <c r="AK1326" s="370"/>
      <c r="AL1326" s="370"/>
      <c r="AM1326" s="370"/>
      <c r="AN1326" s="370"/>
      <c r="AO1326" s="370"/>
    </row>
    <row r="1327" spans="1:41" s="73" customFormat="1" ht="15" customHeight="1" x14ac:dyDescent="0.25">
      <c r="A1327" s="400"/>
      <c r="B1327" s="402"/>
      <c r="C1327" s="82" t="s">
        <v>629</v>
      </c>
      <c r="D1327" s="86"/>
      <c r="E1327" s="82" t="s">
        <v>706</v>
      </c>
      <c r="F1327" s="368"/>
      <c r="G1327" s="368"/>
      <c r="H1327" s="368"/>
      <c r="I1327" s="368"/>
      <c r="J1327" s="370"/>
      <c r="K1327" s="370"/>
      <c r="L1327" s="370"/>
      <c r="M1327" s="370"/>
      <c r="N1327" s="370"/>
      <c r="O1327" s="370"/>
      <c r="P1327" s="370"/>
      <c r="Q1327" s="370"/>
      <c r="R1327" s="370"/>
      <c r="S1327" s="370"/>
      <c r="T1327" s="370"/>
      <c r="U1327" s="370"/>
      <c r="V1327" s="370"/>
      <c r="W1327" s="370"/>
      <c r="X1327" s="370"/>
      <c r="Y1327" s="370"/>
      <c r="Z1327" s="370"/>
      <c r="AA1327" s="370"/>
      <c r="AB1327" s="370"/>
      <c r="AC1327" s="370"/>
      <c r="AD1327" s="370"/>
      <c r="AE1327" s="370"/>
      <c r="AF1327" s="370"/>
      <c r="AG1327" s="370"/>
      <c r="AH1327" s="370"/>
      <c r="AI1327" s="370"/>
      <c r="AJ1327" s="370"/>
      <c r="AK1327" s="370"/>
      <c r="AL1327" s="370"/>
      <c r="AM1327" s="370"/>
      <c r="AN1327" s="370"/>
      <c r="AO1327" s="370"/>
    </row>
    <row r="1328" spans="1:41" s="73" customFormat="1" ht="15" customHeight="1" x14ac:dyDescent="0.25">
      <c r="A1328" s="400"/>
      <c r="B1328" s="402"/>
      <c r="C1328" s="82" t="s">
        <v>630</v>
      </c>
      <c r="D1328" s="86"/>
      <c r="E1328" s="82" t="s">
        <v>707</v>
      </c>
      <c r="F1328" s="368"/>
      <c r="G1328" s="368"/>
      <c r="H1328" s="368"/>
      <c r="I1328" s="368"/>
      <c r="J1328" s="370"/>
      <c r="K1328" s="370"/>
      <c r="L1328" s="370"/>
      <c r="M1328" s="370"/>
      <c r="N1328" s="370"/>
      <c r="O1328" s="370"/>
      <c r="P1328" s="370"/>
      <c r="Q1328" s="370"/>
      <c r="R1328" s="370"/>
      <c r="S1328" s="370"/>
      <c r="T1328" s="370"/>
      <c r="U1328" s="370"/>
      <c r="V1328" s="370"/>
      <c r="W1328" s="370"/>
      <c r="X1328" s="370"/>
      <c r="Y1328" s="370"/>
      <c r="Z1328" s="370"/>
      <c r="AA1328" s="370"/>
      <c r="AB1328" s="370"/>
      <c r="AC1328" s="370"/>
      <c r="AD1328" s="370"/>
      <c r="AE1328" s="370"/>
      <c r="AF1328" s="370"/>
      <c r="AG1328" s="370"/>
      <c r="AH1328" s="370"/>
      <c r="AI1328" s="370"/>
      <c r="AJ1328" s="370"/>
      <c r="AK1328" s="370"/>
      <c r="AL1328" s="370"/>
      <c r="AM1328" s="370"/>
      <c r="AN1328" s="370"/>
      <c r="AO1328" s="370"/>
    </row>
    <row r="1329" spans="1:41" s="73" customFormat="1" ht="15" customHeight="1" x14ac:dyDescent="0.25">
      <c r="A1329" s="400"/>
      <c r="B1329" s="402"/>
      <c r="C1329" s="82" t="s">
        <v>631</v>
      </c>
      <c r="D1329" s="86"/>
      <c r="E1329" s="82" t="s">
        <v>708</v>
      </c>
      <c r="F1329" s="368"/>
      <c r="G1329" s="368"/>
      <c r="H1329" s="368"/>
      <c r="I1329" s="368"/>
      <c r="J1329" s="370"/>
      <c r="K1329" s="370"/>
      <c r="L1329" s="370"/>
      <c r="M1329" s="370"/>
      <c r="N1329" s="370"/>
      <c r="O1329" s="370"/>
      <c r="P1329" s="370"/>
      <c r="Q1329" s="370"/>
      <c r="R1329" s="370"/>
      <c r="S1329" s="370"/>
      <c r="T1329" s="370"/>
      <c r="U1329" s="370"/>
      <c r="V1329" s="370"/>
      <c r="W1329" s="370"/>
      <c r="X1329" s="370"/>
      <c r="Y1329" s="370"/>
      <c r="Z1329" s="370"/>
      <c r="AA1329" s="370"/>
      <c r="AB1329" s="370"/>
      <c r="AC1329" s="370"/>
      <c r="AD1329" s="370"/>
      <c r="AE1329" s="370"/>
      <c r="AF1329" s="370"/>
      <c r="AG1329" s="370"/>
      <c r="AH1329" s="370"/>
      <c r="AI1329" s="370"/>
      <c r="AJ1329" s="370"/>
      <c r="AK1329" s="370"/>
      <c r="AL1329" s="370"/>
      <c r="AM1329" s="370"/>
      <c r="AN1329" s="370"/>
      <c r="AO1329" s="370"/>
    </row>
    <row r="1330" spans="1:41" s="73" customFormat="1" ht="15" customHeight="1" x14ac:dyDescent="0.25">
      <c r="A1330" s="400"/>
      <c r="B1330" s="402"/>
      <c r="C1330" s="82" t="s">
        <v>632</v>
      </c>
      <c r="D1330" s="86"/>
      <c r="E1330" s="82" t="s">
        <v>709</v>
      </c>
      <c r="F1330" s="368"/>
      <c r="G1330" s="368"/>
      <c r="H1330" s="368"/>
      <c r="I1330" s="368"/>
      <c r="J1330" s="370"/>
      <c r="K1330" s="370"/>
      <c r="L1330" s="370"/>
      <c r="M1330" s="370"/>
      <c r="N1330" s="370"/>
      <c r="O1330" s="370"/>
      <c r="P1330" s="370"/>
      <c r="Q1330" s="370"/>
      <c r="R1330" s="370"/>
      <c r="S1330" s="370"/>
      <c r="T1330" s="370"/>
      <c r="U1330" s="370"/>
      <c r="V1330" s="370"/>
      <c r="W1330" s="370"/>
      <c r="X1330" s="370"/>
      <c r="Y1330" s="370"/>
      <c r="Z1330" s="370"/>
      <c r="AA1330" s="370"/>
      <c r="AB1330" s="370"/>
      <c r="AC1330" s="370"/>
      <c r="AD1330" s="370"/>
      <c r="AE1330" s="370"/>
      <c r="AF1330" s="370"/>
      <c r="AG1330" s="370"/>
      <c r="AH1330" s="370"/>
      <c r="AI1330" s="370"/>
      <c r="AJ1330" s="370"/>
      <c r="AK1330" s="370"/>
      <c r="AL1330" s="370"/>
      <c r="AM1330" s="370"/>
      <c r="AN1330" s="370"/>
      <c r="AO1330" s="370"/>
    </row>
    <row r="1331" spans="1:41" s="73" customFormat="1" ht="15" customHeight="1" x14ac:dyDescent="0.25">
      <c r="A1331" s="400"/>
      <c r="B1331" s="402"/>
      <c r="C1331" s="82" t="s">
        <v>633</v>
      </c>
      <c r="D1331" s="86"/>
      <c r="E1331" s="367" t="s">
        <v>710</v>
      </c>
      <c r="F1331" s="368"/>
      <c r="G1331" s="368"/>
      <c r="H1331" s="368"/>
      <c r="I1331" s="368"/>
      <c r="J1331" s="370"/>
      <c r="K1331" s="370"/>
      <c r="L1331" s="370"/>
      <c r="M1331" s="370"/>
      <c r="N1331" s="370"/>
      <c r="O1331" s="370"/>
      <c r="P1331" s="370"/>
      <c r="Q1331" s="370"/>
      <c r="R1331" s="370"/>
      <c r="S1331" s="370"/>
      <c r="T1331" s="370"/>
      <c r="U1331" s="370"/>
      <c r="V1331" s="370"/>
      <c r="W1331" s="370"/>
      <c r="X1331" s="370"/>
      <c r="Y1331" s="370"/>
      <c r="Z1331" s="370"/>
      <c r="AA1331" s="370"/>
      <c r="AB1331" s="370"/>
      <c r="AC1331" s="370"/>
      <c r="AD1331" s="370"/>
      <c r="AE1331" s="370"/>
      <c r="AF1331" s="370"/>
      <c r="AG1331" s="370"/>
      <c r="AH1331" s="370"/>
      <c r="AI1331" s="370"/>
      <c r="AJ1331" s="370"/>
      <c r="AK1331" s="370"/>
      <c r="AL1331" s="370"/>
      <c r="AM1331" s="370"/>
      <c r="AN1331" s="370"/>
      <c r="AO1331" s="370"/>
    </row>
    <row r="1332" spans="1:41" s="73" customFormat="1" ht="15" customHeight="1" x14ac:dyDescent="0.25">
      <c r="A1332" s="400"/>
      <c r="B1332" s="402"/>
      <c r="C1332" s="82" t="s">
        <v>634</v>
      </c>
      <c r="D1332" s="86"/>
      <c r="E1332" s="82" t="s">
        <v>711</v>
      </c>
      <c r="F1332" s="368"/>
      <c r="G1332" s="368"/>
      <c r="H1332" s="368"/>
      <c r="I1332" s="368"/>
      <c r="J1332" s="370"/>
      <c r="K1332" s="370"/>
      <c r="L1332" s="370"/>
      <c r="M1332" s="370"/>
      <c r="N1332" s="370"/>
      <c r="O1332" s="370"/>
      <c r="P1332" s="370"/>
      <c r="Q1332" s="370"/>
      <c r="R1332" s="370"/>
      <c r="S1332" s="370"/>
      <c r="T1332" s="370"/>
      <c r="U1332" s="370"/>
      <c r="V1332" s="370"/>
      <c r="W1332" s="370"/>
      <c r="X1332" s="370"/>
      <c r="Y1332" s="370"/>
      <c r="Z1332" s="370"/>
      <c r="AA1332" s="370"/>
      <c r="AB1332" s="370"/>
      <c r="AC1332" s="370"/>
      <c r="AD1332" s="370"/>
      <c r="AE1332" s="370"/>
      <c r="AF1332" s="370"/>
      <c r="AG1332" s="370"/>
      <c r="AH1332" s="370"/>
      <c r="AI1332" s="370"/>
      <c r="AJ1332" s="370"/>
      <c r="AK1332" s="370"/>
      <c r="AL1332" s="370"/>
      <c r="AM1332" s="370"/>
      <c r="AN1332" s="370"/>
      <c r="AO1332" s="370"/>
    </row>
    <row r="1333" spans="1:41" s="73" customFormat="1" ht="15" customHeight="1" x14ac:dyDescent="0.25">
      <c r="A1333" s="400"/>
      <c r="B1333" s="402"/>
      <c r="C1333" s="82" t="s">
        <v>635</v>
      </c>
      <c r="D1333" s="86"/>
      <c r="E1333" s="82" t="s">
        <v>712</v>
      </c>
      <c r="F1333" s="368"/>
      <c r="G1333" s="368"/>
      <c r="H1333" s="368"/>
      <c r="I1333" s="368"/>
      <c r="J1333" s="370"/>
      <c r="K1333" s="370"/>
      <c r="L1333" s="370"/>
      <c r="M1333" s="370"/>
      <c r="N1333" s="370"/>
      <c r="O1333" s="370"/>
      <c r="P1333" s="370"/>
      <c r="Q1333" s="370"/>
      <c r="R1333" s="370"/>
      <c r="S1333" s="370"/>
      <c r="T1333" s="370"/>
      <c r="U1333" s="370"/>
      <c r="V1333" s="370"/>
      <c r="W1333" s="370"/>
      <c r="X1333" s="370"/>
      <c r="Y1333" s="370"/>
      <c r="Z1333" s="370"/>
      <c r="AA1333" s="370"/>
      <c r="AB1333" s="370"/>
      <c r="AC1333" s="370"/>
      <c r="AD1333" s="370"/>
      <c r="AE1333" s="370"/>
      <c r="AF1333" s="370"/>
      <c r="AG1333" s="370"/>
      <c r="AH1333" s="370"/>
      <c r="AI1333" s="370"/>
      <c r="AJ1333" s="370"/>
      <c r="AK1333" s="370"/>
      <c r="AL1333" s="370"/>
      <c r="AM1333" s="370"/>
      <c r="AN1333" s="370"/>
      <c r="AO1333" s="370"/>
    </row>
    <row r="1334" spans="1:41" s="73" customFormat="1" ht="15" customHeight="1" x14ac:dyDescent="0.25">
      <c r="A1334" s="400"/>
      <c r="B1334" s="402"/>
      <c r="C1334" s="82" t="s">
        <v>636</v>
      </c>
      <c r="D1334" s="86"/>
      <c r="E1334" s="82" t="s">
        <v>713</v>
      </c>
      <c r="F1334" s="368"/>
      <c r="G1334" s="368"/>
      <c r="H1334" s="368"/>
      <c r="I1334" s="368"/>
      <c r="J1334" s="370"/>
      <c r="K1334" s="370"/>
      <c r="L1334" s="370"/>
      <c r="M1334" s="370"/>
      <c r="N1334" s="370"/>
      <c r="O1334" s="370"/>
      <c r="P1334" s="370"/>
      <c r="Q1334" s="370"/>
      <c r="R1334" s="370"/>
      <c r="S1334" s="370"/>
      <c r="T1334" s="370"/>
      <c r="U1334" s="370"/>
      <c r="V1334" s="370"/>
      <c r="W1334" s="370"/>
      <c r="X1334" s="370"/>
      <c r="Y1334" s="370"/>
      <c r="Z1334" s="370"/>
      <c r="AA1334" s="370"/>
      <c r="AB1334" s="370"/>
      <c r="AC1334" s="370"/>
      <c r="AD1334" s="370"/>
      <c r="AE1334" s="370"/>
      <c r="AF1334" s="370"/>
      <c r="AG1334" s="370"/>
      <c r="AH1334" s="370"/>
      <c r="AI1334" s="370"/>
      <c r="AJ1334" s="370"/>
      <c r="AK1334" s="370"/>
      <c r="AL1334" s="370"/>
      <c r="AM1334" s="370"/>
      <c r="AN1334" s="370"/>
      <c r="AO1334" s="370"/>
    </row>
    <row r="1335" spans="1:41" s="73" customFormat="1" ht="15" customHeight="1" x14ac:dyDescent="0.25">
      <c r="A1335" s="400"/>
      <c r="B1335" s="402"/>
      <c r="C1335" s="82" t="s">
        <v>637</v>
      </c>
      <c r="D1335" s="86"/>
      <c r="E1335" s="82" t="s">
        <v>714</v>
      </c>
      <c r="F1335" s="368"/>
      <c r="G1335" s="368"/>
      <c r="H1335" s="368"/>
      <c r="I1335" s="368"/>
      <c r="J1335" s="370"/>
      <c r="K1335" s="370"/>
      <c r="L1335" s="370"/>
      <c r="M1335" s="370"/>
      <c r="N1335" s="370"/>
      <c r="O1335" s="370"/>
      <c r="P1335" s="370"/>
      <c r="Q1335" s="370"/>
      <c r="R1335" s="370"/>
      <c r="S1335" s="370"/>
      <c r="T1335" s="370"/>
      <c r="U1335" s="370"/>
      <c r="V1335" s="370"/>
      <c r="W1335" s="370"/>
      <c r="X1335" s="370"/>
      <c r="Y1335" s="370"/>
      <c r="Z1335" s="370"/>
      <c r="AA1335" s="370"/>
      <c r="AB1335" s="370"/>
      <c r="AC1335" s="370"/>
      <c r="AD1335" s="370"/>
      <c r="AE1335" s="370"/>
      <c r="AF1335" s="370"/>
      <c r="AG1335" s="370"/>
      <c r="AH1335" s="370"/>
      <c r="AI1335" s="370"/>
      <c r="AJ1335" s="370"/>
      <c r="AK1335" s="370"/>
      <c r="AL1335" s="370"/>
      <c r="AM1335" s="370"/>
      <c r="AN1335" s="370"/>
      <c r="AO1335" s="370"/>
    </row>
    <row r="1336" spans="1:41" s="73" customFormat="1" ht="15" customHeight="1" x14ac:dyDescent="0.25">
      <c r="A1336" s="400"/>
      <c r="B1336" s="402"/>
      <c r="C1336" s="82" t="s">
        <v>638</v>
      </c>
      <c r="D1336" s="86"/>
      <c r="E1336" s="82" t="s">
        <v>715</v>
      </c>
      <c r="F1336" s="368"/>
      <c r="G1336" s="368"/>
      <c r="H1336" s="368"/>
      <c r="I1336" s="368"/>
      <c r="J1336" s="370"/>
      <c r="K1336" s="370"/>
      <c r="L1336" s="370"/>
      <c r="M1336" s="370"/>
      <c r="N1336" s="370"/>
      <c r="O1336" s="370"/>
      <c r="P1336" s="370"/>
      <c r="Q1336" s="370"/>
      <c r="R1336" s="370"/>
      <c r="S1336" s="370"/>
      <c r="T1336" s="370"/>
      <c r="U1336" s="370"/>
      <c r="V1336" s="370"/>
      <c r="W1336" s="370"/>
      <c r="X1336" s="370"/>
      <c r="Y1336" s="370"/>
      <c r="Z1336" s="370"/>
      <c r="AA1336" s="370"/>
      <c r="AB1336" s="370"/>
      <c r="AC1336" s="370"/>
      <c r="AD1336" s="370"/>
      <c r="AE1336" s="370"/>
      <c r="AF1336" s="370"/>
      <c r="AG1336" s="370"/>
      <c r="AH1336" s="370"/>
      <c r="AI1336" s="370"/>
      <c r="AJ1336" s="370"/>
      <c r="AK1336" s="370"/>
      <c r="AL1336" s="370"/>
      <c r="AM1336" s="370"/>
      <c r="AN1336" s="370"/>
      <c r="AO1336" s="370"/>
    </row>
    <row r="1337" spans="1:41" s="73" customFormat="1" ht="15" customHeight="1" x14ac:dyDescent="0.25">
      <c r="A1337" s="400"/>
      <c r="B1337" s="402"/>
      <c r="C1337" s="82" t="s">
        <v>639</v>
      </c>
      <c r="D1337" s="86"/>
      <c r="E1337" s="82" t="s">
        <v>716</v>
      </c>
      <c r="F1337" s="368"/>
      <c r="G1337" s="368"/>
      <c r="H1337" s="368"/>
      <c r="I1337" s="368"/>
      <c r="J1337" s="370"/>
      <c r="K1337" s="370"/>
      <c r="L1337" s="370"/>
      <c r="M1337" s="370"/>
      <c r="N1337" s="370"/>
      <c r="O1337" s="370"/>
      <c r="P1337" s="370"/>
      <c r="Q1337" s="370"/>
      <c r="R1337" s="370"/>
      <c r="S1337" s="370"/>
      <c r="T1337" s="370"/>
      <c r="U1337" s="370"/>
      <c r="V1337" s="370"/>
      <c r="W1337" s="370"/>
      <c r="X1337" s="370"/>
      <c r="Y1337" s="370"/>
      <c r="Z1337" s="370"/>
      <c r="AA1337" s="370"/>
      <c r="AB1337" s="370"/>
      <c r="AC1337" s="370"/>
      <c r="AD1337" s="370"/>
      <c r="AE1337" s="370"/>
      <c r="AF1337" s="370"/>
      <c r="AG1337" s="370"/>
      <c r="AH1337" s="370"/>
      <c r="AI1337" s="370"/>
      <c r="AJ1337" s="370"/>
      <c r="AK1337" s="370"/>
      <c r="AL1337" s="370"/>
      <c r="AM1337" s="370"/>
      <c r="AN1337" s="370"/>
      <c r="AO1337" s="370"/>
    </row>
    <row r="1338" spans="1:41" s="73" customFormat="1" ht="15" customHeight="1" x14ac:dyDescent="0.25">
      <c r="A1338" s="400"/>
      <c r="B1338" s="402"/>
      <c r="C1338" s="82" t="s">
        <v>640</v>
      </c>
      <c r="D1338" s="86"/>
      <c r="E1338" s="82" t="s">
        <v>717</v>
      </c>
      <c r="F1338" s="368"/>
      <c r="G1338" s="368"/>
      <c r="H1338" s="368"/>
      <c r="I1338" s="368"/>
      <c r="J1338" s="370"/>
      <c r="K1338" s="370"/>
      <c r="L1338" s="370"/>
      <c r="M1338" s="370"/>
      <c r="N1338" s="370"/>
      <c r="O1338" s="370"/>
      <c r="P1338" s="370"/>
      <c r="Q1338" s="370"/>
      <c r="R1338" s="370"/>
      <c r="S1338" s="370"/>
      <c r="T1338" s="370"/>
      <c r="U1338" s="370"/>
      <c r="V1338" s="370"/>
      <c r="W1338" s="370"/>
      <c r="X1338" s="370"/>
      <c r="Y1338" s="370"/>
      <c r="Z1338" s="370"/>
      <c r="AA1338" s="370"/>
      <c r="AB1338" s="370"/>
      <c r="AC1338" s="370"/>
      <c r="AD1338" s="370"/>
      <c r="AE1338" s="370"/>
      <c r="AF1338" s="370"/>
      <c r="AG1338" s="370"/>
      <c r="AH1338" s="370"/>
      <c r="AI1338" s="370"/>
      <c r="AJ1338" s="370"/>
      <c r="AK1338" s="370"/>
      <c r="AL1338" s="370"/>
      <c r="AM1338" s="370"/>
      <c r="AN1338" s="370"/>
      <c r="AO1338" s="370"/>
    </row>
    <row r="1339" spans="1:41" s="73" customFormat="1" ht="15" customHeight="1" x14ac:dyDescent="0.25">
      <c r="A1339" s="400"/>
      <c r="B1339" s="402"/>
      <c r="C1339" s="82" t="s">
        <v>641</v>
      </c>
      <c r="D1339" s="86"/>
      <c r="E1339" s="82" t="s">
        <v>718</v>
      </c>
      <c r="F1339" s="368"/>
      <c r="G1339" s="368"/>
      <c r="H1339" s="368"/>
      <c r="I1339" s="368"/>
      <c r="J1339" s="370"/>
      <c r="K1339" s="370"/>
      <c r="L1339" s="370"/>
      <c r="M1339" s="370"/>
      <c r="N1339" s="370"/>
      <c r="O1339" s="370"/>
      <c r="P1339" s="370"/>
      <c r="Q1339" s="370"/>
      <c r="R1339" s="370"/>
      <c r="S1339" s="370"/>
      <c r="T1339" s="370"/>
      <c r="U1339" s="370"/>
      <c r="V1339" s="370"/>
      <c r="W1339" s="370"/>
      <c r="X1339" s="370"/>
      <c r="Y1339" s="370"/>
      <c r="Z1339" s="370"/>
      <c r="AA1339" s="370"/>
      <c r="AB1339" s="370"/>
      <c r="AC1339" s="370"/>
      <c r="AD1339" s="370"/>
      <c r="AE1339" s="370"/>
      <c r="AF1339" s="370"/>
      <c r="AG1339" s="370"/>
      <c r="AH1339" s="370"/>
      <c r="AI1339" s="370"/>
      <c r="AJ1339" s="370"/>
      <c r="AK1339" s="370"/>
      <c r="AL1339" s="370"/>
      <c r="AM1339" s="370"/>
      <c r="AN1339" s="370"/>
      <c r="AO1339" s="370"/>
    </row>
    <row r="1340" spans="1:41" s="73" customFormat="1" ht="15" customHeight="1" x14ac:dyDescent="0.25">
      <c r="A1340" s="400"/>
      <c r="B1340" s="402"/>
      <c r="C1340" s="82" t="s">
        <v>642</v>
      </c>
      <c r="D1340" s="86"/>
      <c r="E1340" s="82" t="s">
        <v>719</v>
      </c>
      <c r="F1340" s="368"/>
      <c r="G1340" s="368"/>
      <c r="H1340" s="368"/>
      <c r="I1340" s="368"/>
      <c r="J1340" s="370"/>
      <c r="K1340" s="370"/>
      <c r="L1340" s="370"/>
      <c r="M1340" s="370"/>
      <c r="N1340" s="370"/>
      <c r="O1340" s="370"/>
      <c r="P1340" s="370"/>
      <c r="Q1340" s="370"/>
      <c r="R1340" s="370"/>
      <c r="S1340" s="370"/>
      <c r="T1340" s="370"/>
      <c r="U1340" s="370"/>
      <c r="V1340" s="370"/>
      <c r="W1340" s="370"/>
      <c r="X1340" s="370"/>
      <c r="Y1340" s="370"/>
      <c r="Z1340" s="370"/>
      <c r="AA1340" s="370"/>
      <c r="AB1340" s="370"/>
      <c r="AC1340" s="370"/>
      <c r="AD1340" s="370"/>
      <c r="AE1340" s="370"/>
      <c r="AF1340" s="370"/>
      <c r="AG1340" s="370"/>
      <c r="AH1340" s="370"/>
      <c r="AI1340" s="370"/>
      <c r="AJ1340" s="370"/>
      <c r="AK1340" s="370"/>
      <c r="AL1340" s="370"/>
      <c r="AM1340" s="370"/>
      <c r="AN1340" s="370"/>
      <c r="AO1340" s="370"/>
    </row>
    <row r="1341" spans="1:41" s="73" customFormat="1" ht="15" customHeight="1" x14ac:dyDescent="0.25">
      <c r="A1341" s="400"/>
      <c r="B1341" s="402"/>
      <c r="C1341" s="82" t="s">
        <v>530</v>
      </c>
      <c r="D1341" s="86"/>
      <c r="E1341" s="82" t="s">
        <v>720</v>
      </c>
      <c r="F1341" s="368"/>
      <c r="G1341" s="368"/>
      <c r="H1341" s="368"/>
      <c r="I1341" s="368"/>
      <c r="J1341" s="370"/>
      <c r="K1341" s="370"/>
      <c r="L1341" s="370"/>
      <c r="M1341" s="370"/>
      <c r="N1341" s="370"/>
      <c r="O1341" s="370"/>
      <c r="P1341" s="370"/>
      <c r="Q1341" s="370"/>
      <c r="R1341" s="370"/>
      <c r="S1341" s="370"/>
      <c r="T1341" s="370"/>
      <c r="U1341" s="370"/>
      <c r="V1341" s="370"/>
      <c r="W1341" s="370"/>
      <c r="X1341" s="370"/>
      <c r="Y1341" s="370"/>
      <c r="Z1341" s="370"/>
      <c r="AA1341" s="370"/>
      <c r="AB1341" s="370"/>
      <c r="AC1341" s="370"/>
      <c r="AD1341" s="370"/>
      <c r="AE1341" s="370"/>
      <c r="AF1341" s="370"/>
      <c r="AG1341" s="370"/>
      <c r="AH1341" s="370"/>
      <c r="AI1341" s="370"/>
      <c r="AJ1341" s="370"/>
      <c r="AK1341" s="370"/>
      <c r="AL1341" s="370"/>
      <c r="AM1341" s="370"/>
      <c r="AN1341" s="370"/>
      <c r="AO1341" s="370"/>
    </row>
    <row r="1342" spans="1:41" s="73" customFormat="1" ht="15" customHeight="1" x14ac:dyDescent="0.25">
      <c r="A1342" s="400"/>
      <c r="B1342" s="402"/>
      <c r="C1342" s="82" t="s">
        <v>531</v>
      </c>
      <c r="D1342" s="86"/>
      <c r="E1342" s="82" t="s">
        <v>721</v>
      </c>
      <c r="F1342" s="368"/>
      <c r="G1342" s="368"/>
      <c r="H1342" s="368"/>
      <c r="I1342" s="368"/>
      <c r="J1342" s="370"/>
      <c r="K1342" s="370"/>
      <c r="L1342" s="370"/>
      <c r="M1342" s="370"/>
      <c r="N1342" s="370"/>
      <c r="O1342" s="370"/>
      <c r="P1342" s="370"/>
      <c r="Q1342" s="370"/>
      <c r="R1342" s="370"/>
      <c r="S1342" s="370"/>
      <c r="T1342" s="370"/>
      <c r="U1342" s="370"/>
      <c r="V1342" s="370"/>
      <c r="W1342" s="370"/>
      <c r="X1342" s="370"/>
      <c r="Y1342" s="370"/>
      <c r="Z1342" s="370"/>
      <c r="AA1342" s="370"/>
      <c r="AB1342" s="370"/>
      <c r="AC1342" s="370"/>
      <c r="AD1342" s="370"/>
      <c r="AE1342" s="370"/>
      <c r="AF1342" s="370"/>
      <c r="AG1342" s="370"/>
      <c r="AH1342" s="370"/>
      <c r="AI1342" s="370"/>
      <c r="AJ1342" s="370"/>
      <c r="AK1342" s="370"/>
      <c r="AL1342" s="370"/>
      <c r="AM1342" s="370"/>
      <c r="AN1342" s="370"/>
      <c r="AO1342" s="370"/>
    </row>
    <row r="1343" spans="1:41" s="73" customFormat="1" ht="15" customHeight="1" x14ac:dyDescent="0.25">
      <c r="A1343" s="400"/>
      <c r="B1343" s="402"/>
      <c r="C1343" s="82" t="s">
        <v>532</v>
      </c>
      <c r="D1343" s="86"/>
      <c r="E1343" s="82" t="s">
        <v>722</v>
      </c>
      <c r="F1343" s="368"/>
      <c r="G1343" s="368"/>
      <c r="H1343" s="368"/>
      <c r="I1343" s="368"/>
      <c r="J1343" s="370"/>
      <c r="K1343" s="370"/>
      <c r="L1343" s="370"/>
      <c r="M1343" s="370"/>
      <c r="N1343" s="370"/>
      <c r="O1343" s="370"/>
      <c r="P1343" s="370"/>
      <c r="Q1343" s="370"/>
      <c r="R1343" s="370"/>
      <c r="S1343" s="370"/>
      <c r="T1343" s="370"/>
      <c r="U1343" s="370"/>
      <c r="V1343" s="370"/>
      <c r="W1343" s="370"/>
      <c r="X1343" s="370"/>
      <c r="Y1343" s="370"/>
      <c r="Z1343" s="370"/>
      <c r="AA1343" s="370"/>
      <c r="AB1343" s="370"/>
      <c r="AC1343" s="370"/>
      <c r="AD1343" s="370"/>
      <c r="AE1343" s="370"/>
      <c r="AF1343" s="370"/>
      <c r="AG1343" s="370"/>
      <c r="AH1343" s="370"/>
      <c r="AI1343" s="370"/>
      <c r="AJ1343" s="370"/>
      <c r="AK1343" s="370"/>
      <c r="AL1343" s="370"/>
      <c r="AM1343" s="370"/>
      <c r="AN1343" s="370"/>
      <c r="AO1343" s="370"/>
    </row>
    <row r="1344" spans="1:41" s="73" customFormat="1" ht="15" customHeight="1" x14ac:dyDescent="0.25">
      <c r="A1344" s="400"/>
      <c r="B1344" s="402"/>
      <c r="C1344" s="82" t="s">
        <v>533</v>
      </c>
      <c r="D1344" s="86"/>
      <c r="E1344" s="82" t="s">
        <v>723</v>
      </c>
      <c r="F1344" s="368"/>
      <c r="G1344" s="368"/>
      <c r="H1344" s="368"/>
      <c r="I1344" s="368"/>
      <c r="J1344" s="370"/>
      <c r="K1344" s="370"/>
      <c r="L1344" s="370"/>
      <c r="M1344" s="370"/>
      <c r="N1344" s="370"/>
      <c r="O1344" s="370"/>
      <c r="P1344" s="370"/>
      <c r="Q1344" s="370"/>
      <c r="R1344" s="370"/>
      <c r="S1344" s="370"/>
      <c r="T1344" s="370"/>
      <c r="U1344" s="370"/>
      <c r="V1344" s="370"/>
      <c r="W1344" s="370"/>
      <c r="X1344" s="370"/>
      <c r="Y1344" s="370"/>
      <c r="Z1344" s="370"/>
      <c r="AA1344" s="370"/>
      <c r="AB1344" s="370"/>
      <c r="AC1344" s="370"/>
      <c r="AD1344" s="370"/>
      <c r="AE1344" s="370"/>
      <c r="AF1344" s="370"/>
      <c r="AG1344" s="370"/>
      <c r="AH1344" s="370"/>
      <c r="AI1344" s="370"/>
      <c r="AJ1344" s="370"/>
      <c r="AK1344" s="370"/>
      <c r="AL1344" s="370"/>
      <c r="AM1344" s="370"/>
      <c r="AN1344" s="370"/>
      <c r="AO1344" s="370"/>
    </row>
    <row r="1345" spans="1:41" s="73" customFormat="1" ht="15" customHeight="1" x14ac:dyDescent="0.25">
      <c r="A1345" s="400"/>
      <c r="B1345" s="402"/>
      <c r="C1345" s="82" t="s">
        <v>534</v>
      </c>
      <c r="D1345" s="86"/>
      <c r="E1345" s="82" t="s">
        <v>724</v>
      </c>
      <c r="F1345" s="368"/>
      <c r="G1345" s="368"/>
      <c r="H1345" s="368"/>
      <c r="I1345" s="368"/>
      <c r="J1345" s="370"/>
      <c r="K1345" s="370"/>
      <c r="L1345" s="370"/>
      <c r="M1345" s="370"/>
      <c r="N1345" s="370"/>
      <c r="O1345" s="370"/>
      <c r="P1345" s="370"/>
      <c r="Q1345" s="370"/>
      <c r="R1345" s="370"/>
      <c r="S1345" s="370"/>
      <c r="T1345" s="370"/>
      <c r="U1345" s="370"/>
      <c r="V1345" s="370"/>
      <c r="W1345" s="370"/>
      <c r="X1345" s="370"/>
      <c r="Y1345" s="370"/>
      <c r="Z1345" s="370"/>
      <c r="AA1345" s="370"/>
      <c r="AB1345" s="370"/>
      <c r="AC1345" s="370"/>
      <c r="AD1345" s="370"/>
      <c r="AE1345" s="370"/>
      <c r="AF1345" s="370"/>
      <c r="AG1345" s="370"/>
      <c r="AH1345" s="370"/>
      <c r="AI1345" s="370"/>
      <c r="AJ1345" s="370"/>
      <c r="AK1345" s="370"/>
      <c r="AL1345" s="370"/>
      <c r="AM1345" s="370"/>
      <c r="AN1345" s="370"/>
      <c r="AO1345" s="370"/>
    </row>
    <row r="1346" spans="1:41" s="73" customFormat="1" ht="15" customHeight="1" x14ac:dyDescent="0.25">
      <c r="A1346" s="400"/>
      <c r="B1346" s="402"/>
      <c r="C1346" s="82" t="s">
        <v>535</v>
      </c>
      <c r="D1346" s="86"/>
      <c r="E1346" s="82" t="s">
        <v>725</v>
      </c>
      <c r="F1346" s="368"/>
      <c r="G1346" s="368"/>
      <c r="H1346" s="368"/>
      <c r="I1346" s="368"/>
      <c r="J1346" s="370"/>
      <c r="K1346" s="370"/>
      <c r="L1346" s="370"/>
      <c r="M1346" s="370"/>
      <c r="N1346" s="370"/>
      <c r="O1346" s="370"/>
      <c r="P1346" s="370"/>
      <c r="Q1346" s="370"/>
      <c r="R1346" s="370"/>
      <c r="S1346" s="370"/>
      <c r="T1346" s="370"/>
      <c r="U1346" s="370"/>
      <c r="V1346" s="370"/>
      <c r="W1346" s="370"/>
      <c r="X1346" s="370"/>
      <c r="Y1346" s="370"/>
      <c r="Z1346" s="370"/>
      <c r="AA1346" s="370"/>
      <c r="AB1346" s="370"/>
      <c r="AC1346" s="370"/>
      <c r="AD1346" s="370"/>
      <c r="AE1346" s="370"/>
      <c r="AF1346" s="370"/>
      <c r="AG1346" s="370"/>
      <c r="AH1346" s="370"/>
      <c r="AI1346" s="370"/>
      <c r="AJ1346" s="370"/>
      <c r="AK1346" s="370"/>
      <c r="AL1346" s="370"/>
      <c r="AM1346" s="370"/>
      <c r="AN1346" s="370"/>
      <c r="AO1346" s="370"/>
    </row>
    <row r="1347" spans="1:41" s="73" customFormat="1" ht="15" customHeight="1" x14ac:dyDescent="0.25">
      <c r="A1347" s="400"/>
      <c r="B1347" s="402"/>
      <c r="C1347" s="82" t="s">
        <v>536</v>
      </c>
      <c r="D1347" s="86"/>
      <c r="E1347" s="82" t="s">
        <v>726</v>
      </c>
      <c r="F1347" s="368"/>
      <c r="G1347" s="368"/>
      <c r="H1347" s="368"/>
      <c r="I1347" s="368"/>
      <c r="J1347" s="370"/>
      <c r="K1347" s="370"/>
      <c r="L1347" s="370"/>
      <c r="M1347" s="370"/>
      <c r="N1347" s="370"/>
      <c r="O1347" s="370"/>
      <c r="P1347" s="370"/>
      <c r="Q1347" s="370"/>
      <c r="R1347" s="370"/>
      <c r="S1347" s="370"/>
      <c r="T1347" s="370"/>
      <c r="U1347" s="370"/>
      <c r="V1347" s="370"/>
      <c r="W1347" s="370"/>
      <c r="X1347" s="370"/>
      <c r="Y1347" s="370"/>
      <c r="Z1347" s="370"/>
      <c r="AA1347" s="370"/>
      <c r="AB1347" s="370"/>
      <c r="AC1347" s="370"/>
      <c r="AD1347" s="370"/>
      <c r="AE1347" s="370"/>
      <c r="AF1347" s="370"/>
      <c r="AG1347" s="370"/>
      <c r="AH1347" s="370"/>
      <c r="AI1347" s="370"/>
      <c r="AJ1347" s="370"/>
      <c r="AK1347" s="370"/>
      <c r="AL1347" s="370"/>
      <c r="AM1347" s="370"/>
      <c r="AN1347" s="370"/>
      <c r="AO1347" s="370"/>
    </row>
    <row r="1348" spans="1:41" s="73" customFormat="1" ht="15" customHeight="1" x14ac:dyDescent="0.25">
      <c r="A1348" s="400"/>
      <c r="B1348" s="402"/>
      <c r="C1348" s="82" t="s">
        <v>537</v>
      </c>
      <c r="D1348" s="86"/>
      <c r="E1348" s="82" t="s">
        <v>727</v>
      </c>
      <c r="F1348" s="368"/>
      <c r="G1348" s="368"/>
      <c r="H1348" s="368"/>
      <c r="I1348" s="368"/>
      <c r="J1348" s="370"/>
      <c r="K1348" s="370"/>
      <c r="L1348" s="370"/>
      <c r="M1348" s="370"/>
      <c r="N1348" s="370"/>
      <c r="O1348" s="370"/>
      <c r="P1348" s="370"/>
      <c r="Q1348" s="370"/>
      <c r="R1348" s="370"/>
      <c r="S1348" s="370"/>
      <c r="T1348" s="370"/>
      <c r="U1348" s="370"/>
      <c r="V1348" s="370"/>
      <c r="W1348" s="370"/>
      <c r="X1348" s="370"/>
      <c r="Y1348" s="370"/>
      <c r="Z1348" s="370"/>
      <c r="AA1348" s="370"/>
      <c r="AB1348" s="370"/>
      <c r="AC1348" s="370"/>
      <c r="AD1348" s="370"/>
      <c r="AE1348" s="370"/>
      <c r="AF1348" s="370"/>
      <c r="AG1348" s="370"/>
      <c r="AH1348" s="370"/>
      <c r="AI1348" s="370"/>
      <c r="AJ1348" s="370"/>
      <c r="AK1348" s="370"/>
      <c r="AL1348" s="370"/>
      <c r="AM1348" s="370"/>
      <c r="AN1348" s="370"/>
      <c r="AO1348" s="370"/>
    </row>
    <row r="1349" spans="1:41" s="73" customFormat="1" ht="15" customHeight="1" x14ac:dyDescent="0.25">
      <c r="A1349" s="400"/>
      <c r="B1349" s="402"/>
      <c r="C1349" s="96" t="s">
        <v>538</v>
      </c>
      <c r="D1349" s="97"/>
      <c r="E1349" s="98" t="s">
        <v>728</v>
      </c>
      <c r="F1349" s="371"/>
      <c r="G1349" s="371"/>
      <c r="H1349" s="371"/>
      <c r="I1349" s="371"/>
      <c r="J1349" s="372"/>
      <c r="K1349" s="372"/>
      <c r="L1349" s="372"/>
      <c r="M1349" s="372"/>
      <c r="N1349" s="372"/>
      <c r="O1349" s="372"/>
      <c r="P1349" s="372"/>
      <c r="Q1349" s="372"/>
      <c r="R1349" s="372"/>
      <c r="S1349" s="372"/>
      <c r="T1349" s="372"/>
      <c r="U1349" s="372"/>
      <c r="V1349" s="372"/>
      <c r="W1349" s="372"/>
      <c r="X1349" s="372"/>
      <c r="Y1349" s="372"/>
      <c r="Z1349" s="372"/>
      <c r="AA1349" s="372"/>
      <c r="AB1349" s="372"/>
      <c r="AC1349" s="372"/>
      <c r="AD1349" s="372"/>
      <c r="AE1349" s="372"/>
      <c r="AF1349" s="372"/>
      <c r="AG1349" s="372"/>
      <c r="AH1349" s="372"/>
      <c r="AI1349" s="372"/>
      <c r="AJ1349" s="372"/>
      <c r="AK1349" s="372"/>
      <c r="AL1349" s="372"/>
      <c r="AM1349" s="372"/>
      <c r="AN1349" s="372"/>
      <c r="AO1349" s="372"/>
    </row>
    <row r="1350" spans="1:41" s="108" customFormat="1" ht="15" customHeight="1" x14ac:dyDescent="0.25">
      <c r="A1350" s="400"/>
      <c r="B1350" s="402"/>
      <c r="C1350" s="85" t="s">
        <v>816</v>
      </c>
      <c r="D1350" s="152"/>
      <c r="E1350" s="85" t="s">
        <v>729</v>
      </c>
      <c r="F1350" s="368"/>
      <c r="G1350" s="368"/>
      <c r="H1350" s="368"/>
      <c r="I1350" s="368"/>
      <c r="J1350" s="369"/>
      <c r="K1350" s="369"/>
      <c r="L1350" s="369"/>
      <c r="M1350" s="369"/>
      <c r="N1350" s="369"/>
      <c r="O1350" s="369"/>
      <c r="P1350" s="369"/>
      <c r="Q1350" s="369"/>
      <c r="R1350" s="369"/>
      <c r="S1350" s="369"/>
      <c r="T1350" s="369"/>
      <c r="U1350" s="369"/>
      <c r="V1350" s="369"/>
      <c r="W1350" s="369"/>
      <c r="X1350" s="369"/>
      <c r="Y1350" s="369"/>
      <c r="Z1350" s="369"/>
      <c r="AA1350" s="369"/>
      <c r="AB1350" s="369"/>
      <c r="AC1350" s="369"/>
      <c r="AD1350" s="369"/>
      <c r="AE1350" s="369"/>
      <c r="AF1350" s="369"/>
      <c r="AG1350" s="369"/>
      <c r="AH1350" s="369"/>
      <c r="AI1350" s="369"/>
      <c r="AJ1350" s="369"/>
      <c r="AK1350" s="369"/>
      <c r="AL1350" s="369"/>
      <c r="AM1350" s="369"/>
      <c r="AN1350" s="369"/>
      <c r="AO1350" s="369"/>
    </row>
    <row r="1351" spans="1:41" s="73" customFormat="1" ht="15" customHeight="1" x14ac:dyDescent="0.25">
      <c r="A1351" s="400"/>
      <c r="B1351" s="402"/>
      <c r="C1351" s="82" t="s">
        <v>624</v>
      </c>
      <c r="D1351" s="86"/>
      <c r="E1351" s="82" t="s">
        <v>730</v>
      </c>
      <c r="F1351" s="368"/>
      <c r="G1351" s="368"/>
      <c r="H1351" s="368"/>
      <c r="I1351" s="368"/>
      <c r="J1351" s="370"/>
      <c r="K1351" s="370"/>
      <c r="L1351" s="370"/>
      <c r="M1351" s="370"/>
      <c r="N1351" s="370"/>
      <c r="O1351" s="370"/>
      <c r="P1351" s="370"/>
      <c r="Q1351" s="370"/>
      <c r="R1351" s="370"/>
      <c r="S1351" s="370"/>
      <c r="T1351" s="370"/>
      <c r="U1351" s="370"/>
      <c r="V1351" s="370"/>
      <c r="W1351" s="370"/>
      <c r="X1351" s="370"/>
      <c r="Y1351" s="370"/>
      <c r="Z1351" s="370"/>
      <c r="AA1351" s="370"/>
      <c r="AB1351" s="370"/>
      <c r="AC1351" s="370"/>
      <c r="AD1351" s="370"/>
      <c r="AE1351" s="370"/>
      <c r="AF1351" s="370"/>
      <c r="AG1351" s="370"/>
      <c r="AH1351" s="370"/>
      <c r="AI1351" s="370"/>
      <c r="AJ1351" s="370"/>
      <c r="AK1351" s="370"/>
      <c r="AL1351" s="370"/>
      <c r="AM1351" s="370"/>
      <c r="AN1351" s="370"/>
      <c r="AO1351" s="370"/>
    </row>
    <row r="1352" spans="1:41" s="73" customFormat="1" ht="15" customHeight="1" x14ac:dyDescent="0.25">
      <c r="A1352" s="400"/>
      <c r="B1352" s="402"/>
      <c r="C1352" s="82" t="s">
        <v>625</v>
      </c>
      <c r="D1352" s="86"/>
      <c r="E1352" s="82" t="s">
        <v>731</v>
      </c>
      <c r="F1352" s="368"/>
      <c r="G1352" s="368"/>
      <c r="H1352" s="368"/>
      <c r="I1352" s="368"/>
      <c r="J1352" s="370"/>
      <c r="K1352" s="370"/>
      <c r="L1352" s="370"/>
      <c r="M1352" s="370"/>
      <c r="N1352" s="370"/>
      <c r="O1352" s="370"/>
      <c r="P1352" s="370"/>
      <c r="Q1352" s="370"/>
      <c r="R1352" s="370"/>
      <c r="S1352" s="370"/>
      <c r="T1352" s="370"/>
      <c r="U1352" s="370"/>
      <c r="V1352" s="370"/>
      <c r="W1352" s="370"/>
      <c r="X1352" s="370"/>
      <c r="Y1352" s="370"/>
      <c r="Z1352" s="370"/>
      <c r="AA1352" s="370"/>
      <c r="AB1352" s="370"/>
      <c r="AC1352" s="370"/>
      <c r="AD1352" s="370"/>
      <c r="AE1352" s="370"/>
      <c r="AF1352" s="370"/>
      <c r="AG1352" s="370"/>
      <c r="AH1352" s="370"/>
      <c r="AI1352" s="370"/>
      <c r="AJ1352" s="370"/>
      <c r="AK1352" s="370"/>
      <c r="AL1352" s="370"/>
      <c r="AM1352" s="370"/>
      <c r="AN1352" s="370"/>
      <c r="AO1352" s="370"/>
    </row>
    <row r="1353" spans="1:41" s="73" customFormat="1" ht="15" customHeight="1" x14ac:dyDescent="0.25">
      <c r="A1353" s="400"/>
      <c r="B1353" s="402"/>
      <c r="C1353" s="82" t="s">
        <v>626</v>
      </c>
      <c r="D1353" s="86"/>
      <c r="E1353" s="82" t="s">
        <v>732</v>
      </c>
      <c r="F1353" s="368"/>
      <c r="G1353" s="368"/>
      <c r="H1353" s="368"/>
      <c r="I1353" s="368"/>
      <c r="J1353" s="370"/>
      <c r="K1353" s="370"/>
      <c r="L1353" s="370"/>
      <c r="M1353" s="370"/>
      <c r="N1353" s="370"/>
      <c r="O1353" s="370"/>
      <c r="P1353" s="370"/>
      <c r="Q1353" s="370"/>
      <c r="R1353" s="370"/>
      <c r="S1353" s="370"/>
      <c r="T1353" s="370"/>
      <c r="U1353" s="370"/>
      <c r="V1353" s="370"/>
      <c r="W1353" s="370"/>
      <c r="X1353" s="370"/>
      <c r="Y1353" s="370"/>
      <c r="Z1353" s="370"/>
      <c r="AA1353" s="370"/>
      <c r="AB1353" s="370"/>
      <c r="AC1353" s="370"/>
      <c r="AD1353" s="370"/>
      <c r="AE1353" s="370"/>
      <c r="AF1353" s="370"/>
      <c r="AG1353" s="370"/>
      <c r="AH1353" s="370"/>
      <c r="AI1353" s="370"/>
      <c r="AJ1353" s="370"/>
      <c r="AK1353" s="370"/>
      <c r="AL1353" s="370"/>
      <c r="AM1353" s="370"/>
      <c r="AN1353" s="370"/>
      <c r="AO1353" s="370"/>
    </row>
    <row r="1354" spans="1:41" s="73" customFormat="1" ht="15" customHeight="1" x14ac:dyDescent="0.25">
      <c r="A1354" s="400"/>
      <c r="B1354" s="402"/>
      <c r="C1354" s="82" t="s">
        <v>627</v>
      </c>
      <c r="D1354" s="86"/>
      <c r="E1354" s="82" t="s">
        <v>733</v>
      </c>
      <c r="F1354" s="368"/>
      <c r="G1354" s="368"/>
      <c r="H1354" s="368"/>
      <c r="I1354" s="368"/>
      <c r="J1354" s="370"/>
      <c r="K1354" s="370"/>
      <c r="L1354" s="370"/>
      <c r="M1354" s="370"/>
      <c r="N1354" s="370"/>
      <c r="O1354" s="370"/>
      <c r="P1354" s="370"/>
      <c r="Q1354" s="370"/>
      <c r="R1354" s="370"/>
      <c r="S1354" s="370"/>
      <c r="T1354" s="370"/>
      <c r="U1354" s="370"/>
      <c r="V1354" s="370"/>
      <c r="W1354" s="370"/>
      <c r="X1354" s="370"/>
      <c r="Y1354" s="370"/>
      <c r="Z1354" s="370"/>
      <c r="AA1354" s="370"/>
      <c r="AB1354" s="370"/>
      <c r="AC1354" s="370"/>
      <c r="AD1354" s="370"/>
      <c r="AE1354" s="370"/>
      <c r="AF1354" s="370"/>
      <c r="AG1354" s="370"/>
      <c r="AH1354" s="370"/>
      <c r="AI1354" s="370"/>
      <c r="AJ1354" s="370"/>
      <c r="AK1354" s="370"/>
      <c r="AL1354" s="370"/>
      <c r="AM1354" s="370"/>
      <c r="AN1354" s="370"/>
      <c r="AO1354" s="370"/>
    </row>
    <row r="1355" spans="1:41" s="73" customFormat="1" ht="15" customHeight="1" x14ac:dyDescent="0.25">
      <c r="A1355" s="400"/>
      <c r="B1355" s="402"/>
      <c r="C1355" s="82" t="s">
        <v>628</v>
      </c>
      <c r="D1355" s="86"/>
      <c r="E1355" s="82" t="s">
        <v>734</v>
      </c>
      <c r="F1355" s="368"/>
      <c r="G1355" s="368"/>
      <c r="H1355" s="368"/>
      <c r="I1355" s="368"/>
      <c r="J1355" s="370"/>
      <c r="K1355" s="370"/>
      <c r="L1355" s="370"/>
      <c r="M1355" s="370"/>
      <c r="N1355" s="370"/>
      <c r="O1355" s="370"/>
      <c r="P1355" s="370"/>
      <c r="Q1355" s="370"/>
      <c r="R1355" s="370"/>
      <c r="S1355" s="370"/>
      <c r="T1355" s="370"/>
      <c r="U1355" s="370"/>
      <c r="V1355" s="370"/>
      <c r="W1355" s="370"/>
      <c r="X1355" s="370"/>
      <c r="Y1355" s="370"/>
      <c r="Z1355" s="370"/>
      <c r="AA1355" s="370"/>
      <c r="AB1355" s="370"/>
      <c r="AC1355" s="370"/>
      <c r="AD1355" s="370"/>
      <c r="AE1355" s="370"/>
      <c r="AF1355" s="370"/>
      <c r="AG1355" s="370"/>
      <c r="AH1355" s="370"/>
      <c r="AI1355" s="370"/>
      <c r="AJ1355" s="370"/>
      <c r="AK1355" s="370"/>
      <c r="AL1355" s="370"/>
      <c r="AM1355" s="370"/>
      <c r="AN1355" s="370"/>
      <c r="AO1355" s="370"/>
    </row>
    <row r="1356" spans="1:41" s="73" customFormat="1" ht="15" customHeight="1" x14ac:dyDescent="0.25">
      <c r="A1356" s="400"/>
      <c r="B1356" s="402"/>
      <c r="C1356" s="82" t="s">
        <v>629</v>
      </c>
      <c r="D1356" s="86"/>
      <c r="E1356" s="82" t="s">
        <v>735</v>
      </c>
      <c r="F1356" s="368"/>
      <c r="G1356" s="368"/>
      <c r="H1356" s="368"/>
      <c r="I1356" s="368"/>
      <c r="J1356" s="370"/>
      <c r="K1356" s="370"/>
      <c r="L1356" s="370"/>
      <c r="M1356" s="370"/>
      <c r="N1356" s="370"/>
      <c r="O1356" s="370"/>
      <c r="P1356" s="370"/>
      <c r="Q1356" s="370"/>
      <c r="R1356" s="370"/>
      <c r="S1356" s="370"/>
      <c r="T1356" s="370"/>
      <c r="U1356" s="370"/>
      <c r="V1356" s="370"/>
      <c r="W1356" s="370"/>
      <c r="X1356" s="370"/>
      <c r="Y1356" s="370"/>
      <c r="Z1356" s="370"/>
      <c r="AA1356" s="370"/>
      <c r="AB1356" s="370"/>
      <c r="AC1356" s="370"/>
      <c r="AD1356" s="370"/>
      <c r="AE1356" s="370"/>
      <c r="AF1356" s="370"/>
      <c r="AG1356" s="370"/>
      <c r="AH1356" s="370"/>
      <c r="AI1356" s="370"/>
      <c r="AJ1356" s="370"/>
      <c r="AK1356" s="370"/>
      <c r="AL1356" s="370"/>
      <c r="AM1356" s="370"/>
      <c r="AN1356" s="370"/>
      <c r="AO1356" s="370"/>
    </row>
    <row r="1357" spans="1:41" s="73" customFormat="1" ht="15" customHeight="1" x14ac:dyDescent="0.25">
      <c r="A1357" s="400"/>
      <c r="B1357" s="402"/>
      <c r="C1357" s="82" t="s">
        <v>630</v>
      </c>
      <c r="D1357" s="86"/>
      <c r="E1357" s="82" t="s">
        <v>736</v>
      </c>
      <c r="F1357" s="368"/>
      <c r="G1357" s="368"/>
      <c r="H1357" s="368"/>
      <c r="I1357" s="368"/>
      <c r="J1357" s="370"/>
      <c r="K1357" s="370"/>
      <c r="L1357" s="370"/>
      <c r="M1357" s="370"/>
      <c r="N1357" s="370"/>
      <c r="O1357" s="370"/>
      <c r="P1357" s="370"/>
      <c r="Q1357" s="370"/>
      <c r="R1357" s="370"/>
      <c r="S1357" s="370"/>
      <c r="T1357" s="370"/>
      <c r="U1357" s="370"/>
      <c r="V1357" s="370"/>
      <c r="W1357" s="370"/>
      <c r="X1357" s="370"/>
      <c r="Y1357" s="370"/>
      <c r="Z1357" s="370"/>
      <c r="AA1357" s="370"/>
      <c r="AB1357" s="370"/>
      <c r="AC1357" s="370"/>
      <c r="AD1357" s="370"/>
      <c r="AE1357" s="370"/>
      <c r="AF1357" s="370"/>
      <c r="AG1357" s="370"/>
      <c r="AH1357" s="370"/>
      <c r="AI1357" s="370"/>
      <c r="AJ1357" s="370"/>
      <c r="AK1357" s="370"/>
      <c r="AL1357" s="370"/>
      <c r="AM1357" s="370"/>
      <c r="AN1357" s="370"/>
      <c r="AO1357" s="370"/>
    </row>
    <row r="1358" spans="1:41" s="73" customFormat="1" ht="15" customHeight="1" x14ac:dyDescent="0.25">
      <c r="A1358" s="400"/>
      <c r="B1358" s="402"/>
      <c r="C1358" s="82" t="s">
        <v>631</v>
      </c>
      <c r="D1358" s="86"/>
      <c r="E1358" s="82" t="s">
        <v>737</v>
      </c>
      <c r="F1358" s="368"/>
      <c r="G1358" s="368"/>
      <c r="H1358" s="368"/>
      <c r="I1358" s="368"/>
      <c r="J1358" s="370"/>
      <c r="K1358" s="370"/>
      <c r="L1358" s="370"/>
      <c r="M1358" s="370"/>
      <c r="N1358" s="370"/>
      <c r="O1358" s="370"/>
      <c r="P1358" s="370"/>
      <c r="Q1358" s="370"/>
      <c r="R1358" s="370"/>
      <c r="S1358" s="370"/>
      <c r="T1358" s="370"/>
      <c r="U1358" s="370"/>
      <c r="V1358" s="370"/>
      <c r="W1358" s="370"/>
      <c r="X1358" s="370"/>
      <c r="Y1358" s="370"/>
      <c r="Z1358" s="370"/>
      <c r="AA1358" s="370"/>
      <c r="AB1358" s="370"/>
      <c r="AC1358" s="370"/>
      <c r="AD1358" s="370"/>
      <c r="AE1358" s="370"/>
      <c r="AF1358" s="370"/>
      <c r="AG1358" s="370"/>
      <c r="AH1358" s="370"/>
      <c r="AI1358" s="370"/>
      <c r="AJ1358" s="370"/>
      <c r="AK1358" s="370"/>
      <c r="AL1358" s="370"/>
      <c r="AM1358" s="370"/>
      <c r="AN1358" s="370"/>
      <c r="AO1358" s="370"/>
    </row>
    <row r="1359" spans="1:41" s="73" customFormat="1" ht="15" customHeight="1" x14ac:dyDescent="0.25">
      <c r="A1359" s="400"/>
      <c r="B1359" s="402"/>
      <c r="C1359" s="82" t="s">
        <v>632</v>
      </c>
      <c r="D1359" s="86"/>
      <c r="E1359" s="82" t="s">
        <v>738</v>
      </c>
      <c r="F1359" s="368"/>
      <c r="G1359" s="368"/>
      <c r="H1359" s="368"/>
      <c r="I1359" s="368"/>
      <c r="J1359" s="370"/>
      <c r="K1359" s="370"/>
      <c r="L1359" s="370"/>
      <c r="M1359" s="370"/>
      <c r="N1359" s="370"/>
      <c r="O1359" s="370"/>
      <c r="P1359" s="370"/>
      <c r="Q1359" s="370"/>
      <c r="R1359" s="370"/>
      <c r="S1359" s="370"/>
      <c r="T1359" s="370"/>
      <c r="U1359" s="370"/>
      <c r="V1359" s="370"/>
      <c r="W1359" s="370"/>
      <c r="X1359" s="370"/>
      <c r="Y1359" s="370"/>
      <c r="Z1359" s="370"/>
      <c r="AA1359" s="370"/>
      <c r="AB1359" s="370"/>
      <c r="AC1359" s="370"/>
      <c r="AD1359" s="370"/>
      <c r="AE1359" s="370"/>
      <c r="AF1359" s="370"/>
      <c r="AG1359" s="370"/>
      <c r="AH1359" s="370"/>
      <c r="AI1359" s="370"/>
      <c r="AJ1359" s="370"/>
      <c r="AK1359" s="370"/>
      <c r="AL1359" s="370"/>
      <c r="AM1359" s="370"/>
      <c r="AN1359" s="370"/>
      <c r="AO1359" s="370"/>
    </row>
    <row r="1360" spans="1:41" s="73" customFormat="1" ht="15" customHeight="1" x14ac:dyDescent="0.25">
      <c r="A1360" s="400"/>
      <c r="B1360" s="402"/>
      <c r="C1360" s="82" t="s">
        <v>633</v>
      </c>
      <c r="D1360" s="86"/>
      <c r="E1360" s="82" t="s">
        <v>739</v>
      </c>
      <c r="F1360" s="368"/>
      <c r="G1360" s="368"/>
      <c r="H1360" s="368"/>
      <c r="I1360" s="368"/>
      <c r="J1360" s="370"/>
      <c r="K1360" s="370"/>
      <c r="L1360" s="370"/>
      <c r="M1360" s="370"/>
      <c r="N1360" s="370"/>
      <c r="O1360" s="370"/>
      <c r="P1360" s="370"/>
      <c r="Q1360" s="370"/>
      <c r="R1360" s="370"/>
      <c r="S1360" s="370"/>
      <c r="T1360" s="370"/>
      <c r="U1360" s="370"/>
      <c r="V1360" s="370"/>
      <c r="W1360" s="370"/>
      <c r="X1360" s="370"/>
      <c r="Y1360" s="370"/>
      <c r="Z1360" s="370"/>
      <c r="AA1360" s="370"/>
      <c r="AB1360" s="370"/>
      <c r="AC1360" s="370"/>
      <c r="AD1360" s="370"/>
      <c r="AE1360" s="370"/>
      <c r="AF1360" s="370"/>
      <c r="AG1360" s="370"/>
      <c r="AH1360" s="370"/>
      <c r="AI1360" s="370"/>
      <c r="AJ1360" s="370"/>
      <c r="AK1360" s="370"/>
      <c r="AL1360" s="370"/>
      <c r="AM1360" s="370"/>
      <c r="AN1360" s="370"/>
      <c r="AO1360" s="370"/>
    </row>
    <row r="1361" spans="1:41" s="73" customFormat="1" ht="15" customHeight="1" x14ac:dyDescent="0.25">
      <c r="A1361" s="400"/>
      <c r="B1361" s="402"/>
      <c r="C1361" s="82" t="s">
        <v>634</v>
      </c>
      <c r="D1361" s="86"/>
      <c r="E1361" s="82" t="s">
        <v>740</v>
      </c>
      <c r="F1361" s="368"/>
      <c r="G1361" s="368"/>
      <c r="H1361" s="368"/>
      <c r="I1361" s="368"/>
      <c r="J1361" s="370"/>
      <c r="K1361" s="370"/>
      <c r="L1361" s="370"/>
      <c r="M1361" s="370"/>
      <c r="N1361" s="370"/>
      <c r="O1361" s="370"/>
      <c r="P1361" s="370"/>
      <c r="Q1361" s="370"/>
      <c r="R1361" s="370"/>
      <c r="S1361" s="370"/>
      <c r="T1361" s="370"/>
      <c r="U1361" s="370"/>
      <c r="V1361" s="370"/>
      <c r="W1361" s="370"/>
      <c r="X1361" s="370"/>
      <c r="Y1361" s="370"/>
      <c r="Z1361" s="370"/>
      <c r="AA1361" s="370"/>
      <c r="AB1361" s="370"/>
      <c r="AC1361" s="370"/>
      <c r="AD1361" s="370"/>
      <c r="AE1361" s="370"/>
      <c r="AF1361" s="370"/>
      <c r="AG1361" s="370"/>
      <c r="AH1361" s="370"/>
      <c r="AI1361" s="370"/>
      <c r="AJ1361" s="370"/>
      <c r="AK1361" s="370"/>
      <c r="AL1361" s="370"/>
      <c r="AM1361" s="370"/>
      <c r="AN1361" s="370"/>
      <c r="AO1361" s="370"/>
    </row>
    <row r="1362" spans="1:41" s="73" customFormat="1" ht="15" customHeight="1" x14ac:dyDescent="0.25">
      <c r="A1362" s="400"/>
      <c r="B1362" s="402"/>
      <c r="C1362" s="82" t="s">
        <v>635</v>
      </c>
      <c r="D1362" s="86"/>
      <c r="E1362" s="82" t="s">
        <v>741</v>
      </c>
      <c r="F1362" s="368"/>
      <c r="G1362" s="368"/>
      <c r="H1362" s="368"/>
      <c r="I1362" s="368"/>
      <c r="J1362" s="370"/>
      <c r="K1362" s="370"/>
      <c r="L1362" s="370"/>
      <c r="M1362" s="370"/>
      <c r="N1362" s="370"/>
      <c r="O1362" s="370"/>
      <c r="P1362" s="370"/>
      <c r="Q1362" s="370"/>
      <c r="R1362" s="370"/>
      <c r="S1362" s="370"/>
      <c r="T1362" s="370"/>
      <c r="U1362" s="370"/>
      <c r="V1362" s="370"/>
      <c r="W1362" s="370"/>
      <c r="X1362" s="370"/>
      <c r="Y1362" s="370"/>
      <c r="Z1362" s="370"/>
      <c r="AA1362" s="370"/>
      <c r="AB1362" s="370"/>
      <c r="AC1362" s="370"/>
      <c r="AD1362" s="370"/>
      <c r="AE1362" s="370"/>
      <c r="AF1362" s="370"/>
      <c r="AG1362" s="370"/>
      <c r="AH1362" s="370"/>
      <c r="AI1362" s="370"/>
      <c r="AJ1362" s="370"/>
      <c r="AK1362" s="370"/>
      <c r="AL1362" s="370"/>
      <c r="AM1362" s="370"/>
      <c r="AN1362" s="370"/>
      <c r="AO1362" s="370"/>
    </row>
    <row r="1363" spans="1:41" s="73" customFormat="1" ht="15" customHeight="1" x14ac:dyDescent="0.25">
      <c r="A1363" s="400"/>
      <c r="B1363" s="402"/>
      <c r="C1363" s="82" t="s">
        <v>636</v>
      </c>
      <c r="D1363" s="86"/>
      <c r="E1363" s="82" t="s">
        <v>742</v>
      </c>
      <c r="F1363" s="368"/>
      <c r="G1363" s="368"/>
      <c r="H1363" s="368"/>
      <c r="I1363" s="368"/>
      <c r="J1363" s="370"/>
      <c r="K1363" s="370"/>
      <c r="L1363" s="370"/>
      <c r="M1363" s="370"/>
      <c r="N1363" s="370"/>
      <c r="O1363" s="370"/>
      <c r="P1363" s="370"/>
      <c r="Q1363" s="370"/>
      <c r="R1363" s="370"/>
      <c r="S1363" s="370"/>
      <c r="T1363" s="370"/>
      <c r="U1363" s="370"/>
      <c r="V1363" s="370"/>
      <c r="W1363" s="370"/>
      <c r="X1363" s="370"/>
      <c r="Y1363" s="370"/>
      <c r="Z1363" s="370"/>
      <c r="AA1363" s="370"/>
      <c r="AB1363" s="370"/>
      <c r="AC1363" s="370"/>
      <c r="AD1363" s="370"/>
      <c r="AE1363" s="370"/>
      <c r="AF1363" s="370"/>
      <c r="AG1363" s="370"/>
      <c r="AH1363" s="370"/>
      <c r="AI1363" s="370"/>
      <c r="AJ1363" s="370"/>
      <c r="AK1363" s="370"/>
      <c r="AL1363" s="370"/>
      <c r="AM1363" s="370"/>
      <c r="AN1363" s="370"/>
      <c r="AO1363" s="370"/>
    </row>
    <row r="1364" spans="1:41" s="73" customFormat="1" ht="15" customHeight="1" x14ac:dyDescent="0.25">
      <c r="A1364" s="400"/>
      <c r="B1364" s="402"/>
      <c r="C1364" s="82" t="s">
        <v>637</v>
      </c>
      <c r="D1364" s="86"/>
      <c r="E1364" s="82" t="s">
        <v>743</v>
      </c>
      <c r="F1364" s="368"/>
      <c r="G1364" s="368"/>
      <c r="H1364" s="368"/>
      <c r="I1364" s="368"/>
      <c r="J1364" s="370"/>
      <c r="K1364" s="370"/>
      <c r="L1364" s="370"/>
      <c r="M1364" s="370"/>
      <c r="N1364" s="370"/>
      <c r="O1364" s="370"/>
      <c r="P1364" s="370"/>
      <c r="Q1364" s="370"/>
      <c r="R1364" s="370"/>
      <c r="S1364" s="370"/>
      <c r="T1364" s="370"/>
      <c r="U1364" s="370"/>
      <c r="V1364" s="370"/>
      <c r="W1364" s="370"/>
      <c r="X1364" s="370"/>
      <c r="Y1364" s="370"/>
      <c r="Z1364" s="370"/>
      <c r="AA1364" s="370"/>
      <c r="AB1364" s="370"/>
      <c r="AC1364" s="370"/>
      <c r="AD1364" s="370"/>
      <c r="AE1364" s="370"/>
      <c r="AF1364" s="370"/>
      <c r="AG1364" s="370"/>
      <c r="AH1364" s="370"/>
      <c r="AI1364" s="370"/>
      <c r="AJ1364" s="370"/>
      <c r="AK1364" s="370"/>
      <c r="AL1364" s="370"/>
      <c r="AM1364" s="370"/>
      <c r="AN1364" s="370"/>
      <c r="AO1364" s="370"/>
    </row>
    <row r="1365" spans="1:41" s="73" customFormat="1" ht="15" customHeight="1" x14ac:dyDescent="0.25">
      <c r="A1365" s="400"/>
      <c r="B1365" s="402"/>
      <c r="C1365" s="82" t="s">
        <v>638</v>
      </c>
      <c r="D1365" s="86"/>
      <c r="E1365" s="82" t="s">
        <v>744</v>
      </c>
      <c r="F1365" s="368"/>
      <c r="G1365" s="368"/>
      <c r="H1365" s="368"/>
      <c r="I1365" s="368"/>
      <c r="J1365" s="370"/>
      <c r="K1365" s="370"/>
      <c r="L1365" s="370"/>
      <c r="M1365" s="370"/>
      <c r="N1365" s="370"/>
      <c r="O1365" s="370"/>
      <c r="P1365" s="370"/>
      <c r="Q1365" s="370"/>
      <c r="R1365" s="370"/>
      <c r="S1365" s="370"/>
      <c r="T1365" s="370"/>
      <c r="U1365" s="370"/>
      <c r="V1365" s="370"/>
      <c r="W1365" s="370"/>
      <c r="X1365" s="370"/>
      <c r="Y1365" s="370"/>
      <c r="Z1365" s="370"/>
      <c r="AA1365" s="370"/>
      <c r="AB1365" s="370"/>
      <c r="AC1365" s="370"/>
      <c r="AD1365" s="370"/>
      <c r="AE1365" s="370"/>
      <c r="AF1365" s="370"/>
      <c r="AG1365" s="370"/>
      <c r="AH1365" s="370"/>
      <c r="AI1365" s="370"/>
      <c r="AJ1365" s="370"/>
      <c r="AK1365" s="370"/>
      <c r="AL1365" s="370"/>
      <c r="AM1365" s="370"/>
      <c r="AN1365" s="370"/>
      <c r="AO1365" s="370"/>
    </row>
    <row r="1366" spans="1:41" s="73" customFormat="1" ht="15" customHeight="1" x14ac:dyDescent="0.25">
      <c r="A1366" s="400"/>
      <c r="B1366" s="402"/>
      <c r="C1366" s="82" t="s">
        <v>639</v>
      </c>
      <c r="D1366" s="86"/>
      <c r="E1366" s="82" t="s">
        <v>745</v>
      </c>
      <c r="F1366" s="368"/>
      <c r="G1366" s="368"/>
      <c r="H1366" s="368"/>
      <c r="I1366" s="368"/>
      <c r="J1366" s="370"/>
      <c r="K1366" s="370"/>
      <c r="L1366" s="370"/>
      <c r="M1366" s="370"/>
      <c r="N1366" s="370"/>
      <c r="O1366" s="370"/>
      <c r="P1366" s="370"/>
      <c r="Q1366" s="370"/>
      <c r="R1366" s="370"/>
      <c r="S1366" s="370"/>
      <c r="T1366" s="370"/>
      <c r="U1366" s="370"/>
      <c r="V1366" s="370"/>
      <c r="W1366" s="370"/>
      <c r="X1366" s="370"/>
      <c r="Y1366" s="370"/>
      <c r="Z1366" s="370"/>
      <c r="AA1366" s="370"/>
      <c r="AB1366" s="370"/>
      <c r="AC1366" s="370"/>
      <c r="AD1366" s="370"/>
      <c r="AE1366" s="370"/>
      <c r="AF1366" s="370"/>
      <c r="AG1366" s="370"/>
      <c r="AH1366" s="370"/>
      <c r="AI1366" s="370"/>
      <c r="AJ1366" s="370"/>
      <c r="AK1366" s="370"/>
      <c r="AL1366" s="370"/>
      <c r="AM1366" s="370"/>
      <c r="AN1366" s="370"/>
      <c r="AO1366" s="370"/>
    </row>
    <row r="1367" spans="1:41" s="73" customFormat="1" ht="15" customHeight="1" x14ac:dyDescent="0.25">
      <c r="A1367" s="400"/>
      <c r="B1367" s="402"/>
      <c r="C1367" s="82" t="s">
        <v>640</v>
      </c>
      <c r="D1367" s="86"/>
      <c r="E1367" s="82" t="s">
        <v>746</v>
      </c>
      <c r="F1367" s="368"/>
      <c r="G1367" s="368"/>
      <c r="H1367" s="368"/>
      <c r="I1367" s="368"/>
      <c r="J1367" s="370"/>
      <c r="K1367" s="370"/>
      <c r="L1367" s="370"/>
      <c r="M1367" s="370"/>
      <c r="N1367" s="370"/>
      <c r="O1367" s="370"/>
      <c r="P1367" s="370"/>
      <c r="Q1367" s="370"/>
      <c r="R1367" s="370"/>
      <c r="S1367" s="370"/>
      <c r="T1367" s="370"/>
      <c r="U1367" s="370"/>
      <c r="V1367" s="370"/>
      <c r="W1367" s="370"/>
      <c r="X1367" s="370"/>
      <c r="Y1367" s="370"/>
      <c r="Z1367" s="370"/>
      <c r="AA1367" s="370"/>
      <c r="AB1367" s="370"/>
      <c r="AC1367" s="370"/>
      <c r="AD1367" s="370"/>
      <c r="AE1367" s="370"/>
      <c r="AF1367" s="370"/>
      <c r="AG1367" s="370"/>
      <c r="AH1367" s="370"/>
      <c r="AI1367" s="370"/>
      <c r="AJ1367" s="370"/>
      <c r="AK1367" s="370"/>
      <c r="AL1367" s="370"/>
      <c r="AM1367" s="370"/>
      <c r="AN1367" s="370"/>
      <c r="AO1367" s="370"/>
    </row>
    <row r="1368" spans="1:41" s="73" customFormat="1" ht="15" customHeight="1" x14ac:dyDescent="0.25">
      <c r="A1368" s="400"/>
      <c r="B1368" s="402"/>
      <c r="C1368" s="82" t="s">
        <v>641</v>
      </c>
      <c r="D1368" s="86"/>
      <c r="E1368" s="82" t="s">
        <v>747</v>
      </c>
      <c r="F1368" s="368"/>
      <c r="G1368" s="368"/>
      <c r="H1368" s="368"/>
      <c r="I1368" s="368"/>
      <c r="J1368" s="370"/>
      <c r="K1368" s="370"/>
      <c r="L1368" s="370"/>
      <c r="M1368" s="370"/>
      <c r="N1368" s="370"/>
      <c r="O1368" s="370"/>
      <c r="P1368" s="370"/>
      <c r="Q1368" s="370"/>
      <c r="R1368" s="370"/>
      <c r="S1368" s="370"/>
      <c r="T1368" s="370"/>
      <c r="U1368" s="370"/>
      <c r="V1368" s="370"/>
      <c r="W1368" s="370"/>
      <c r="X1368" s="370"/>
      <c r="Y1368" s="370"/>
      <c r="Z1368" s="370"/>
      <c r="AA1368" s="370"/>
      <c r="AB1368" s="370"/>
      <c r="AC1368" s="370"/>
      <c r="AD1368" s="370"/>
      <c r="AE1368" s="370"/>
      <c r="AF1368" s="370"/>
      <c r="AG1368" s="370"/>
      <c r="AH1368" s="370"/>
      <c r="AI1368" s="370"/>
      <c r="AJ1368" s="370"/>
      <c r="AK1368" s="370"/>
      <c r="AL1368" s="370"/>
      <c r="AM1368" s="370"/>
      <c r="AN1368" s="370"/>
      <c r="AO1368" s="370"/>
    </row>
    <row r="1369" spans="1:41" s="73" customFormat="1" ht="15" customHeight="1" x14ac:dyDescent="0.25">
      <c r="A1369" s="400"/>
      <c r="B1369" s="402"/>
      <c r="C1369" s="82" t="s">
        <v>642</v>
      </c>
      <c r="D1369" s="86"/>
      <c r="E1369" s="82" t="s">
        <v>748</v>
      </c>
      <c r="F1369" s="368"/>
      <c r="G1369" s="368"/>
      <c r="H1369" s="368"/>
      <c r="I1369" s="368"/>
      <c r="J1369" s="370"/>
      <c r="K1369" s="370"/>
      <c r="L1369" s="370"/>
      <c r="M1369" s="370"/>
      <c r="N1369" s="370"/>
      <c r="O1369" s="370"/>
      <c r="P1369" s="370"/>
      <c r="Q1369" s="370"/>
      <c r="R1369" s="370"/>
      <c r="S1369" s="370"/>
      <c r="T1369" s="370"/>
      <c r="U1369" s="370"/>
      <c r="V1369" s="370"/>
      <c r="W1369" s="370"/>
      <c r="X1369" s="370"/>
      <c r="Y1369" s="370"/>
      <c r="Z1369" s="370"/>
      <c r="AA1369" s="370"/>
      <c r="AB1369" s="370"/>
      <c r="AC1369" s="370"/>
      <c r="AD1369" s="370"/>
      <c r="AE1369" s="370"/>
      <c r="AF1369" s="370"/>
      <c r="AG1369" s="370"/>
      <c r="AH1369" s="370"/>
      <c r="AI1369" s="370"/>
      <c r="AJ1369" s="370"/>
      <c r="AK1369" s="370"/>
      <c r="AL1369" s="370"/>
      <c r="AM1369" s="370"/>
      <c r="AN1369" s="370"/>
      <c r="AO1369" s="370"/>
    </row>
    <row r="1370" spans="1:41" s="73" customFormat="1" ht="15" customHeight="1" x14ac:dyDescent="0.25">
      <c r="A1370" s="400"/>
      <c r="B1370" s="402"/>
      <c r="C1370" s="82" t="s">
        <v>530</v>
      </c>
      <c r="D1370" s="86"/>
      <c r="E1370" s="82" t="s">
        <v>749</v>
      </c>
      <c r="F1370" s="368"/>
      <c r="G1370" s="368"/>
      <c r="H1370" s="368"/>
      <c r="I1370" s="368"/>
      <c r="J1370" s="370"/>
      <c r="K1370" s="370"/>
      <c r="L1370" s="370"/>
      <c r="M1370" s="370"/>
      <c r="N1370" s="370"/>
      <c r="O1370" s="370"/>
      <c r="P1370" s="370"/>
      <c r="Q1370" s="370"/>
      <c r="R1370" s="370"/>
      <c r="S1370" s="370"/>
      <c r="T1370" s="370"/>
      <c r="U1370" s="370"/>
      <c r="V1370" s="370"/>
      <c r="W1370" s="370"/>
      <c r="X1370" s="370"/>
      <c r="Y1370" s="370"/>
      <c r="Z1370" s="370"/>
      <c r="AA1370" s="370"/>
      <c r="AB1370" s="370"/>
      <c r="AC1370" s="370"/>
      <c r="AD1370" s="370"/>
      <c r="AE1370" s="370"/>
      <c r="AF1370" s="370"/>
      <c r="AG1370" s="370"/>
      <c r="AH1370" s="370"/>
      <c r="AI1370" s="370"/>
      <c r="AJ1370" s="370"/>
      <c r="AK1370" s="370"/>
      <c r="AL1370" s="370"/>
      <c r="AM1370" s="370"/>
      <c r="AN1370" s="370"/>
      <c r="AO1370" s="370"/>
    </row>
    <row r="1371" spans="1:41" s="73" customFormat="1" ht="15" customHeight="1" x14ac:dyDescent="0.25">
      <c r="A1371" s="400"/>
      <c r="B1371" s="402"/>
      <c r="C1371" s="82" t="s">
        <v>531</v>
      </c>
      <c r="D1371" s="86"/>
      <c r="E1371" s="82" t="s">
        <v>750</v>
      </c>
      <c r="F1371" s="368"/>
      <c r="G1371" s="368"/>
      <c r="H1371" s="368"/>
      <c r="I1371" s="368"/>
      <c r="J1371" s="370"/>
      <c r="K1371" s="370"/>
      <c r="L1371" s="370"/>
      <c r="M1371" s="370"/>
      <c r="N1371" s="370"/>
      <c r="O1371" s="370"/>
      <c r="P1371" s="370"/>
      <c r="Q1371" s="370"/>
      <c r="R1371" s="370"/>
      <c r="S1371" s="370"/>
      <c r="T1371" s="370"/>
      <c r="U1371" s="370"/>
      <c r="V1371" s="370"/>
      <c r="W1371" s="370"/>
      <c r="X1371" s="370"/>
      <c r="Y1371" s="370"/>
      <c r="Z1371" s="370"/>
      <c r="AA1371" s="370"/>
      <c r="AB1371" s="370"/>
      <c r="AC1371" s="370"/>
      <c r="AD1371" s="370"/>
      <c r="AE1371" s="370"/>
      <c r="AF1371" s="370"/>
      <c r="AG1371" s="370"/>
      <c r="AH1371" s="370"/>
      <c r="AI1371" s="370"/>
      <c r="AJ1371" s="370"/>
      <c r="AK1371" s="370"/>
      <c r="AL1371" s="370"/>
      <c r="AM1371" s="370"/>
      <c r="AN1371" s="370"/>
      <c r="AO1371" s="370"/>
    </row>
    <row r="1372" spans="1:41" s="73" customFormat="1" ht="15" customHeight="1" x14ac:dyDescent="0.25">
      <c r="A1372" s="400"/>
      <c r="B1372" s="402"/>
      <c r="C1372" s="82" t="s">
        <v>532</v>
      </c>
      <c r="D1372" s="86"/>
      <c r="E1372" s="82" t="s">
        <v>751</v>
      </c>
      <c r="F1372" s="368"/>
      <c r="G1372" s="368"/>
      <c r="H1372" s="368"/>
      <c r="I1372" s="368"/>
      <c r="J1372" s="370"/>
      <c r="K1372" s="370"/>
      <c r="L1372" s="370"/>
      <c r="M1372" s="370"/>
      <c r="N1372" s="370"/>
      <c r="O1372" s="370"/>
      <c r="P1372" s="370"/>
      <c r="Q1372" s="370"/>
      <c r="R1372" s="370"/>
      <c r="S1372" s="370"/>
      <c r="T1372" s="370"/>
      <c r="U1372" s="370"/>
      <c r="V1372" s="370"/>
      <c r="W1372" s="370"/>
      <c r="X1372" s="370"/>
      <c r="Y1372" s="370"/>
      <c r="Z1372" s="370"/>
      <c r="AA1372" s="370"/>
      <c r="AB1372" s="370"/>
      <c r="AC1372" s="370"/>
      <c r="AD1372" s="370"/>
      <c r="AE1372" s="370"/>
      <c r="AF1372" s="370"/>
      <c r="AG1372" s="370"/>
      <c r="AH1372" s="370"/>
      <c r="AI1372" s="370"/>
      <c r="AJ1372" s="370"/>
      <c r="AK1372" s="370"/>
      <c r="AL1372" s="370"/>
      <c r="AM1372" s="370"/>
      <c r="AN1372" s="370"/>
      <c r="AO1372" s="370"/>
    </row>
    <row r="1373" spans="1:41" s="73" customFormat="1" ht="15" customHeight="1" x14ac:dyDescent="0.25">
      <c r="A1373" s="400"/>
      <c r="B1373" s="402"/>
      <c r="C1373" s="82" t="s">
        <v>533</v>
      </c>
      <c r="D1373" s="86"/>
      <c r="E1373" s="82" t="s">
        <v>752</v>
      </c>
      <c r="F1373" s="368"/>
      <c r="G1373" s="368"/>
      <c r="H1373" s="368"/>
      <c r="I1373" s="368"/>
      <c r="J1373" s="370"/>
      <c r="K1373" s="370"/>
      <c r="L1373" s="370"/>
      <c r="M1373" s="370"/>
      <c r="N1373" s="370"/>
      <c r="O1373" s="370"/>
      <c r="P1373" s="370"/>
      <c r="Q1373" s="370"/>
      <c r="R1373" s="370"/>
      <c r="S1373" s="370"/>
      <c r="T1373" s="370"/>
      <c r="U1373" s="370"/>
      <c r="V1373" s="370"/>
      <c r="W1373" s="370"/>
      <c r="X1373" s="370"/>
      <c r="Y1373" s="370"/>
      <c r="Z1373" s="370"/>
      <c r="AA1373" s="370"/>
      <c r="AB1373" s="370"/>
      <c r="AC1373" s="370"/>
      <c r="AD1373" s="370"/>
      <c r="AE1373" s="370"/>
      <c r="AF1373" s="370"/>
      <c r="AG1373" s="370"/>
      <c r="AH1373" s="370"/>
      <c r="AI1373" s="370"/>
      <c r="AJ1373" s="370"/>
      <c r="AK1373" s="370"/>
      <c r="AL1373" s="370"/>
      <c r="AM1373" s="370"/>
      <c r="AN1373" s="370"/>
      <c r="AO1373" s="370"/>
    </row>
    <row r="1374" spans="1:41" s="73" customFormat="1" ht="15" customHeight="1" x14ac:dyDescent="0.25">
      <c r="A1374" s="400"/>
      <c r="B1374" s="402"/>
      <c r="C1374" s="82" t="s">
        <v>534</v>
      </c>
      <c r="D1374" s="86"/>
      <c r="E1374" s="82" t="s">
        <v>753</v>
      </c>
      <c r="F1374" s="368"/>
      <c r="G1374" s="368"/>
      <c r="H1374" s="368"/>
      <c r="I1374" s="368"/>
      <c r="J1374" s="370"/>
      <c r="K1374" s="370"/>
      <c r="L1374" s="370"/>
      <c r="M1374" s="370"/>
      <c r="N1374" s="370"/>
      <c r="O1374" s="370"/>
      <c r="P1374" s="370"/>
      <c r="Q1374" s="370"/>
      <c r="R1374" s="370"/>
      <c r="S1374" s="370"/>
      <c r="T1374" s="370"/>
      <c r="U1374" s="370"/>
      <c r="V1374" s="370"/>
      <c r="W1374" s="370"/>
      <c r="X1374" s="370"/>
      <c r="Y1374" s="370"/>
      <c r="Z1374" s="370"/>
      <c r="AA1374" s="370"/>
      <c r="AB1374" s="370"/>
      <c r="AC1374" s="370"/>
      <c r="AD1374" s="370"/>
      <c r="AE1374" s="370"/>
      <c r="AF1374" s="370"/>
      <c r="AG1374" s="370"/>
      <c r="AH1374" s="370"/>
      <c r="AI1374" s="370"/>
      <c r="AJ1374" s="370"/>
      <c r="AK1374" s="370"/>
      <c r="AL1374" s="370"/>
      <c r="AM1374" s="370"/>
      <c r="AN1374" s="370"/>
      <c r="AO1374" s="370"/>
    </row>
    <row r="1375" spans="1:41" s="73" customFormat="1" ht="15" customHeight="1" x14ac:dyDescent="0.25">
      <c r="A1375" s="400"/>
      <c r="B1375" s="402"/>
      <c r="C1375" s="82" t="s">
        <v>535</v>
      </c>
      <c r="D1375" s="86"/>
      <c r="E1375" s="82" t="s">
        <v>754</v>
      </c>
      <c r="F1375" s="368"/>
      <c r="G1375" s="368"/>
      <c r="H1375" s="368"/>
      <c r="I1375" s="368"/>
      <c r="J1375" s="370"/>
      <c r="K1375" s="370"/>
      <c r="L1375" s="370"/>
      <c r="M1375" s="370"/>
      <c r="N1375" s="370"/>
      <c r="O1375" s="370"/>
      <c r="P1375" s="370"/>
      <c r="Q1375" s="370"/>
      <c r="R1375" s="370"/>
      <c r="S1375" s="370"/>
      <c r="T1375" s="370"/>
      <c r="U1375" s="370"/>
      <c r="V1375" s="370"/>
      <c r="W1375" s="370"/>
      <c r="X1375" s="370"/>
      <c r="Y1375" s="370"/>
      <c r="Z1375" s="370"/>
      <c r="AA1375" s="370"/>
      <c r="AB1375" s="370"/>
      <c r="AC1375" s="370"/>
      <c r="AD1375" s="370"/>
      <c r="AE1375" s="370"/>
      <c r="AF1375" s="370"/>
      <c r="AG1375" s="370"/>
      <c r="AH1375" s="370"/>
      <c r="AI1375" s="370"/>
      <c r="AJ1375" s="370"/>
      <c r="AK1375" s="370"/>
      <c r="AL1375" s="370"/>
      <c r="AM1375" s="370"/>
      <c r="AN1375" s="370"/>
      <c r="AO1375" s="370"/>
    </row>
    <row r="1376" spans="1:41" s="73" customFormat="1" ht="15" customHeight="1" x14ac:dyDescent="0.25">
      <c r="A1376" s="400"/>
      <c r="B1376" s="402"/>
      <c r="C1376" s="82" t="s">
        <v>536</v>
      </c>
      <c r="D1376" s="86"/>
      <c r="E1376" s="82" t="s">
        <v>755</v>
      </c>
      <c r="F1376" s="368"/>
      <c r="G1376" s="368"/>
      <c r="H1376" s="368"/>
      <c r="I1376" s="368"/>
      <c r="J1376" s="370"/>
      <c r="K1376" s="370"/>
      <c r="L1376" s="370"/>
      <c r="M1376" s="370"/>
      <c r="N1376" s="370"/>
      <c r="O1376" s="370"/>
      <c r="P1376" s="370"/>
      <c r="Q1376" s="370"/>
      <c r="R1376" s="370"/>
      <c r="S1376" s="370"/>
      <c r="T1376" s="370"/>
      <c r="U1376" s="370"/>
      <c r="V1376" s="370"/>
      <c r="W1376" s="370"/>
      <c r="X1376" s="370"/>
      <c r="Y1376" s="370"/>
      <c r="Z1376" s="370"/>
      <c r="AA1376" s="370"/>
      <c r="AB1376" s="370"/>
      <c r="AC1376" s="370"/>
      <c r="AD1376" s="370"/>
      <c r="AE1376" s="370"/>
      <c r="AF1376" s="370"/>
      <c r="AG1376" s="370"/>
      <c r="AH1376" s="370"/>
      <c r="AI1376" s="370"/>
      <c r="AJ1376" s="370"/>
      <c r="AK1376" s="370"/>
      <c r="AL1376" s="370"/>
      <c r="AM1376" s="370"/>
      <c r="AN1376" s="370"/>
      <c r="AO1376" s="370"/>
    </row>
    <row r="1377" spans="1:41" s="73" customFormat="1" ht="15" customHeight="1" x14ac:dyDescent="0.25">
      <c r="A1377" s="400"/>
      <c r="B1377" s="402"/>
      <c r="C1377" s="82" t="s">
        <v>537</v>
      </c>
      <c r="D1377" s="86"/>
      <c r="E1377" s="82" t="s">
        <v>756</v>
      </c>
      <c r="F1377" s="368"/>
      <c r="G1377" s="368"/>
      <c r="H1377" s="368"/>
      <c r="I1377" s="368"/>
      <c r="J1377" s="370"/>
      <c r="K1377" s="370"/>
      <c r="L1377" s="370"/>
      <c r="M1377" s="370"/>
      <c r="N1377" s="370"/>
      <c r="O1377" s="370"/>
      <c r="P1377" s="370"/>
      <c r="Q1377" s="370"/>
      <c r="R1377" s="370"/>
      <c r="S1377" s="370"/>
      <c r="T1377" s="370"/>
      <c r="U1377" s="370"/>
      <c r="V1377" s="370"/>
      <c r="W1377" s="370"/>
      <c r="X1377" s="370"/>
      <c r="Y1377" s="370"/>
      <c r="Z1377" s="370"/>
      <c r="AA1377" s="370"/>
      <c r="AB1377" s="370"/>
      <c r="AC1377" s="370"/>
      <c r="AD1377" s="370"/>
      <c r="AE1377" s="370"/>
      <c r="AF1377" s="370"/>
      <c r="AG1377" s="370"/>
      <c r="AH1377" s="370"/>
      <c r="AI1377" s="370"/>
      <c r="AJ1377" s="370"/>
      <c r="AK1377" s="370"/>
      <c r="AL1377" s="370"/>
      <c r="AM1377" s="370"/>
      <c r="AN1377" s="370"/>
      <c r="AO1377" s="370"/>
    </row>
    <row r="1378" spans="1:41" s="73" customFormat="1" ht="15" customHeight="1" x14ac:dyDescent="0.25">
      <c r="A1378" s="400"/>
      <c r="B1378" s="402"/>
      <c r="C1378" s="82" t="s">
        <v>538</v>
      </c>
      <c r="D1378" s="86"/>
      <c r="E1378" s="82" t="s">
        <v>757</v>
      </c>
      <c r="F1378" s="368"/>
      <c r="G1378" s="368"/>
      <c r="H1378" s="368"/>
      <c r="I1378" s="368"/>
      <c r="J1378" s="370"/>
      <c r="K1378" s="370"/>
      <c r="L1378" s="370"/>
      <c r="M1378" s="370"/>
      <c r="N1378" s="370"/>
      <c r="O1378" s="370"/>
      <c r="P1378" s="370"/>
      <c r="Q1378" s="370"/>
      <c r="R1378" s="370"/>
      <c r="S1378" s="370"/>
      <c r="T1378" s="370"/>
      <c r="U1378" s="370"/>
      <c r="V1378" s="370"/>
      <c r="W1378" s="370"/>
      <c r="X1378" s="370"/>
      <c r="Y1378" s="370"/>
      <c r="Z1378" s="370"/>
      <c r="AA1378" s="370"/>
      <c r="AB1378" s="370"/>
      <c r="AC1378" s="370"/>
      <c r="AD1378" s="370"/>
      <c r="AE1378" s="370"/>
      <c r="AF1378" s="370"/>
      <c r="AG1378" s="370"/>
      <c r="AH1378" s="370"/>
      <c r="AI1378" s="370"/>
      <c r="AJ1378" s="370"/>
      <c r="AK1378" s="370"/>
      <c r="AL1378" s="370"/>
      <c r="AM1378" s="370"/>
      <c r="AN1378" s="370"/>
      <c r="AO1378" s="370"/>
    </row>
    <row r="1379" spans="1:41" s="108" customFormat="1" ht="15" customHeight="1" x14ac:dyDescent="0.25">
      <c r="A1379" s="400"/>
      <c r="B1379" s="411" t="s">
        <v>1022</v>
      </c>
      <c r="C1379" s="187" t="s">
        <v>771</v>
      </c>
      <c r="D1379" s="153"/>
      <c r="E1379" s="154" t="s">
        <v>315</v>
      </c>
      <c r="F1379" s="374"/>
      <c r="G1379" s="374"/>
      <c r="H1379" s="374"/>
      <c r="I1379" s="374"/>
      <c r="J1379" s="375"/>
      <c r="K1379" s="375"/>
      <c r="L1379" s="375"/>
      <c r="M1379" s="375"/>
      <c r="N1379" s="375"/>
      <c r="O1379" s="375"/>
      <c r="P1379" s="375"/>
      <c r="Q1379" s="375"/>
      <c r="R1379" s="375"/>
      <c r="S1379" s="375"/>
      <c r="T1379" s="375"/>
      <c r="U1379" s="375"/>
      <c r="V1379" s="375"/>
      <c r="W1379" s="375"/>
      <c r="X1379" s="375"/>
      <c r="Y1379" s="375"/>
      <c r="Z1379" s="375"/>
      <c r="AA1379" s="375"/>
      <c r="AB1379" s="375"/>
      <c r="AC1379" s="375"/>
      <c r="AD1379" s="375"/>
      <c r="AE1379" s="375"/>
      <c r="AF1379" s="375"/>
      <c r="AG1379" s="375"/>
      <c r="AH1379" s="375"/>
      <c r="AI1379" s="375"/>
      <c r="AJ1379" s="375"/>
      <c r="AK1379" s="375"/>
      <c r="AL1379" s="375"/>
      <c r="AM1379" s="375"/>
      <c r="AN1379" s="375"/>
      <c r="AO1379" s="375"/>
    </row>
    <row r="1380" spans="1:41" ht="15" customHeight="1" x14ac:dyDescent="0.25">
      <c r="A1380" s="400"/>
      <c r="B1380" s="412"/>
      <c r="C1380" s="188" t="s">
        <v>624</v>
      </c>
      <c r="D1380" s="144"/>
      <c r="E1380" s="71" t="s">
        <v>643</v>
      </c>
      <c r="F1380" s="374"/>
      <c r="G1380" s="374"/>
      <c r="H1380" s="374"/>
      <c r="I1380" s="374"/>
      <c r="J1380" s="376"/>
      <c r="K1380" s="376"/>
      <c r="L1380" s="376"/>
      <c r="M1380" s="376"/>
      <c r="N1380" s="376"/>
      <c r="O1380" s="376"/>
      <c r="P1380" s="376"/>
      <c r="Q1380" s="376"/>
      <c r="R1380" s="376"/>
      <c r="S1380" s="376"/>
      <c r="T1380" s="376"/>
      <c r="U1380" s="376"/>
      <c r="V1380" s="376"/>
      <c r="W1380" s="376"/>
      <c r="X1380" s="376"/>
      <c r="Y1380" s="376"/>
      <c r="Z1380" s="376"/>
      <c r="AA1380" s="376"/>
      <c r="AB1380" s="376"/>
      <c r="AC1380" s="376"/>
      <c r="AD1380" s="376"/>
      <c r="AE1380" s="376"/>
      <c r="AF1380" s="376"/>
      <c r="AG1380" s="376"/>
      <c r="AH1380" s="376"/>
      <c r="AI1380" s="376"/>
      <c r="AJ1380" s="376"/>
      <c r="AK1380" s="376"/>
      <c r="AL1380" s="376"/>
      <c r="AM1380" s="376"/>
      <c r="AN1380" s="376"/>
      <c r="AO1380" s="376"/>
    </row>
    <row r="1381" spans="1:41" ht="15" customHeight="1" x14ac:dyDescent="0.25">
      <c r="A1381" s="400"/>
      <c r="B1381" s="412"/>
      <c r="C1381" s="188" t="s">
        <v>625</v>
      </c>
      <c r="D1381" s="144"/>
      <c r="E1381" s="71" t="s">
        <v>644</v>
      </c>
      <c r="F1381" s="374"/>
      <c r="G1381" s="374"/>
      <c r="H1381" s="374"/>
      <c r="I1381" s="374"/>
      <c r="J1381" s="376"/>
      <c r="K1381" s="376"/>
      <c r="L1381" s="376"/>
      <c r="M1381" s="376"/>
      <c r="N1381" s="376"/>
      <c r="O1381" s="376"/>
      <c r="P1381" s="376"/>
      <c r="Q1381" s="376"/>
      <c r="R1381" s="376"/>
      <c r="S1381" s="376"/>
      <c r="T1381" s="376"/>
      <c r="U1381" s="376"/>
      <c r="V1381" s="376"/>
      <c r="W1381" s="376"/>
      <c r="X1381" s="376"/>
      <c r="Y1381" s="376"/>
      <c r="Z1381" s="376"/>
      <c r="AA1381" s="376"/>
      <c r="AB1381" s="376"/>
      <c r="AC1381" s="376"/>
      <c r="AD1381" s="376"/>
      <c r="AE1381" s="376"/>
      <c r="AF1381" s="376"/>
      <c r="AG1381" s="376"/>
      <c r="AH1381" s="376"/>
      <c r="AI1381" s="376"/>
      <c r="AJ1381" s="376"/>
      <c r="AK1381" s="376"/>
      <c r="AL1381" s="376"/>
      <c r="AM1381" s="376"/>
      <c r="AN1381" s="376"/>
      <c r="AO1381" s="376"/>
    </row>
    <row r="1382" spans="1:41" ht="15" customHeight="1" x14ac:dyDescent="0.25">
      <c r="A1382" s="400"/>
      <c r="B1382" s="412"/>
      <c r="C1382" s="188" t="s">
        <v>626</v>
      </c>
      <c r="D1382" s="144"/>
      <c r="E1382" s="71" t="s">
        <v>645</v>
      </c>
      <c r="F1382" s="374"/>
      <c r="G1382" s="374"/>
      <c r="H1382" s="374"/>
      <c r="I1382" s="374"/>
      <c r="J1382" s="376"/>
      <c r="K1382" s="376"/>
      <c r="L1382" s="376"/>
      <c r="M1382" s="376"/>
      <c r="N1382" s="376"/>
      <c r="O1382" s="376"/>
      <c r="P1382" s="376"/>
      <c r="Q1382" s="376"/>
      <c r="R1382" s="376"/>
      <c r="S1382" s="376"/>
      <c r="T1382" s="376"/>
      <c r="U1382" s="376"/>
      <c r="V1382" s="376"/>
      <c r="W1382" s="376"/>
      <c r="X1382" s="376"/>
      <c r="Y1382" s="376"/>
      <c r="Z1382" s="376"/>
      <c r="AA1382" s="376"/>
      <c r="AB1382" s="376"/>
      <c r="AC1382" s="376"/>
      <c r="AD1382" s="376"/>
      <c r="AE1382" s="376"/>
      <c r="AF1382" s="376"/>
      <c r="AG1382" s="376"/>
      <c r="AH1382" s="376"/>
      <c r="AI1382" s="376"/>
      <c r="AJ1382" s="376"/>
      <c r="AK1382" s="376"/>
      <c r="AL1382" s="376"/>
      <c r="AM1382" s="376"/>
      <c r="AN1382" s="376"/>
      <c r="AO1382" s="376"/>
    </row>
    <row r="1383" spans="1:41" ht="15" customHeight="1" x14ac:dyDescent="0.25">
      <c r="A1383" s="400"/>
      <c r="B1383" s="412"/>
      <c r="C1383" s="188" t="s">
        <v>627</v>
      </c>
      <c r="D1383" s="144"/>
      <c r="E1383" s="83" t="s">
        <v>646</v>
      </c>
      <c r="F1383" s="374"/>
      <c r="G1383" s="374"/>
      <c r="H1383" s="374"/>
      <c r="I1383" s="374"/>
      <c r="J1383" s="376"/>
      <c r="K1383" s="376"/>
      <c r="L1383" s="376"/>
      <c r="M1383" s="376"/>
      <c r="N1383" s="376"/>
      <c r="O1383" s="376"/>
      <c r="P1383" s="376"/>
      <c r="Q1383" s="376"/>
      <c r="R1383" s="376"/>
      <c r="S1383" s="376"/>
      <c r="T1383" s="376"/>
      <c r="U1383" s="376"/>
      <c r="V1383" s="376"/>
      <c r="W1383" s="376"/>
      <c r="X1383" s="376"/>
      <c r="Y1383" s="376"/>
      <c r="Z1383" s="376"/>
      <c r="AA1383" s="376"/>
      <c r="AB1383" s="376"/>
      <c r="AC1383" s="376"/>
      <c r="AD1383" s="376"/>
      <c r="AE1383" s="376"/>
      <c r="AF1383" s="376"/>
      <c r="AG1383" s="376"/>
      <c r="AH1383" s="376"/>
      <c r="AI1383" s="376"/>
      <c r="AJ1383" s="376"/>
      <c r="AK1383" s="376"/>
      <c r="AL1383" s="376"/>
      <c r="AM1383" s="376"/>
      <c r="AN1383" s="376"/>
      <c r="AO1383" s="376"/>
    </row>
    <row r="1384" spans="1:41" ht="15" customHeight="1" x14ac:dyDescent="0.25">
      <c r="A1384" s="400"/>
      <c r="B1384" s="412"/>
      <c r="C1384" s="188" t="s">
        <v>628</v>
      </c>
      <c r="D1384" s="144"/>
      <c r="E1384" s="83" t="s">
        <v>647</v>
      </c>
      <c r="F1384" s="374"/>
      <c r="G1384" s="374"/>
      <c r="H1384" s="374"/>
      <c r="I1384" s="374"/>
      <c r="J1384" s="376"/>
      <c r="K1384" s="376"/>
      <c r="L1384" s="376"/>
      <c r="M1384" s="376"/>
      <c r="N1384" s="376"/>
      <c r="O1384" s="376"/>
      <c r="P1384" s="376"/>
      <c r="Q1384" s="376"/>
      <c r="R1384" s="376"/>
      <c r="S1384" s="376"/>
      <c r="T1384" s="376"/>
      <c r="U1384" s="376"/>
      <c r="V1384" s="376"/>
      <c r="W1384" s="376"/>
      <c r="X1384" s="376"/>
      <c r="Y1384" s="376"/>
      <c r="Z1384" s="376"/>
      <c r="AA1384" s="376"/>
      <c r="AB1384" s="376"/>
      <c r="AC1384" s="376"/>
      <c r="AD1384" s="376"/>
      <c r="AE1384" s="376"/>
      <c r="AF1384" s="376"/>
      <c r="AG1384" s="376"/>
      <c r="AH1384" s="376"/>
      <c r="AI1384" s="376"/>
      <c r="AJ1384" s="376"/>
      <c r="AK1384" s="376"/>
      <c r="AL1384" s="376"/>
      <c r="AM1384" s="376"/>
      <c r="AN1384" s="376"/>
      <c r="AO1384" s="376"/>
    </row>
    <row r="1385" spans="1:41" ht="15" customHeight="1" x14ac:dyDescent="0.25">
      <c r="A1385" s="400"/>
      <c r="B1385" s="412"/>
      <c r="C1385" s="188" t="s">
        <v>629</v>
      </c>
      <c r="D1385" s="144"/>
      <c r="E1385" s="83" t="s">
        <v>648</v>
      </c>
      <c r="F1385" s="374"/>
      <c r="G1385" s="374"/>
      <c r="H1385" s="374"/>
      <c r="I1385" s="374"/>
      <c r="J1385" s="376"/>
      <c r="K1385" s="376"/>
      <c r="L1385" s="376"/>
      <c r="M1385" s="376"/>
      <c r="N1385" s="376"/>
      <c r="O1385" s="376"/>
      <c r="P1385" s="376"/>
      <c r="Q1385" s="376"/>
      <c r="R1385" s="376"/>
      <c r="S1385" s="376"/>
      <c r="T1385" s="376"/>
      <c r="U1385" s="376"/>
      <c r="V1385" s="376"/>
      <c r="W1385" s="376"/>
      <c r="X1385" s="376"/>
      <c r="Y1385" s="376"/>
      <c r="Z1385" s="376"/>
      <c r="AA1385" s="376"/>
      <c r="AB1385" s="376"/>
      <c r="AC1385" s="376"/>
      <c r="AD1385" s="376"/>
      <c r="AE1385" s="376"/>
      <c r="AF1385" s="376"/>
      <c r="AG1385" s="376"/>
      <c r="AH1385" s="376"/>
      <c r="AI1385" s="376"/>
      <c r="AJ1385" s="376"/>
      <c r="AK1385" s="376"/>
      <c r="AL1385" s="376"/>
      <c r="AM1385" s="376"/>
      <c r="AN1385" s="376"/>
      <c r="AO1385" s="376"/>
    </row>
    <row r="1386" spans="1:41" ht="15" customHeight="1" x14ac:dyDescent="0.25">
      <c r="A1386" s="400"/>
      <c r="B1386" s="412"/>
      <c r="C1386" s="188" t="s">
        <v>630</v>
      </c>
      <c r="D1386" s="144"/>
      <c r="E1386" s="83" t="s">
        <v>649</v>
      </c>
      <c r="F1386" s="374"/>
      <c r="G1386" s="374"/>
      <c r="H1386" s="374"/>
      <c r="I1386" s="374"/>
      <c r="J1386" s="376"/>
      <c r="K1386" s="376"/>
      <c r="L1386" s="376"/>
      <c r="M1386" s="376"/>
      <c r="N1386" s="376"/>
      <c r="O1386" s="376"/>
      <c r="P1386" s="376"/>
      <c r="Q1386" s="376"/>
      <c r="R1386" s="376"/>
      <c r="S1386" s="376"/>
      <c r="T1386" s="376"/>
      <c r="U1386" s="376"/>
      <c r="V1386" s="376"/>
      <c r="W1386" s="376"/>
      <c r="X1386" s="376"/>
      <c r="Y1386" s="376"/>
      <c r="Z1386" s="376"/>
      <c r="AA1386" s="376"/>
      <c r="AB1386" s="376"/>
      <c r="AC1386" s="376"/>
      <c r="AD1386" s="376"/>
      <c r="AE1386" s="376"/>
      <c r="AF1386" s="376"/>
      <c r="AG1386" s="376"/>
      <c r="AH1386" s="376"/>
      <c r="AI1386" s="376"/>
      <c r="AJ1386" s="376"/>
      <c r="AK1386" s="376"/>
      <c r="AL1386" s="376"/>
      <c r="AM1386" s="376"/>
      <c r="AN1386" s="376"/>
      <c r="AO1386" s="376"/>
    </row>
    <row r="1387" spans="1:41" ht="15" customHeight="1" x14ac:dyDescent="0.25">
      <c r="A1387" s="400"/>
      <c r="B1387" s="412"/>
      <c r="C1387" s="188" t="s">
        <v>631</v>
      </c>
      <c r="D1387" s="144"/>
      <c r="E1387" s="83" t="s">
        <v>650</v>
      </c>
      <c r="F1387" s="374"/>
      <c r="G1387" s="374"/>
      <c r="H1387" s="374"/>
      <c r="I1387" s="374"/>
      <c r="J1387" s="376"/>
      <c r="K1387" s="376"/>
      <c r="L1387" s="376"/>
      <c r="M1387" s="376"/>
      <c r="N1387" s="376"/>
      <c r="O1387" s="376"/>
      <c r="P1387" s="376"/>
      <c r="Q1387" s="376"/>
      <c r="R1387" s="376"/>
      <c r="S1387" s="376"/>
      <c r="T1387" s="376"/>
      <c r="U1387" s="376"/>
      <c r="V1387" s="376"/>
      <c r="W1387" s="376"/>
      <c r="X1387" s="376"/>
      <c r="Y1387" s="376"/>
      <c r="Z1387" s="376"/>
      <c r="AA1387" s="376"/>
      <c r="AB1387" s="376"/>
      <c r="AC1387" s="376"/>
      <c r="AD1387" s="376"/>
      <c r="AE1387" s="376"/>
      <c r="AF1387" s="376"/>
      <c r="AG1387" s="376"/>
      <c r="AH1387" s="376"/>
      <c r="AI1387" s="376"/>
      <c r="AJ1387" s="376"/>
      <c r="AK1387" s="376"/>
      <c r="AL1387" s="376"/>
      <c r="AM1387" s="376"/>
      <c r="AN1387" s="376"/>
      <c r="AO1387" s="376"/>
    </row>
    <row r="1388" spans="1:41" ht="15" customHeight="1" x14ac:dyDescent="0.25">
      <c r="A1388" s="400"/>
      <c r="B1388" s="412"/>
      <c r="C1388" s="188" t="s">
        <v>632</v>
      </c>
      <c r="D1388" s="144"/>
      <c r="E1388" s="83" t="s">
        <v>651</v>
      </c>
      <c r="F1388" s="374"/>
      <c r="G1388" s="374"/>
      <c r="H1388" s="374"/>
      <c r="I1388" s="374"/>
      <c r="J1388" s="376"/>
      <c r="K1388" s="376"/>
      <c r="L1388" s="376"/>
      <c r="M1388" s="376"/>
      <c r="N1388" s="376"/>
      <c r="O1388" s="376"/>
      <c r="P1388" s="376"/>
      <c r="Q1388" s="376"/>
      <c r="R1388" s="376"/>
      <c r="S1388" s="376"/>
      <c r="T1388" s="376"/>
      <c r="U1388" s="376"/>
      <c r="V1388" s="376"/>
      <c r="W1388" s="376"/>
      <c r="X1388" s="376"/>
      <c r="Y1388" s="376"/>
      <c r="Z1388" s="376"/>
      <c r="AA1388" s="376"/>
      <c r="AB1388" s="376"/>
      <c r="AC1388" s="376"/>
      <c r="AD1388" s="376"/>
      <c r="AE1388" s="376"/>
      <c r="AF1388" s="376"/>
      <c r="AG1388" s="376"/>
      <c r="AH1388" s="376"/>
      <c r="AI1388" s="376"/>
      <c r="AJ1388" s="376"/>
      <c r="AK1388" s="376"/>
      <c r="AL1388" s="376"/>
      <c r="AM1388" s="376"/>
      <c r="AN1388" s="376"/>
      <c r="AO1388" s="376"/>
    </row>
    <row r="1389" spans="1:41" ht="15" customHeight="1" x14ac:dyDescent="0.25">
      <c r="A1389" s="400"/>
      <c r="B1389" s="412"/>
      <c r="C1389" s="188" t="s">
        <v>633</v>
      </c>
      <c r="D1389" s="144"/>
      <c r="E1389" s="83" t="s">
        <v>652</v>
      </c>
      <c r="F1389" s="374"/>
      <c r="G1389" s="374"/>
      <c r="H1389" s="374"/>
      <c r="I1389" s="374"/>
      <c r="J1389" s="376"/>
      <c r="K1389" s="376"/>
      <c r="L1389" s="376"/>
      <c r="M1389" s="376"/>
      <c r="N1389" s="376"/>
      <c r="O1389" s="376"/>
      <c r="P1389" s="376"/>
      <c r="Q1389" s="376"/>
      <c r="R1389" s="376"/>
      <c r="S1389" s="376"/>
      <c r="T1389" s="376"/>
      <c r="U1389" s="376"/>
      <c r="V1389" s="376"/>
      <c r="W1389" s="376"/>
      <c r="X1389" s="376"/>
      <c r="Y1389" s="376"/>
      <c r="Z1389" s="376"/>
      <c r="AA1389" s="376"/>
      <c r="AB1389" s="376"/>
      <c r="AC1389" s="376"/>
      <c r="AD1389" s="376"/>
      <c r="AE1389" s="376"/>
      <c r="AF1389" s="376"/>
      <c r="AG1389" s="376"/>
      <c r="AH1389" s="376"/>
      <c r="AI1389" s="376"/>
      <c r="AJ1389" s="376"/>
      <c r="AK1389" s="376"/>
      <c r="AL1389" s="376"/>
      <c r="AM1389" s="376"/>
      <c r="AN1389" s="376"/>
      <c r="AO1389" s="376"/>
    </row>
    <row r="1390" spans="1:41" ht="15" customHeight="1" x14ac:dyDescent="0.25">
      <c r="A1390" s="400"/>
      <c r="B1390" s="412"/>
      <c r="C1390" s="188" t="s">
        <v>634</v>
      </c>
      <c r="D1390" s="144"/>
      <c r="E1390" s="83" t="s">
        <v>653</v>
      </c>
      <c r="F1390" s="374"/>
      <c r="G1390" s="374"/>
      <c r="H1390" s="374"/>
      <c r="I1390" s="374"/>
      <c r="J1390" s="376"/>
      <c r="K1390" s="376"/>
      <c r="L1390" s="376"/>
      <c r="M1390" s="376"/>
      <c r="N1390" s="376"/>
      <c r="O1390" s="376"/>
      <c r="P1390" s="376"/>
      <c r="Q1390" s="376"/>
      <c r="R1390" s="376"/>
      <c r="S1390" s="376"/>
      <c r="T1390" s="376"/>
      <c r="U1390" s="376"/>
      <c r="V1390" s="376"/>
      <c r="W1390" s="376"/>
      <c r="X1390" s="376"/>
      <c r="Y1390" s="376"/>
      <c r="Z1390" s="376"/>
      <c r="AA1390" s="376"/>
      <c r="AB1390" s="376"/>
      <c r="AC1390" s="376"/>
      <c r="AD1390" s="376"/>
      <c r="AE1390" s="376"/>
      <c r="AF1390" s="376"/>
      <c r="AG1390" s="376"/>
      <c r="AH1390" s="376"/>
      <c r="AI1390" s="376"/>
      <c r="AJ1390" s="376"/>
      <c r="AK1390" s="376"/>
      <c r="AL1390" s="376"/>
      <c r="AM1390" s="376"/>
      <c r="AN1390" s="376"/>
      <c r="AO1390" s="376"/>
    </row>
    <row r="1391" spans="1:41" ht="15" customHeight="1" x14ac:dyDescent="0.25">
      <c r="A1391" s="400"/>
      <c r="B1391" s="412"/>
      <c r="C1391" s="188" t="s">
        <v>635</v>
      </c>
      <c r="D1391" s="144"/>
      <c r="E1391" s="83" t="s">
        <v>654</v>
      </c>
      <c r="F1391" s="374"/>
      <c r="G1391" s="374"/>
      <c r="H1391" s="374"/>
      <c r="I1391" s="374"/>
      <c r="J1391" s="376"/>
      <c r="K1391" s="376"/>
      <c r="L1391" s="376"/>
      <c r="M1391" s="376"/>
      <c r="N1391" s="376"/>
      <c r="O1391" s="376"/>
      <c r="P1391" s="376"/>
      <c r="Q1391" s="376"/>
      <c r="R1391" s="376"/>
      <c r="S1391" s="376"/>
      <c r="T1391" s="376"/>
      <c r="U1391" s="376"/>
      <c r="V1391" s="376"/>
      <c r="W1391" s="376"/>
      <c r="X1391" s="376"/>
      <c r="Y1391" s="376"/>
      <c r="Z1391" s="376"/>
      <c r="AA1391" s="376"/>
      <c r="AB1391" s="376"/>
      <c r="AC1391" s="376"/>
      <c r="AD1391" s="376"/>
      <c r="AE1391" s="376"/>
      <c r="AF1391" s="376"/>
      <c r="AG1391" s="376"/>
      <c r="AH1391" s="376"/>
      <c r="AI1391" s="376"/>
      <c r="AJ1391" s="376"/>
      <c r="AK1391" s="376"/>
      <c r="AL1391" s="376"/>
      <c r="AM1391" s="376"/>
      <c r="AN1391" s="376"/>
      <c r="AO1391" s="376"/>
    </row>
    <row r="1392" spans="1:41" ht="15" customHeight="1" x14ac:dyDescent="0.25">
      <c r="A1392" s="400"/>
      <c r="B1392" s="412"/>
      <c r="C1392" s="188" t="s">
        <v>636</v>
      </c>
      <c r="D1392" s="144"/>
      <c r="E1392" s="83" t="s">
        <v>655</v>
      </c>
      <c r="F1392" s="374"/>
      <c r="G1392" s="374"/>
      <c r="H1392" s="374"/>
      <c r="I1392" s="374"/>
      <c r="J1392" s="376"/>
      <c r="K1392" s="376"/>
      <c r="L1392" s="376"/>
      <c r="M1392" s="376"/>
      <c r="N1392" s="376"/>
      <c r="O1392" s="376"/>
      <c r="P1392" s="376"/>
      <c r="Q1392" s="376"/>
      <c r="R1392" s="376"/>
      <c r="S1392" s="376"/>
      <c r="T1392" s="376"/>
      <c r="U1392" s="376"/>
      <c r="V1392" s="376"/>
      <c r="W1392" s="376"/>
      <c r="X1392" s="376"/>
      <c r="Y1392" s="376"/>
      <c r="Z1392" s="376"/>
      <c r="AA1392" s="376"/>
      <c r="AB1392" s="376"/>
      <c r="AC1392" s="376"/>
      <c r="AD1392" s="376"/>
      <c r="AE1392" s="376"/>
      <c r="AF1392" s="376"/>
      <c r="AG1392" s="376"/>
      <c r="AH1392" s="376"/>
      <c r="AI1392" s="376"/>
      <c r="AJ1392" s="376"/>
      <c r="AK1392" s="376"/>
      <c r="AL1392" s="376"/>
      <c r="AM1392" s="376"/>
      <c r="AN1392" s="376"/>
      <c r="AO1392" s="376"/>
    </row>
    <row r="1393" spans="1:41" ht="15" customHeight="1" x14ac:dyDescent="0.25">
      <c r="A1393" s="400"/>
      <c r="B1393" s="412"/>
      <c r="C1393" s="188" t="s">
        <v>637</v>
      </c>
      <c r="D1393" s="144"/>
      <c r="E1393" s="83" t="s">
        <v>656</v>
      </c>
      <c r="F1393" s="374"/>
      <c r="G1393" s="374"/>
      <c r="H1393" s="374"/>
      <c r="I1393" s="374"/>
      <c r="J1393" s="376"/>
      <c r="K1393" s="376"/>
      <c r="L1393" s="376"/>
      <c r="M1393" s="376"/>
      <c r="N1393" s="376"/>
      <c r="O1393" s="376"/>
      <c r="P1393" s="376"/>
      <c r="Q1393" s="376"/>
      <c r="R1393" s="376"/>
      <c r="S1393" s="376"/>
      <c r="T1393" s="376"/>
      <c r="U1393" s="376"/>
      <c r="V1393" s="376"/>
      <c r="W1393" s="376"/>
      <c r="X1393" s="376"/>
      <c r="Y1393" s="376"/>
      <c r="Z1393" s="376"/>
      <c r="AA1393" s="376"/>
      <c r="AB1393" s="376"/>
      <c r="AC1393" s="376"/>
      <c r="AD1393" s="376"/>
      <c r="AE1393" s="376"/>
      <c r="AF1393" s="376"/>
      <c r="AG1393" s="376"/>
      <c r="AH1393" s="376"/>
      <c r="AI1393" s="376"/>
      <c r="AJ1393" s="376"/>
      <c r="AK1393" s="376"/>
      <c r="AL1393" s="376"/>
      <c r="AM1393" s="376"/>
      <c r="AN1393" s="376"/>
      <c r="AO1393" s="376"/>
    </row>
    <row r="1394" spans="1:41" ht="15" customHeight="1" x14ac:dyDescent="0.25">
      <c r="A1394" s="400"/>
      <c r="B1394" s="412"/>
      <c r="C1394" s="188" t="s">
        <v>638</v>
      </c>
      <c r="D1394" s="144"/>
      <c r="E1394" s="83" t="s">
        <v>657</v>
      </c>
      <c r="F1394" s="374"/>
      <c r="G1394" s="374"/>
      <c r="H1394" s="374"/>
      <c r="I1394" s="374"/>
      <c r="J1394" s="376"/>
      <c r="K1394" s="376"/>
      <c r="L1394" s="376" t="s">
        <v>2196</v>
      </c>
      <c r="M1394" s="376"/>
      <c r="N1394" s="376"/>
      <c r="O1394" s="376"/>
      <c r="P1394" s="376"/>
      <c r="Q1394" s="376"/>
      <c r="R1394" s="376"/>
      <c r="S1394" s="376"/>
      <c r="T1394" s="376"/>
      <c r="U1394" s="376"/>
      <c r="V1394" s="376"/>
      <c r="W1394" s="376"/>
      <c r="X1394" s="376"/>
      <c r="Y1394" s="376"/>
      <c r="Z1394" s="376"/>
      <c r="AA1394" s="376"/>
      <c r="AB1394" s="376"/>
      <c r="AC1394" s="376"/>
      <c r="AD1394" s="376"/>
      <c r="AE1394" s="376"/>
      <c r="AF1394" s="376"/>
      <c r="AG1394" s="376"/>
      <c r="AH1394" s="376"/>
      <c r="AI1394" s="376"/>
      <c r="AJ1394" s="376"/>
      <c r="AK1394" s="376"/>
      <c r="AL1394" s="376"/>
      <c r="AM1394" s="376"/>
      <c r="AN1394" s="376"/>
      <c r="AO1394" s="376"/>
    </row>
    <row r="1395" spans="1:41" ht="15" customHeight="1" x14ac:dyDescent="0.25">
      <c r="A1395" s="400"/>
      <c r="B1395" s="412"/>
      <c r="C1395" s="188" t="s">
        <v>639</v>
      </c>
      <c r="D1395" s="144"/>
      <c r="E1395" s="83" t="s">
        <v>658</v>
      </c>
      <c r="F1395" s="374"/>
      <c r="G1395" s="374"/>
      <c r="H1395" s="374"/>
      <c r="I1395" s="374"/>
      <c r="J1395" s="376"/>
      <c r="K1395" s="376"/>
      <c r="L1395" s="376"/>
      <c r="M1395" s="376"/>
      <c r="N1395" s="376"/>
      <c r="O1395" s="376"/>
      <c r="P1395" s="376"/>
      <c r="Q1395" s="376"/>
      <c r="R1395" s="376"/>
      <c r="S1395" s="376"/>
      <c r="T1395" s="376"/>
      <c r="U1395" s="376"/>
      <c r="V1395" s="376"/>
      <c r="W1395" s="376"/>
      <c r="X1395" s="376"/>
      <c r="Y1395" s="376"/>
      <c r="Z1395" s="376"/>
      <c r="AA1395" s="376"/>
      <c r="AB1395" s="376"/>
      <c r="AC1395" s="376"/>
      <c r="AD1395" s="376"/>
      <c r="AE1395" s="376"/>
      <c r="AF1395" s="376"/>
      <c r="AG1395" s="376"/>
      <c r="AH1395" s="376"/>
      <c r="AI1395" s="376"/>
      <c r="AJ1395" s="376"/>
      <c r="AK1395" s="376"/>
      <c r="AL1395" s="376"/>
      <c r="AM1395" s="376"/>
      <c r="AN1395" s="376"/>
      <c r="AO1395" s="376"/>
    </row>
    <row r="1396" spans="1:41" ht="15" customHeight="1" x14ac:dyDescent="0.25">
      <c r="A1396" s="400"/>
      <c r="B1396" s="412"/>
      <c r="C1396" s="188" t="s">
        <v>640</v>
      </c>
      <c r="D1396" s="144"/>
      <c r="E1396" s="83" t="s">
        <v>659</v>
      </c>
      <c r="F1396" s="374"/>
      <c r="G1396" s="374"/>
      <c r="H1396" s="374"/>
      <c r="I1396" s="374"/>
      <c r="J1396" s="376"/>
      <c r="K1396" s="376"/>
      <c r="L1396" s="376"/>
      <c r="M1396" s="376"/>
      <c r="N1396" s="376"/>
      <c r="O1396" s="376"/>
      <c r="P1396" s="376"/>
      <c r="Q1396" s="376"/>
      <c r="R1396" s="376"/>
      <c r="S1396" s="376"/>
      <c r="T1396" s="376"/>
      <c r="U1396" s="376"/>
      <c r="V1396" s="376"/>
      <c r="W1396" s="376"/>
      <c r="X1396" s="376"/>
      <c r="Y1396" s="376"/>
      <c r="Z1396" s="376"/>
      <c r="AA1396" s="376"/>
      <c r="AB1396" s="376"/>
      <c r="AC1396" s="376"/>
      <c r="AD1396" s="376"/>
      <c r="AE1396" s="376"/>
      <c r="AF1396" s="376"/>
      <c r="AG1396" s="376"/>
      <c r="AH1396" s="376"/>
      <c r="AI1396" s="376"/>
      <c r="AJ1396" s="376"/>
      <c r="AK1396" s="376"/>
      <c r="AL1396" s="376"/>
      <c r="AM1396" s="376"/>
      <c r="AN1396" s="376"/>
      <c r="AO1396" s="376"/>
    </row>
    <row r="1397" spans="1:41" ht="15" customHeight="1" x14ac:dyDescent="0.25">
      <c r="A1397" s="400"/>
      <c r="B1397" s="412"/>
      <c r="C1397" s="188" t="s">
        <v>641</v>
      </c>
      <c r="D1397" s="144"/>
      <c r="E1397" s="83" t="s">
        <v>660</v>
      </c>
      <c r="F1397" s="374"/>
      <c r="G1397" s="374"/>
      <c r="H1397" s="374"/>
      <c r="I1397" s="374"/>
      <c r="J1397" s="376"/>
      <c r="K1397" s="376"/>
      <c r="L1397" s="376"/>
      <c r="M1397" s="376"/>
      <c r="N1397" s="376"/>
      <c r="O1397" s="376"/>
      <c r="P1397" s="376"/>
      <c r="Q1397" s="376"/>
      <c r="R1397" s="376"/>
      <c r="S1397" s="376"/>
      <c r="T1397" s="376"/>
      <c r="U1397" s="376"/>
      <c r="V1397" s="376"/>
      <c r="W1397" s="376"/>
      <c r="X1397" s="376"/>
      <c r="Y1397" s="376"/>
      <c r="Z1397" s="376"/>
      <c r="AA1397" s="376"/>
      <c r="AB1397" s="376"/>
      <c r="AC1397" s="376"/>
      <c r="AD1397" s="376"/>
      <c r="AE1397" s="376"/>
      <c r="AF1397" s="376"/>
      <c r="AG1397" s="376"/>
      <c r="AH1397" s="376"/>
      <c r="AI1397" s="376"/>
      <c r="AJ1397" s="376"/>
      <c r="AK1397" s="376"/>
      <c r="AL1397" s="376"/>
      <c r="AM1397" s="376"/>
      <c r="AN1397" s="376"/>
      <c r="AO1397" s="376"/>
    </row>
    <row r="1398" spans="1:41" ht="15" customHeight="1" x14ac:dyDescent="0.25">
      <c r="A1398" s="400"/>
      <c r="B1398" s="412"/>
      <c r="C1398" s="188" t="s">
        <v>642</v>
      </c>
      <c r="D1398" s="144"/>
      <c r="E1398" s="373" t="s">
        <v>661</v>
      </c>
      <c r="F1398" s="374"/>
      <c r="G1398" s="374"/>
      <c r="H1398" s="374"/>
      <c r="I1398" s="374"/>
      <c r="J1398" s="376"/>
      <c r="K1398" s="376"/>
      <c r="L1398" s="376"/>
      <c r="M1398" s="376"/>
      <c r="N1398" s="376"/>
      <c r="O1398" s="376"/>
      <c r="P1398" s="376"/>
      <c r="Q1398" s="376"/>
      <c r="R1398" s="376"/>
      <c r="S1398" s="376"/>
      <c r="T1398" s="376"/>
      <c r="U1398" s="376"/>
      <c r="V1398" s="376"/>
      <c r="W1398" s="376"/>
      <c r="X1398" s="376"/>
      <c r="Y1398" s="376"/>
      <c r="Z1398" s="376"/>
      <c r="AA1398" s="376"/>
      <c r="AB1398" s="376"/>
      <c r="AC1398" s="376"/>
      <c r="AD1398" s="376"/>
      <c r="AE1398" s="376"/>
      <c r="AF1398" s="376"/>
      <c r="AG1398" s="376"/>
      <c r="AH1398" s="376"/>
      <c r="AI1398" s="376"/>
      <c r="AJ1398" s="376"/>
      <c r="AK1398" s="376"/>
      <c r="AL1398" s="376"/>
      <c r="AM1398" s="376"/>
      <c r="AN1398" s="376"/>
      <c r="AO1398" s="376"/>
    </row>
    <row r="1399" spans="1:41" ht="15" customHeight="1" x14ac:dyDescent="0.25">
      <c r="A1399" s="400"/>
      <c r="B1399" s="412"/>
      <c r="C1399" s="188" t="s">
        <v>530</v>
      </c>
      <c r="D1399" s="144"/>
      <c r="E1399" s="83" t="s">
        <v>662</v>
      </c>
      <c r="F1399" s="374"/>
      <c r="G1399" s="374"/>
      <c r="H1399" s="374"/>
      <c r="I1399" s="374"/>
      <c r="J1399" s="376"/>
      <c r="K1399" s="376"/>
      <c r="L1399" s="376"/>
      <c r="M1399" s="376"/>
      <c r="N1399" s="376"/>
      <c r="O1399" s="376"/>
      <c r="P1399" s="376"/>
      <c r="Q1399" s="376"/>
      <c r="R1399" s="376"/>
      <c r="S1399" s="376"/>
      <c r="T1399" s="376"/>
      <c r="U1399" s="376"/>
      <c r="V1399" s="376"/>
      <c r="W1399" s="376"/>
      <c r="X1399" s="376"/>
      <c r="Y1399" s="376"/>
      <c r="Z1399" s="376"/>
      <c r="AA1399" s="376"/>
      <c r="AB1399" s="376"/>
      <c r="AC1399" s="376"/>
      <c r="AD1399" s="376"/>
      <c r="AE1399" s="376"/>
      <c r="AF1399" s="376"/>
      <c r="AG1399" s="376"/>
      <c r="AH1399" s="376"/>
      <c r="AI1399" s="376"/>
      <c r="AJ1399" s="376"/>
      <c r="AK1399" s="376"/>
      <c r="AL1399" s="376"/>
      <c r="AM1399" s="376"/>
      <c r="AN1399" s="376"/>
      <c r="AO1399" s="376"/>
    </row>
    <row r="1400" spans="1:41" ht="15" customHeight="1" x14ac:dyDescent="0.25">
      <c r="A1400" s="400"/>
      <c r="B1400" s="412"/>
      <c r="C1400" s="188" t="s">
        <v>531</v>
      </c>
      <c r="D1400" s="144"/>
      <c r="E1400" s="83" t="s">
        <v>663</v>
      </c>
      <c r="F1400" s="374"/>
      <c r="G1400" s="374"/>
      <c r="H1400" s="374"/>
      <c r="I1400" s="374"/>
      <c r="J1400" s="376"/>
      <c r="K1400" s="376"/>
      <c r="L1400" s="376"/>
      <c r="M1400" s="376"/>
      <c r="N1400" s="376"/>
      <c r="O1400" s="376"/>
      <c r="P1400" s="376"/>
      <c r="Q1400" s="376"/>
      <c r="R1400" s="376"/>
      <c r="S1400" s="376"/>
      <c r="T1400" s="376"/>
      <c r="U1400" s="376"/>
      <c r="V1400" s="376"/>
      <c r="W1400" s="376"/>
      <c r="X1400" s="376"/>
      <c r="Y1400" s="376"/>
      <c r="Z1400" s="376"/>
      <c r="AA1400" s="376"/>
      <c r="AB1400" s="376"/>
      <c r="AC1400" s="376"/>
      <c r="AD1400" s="376"/>
      <c r="AE1400" s="376"/>
      <c r="AF1400" s="376"/>
      <c r="AG1400" s="376"/>
      <c r="AH1400" s="376"/>
      <c r="AI1400" s="376"/>
      <c r="AJ1400" s="376"/>
      <c r="AK1400" s="376"/>
      <c r="AL1400" s="376"/>
      <c r="AM1400" s="376"/>
      <c r="AN1400" s="376"/>
      <c r="AO1400" s="376"/>
    </row>
    <row r="1401" spans="1:41" ht="15" customHeight="1" x14ac:dyDescent="0.25">
      <c r="A1401" s="400"/>
      <c r="B1401" s="412"/>
      <c r="C1401" s="188" t="s">
        <v>532</v>
      </c>
      <c r="D1401" s="144"/>
      <c r="E1401" s="83" t="s">
        <v>664</v>
      </c>
      <c r="F1401" s="374"/>
      <c r="G1401" s="374"/>
      <c r="H1401" s="374"/>
      <c r="I1401" s="374"/>
      <c r="J1401" s="376"/>
      <c r="K1401" s="376"/>
      <c r="L1401" s="376"/>
      <c r="M1401" s="376"/>
      <c r="N1401" s="376"/>
      <c r="O1401" s="376"/>
      <c r="P1401" s="376"/>
      <c r="Q1401" s="376"/>
      <c r="R1401" s="376"/>
      <c r="S1401" s="376"/>
      <c r="T1401" s="376"/>
      <c r="U1401" s="376"/>
      <c r="V1401" s="376"/>
      <c r="W1401" s="376"/>
      <c r="X1401" s="376"/>
      <c r="Y1401" s="376"/>
      <c r="Z1401" s="376"/>
      <c r="AA1401" s="376"/>
      <c r="AB1401" s="376"/>
      <c r="AC1401" s="376"/>
      <c r="AD1401" s="376"/>
      <c r="AE1401" s="376"/>
      <c r="AF1401" s="376"/>
      <c r="AG1401" s="376"/>
      <c r="AH1401" s="376"/>
      <c r="AI1401" s="376"/>
      <c r="AJ1401" s="376"/>
      <c r="AK1401" s="376"/>
      <c r="AL1401" s="376"/>
      <c r="AM1401" s="376"/>
      <c r="AN1401" s="376"/>
      <c r="AO1401" s="376"/>
    </row>
    <row r="1402" spans="1:41" ht="15" customHeight="1" x14ac:dyDescent="0.25">
      <c r="A1402" s="400"/>
      <c r="B1402" s="412"/>
      <c r="C1402" s="188" t="s">
        <v>533</v>
      </c>
      <c r="D1402" s="144"/>
      <c r="E1402" s="83" t="s">
        <v>665</v>
      </c>
      <c r="F1402" s="374"/>
      <c r="G1402" s="374"/>
      <c r="H1402" s="374"/>
      <c r="I1402" s="374"/>
      <c r="J1402" s="376"/>
      <c r="K1402" s="376"/>
      <c r="L1402" s="376"/>
      <c r="M1402" s="376"/>
      <c r="N1402" s="376"/>
      <c r="O1402" s="376"/>
      <c r="P1402" s="376"/>
      <c r="Q1402" s="376"/>
      <c r="R1402" s="376"/>
      <c r="S1402" s="376"/>
      <c r="T1402" s="376"/>
      <c r="U1402" s="376"/>
      <c r="V1402" s="376"/>
      <c r="W1402" s="376"/>
      <c r="X1402" s="376"/>
      <c r="Y1402" s="376"/>
      <c r="Z1402" s="376"/>
      <c r="AA1402" s="376"/>
      <c r="AB1402" s="376"/>
      <c r="AC1402" s="376"/>
      <c r="AD1402" s="376"/>
      <c r="AE1402" s="376"/>
      <c r="AF1402" s="376"/>
      <c r="AG1402" s="376"/>
      <c r="AH1402" s="376"/>
      <c r="AI1402" s="376"/>
      <c r="AJ1402" s="376"/>
      <c r="AK1402" s="376"/>
      <c r="AL1402" s="376"/>
      <c r="AM1402" s="376"/>
      <c r="AN1402" s="376"/>
      <c r="AO1402" s="376"/>
    </row>
    <row r="1403" spans="1:41" s="73" customFormat="1" ht="15" customHeight="1" x14ac:dyDescent="0.25">
      <c r="A1403" s="400"/>
      <c r="B1403" s="412"/>
      <c r="C1403" s="188" t="s">
        <v>534</v>
      </c>
      <c r="D1403" s="144"/>
      <c r="E1403" s="83" t="s">
        <v>666</v>
      </c>
      <c r="F1403" s="374"/>
      <c r="G1403" s="374"/>
      <c r="H1403" s="374"/>
      <c r="I1403" s="374"/>
      <c r="J1403" s="376"/>
      <c r="K1403" s="376"/>
      <c r="L1403" s="376"/>
      <c r="M1403" s="376"/>
      <c r="N1403" s="376"/>
      <c r="O1403" s="376"/>
      <c r="P1403" s="376"/>
      <c r="Q1403" s="376"/>
      <c r="R1403" s="376"/>
      <c r="S1403" s="376"/>
      <c r="T1403" s="376"/>
      <c r="U1403" s="376"/>
      <c r="V1403" s="376"/>
      <c r="W1403" s="376"/>
      <c r="X1403" s="376"/>
      <c r="Y1403" s="376"/>
      <c r="Z1403" s="376"/>
      <c r="AA1403" s="376"/>
      <c r="AB1403" s="376"/>
      <c r="AC1403" s="376"/>
      <c r="AD1403" s="376"/>
      <c r="AE1403" s="376"/>
      <c r="AF1403" s="376"/>
      <c r="AG1403" s="376"/>
      <c r="AH1403" s="376"/>
      <c r="AI1403" s="376"/>
      <c r="AJ1403" s="376"/>
      <c r="AK1403" s="376"/>
      <c r="AL1403" s="376"/>
      <c r="AM1403" s="376"/>
      <c r="AN1403" s="376"/>
      <c r="AO1403" s="376"/>
    </row>
    <row r="1404" spans="1:41" s="73" customFormat="1" ht="15" customHeight="1" x14ac:dyDescent="0.25">
      <c r="A1404" s="400"/>
      <c r="B1404" s="412"/>
      <c r="C1404" s="188" t="s">
        <v>535</v>
      </c>
      <c r="D1404" s="144"/>
      <c r="E1404" s="83" t="s">
        <v>667</v>
      </c>
      <c r="F1404" s="374"/>
      <c r="G1404" s="374"/>
      <c r="H1404" s="374"/>
      <c r="I1404" s="374"/>
      <c r="J1404" s="376"/>
      <c r="K1404" s="376"/>
      <c r="L1404" s="376"/>
      <c r="M1404" s="376"/>
      <c r="N1404" s="376"/>
      <c r="O1404" s="376"/>
      <c r="P1404" s="376"/>
      <c r="Q1404" s="376"/>
      <c r="R1404" s="376"/>
      <c r="S1404" s="376"/>
      <c r="T1404" s="376"/>
      <c r="U1404" s="376"/>
      <c r="V1404" s="376"/>
      <c r="W1404" s="376"/>
      <c r="X1404" s="376"/>
      <c r="Y1404" s="376"/>
      <c r="Z1404" s="376"/>
      <c r="AA1404" s="376"/>
      <c r="AB1404" s="376"/>
      <c r="AC1404" s="376"/>
      <c r="AD1404" s="376"/>
      <c r="AE1404" s="376"/>
      <c r="AF1404" s="376"/>
      <c r="AG1404" s="376"/>
      <c r="AH1404" s="376"/>
      <c r="AI1404" s="376"/>
      <c r="AJ1404" s="376"/>
      <c r="AK1404" s="376"/>
      <c r="AL1404" s="376"/>
      <c r="AM1404" s="376"/>
      <c r="AN1404" s="376"/>
      <c r="AO1404" s="376"/>
    </row>
    <row r="1405" spans="1:41" s="73" customFormat="1" ht="15" customHeight="1" x14ac:dyDescent="0.25">
      <c r="A1405" s="400"/>
      <c r="B1405" s="412"/>
      <c r="C1405" s="188" t="s">
        <v>536</v>
      </c>
      <c r="D1405" s="144"/>
      <c r="E1405" s="83" t="s">
        <v>668</v>
      </c>
      <c r="F1405" s="374"/>
      <c r="G1405" s="374"/>
      <c r="H1405" s="374"/>
      <c r="I1405" s="374"/>
      <c r="J1405" s="376"/>
      <c r="K1405" s="376"/>
      <c r="L1405" s="376"/>
      <c r="M1405" s="376"/>
      <c r="N1405" s="376"/>
      <c r="O1405" s="376"/>
      <c r="P1405" s="376"/>
      <c r="Q1405" s="376"/>
      <c r="R1405" s="376"/>
      <c r="S1405" s="376"/>
      <c r="T1405" s="376"/>
      <c r="U1405" s="376"/>
      <c r="V1405" s="376"/>
      <c r="W1405" s="376"/>
      <c r="X1405" s="376"/>
      <c r="Y1405" s="376"/>
      <c r="Z1405" s="376"/>
      <c r="AA1405" s="376"/>
      <c r="AB1405" s="376"/>
      <c r="AC1405" s="376"/>
      <c r="AD1405" s="376"/>
      <c r="AE1405" s="376"/>
      <c r="AF1405" s="376"/>
      <c r="AG1405" s="376"/>
      <c r="AH1405" s="376"/>
      <c r="AI1405" s="376"/>
      <c r="AJ1405" s="376"/>
      <c r="AK1405" s="376"/>
      <c r="AL1405" s="376"/>
      <c r="AM1405" s="376"/>
      <c r="AN1405" s="376"/>
      <c r="AO1405" s="376"/>
    </row>
    <row r="1406" spans="1:41" s="73" customFormat="1" ht="15" customHeight="1" x14ac:dyDescent="0.25">
      <c r="A1406" s="400"/>
      <c r="B1406" s="412"/>
      <c r="C1406" s="188" t="s">
        <v>537</v>
      </c>
      <c r="D1406" s="144"/>
      <c r="E1406" s="83" t="s">
        <v>669</v>
      </c>
      <c r="F1406" s="374"/>
      <c r="G1406" s="374"/>
      <c r="H1406" s="374"/>
      <c r="I1406" s="374"/>
      <c r="J1406" s="376"/>
      <c r="K1406" s="376"/>
      <c r="L1406" s="376"/>
      <c r="M1406" s="376"/>
      <c r="N1406" s="376"/>
      <c r="O1406" s="376"/>
      <c r="P1406" s="376"/>
      <c r="Q1406" s="376"/>
      <c r="R1406" s="376"/>
      <c r="S1406" s="376"/>
      <c r="T1406" s="376"/>
      <c r="U1406" s="376"/>
      <c r="V1406" s="376"/>
      <c r="W1406" s="376"/>
      <c r="X1406" s="376"/>
      <c r="Y1406" s="376"/>
      <c r="Z1406" s="376"/>
      <c r="AA1406" s="376"/>
      <c r="AB1406" s="376"/>
      <c r="AC1406" s="376"/>
      <c r="AD1406" s="376"/>
      <c r="AE1406" s="376"/>
      <c r="AF1406" s="376"/>
      <c r="AG1406" s="376"/>
      <c r="AH1406" s="376"/>
      <c r="AI1406" s="376"/>
      <c r="AJ1406" s="376"/>
      <c r="AK1406" s="376"/>
      <c r="AL1406" s="376"/>
      <c r="AM1406" s="376"/>
      <c r="AN1406" s="376"/>
      <c r="AO1406" s="376"/>
    </row>
    <row r="1407" spans="1:41" s="73" customFormat="1" ht="15" customHeight="1" x14ac:dyDescent="0.25">
      <c r="A1407" s="400"/>
      <c r="B1407" s="412"/>
      <c r="C1407" s="189" t="s">
        <v>538</v>
      </c>
      <c r="D1407" s="145"/>
      <c r="E1407" s="99" t="s">
        <v>670</v>
      </c>
      <c r="F1407" s="377"/>
      <c r="G1407" s="377"/>
      <c r="H1407" s="377"/>
      <c r="I1407" s="377"/>
      <c r="J1407" s="378"/>
      <c r="K1407" s="378"/>
      <c r="L1407" s="378"/>
      <c r="M1407" s="378"/>
      <c r="N1407" s="378"/>
      <c r="O1407" s="378"/>
      <c r="P1407" s="378"/>
      <c r="Q1407" s="378"/>
      <c r="R1407" s="378"/>
      <c r="S1407" s="378"/>
      <c r="T1407" s="378"/>
      <c r="U1407" s="378"/>
      <c r="V1407" s="378"/>
      <c r="W1407" s="378"/>
      <c r="X1407" s="378"/>
      <c r="Y1407" s="378"/>
      <c r="Z1407" s="378"/>
      <c r="AA1407" s="378"/>
      <c r="AB1407" s="378"/>
      <c r="AC1407" s="378"/>
      <c r="AD1407" s="378"/>
      <c r="AE1407" s="378"/>
      <c r="AF1407" s="378"/>
      <c r="AG1407" s="378"/>
      <c r="AH1407" s="378"/>
      <c r="AI1407" s="378"/>
      <c r="AJ1407" s="378"/>
      <c r="AK1407" s="378"/>
      <c r="AL1407" s="378"/>
      <c r="AM1407" s="378"/>
      <c r="AN1407" s="378"/>
      <c r="AO1407" s="378"/>
    </row>
    <row r="1408" spans="1:41" s="108" customFormat="1" ht="15" customHeight="1" x14ac:dyDescent="0.25">
      <c r="A1408" s="400"/>
      <c r="B1408" s="412"/>
      <c r="C1408" s="187" t="s">
        <v>816</v>
      </c>
      <c r="D1408" s="153"/>
      <c r="E1408" s="154" t="s">
        <v>671</v>
      </c>
      <c r="F1408" s="374"/>
      <c r="G1408" s="374"/>
      <c r="H1408" s="374"/>
      <c r="I1408" s="374"/>
      <c r="J1408" s="375"/>
      <c r="K1408" s="375"/>
      <c r="L1408" s="375"/>
      <c r="M1408" s="375"/>
      <c r="N1408" s="375"/>
      <c r="O1408" s="375"/>
      <c r="P1408" s="375"/>
      <c r="Q1408" s="375"/>
      <c r="R1408" s="375"/>
      <c r="S1408" s="375"/>
      <c r="T1408" s="375"/>
      <c r="U1408" s="375"/>
      <c r="V1408" s="375"/>
      <c r="W1408" s="375"/>
      <c r="X1408" s="375"/>
      <c r="Y1408" s="375"/>
      <c r="Z1408" s="375"/>
      <c r="AA1408" s="375"/>
      <c r="AB1408" s="375"/>
      <c r="AC1408" s="375"/>
      <c r="AD1408" s="375"/>
      <c r="AE1408" s="375"/>
      <c r="AF1408" s="375"/>
      <c r="AG1408" s="375"/>
      <c r="AH1408" s="375"/>
      <c r="AI1408" s="375"/>
      <c r="AJ1408" s="375"/>
      <c r="AK1408" s="375"/>
      <c r="AL1408" s="375"/>
      <c r="AM1408" s="375"/>
      <c r="AN1408" s="375"/>
      <c r="AO1408" s="375"/>
    </row>
    <row r="1409" spans="1:41" s="73" customFormat="1" ht="15" customHeight="1" x14ac:dyDescent="0.25">
      <c r="A1409" s="400"/>
      <c r="B1409" s="412"/>
      <c r="C1409" s="188" t="s">
        <v>624</v>
      </c>
      <c r="D1409" s="144"/>
      <c r="E1409" s="83" t="s">
        <v>672</v>
      </c>
      <c r="F1409" s="374"/>
      <c r="G1409" s="374"/>
      <c r="H1409" s="374"/>
      <c r="I1409" s="374"/>
      <c r="J1409" s="376"/>
      <c r="K1409" s="376"/>
      <c r="L1409" s="376"/>
      <c r="M1409" s="376"/>
      <c r="N1409" s="376"/>
      <c r="O1409" s="376"/>
      <c r="P1409" s="376"/>
      <c r="Q1409" s="376"/>
      <c r="R1409" s="376"/>
      <c r="S1409" s="376"/>
      <c r="T1409" s="376"/>
      <c r="U1409" s="376"/>
      <c r="V1409" s="376"/>
      <c r="W1409" s="376"/>
      <c r="X1409" s="376"/>
      <c r="Y1409" s="376"/>
      <c r="Z1409" s="376"/>
      <c r="AA1409" s="376"/>
      <c r="AB1409" s="376"/>
      <c r="AC1409" s="376"/>
      <c r="AD1409" s="376"/>
      <c r="AE1409" s="376"/>
      <c r="AF1409" s="376"/>
      <c r="AG1409" s="376"/>
      <c r="AH1409" s="376"/>
      <c r="AI1409" s="376"/>
      <c r="AJ1409" s="376"/>
      <c r="AK1409" s="376"/>
      <c r="AL1409" s="376"/>
      <c r="AM1409" s="376"/>
      <c r="AN1409" s="376"/>
      <c r="AO1409" s="376"/>
    </row>
    <row r="1410" spans="1:41" s="73" customFormat="1" ht="15" customHeight="1" x14ac:dyDescent="0.25">
      <c r="A1410" s="400"/>
      <c r="B1410" s="412"/>
      <c r="C1410" s="188" t="s">
        <v>625</v>
      </c>
      <c r="D1410" s="144"/>
      <c r="E1410" s="83" t="s">
        <v>673</v>
      </c>
      <c r="F1410" s="374"/>
      <c r="G1410" s="374"/>
      <c r="H1410" s="374"/>
      <c r="I1410" s="374"/>
      <c r="J1410" s="376"/>
      <c r="K1410" s="376"/>
      <c r="L1410" s="376"/>
      <c r="M1410" s="376"/>
      <c r="N1410" s="376"/>
      <c r="O1410" s="376"/>
      <c r="P1410" s="376"/>
      <c r="Q1410" s="376"/>
      <c r="R1410" s="376"/>
      <c r="S1410" s="376"/>
      <c r="T1410" s="376"/>
      <c r="U1410" s="376"/>
      <c r="V1410" s="376"/>
      <c r="W1410" s="376"/>
      <c r="X1410" s="376"/>
      <c r="Y1410" s="376"/>
      <c r="Z1410" s="376"/>
      <c r="AA1410" s="376"/>
      <c r="AB1410" s="376"/>
      <c r="AC1410" s="376"/>
      <c r="AD1410" s="376"/>
      <c r="AE1410" s="376"/>
      <c r="AF1410" s="376"/>
      <c r="AG1410" s="376"/>
      <c r="AH1410" s="376"/>
      <c r="AI1410" s="376"/>
      <c r="AJ1410" s="376"/>
      <c r="AK1410" s="376"/>
      <c r="AL1410" s="376"/>
      <c r="AM1410" s="376"/>
      <c r="AN1410" s="376"/>
      <c r="AO1410" s="376"/>
    </row>
    <row r="1411" spans="1:41" s="73" customFormat="1" ht="15" customHeight="1" x14ac:dyDescent="0.25">
      <c r="A1411" s="400"/>
      <c r="B1411" s="412"/>
      <c r="C1411" s="188" t="s">
        <v>626</v>
      </c>
      <c r="D1411" s="144"/>
      <c r="E1411" s="83" t="s">
        <v>674</v>
      </c>
      <c r="F1411" s="374"/>
      <c r="G1411" s="374"/>
      <c r="H1411" s="374"/>
      <c r="I1411" s="374"/>
      <c r="J1411" s="376"/>
      <c r="K1411" s="376"/>
      <c r="L1411" s="376"/>
      <c r="M1411" s="376"/>
      <c r="N1411" s="376"/>
      <c r="O1411" s="376"/>
      <c r="P1411" s="376"/>
      <c r="Q1411" s="376"/>
      <c r="R1411" s="376"/>
      <c r="S1411" s="376"/>
      <c r="T1411" s="376"/>
      <c r="U1411" s="376"/>
      <c r="V1411" s="376"/>
      <c r="W1411" s="376"/>
      <c r="X1411" s="376"/>
      <c r="Y1411" s="376"/>
      <c r="Z1411" s="376"/>
      <c r="AA1411" s="376"/>
      <c r="AB1411" s="376"/>
      <c r="AC1411" s="376"/>
      <c r="AD1411" s="376"/>
      <c r="AE1411" s="376"/>
      <c r="AF1411" s="376"/>
      <c r="AG1411" s="376"/>
      <c r="AH1411" s="376"/>
      <c r="AI1411" s="376"/>
      <c r="AJ1411" s="376"/>
      <c r="AK1411" s="376"/>
      <c r="AL1411" s="376"/>
      <c r="AM1411" s="376"/>
      <c r="AN1411" s="376"/>
      <c r="AO1411" s="376"/>
    </row>
    <row r="1412" spans="1:41" s="73" customFormat="1" ht="15" customHeight="1" x14ac:dyDescent="0.25">
      <c r="A1412" s="400"/>
      <c r="B1412" s="412"/>
      <c r="C1412" s="188" t="s">
        <v>627</v>
      </c>
      <c r="D1412" s="144"/>
      <c r="E1412" s="83" t="s">
        <v>675</v>
      </c>
      <c r="F1412" s="374"/>
      <c r="G1412" s="374"/>
      <c r="H1412" s="374"/>
      <c r="I1412" s="374"/>
      <c r="J1412" s="376"/>
      <c r="K1412" s="376"/>
      <c r="L1412" s="376"/>
      <c r="M1412" s="376"/>
      <c r="N1412" s="376"/>
      <c r="O1412" s="376"/>
      <c r="P1412" s="376"/>
      <c r="Q1412" s="376"/>
      <c r="R1412" s="376"/>
      <c r="S1412" s="376"/>
      <c r="T1412" s="376"/>
      <c r="U1412" s="376"/>
      <c r="V1412" s="376"/>
      <c r="W1412" s="376"/>
      <c r="X1412" s="376"/>
      <c r="Y1412" s="376"/>
      <c r="Z1412" s="376"/>
      <c r="AA1412" s="376"/>
      <c r="AB1412" s="376"/>
      <c r="AC1412" s="376"/>
      <c r="AD1412" s="376"/>
      <c r="AE1412" s="376"/>
      <c r="AF1412" s="376"/>
      <c r="AG1412" s="376"/>
      <c r="AH1412" s="376"/>
      <c r="AI1412" s="376"/>
      <c r="AJ1412" s="376"/>
      <c r="AK1412" s="376"/>
      <c r="AL1412" s="376"/>
      <c r="AM1412" s="376"/>
      <c r="AN1412" s="376"/>
      <c r="AO1412" s="376"/>
    </row>
    <row r="1413" spans="1:41" s="73" customFormat="1" ht="15" customHeight="1" x14ac:dyDescent="0.25">
      <c r="A1413" s="400"/>
      <c r="B1413" s="412"/>
      <c r="C1413" s="188" t="s">
        <v>628</v>
      </c>
      <c r="D1413" s="144"/>
      <c r="E1413" s="83" t="s">
        <v>676</v>
      </c>
      <c r="F1413" s="374"/>
      <c r="G1413" s="374"/>
      <c r="H1413" s="374"/>
      <c r="I1413" s="374"/>
      <c r="J1413" s="376"/>
      <c r="K1413" s="376"/>
      <c r="L1413" s="376"/>
      <c r="M1413" s="376"/>
      <c r="N1413" s="376"/>
      <c r="O1413" s="376"/>
      <c r="P1413" s="376"/>
      <c r="Q1413" s="376"/>
      <c r="R1413" s="376"/>
      <c r="S1413" s="376"/>
      <c r="T1413" s="376"/>
      <c r="U1413" s="376"/>
      <c r="V1413" s="376"/>
      <c r="W1413" s="376"/>
      <c r="X1413" s="376"/>
      <c r="Y1413" s="376"/>
      <c r="Z1413" s="376"/>
      <c r="AA1413" s="376"/>
      <c r="AB1413" s="376"/>
      <c r="AC1413" s="376"/>
      <c r="AD1413" s="376"/>
      <c r="AE1413" s="376"/>
      <c r="AF1413" s="376"/>
      <c r="AG1413" s="376"/>
      <c r="AH1413" s="376"/>
      <c r="AI1413" s="376"/>
      <c r="AJ1413" s="376"/>
      <c r="AK1413" s="376"/>
      <c r="AL1413" s="376"/>
      <c r="AM1413" s="376"/>
      <c r="AN1413" s="376"/>
      <c r="AO1413" s="376"/>
    </row>
    <row r="1414" spans="1:41" s="73" customFormat="1" ht="15" customHeight="1" x14ac:dyDescent="0.25">
      <c r="A1414" s="400"/>
      <c r="B1414" s="412"/>
      <c r="C1414" s="188" t="s">
        <v>629</v>
      </c>
      <c r="D1414" s="144"/>
      <c r="E1414" s="83" t="s">
        <v>677</v>
      </c>
      <c r="F1414" s="374"/>
      <c r="G1414" s="374"/>
      <c r="H1414" s="374"/>
      <c r="I1414" s="374"/>
      <c r="J1414" s="376"/>
      <c r="K1414" s="376"/>
      <c r="L1414" s="376"/>
      <c r="M1414" s="376"/>
      <c r="N1414" s="376"/>
      <c r="O1414" s="376"/>
      <c r="P1414" s="376"/>
      <c r="Q1414" s="376"/>
      <c r="R1414" s="376"/>
      <c r="S1414" s="376"/>
      <c r="T1414" s="376"/>
      <c r="U1414" s="376"/>
      <c r="V1414" s="376"/>
      <c r="W1414" s="376"/>
      <c r="X1414" s="376"/>
      <c r="Y1414" s="376"/>
      <c r="Z1414" s="376"/>
      <c r="AA1414" s="376"/>
      <c r="AB1414" s="376"/>
      <c r="AC1414" s="376"/>
      <c r="AD1414" s="376"/>
      <c r="AE1414" s="376"/>
      <c r="AF1414" s="376"/>
      <c r="AG1414" s="376"/>
      <c r="AH1414" s="376"/>
      <c r="AI1414" s="376"/>
      <c r="AJ1414" s="376"/>
      <c r="AK1414" s="376"/>
      <c r="AL1414" s="376"/>
      <c r="AM1414" s="376"/>
      <c r="AN1414" s="376"/>
      <c r="AO1414" s="376"/>
    </row>
    <row r="1415" spans="1:41" s="73" customFormat="1" ht="15" customHeight="1" x14ac:dyDescent="0.25">
      <c r="A1415" s="400"/>
      <c r="B1415" s="412"/>
      <c r="C1415" s="188" t="s">
        <v>630</v>
      </c>
      <c r="D1415" s="144"/>
      <c r="E1415" s="83" t="s">
        <v>678</v>
      </c>
      <c r="F1415" s="374"/>
      <c r="G1415" s="374"/>
      <c r="H1415" s="374"/>
      <c r="I1415" s="374"/>
      <c r="J1415" s="376"/>
      <c r="K1415" s="376"/>
      <c r="L1415" s="376"/>
      <c r="M1415" s="376"/>
      <c r="N1415" s="376"/>
      <c r="O1415" s="376"/>
      <c r="P1415" s="376"/>
      <c r="Q1415" s="376"/>
      <c r="R1415" s="376"/>
      <c r="S1415" s="376"/>
      <c r="T1415" s="376"/>
      <c r="U1415" s="376"/>
      <c r="V1415" s="376"/>
      <c r="W1415" s="376"/>
      <c r="X1415" s="376"/>
      <c r="Y1415" s="376"/>
      <c r="Z1415" s="376"/>
      <c r="AA1415" s="376"/>
      <c r="AB1415" s="376"/>
      <c r="AC1415" s="376"/>
      <c r="AD1415" s="376"/>
      <c r="AE1415" s="376"/>
      <c r="AF1415" s="376"/>
      <c r="AG1415" s="376"/>
      <c r="AH1415" s="376"/>
      <c r="AI1415" s="376"/>
      <c r="AJ1415" s="376"/>
      <c r="AK1415" s="376"/>
      <c r="AL1415" s="376"/>
      <c r="AM1415" s="376"/>
      <c r="AN1415" s="376"/>
      <c r="AO1415" s="376"/>
    </row>
    <row r="1416" spans="1:41" s="73" customFormat="1" ht="15" customHeight="1" x14ac:dyDescent="0.25">
      <c r="A1416" s="400"/>
      <c r="B1416" s="412"/>
      <c r="C1416" s="188" t="s">
        <v>631</v>
      </c>
      <c r="D1416" s="144"/>
      <c r="E1416" s="83" t="s">
        <v>679</v>
      </c>
      <c r="F1416" s="374"/>
      <c r="G1416" s="374"/>
      <c r="H1416" s="374"/>
      <c r="I1416" s="374"/>
      <c r="J1416" s="376"/>
      <c r="K1416" s="376"/>
      <c r="L1416" s="376"/>
      <c r="M1416" s="376"/>
      <c r="N1416" s="376"/>
      <c r="O1416" s="376"/>
      <c r="P1416" s="376"/>
      <c r="Q1416" s="376"/>
      <c r="R1416" s="376"/>
      <c r="S1416" s="376"/>
      <c r="T1416" s="376"/>
      <c r="U1416" s="376"/>
      <c r="V1416" s="376"/>
      <c r="W1416" s="376"/>
      <c r="X1416" s="376"/>
      <c r="Y1416" s="376"/>
      <c r="Z1416" s="376"/>
      <c r="AA1416" s="376"/>
      <c r="AB1416" s="376"/>
      <c r="AC1416" s="376"/>
      <c r="AD1416" s="376"/>
      <c r="AE1416" s="376"/>
      <c r="AF1416" s="376"/>
      <c r="AG1416" s="376"/>
      <c r="AH1416" s="376"/>
      <c r="AI1416" s="376"/>
      <c r="AJ1416" s="376"/>
      <c r="AK1416" s="376"/>
      <c r="AL1416" s="376"/>
      <c r="AM1416" s="376"/>
      <c r="AN1416" s="376"/>
      <c r="AO1416" s="376"/>
    </row>
    <row r="1417" spans="1:41" s="73" customFormat="1" ht="15" customHeight="1" x14ac:dyDescent="0.25">
      <c r="A1417" s="400"/>
      <c r="B1417" s="412"/>
      <c r="C1417" s="188" t="s">
        <v>632</v>
      </c>
      <c r="D1417" s="144"/>
      <c r="E1417" s="83" t="s">
        <v>680</v>
      </c>
      <c r="F1417" s="374"/>
      <c r="G1417" s="374"/>
      <c r="H1417" s="374"/>
      <c r="I1417" s="374"/>
      <c r="J1417" s="376"/>
      <c r="K1417" s="376"/>
      <c r="L1417" s="376"/>
      <c r="M1417" s="376"/>
      <c r="N1417" s="376"/>
      <c r="O1417" s="376"/>
      <c r="P1417" s="376"/>
      <c r="Q1417" s="376"/>
      <c r="R1417" s="376"/>
      <c r="S1417" s="376"/>
      <c r="T1417" s="376"/>
      <c r="U1417" s="376"/>
      <c r="V1417" s="376"/>
      <c r="W1417" s="376"/>
      <c r="X1417" s="376"/>
      <c r="Y1417" s="376"/>
      <c r="Z1417" s="376"/>
      <c r="AA1417" s="376"/>
      <c r="AB1417" s="376"/>
      <c r="AC1417" s="376"/>
      <c r="AD1417" s="376"/>
      <c r="AE1417" s="376"/>
      <c r="AF1417" s="376"/>
      <c r="AG1417" s="376"/>
      <c r="AH1417" s="376"/>
      <c r="AI1417" s="376"/>
      <c r="AJ1417" s="376"/>
      <c r="AK1417" s="376"/>
      <c r="AL1417" s="376"/>
      <c r="AM1417" s="376"/>
      <c r="AN1417" s="376"/>
      <c r="AO1417" s="376"/>
    </row>
    <row r="1418" spans="1:41" s="73" customFormat="1" ht="15" customHeight="1" x14ac:dyDescent="0.25">
      <c r="A1418" s="400"/>
      <c r="B1418" s="412"/>
      <c r="C1418" s="188" t="s">
        <v>633</v>
      </c>
      <c r="D1418" s="144"/>
      <c r="E1418" s="83" t="s">
        <v>681</v>
      </c>
      <c r="F1418" s="374"/>
      <c r="G1418" s="374"/>
      <c r="H1418" s="374"/>
      <c r="I1418" s="374"/>
      <c r="J1418" s="376"/>
      <c r="K1418" s="376"/>
      <c r="L1418" s="376"/>
      <c r="M1418" s="376"/>
      <c r="N1418" s="376"/>
      <c r="O1418" s="376"/>
      <c r="P1418" s="376"/>
      <c r="Q1418" s="376"/>
      <c r="R1418" s="376"/>
      <c r="S1418" s="376"/>
      <c r="T1418" s="376"/>
      <c r="U1418" s="376"/>
      <c r="V1418" s="376"/>
      <c r="W1418" s="376"/>
      <c r="X1418" s="376"/>
      <c r="Y1418" s="376"/>
      <c r="Z1418" s="376"/>
      <c r="AA1418" s="376"/>
      <c r="AB1418" s="376"/>
      <c r="AC1418" s="376"/>
      <c r="AD1418" s="376"/>
      <c r="AE1418" s="376"/>
      <c r="AF1418" s="376"/>
      <c r="AG1418" s="376"/>
      <c r="AH1418" s="376"/>
      <c r="AI1418" s="376"/>
      <c r="AJ1418" s="376"/>
      <c r="AK1418" s="376"/>
      <c r="AL1418" s="376"/>
      <c r="AM1418" s="376"/>
      <c r="AN1418" s="376"/>
      <c r="AO1418" s="376"/>
    </row>
    <row r="1419" spans="1:41" s="73" customFormat="1" ht="15" customHeight="1" x14ac:dyDescent="0.25">
      <c r="A1419" s="400"/>
      <c r="B1419" s="412"/>
      <c r="C1419" s="188" t="s">
        <v>634</v>
      </c>
      <c r="D1419" s="144"/>
      <c r="E1419" s="83" t="s">
        <v>682</v>
      </c>
      <c r="F1419" s="374"/>
      <c r="G1419" s="374"/>
      <c r="H1419" s="374"/>
      <c r="I1419" s="374"/>
      <c r="J1419" s="376"/>
      <c r="K1419" s="376"/>
      <c r="L1419" s="376"/>
      <c r="M1419" s="376"/>
      <c r="N1419" s="376"/>
      <c r="O1419" s="376"/>
      <c r="P1419" s="376"/>
      <c r="Q1419" s="376"/>
      <c r="R1419" s="376"/>
      <c r="S1419" s="376"/>
      <c r="T1419" s="376"/>
      <c r="U1419" s="376"/>
      <c r="V1419" s="376"/>
      <c r="W1419" s="376"/>
      <c r="X1419" s="376"/>
      <c r="Y1419" s="376"/>
      <c r="Z1419" s="376"/>
      <c r="AA1419" s="376"/>
      <c r="AB1419" s="376"/>
      <c r="AC1419" s="376"/>
      <c r="AD1419" s="376"/>
      <c r="AE1419" s="376"/>
      <c r="AF1419" s="376"/>
      <c r="AG1419" s="376"/>
      <c r="AH1419" s="376"/>
      <c r="AI1419" s="376"/>
      <c r="AJ1419" s="376"/>
      <c r="AK1419" s="376"/>
      <c r="AL1419" s="376"/>
      <c r="AM1419" s="376"/>
      <c r="AN1419" s="376"/>
      <c r="AO1419" s="376"/>
    </row>
    <row r="1420" spans="1:41" s="73" customFormat="1" ht="15" customHeight="1" x14ac:dyDescent="0.25">
      <c r="A1420" s="400"/>
      <c r="B1420" s="412"/>
      <c r="C1420" s="188" t="s">
        <v>635</v>
      </c>
      <c r="D1420" s="144"/>
      <c r="E1420" s="83" t="s">
        <v>683</v>
      </c>
      <c r="F1420" s="374"/>
      <c r="G1420" s="374"/>
      <c r="H1420" s="374"/>
      <c r="I1420" s="374"/>
      <c r="J1420" s="376"/>
      <c r="K1420" s="376"/>
      <c r="L1420" s="376"/>
      <c r="M1420" s="376"/>
      <c r="N1420" s="376"/>
      <c r="O1420" s="376"/>
      <c r="P1420" s="376"/>
      <c r="Q1420" s="376"/>
      <c r="R1420" s="376"/>
      <c r="S1420" s="376"/>
      <c r="T1420" s="376"/>
      <c r="U1420" s="376"/>
      <c r="V1420" s="376"/>
      <c r="W1420" s="376"/>
      <c r="X1420" s="376"/>
      <c r="Y1420" s="376"/>
      <c r="Z1420" s="376"/>
      <c r="AA1420" s="376"/>
      <c r="AB1420" s="376"/>
      <c r="AC1420" s="376"/>
      <c r="AD1420" s="376"/>
      <c r="AE1420" s="376"/>
      <c r="AF1420" s="376"/>
      <c r="AG1420" s="376"/>
      <c r="AH1420" s="376"/>
      <c r="AI1420" s="376"/>
      <c r="AJ1420" s="376"/>
      <c r="AK1420" s="376"/>
      <c r="AL1420" s="376"/>
      <c r="AM1420" s="376"/>
      <c r="AN1420" s="376"/>
      <c r="AO1420" s="376"/>
    </row>
    <row r="1421" spans="1:41" s="73" customFormat="1" ht="15" customHeight="1" x14ac:dyDescent="0.25">
      <c r="A1421" s="400"/>
      <c r="B1421" s="412"/>
      <c r="C1421" s="188" t="s">
        <v>636</v>
      </c>
      <c r="D1421" s="144"/>
      <c r="E1421" s="83" t="s">
        <v>684</v>
      </c>
      <c r="F1421" s="374"/>
      <c r="G1421" s="374"/>
      <c r="H1421" s="374"/>
      <c r="I1421" s="374"/>
      <c r="J1421" s="376"/>
      <c r="K1421" s="376"/>
      <c r="L1421" s="376"/>
      <c r="M1421" s="376"/>
      <c r="N1421" s="376"/>
      <c r="O1421" s="376"/>
      <c r="P1421" s="376"/>
      <c r="Q1421" s="376"/>
      <c r="R1421" s="376"/>
      <c r="S1421" s="376"/>
      <c r="T1421" s="376"/>
      <c r="U1421" s="376"/>
      <c r="V1421" s="376"/>
      <c r="W1421" s="376"/>
      <c r="X1421" s="376"/>
      <c r="Y1421" s="376"/>
      <c r="Z1421" s="376"/>
      <c r="AA1421" s="376"/>
      <c r="AB1421" s="376"/>
      <c r="AC1421" s="376"/>
      <c r="AD1421" s="376"/>
      <c r="AE1421" s="376"/>
      <c r="AF1421" s="376"/>
      <c r="AG1421" s="376"/>
      <c r="AH1421" s="376"/>
      <c r="AI1421" s="376"/>
      <c r="AJ1421" s="376"/>
      <c r="AK1421" s="376"/>
      <c r="AL1421" s="376"/>
      <c r="AM1421" s="376"/>
      <c r="AN1421" s="376"/>
      <c r="AO1421" s="376"/>
    </row>
    <row r="1422" spans="1:41" s="73" customFormat="1" ht="15" customHeight="1" x14ac:dyDescent="0.25">
      <c r="A1422" s="400"/>
      <c r="B1422" s="412"/>
      <c r="C1422" s="188" t="s">
        <v>637</v>
      </c>
      <c r="D1422" s="144"/>
      <c r="E1422" s="83" t="s">
        <v>685</v>
      </c>
      <c r="F1422" s="374"/>
      <c r="G1422" s="374"/>
      <c r="H1422" s="374"/>
      <c r="I1422" s="374"/>
      <c r="J1422" s="376"/>
      <c r="K1422" s="376"/>
      <c r="L1422" s="376"/>
      <c r="M1422" s="376"/>
      <c r="N1422" s="376"/>
      <c r="O1422" s="376"/>
      <c r="P1422" s="376"/>
      <c r="Q1422" s="376"/>
      <c r="R1422" s="376"/>
      <c r="S1422" s="376"/>
      <c r="T1422" s="376"/>
      <c r="U1422" s="376"/>
      <c r="V1422" s="376"/>
      <c r="W1422" s="376"/>
      <c r="X1422" s="376"/>
      <c r="Y1422" s="376"/>
      <c r="Z1422" s="376"/>
      <c r="AA1422" s="376"/>
      <c r="AB1422" s="376"/>
      <c r="AC1422" s="376"/>
      <c r="AD1422" s="376"/>
      <c r="AE1422" s="376"/>
      <c r="AF1422" s="376"/>
      <c r="AG1422" s="376"/>
      <c r="AH1422" s="376"/>
      <c r="AI1422" s="376"/>
      <c r="AJ1422" s="376"/>
      <c r="AK1422" s="376"/>
      <c r="AL1422" s="376"/>
      <c r="AM1422" s="376"/>
      <c r="AN1422" s="376"/>
      <c r="AO1422" s="376"/>
    </row>
    <row r="1423" spans="1:41" s="73" customFormat="1" ht="15" customHeight="1" x14ac:dyDescent="0.25">
      <c r="A1423" s="400"/>
      <c r="B1423" s="412"/>
      <c r="C1423" s="188" t="s">
        <v>638</v>
      </c>
      <c r="D1423" s="144"/>
      <c r="E1423" s="83" t="s">
        <v>686</v>
      </c>
      <c r="F1423" s="374"/>
      <c r="G1423" s="374"/>
      <c r="H1423" s="374"/>
      <c r="I1423" s="374"/>
      <c r="J1423" s="376"/>
      <c r="K1423" s="376"/>
      <c r="L1423" s="376"/>
      <c r="M1423" s="376"/>
      <c r="N1423" s="376"/>
      <c r="O1423" s="376"/>
      <c r="P1423" s="376"/>
      <c r="Q1423" s="376"/>
      <c r="R1423" s="376"/>
      <c r="S1423" s="376"/>
      <c r="T1423" s="376"/>
      <c r="U1423" s="376"/>
      <c r="V1423" s="376"/>
      <c r="W1423" s="376"/>
      <c r="X1423" s="376"/>
      <c r="Y1423" s="376"/>
      <c r="Z1423" s="376"/>
      <c r="AA1423" s="376"/>
      <c r="AB1423" s="376"/>
      <c r="AC1423" s="376"/>
      <c r="AD1423" s="376"/>
      <c r="AE1423" s="376"/>
      <c r="AF1423" s="376"/>
      <c r="AG1423" s="376"/>
      <c r="AH1423" s="376"/>
      <c r="AI1423" s="376"/>
      <c r="AJ1423" s="376"/>
      <c r="AK1423" s="376"/>
      <c r="AL1423" s="376"/>
      <c r="AM1423" s="376"/>
      <c r="AN1423" s="376"/>
      <c r="AO1423" s="376"/>
    </row>
    <row r="1424" spans="1:41" s="73" customFormat="1" ht="15" customHeight="1" x14ac:dyDescent="0.25">
      <c r="A1424" s="400"/>
      <c r="B1424" s="412"/>
      <c r="C1424" s="188" t="s">
        <v>639</v>
      </c>
      <c r="D1424" s="144"/>
      <c r="E1424" s="83" t="s">
        <v>687</v>
      </c>
      <c r="F1424" s="374"/>
      <c r="G1424" s="374"/>
      <c r="H1424" s="374"/>
      <c r="I1424" s="374"/>
      <c r="J1424" s="376"/>
      <c r="K1424" s="376"/>
      <c r="L1424" s="376"/>
      <c r="M1424" s="376"/>
      <c r="N1424" s="376"/>
      <c r="O1424" s="376"/>
      <c r="P1424" s="376"/>
      <c r="Q1424" s="376"/>
      <c r="R1424" s="376"/>
      <c r="S1424" s="376"/>
      <c r="T1424" s="376"/>
      <c r="U1424" s="376"/>
      <c r="V1424" s="376"/>
      <c r="W1424" s="376"/>
      <c r="X1424" s="376"/>
      <c r="Y1424" s="376"/>
      <c r="Z1424" s="376"/>
      <c r="AA1424" s="376"/>
      <c r="AB1424" s="376"/>
      <c r="AC1424" s="376"/>
      <c r="AD1424" s="376"/>
      <c r="AE1424" s="376"/>
      <c r="AF1424" s="376"/>
      <c r="AG1424" s="376"/>
      <c r="AH1424" s="376"/>
      <c r="AI1424" s="376"/>
      <c r="AJ1424" s="376"/>
      <c r="AK1424" s="376"/>
      <c r="AL1424" s="376"/>
      <c r="AM1424" s="376"/>
      <c r="AN1424" s="376"/>
      <c r="AO1424" s="376"/>
    </row>
    <row r="1425" spans="1:41" s="73" customFormat="1" ht="15" customHeight="1" x14ac:dyDescent="0.25">
      <c r="A1425" s="400"/>
      <c r="B1425" s="412"/>
      <c r="C1425" s="188" t="s">
        <v>640</v>
      </c>
      <c r="D1425" s="144"/>
      <c r="E1425" s="83" t="s">
        <v>688</v>
      </c>
      <c r="F1425" s="374"/>
      <c r="G1425" s="374"/>
      <c r="H1425" s="374"/>
      <c r="I1425" s="374"/>
      <c r="J1425" s="376"/>
      <c r="K1425" s="376"/>
      <c r="L1425" s="376"/>
      <c r="M1425" s="376"/>
      <c r="N1425" s="376"/>
      <c r="O1425" s="376"/>
      <c r="P1425" s="376"/>
      <c r="Q1425" s="376"/>
      <c r="R1425" s="376"/>
      <c r="S1425" s="376"/>
      <c r="T1425" s="376"/>
      <c r="U1425" s="376"/>
      <c r="V1425" s="376"/>
      <c r="W1425" s="376"/>
      <c r="X1425" s="376"/>
      <c r="Y1425" s="376"/>
      <c r="Z1425" s="376"/>
      <c r="AA1425" s="376"/>
      <c r="AB1425" s="376"/>
      <c r="AC1425" s="376"/>
      <c r="AD1425" s="376"/>
      <c r="AE1425" s="376"/>
      <c r="AF1425" s="376"/>
      <c r="AG1425" s="376"/>
      <c r="AH1425" s="376"/>
      <c r="AI1425" s="376"/>
      <c r="AJ1425" s="376"/>
      <c r="AK1425" s="376"/>
      <c r="AL1425" s="376"/>
      <c r="AM1425" s="376"/>
      <c r="AN1425" s="376"/>
      <c r="AO1425" s="376"/>
    </row>
    <row r="1426" spans="1:41" s="73" customFormat="1" ht="15" customHeight="1" x14ac:dyDescent="0.25">
      <c r="A1426" s="400"/>
      <c r="B1426" s="412"/>
      <c r="C1426" s="188" t="s">
        <v>641</v>
      </c>
      <c r="D1426" s="144"/>
      <c r="E1426" s="83" t="s">
        <v>689</v>
      </c>
      <c r="F1426" s="374"/>
      <c r="G1426" s="374"/>
      <c r="H1426" s="374"/>
      <c r="I1426" s="374"/>
      <c r="J1426" s="376"/>
      <c r="K1426" s="376"/>
      <c r="L1426" s="376"/>
      <c r="M1426" s="376"/>
      <c r="N1426" s="376"/>
      <c r="O1426" s="376"/>
      <c r="P1426" s="376"/>
      <c r="Q1426" s="376"/>
      <c r="R1426" s="376"/>
      <c r="S1426" s="376"/>
      <c r="T1426" s="376"/>
      <c r="U1426" s="376"/>
      <c r="V1426" s="376"/>
      <c r="W1426" s="376"/>
      <c r="X1426" s="376"/>
      <c r="Y1426" s="376"/>
      <c r="Z1426" s="376"/>
      <c r="AA1426" s="376"/>
      <c r="AB1426" s="376"/>
      <c r="AC1426" s="376"/>
      <c r="AD1426" s="376"/>
      <c r="AE1426" s="376"/>
      <c r="AF1426" s="376"/>
      <c r="AG1426" s="376"/>
      <c r="AH1426" s="376"/>
      <c r="AI1426" s="376"/>
      <c r="AJ1426" s="376"/>
      <c r="AK1426" s="376"/>
      <c r="AL1426" s="376"/>
      <c r="AM1426" s="376"/>
      <c r="AN1426" s="376"/>
      <c r="AO1426" s="376"/>
    </row>
    <row r="1427" spans="1:41" s="73" customFormat="1" ht="15" customHeight="1" x14ac:dyDescent="0.25">
      <c r="A1427" s="400"/>
      <c r="B1427" s="412"/>
      <c r="C1427" s="188" t="s">
        <v>642</v>
      </c>
      <c r="D1427" s="144"/>
      <c r="E1427" s="83" t="s">
        <v>690</v>
      </c>
      <c r="F1427" s="374"/>
      <c r="G1427" s="374"/>
      <c r="H1427" s="374"/>
      <c r="I1427" s="374"/>
      <c r="J1427" s="376"/>
      <c r="K1427" s="376"/>
      <c r="L1427" s="376"/>
      <c r="M1427" s="376"/>
      <c r="N1427" s="376"/>
      <c r="O1427" s="376"/>
      <c r="P1427" s="376"/>
      <c r="Q1427" s="376"/>
      <c r="R1427" s="376"/>
      <c r="S1427" s="376"/>
      <c r="T1427" s="376"/>
      <c r="U1427" s="376"/>
      <c r="V1427" s="376"/>
      <c r="W1427" s="376"/>
      <c r="X1427" s="376"/>
      <c r="Y1427" s="376"/>
      <c r="Z1427" s="376"/>
      <c r="AA1427" s="376"/>
      <c r="AB1427" s="376"/>
      <c r="AC1427" s="376"/>
      <c r="AD1427" s="376"/>
      <c r="AE1427" s="376"/>
      <c r="AF1427" s="376"/>
      <c r="AG1427" s="376"/>
      <c r="AH1427" s="376"/>
      <c r="AI1427" s="376"/>
      <c r="AJ1427" s="376"/>
      <c r="AK1427" s="376"/>
      <c r="AL1427" s="376"/>
      <c r="AM1427" s="376"/>
      <c r="AN1427" s="376"/>
      <c r="AO1427" s="376"/>
    </row>
    <row r="1428" spans="1:41" s="73" customFormat="1" ht="15" customHeight="1" x14ac:dyDescent="0.25">
      <c r="A1428" s="400"/>
      <c r="B1428" s="412"/>
      <c r="C1428" s="188" t="s">
        <v>530</v>
      </c>
      <c r="D1428" s="144"/>
      <c r="E1428" s="83" t="s">
        <v>691</v>
      </c>
      <c r="F1428" s="374"/>
      <c r="G1428" s="374"/>
      <c r="H1428" s="374"/>
      <c r="I1428" s="374"/>
      <c r="J1428" s="376"/>
      <c r="K1428" s="376"/>
      <c r="L1428" s="376"/>
      <c r="M1428" s="376"/>
      <c r="N1428" s="376"/>
      <c r="O1428" s="376"/>
      <c r="P1428" s="376"/>
      <c r="Q1428" s="376"/>
      <c r="R1428" s="376"/>
      <c r="S1428" s="376"/>
      <c r="T1428" s="376"/>
      <c r="U1428" s="376"/>
      <c r="V1428" s="376"/>
      <c r="W1428" s="376"/>
      <c r="X1428" s="376"/>
      <c r="Y1428" s="376"/>
      <c r="Z1428" s="376"/>
      <c r="AA1428" s="376"/>
      <c r="AB1428" s="376"/>
      <c r="AC1428" s="376"/>
      <c r="AD1428" s="376"/>
      <c r="AE1428" s="376"/>
      <c r="AF1428" s="376"/>
      <c r="AG1428" s="376"/>
      <c r="AH1428" s="376"/>
      <c r="AI1428" s="376"/>
      <c r="AJ1428" s="376"/>
      <c r="AK1428" s="376"/>
      <c r="AL1428" s="376"/>
      <c r="AM1428" s="376"/>
      <c r="AN1428" s="376"/>
      <c r="AO1428" s="376"/>
    </row>
    <row r="1429" spans="1:41" s="73" customFormat="1" ht="15" customHeight="1" x14ac:dyDescent="0.25">
      <c r="A1429" s="400"/>
      <c r="B1429" s="412"/>
      <c r="C1429" s="188" t="s">
        <v>531</v>
      </c>
      <c r="D1429" s="144"/>
      <c r="E1429" s="83" t="s">
        <v>692</v>
      </c>
      <c r="F1429" s="374"/>
      <c r="G1429" s="374"/>
      <c r="H1429" s="374"/>
      <c r="I1429" s="374"/>
      <c r="J1429" s="376"/>
      <c r="K1429" s="376"/>
      <c r="L1429" s="376"/>
      <c r="M1429" s="376"/>
      <c r="N1429" s="376"/>
      <c r="O1429" s="376"/>
      <c r="P1429" s="376"/>
      <c r="Q1429" s="376"/>
      <c r="R1429" s="376"/>
      <c r="S1429" s="376"/>
      <c r="T1429" s="376"/>
      <c r="U1429" s="376"/>
      <c r="V1429" s="376"/>
      <c r="W1429" s="376"/>
      <c r="X1429" s="376"/>
      <c r="Y1429" s="376"/>
      <c r="Z1429" s="376"/>
      <c r="AA1429" s="376"/>
      <c r="AB1429" s="376"/>
      <c r="AC1429" s="376"/>
      <c r="AD1429" s="376"/>
      <c r="AE1429" s="376"/>
      <c r="AF1429" s="376"/>
      <c r="AG1429" s="376"/>
      <c r="AH1429" s="376"/>
      <c r="AI1429" s="376"/>
      <c r="AJ1429" s="376"/>
      <c r="AK1429" s="376"/>
      <c r="AL1429" s="376"/>
      <c r="AM1429" s="376"/>
      <c r="AN1429" s="376"/>
      <c r="AO1429" s="376"/>
    </row>
    <row r="1430" spans="1:41" s="73" customFormat="1" ht="15" customHeight="1" x14ac:dyDescent="0.25">
      <c r="A1430" s="400"/>
      <c r="B1430" s="412"/>
      <c r="C1430" s="188" t="s">
        <v>532</v>
      </c>
      <c r="D1430" s="144"/>
      <c r="E1430" s="83" t="s">
        <v>693</v>
      </c>
      <c r="F1430" s="374"/>
      <c r="G1430" s="374"/>
      <c r="H1430" s="374"/>
      <c r="I1430" s="374"/>
      <c r="J1430" s="376"/>
      <c r="K1430" s="376"/>
      <c r="L1430" s="376"/>
      <c r="M1430" s="376"/>
      <c r="N1430" s="376"/>
      <c r="O1430" s="376"/>
      <c r="P1430" s="376"/>
      <c r="Q1430" s="376"/>
      <c r="R1430" s="376"/>
      <c r="S1430" s="376"/>
      <c r="T1430" s="376"/>
      <c r="U1430" s="376"/>
      <c r="V1430" s="376"/>
      <c r="W1430" s="376"/>
      <c r="X1430" s="376"/>
      <c r="Y1430" s="376"/>
      <c r="Z1430" s="376"/>
      <c r="AA1430" s="376"/>
      <c r="AB1430" s="376"/>
      <c r="AC1430" s="376"/>
      <c r="AD1430" s="376"/>
      <c r="AE1430" s="376"/>
      <c r="AF1430" s="376"/>
      <c r="AG1430" s="376"/>
      <c r="AH1430" s="376"/>
      <c r="AI1430" s="376"/>
      <c r="AJ1430" s="376"/>
      <c r="AK1430" s="376"/>
      <c r="AL1430" s="376"/>
      <c r="AM1430" s="376"/>
      <c r="AN1430" s="376"/>
      <c r="AO1430" s="376"/>
    </row>
    <row r="1431" spans="1:41" s="73" customFormat="1" ht="15" customHeight="1" x14ac:dyDescent="0.25">
      <c r="A1431" s="400"/>
      <c r="B1431" s="412"/>
      <c r="C1431" s="188" t="s">
        <v>533</v>
      </c>
      <c r="D1431" s="144"/>
      <c r="E1431" s="83" t="s">
        <v>694</v>
      </c>
      <c r="F1431" s="374"/>
      <c r="G1431" s="374"/>
      <c r="H1431" s="374"/>
      <c r="I1431" s="374"/>
      <c r="J1431" s="376"/>
      <c r="K1431" s="376"/>
      <c r="L1431" s="376"/>
      <c r="M1431" s="376"/>
      <c r="N1431" s="376"/>
      <c r="O1431" s="376"/>
      <c r="P1431" s="376"/>
      <c r="Q1431" s="376"/>
      <c r="R1431" s="376"/>
      <c r="S1431" s="376"/>
      <c r="T1431" s="376"/>
      <c r="U1431" s="376"/>
      <c r="V1431" s="376"/>
      <c r="W1431" s="376"/>
      <c r="X1431" s="376"/>
      <c r="Y1431" s="376"/>
      <c r="Z1431" s="376"/>
      <c r="AA1431" s="376"/>
      <c r="AB1431" s="376"/>
      <c r="AC1431" s="376"/>
      <c r="AD1431" s="376"/>
      <c r="AE1431" s="376"/>
      <c r="AF1431" s="376"/>
      <c r="AG1431" s="376"/>
      <c r="AH1431" s="376"/>
      <c r="AI1431" s="376"/>
      <c r="AJ1431" s="376"/>
      <c r="AK1431" s="376"/>
      <c r="AL1431" s="376"/>
      <c r="AM1431" s="376"/>
      <c r="AN1431" s="376"/>
      <c r="AO1431" s="376"/>
    </row>
    <row r="1432" spans="1:41" s="73" customFormat="1" ht="15" customHeight="1" x14ac:dyDescent="0.25">
      <c r="A1432" s="400"/>
      <c r="B1432" s="412"/>
      <c r="C1432" s="188" t="s">
        <v>534</v>
      </c>
      <c r="D1432" s="144"/>
      <c r="E1432" s="83" t="s">
        <v>695</v>
      </c>
      <c r="F1432" s="374"/>
      <c r="G1432" s="374"/>
      <c r="H1432" s="374"/>
      <c r="I1432" s="374"/>
      <c r="J1432" s="376"/>
      <c r="K1432" s="376"/>
      <c r="L1432" s="376"/>
      <c r="M1432" s="376"/>
      <c r="N1432" s="376"/>
      <c r="O1432" s="376"/>
      <c r="P1432" s="376"/>
      <c r="Q1432" s="376"/>
      <c r="R1432" s="376"/>
      <c r="S1432" s="376"/>
      <c r="T1432" s="376"/>
      <c r="U1432" s="376"/>
      <c r="V1432" s="376"/>
      <c r="W1432" s="376"/>
      <c r="X1432" s="376"/>
      <c r="Y1432" s="376"/>
      <c r="Z1432" s="376"/>
      <c r="AA1432" s="376"/>
      <c r="AB1432" s="376"/>
      <c r="AC1432" s="376"/>
      <c r="AD1432" s="376"/>
      <c r="AE1432" s="376"/>
      <c r="AF1432" s="376"/>
      <c r="AG1432" s="376"/>
      <c r="AH1432" s="376"/>
      <c r="AI1432" s="376"/>
      <c r="AJ1432" s="376"/>
      <c r="AK1432" s="376"/>
      <c r="AL1432" s="376"/>
      <c r="AM1432" s="376"/>
      <c r="AN1432" s="376"/>
      <c r="AO1432" s="376"/>
    </row>
    <row r="1433" spans="1:41" s="73" customFormat="1" ht="15" customHeight="1" x14ac:dyDescent="0.25">
      <c r="A1433" s="400"/>
      <c r="B1433" s="412"/>
      <c r="C1433" s="188" t="s">
        <v>535</v>
      </c>
      <c r="D1433" s="144"/>
      <c r="E1433" s="83" t="s">
        <v>696</v>
      </c>
      <c r="F1433" s="374"/>
      <c r="G1433" s="374"/>
      <c r="H1433" s="374"/>
      <c r="I1433" s="374"/>
      <c r="J1433" s="376"/>
      <c r="K1433" s="376"/>
      <c r="L1433" s="376"/>
      <c r="M1433" s="376"/>
      <c r="N1433" s="376"/>
      <c r="O1433" s="376"/>
      <c r="P1433" s="376"/>
      <c r="Q1433" s="376"/>
      <c r="R1433" s="376"/>
      <c r="S1433" s="376"/>
      <c r="T1433" s="376"/>
      <c r="U1433" s="376"/>
      <c r="V1433" s="376"/>
      <c r="W1433" s="376"/>
      <c r="X1433" s="376"/>
      <c r="Y1433" s="376"/>
      <c r="Z1433" s="376"/>
      <c r="AA1433" s="376"/>
      <c r="AB1433" s="376"/>
      <c r="AC1433" s="376"/>
      <c r="AD1433" s="376"/>
      <c r="AE1433" s="376"/>
      <c r="AF1433" s="376"/>
      <c r="AG1433" s="376"/>
      <c r="AH1433" s="376"/>
      <c r="AI1433" s="376"/>
      <c r="AJ1433" s="376"/>
      <c r="AK1433" s="376"/>
      <c r="AL1433" s="376"/>
      <c r="AM1433" s="376"/>
      <c r="AN1433" s="376"/>
      <c r="AO1433" s="376"/>
    </row>
    <row r="1434" spans="1:41" s="73" customFormat="1" ht="15" customHeight="1" x14ac:dyDescent="0.25">
      <c r="A1434" s="400"/>
      <c r="B1434" s="412"/>
      <c r="C1434" s="188" t="s">
        <v>536</v>
      </c>
      <c r="D1434" s="144"/>
      <c r="E1434" s="83" t="s">
        <v>697</v>
      </c>
      <c r="F1434" s="374"/>
      <c r="G1434" s="374"/>
      <c r="H1434" s="374"/>
      <c r="I1434" s="374"/>
      <c r="J1434" s="376"/>
      <c r="K1434" s="376"/>
      <c r="L1434" s="376"/>
      <c r="M1434" s="376"/>
      <c r="N1434" s="376"/>
      <c r="O1434" s="376"/>
      <c r="P1434" s="376"/>
      <c r="Q1434" s="376"/>
      <c r="R1434" s="376"/>
      <c r="S1434" s="376"/>
      <c r="T1434" s="376"/>
      <c r="U1434" s="376"/>
      <c r="V1434" s="376"/>
      <c r="W1434" s="376"/>
      <c r="X1434" s="376"/>
      <c r="Y1434" s="376"/>
      <c r="Z1434" s="376"/>
      <c r="AA1434" s="376"/>
      <c r="AB1434" s="376"/>
      <c r="AC1434" s="376"/>
      <c r="AD1434" s="376"/>
      <c r="AE1434" s="376"/>
      <c r="AF1434" s="376"/>
      <c r="AG1434" s="376"/>
      <c r="AH1434" s="376"/>
      <c r="AI1434" s="376"/>
      <c r="AJ1434" s="376"/>
      <c r="AK1434" s="376"/>
      <c r="AL1434" s="376"/>
      <c r="AM1434" s="376"/>
      <c r="AN1434" s="376"/>
      <c r="AO1434" s="376"/>
    </row>
    <row r="1435" spans="1:41" s="73" customFormat="1" ht="15" customHeight="1" x14ac:dyDescent="0.25">
      <c r="A1435" s="400"/>
      <c r="B1435" s="412"/>
      <c r="C1435" s="188" t="s">
        <v>537</v>
      </c>
      <c r="D1435" s="144"/>
      <c r="E1435" s="83" t="s">
        <v>698</v>
      </c>
      <c r="F1435" s="374"/>
      <c r="G1435" s="374"/>
      <c r="H1435" s="374"/>
      <c r="I1435" s="374"/>
      <c r="J1435" s="376"/>
      <c r="K1435" s="376"/>
      <c r="L1435" s="376"/>
      <c r="M1435" s="376"/>
      <c r="N1435" s="376"/>
      <c r="O1435" s="376"/>
      <c r="P1435" s="376"/>
      <c r="Q1435" s="376"/>
      <c r="R1435" s="376"/>
      <c r="S1435" s="376"/>
      <c r="T1435" s="376"/>
      <c r="U1435" s="376"/>
      <c r="V1435" s="376"/>
      <c r="W1435" s="376"/>
      <c r="X1435" s="376"/>
      <c r="Y1435" s="376"/>
      <c r="Z1435" s="376"/>
      <c r="AA1435" s="376"/>
      <c r="AB1435" s="376"/>
      <c r="AC1435" s="376"/>
      <c r="AD1435" s="376"/>
      <c r="AE1435" s="376"/>
      <c r="AF1435" s="376"/>
      <c r="AG1435" s="376"/>
      <c r="AH1435" s="376"/>
      <c r="AI1435" s="376"/>
      <c r="AJ1435" s="376"/>
      <c r="AK1435" s="376"/>
      <c r="AL1435" s="376"/>
      <c r="AM1435" s="376"/>
      <c r="AN1435" s="376"/>
      <c r="AO1435" s="376"/>
    </row>
    <row r="1436" spans="1:41" s="73" customFormat="1" ht="15" customHeight="1" x14ac:dyDescent="0.25">
      <c r="A1436" s="400"/>
      <c r="B1436" s="412"/>
      <c r="C1436" s="188" t="s">
        <v>538</v>
      </c>
      <c r="D1436" s="144"/>
      <c r="E1436" s="83" t="s">
        <v>699</v>
      </c>
      <c r="F1436" s="374"/>
      <c r="G1436" s="374"/>
      <c r="H1436" s="374"/>
      <c r="I1436" s="374"/>
      <c r="J1436" s="376"/>
      <c r="K1436" s="376"/>
      <c r="L1436" s="376"/>
      <c r="M1436" s="376"/>
      <c r="N1436" s="376"/>
      <c r="O1436" s="376"/>
      <c r="P1436" s="376"/>
      <c r="Q1436" s="376"/>
      <c r="R1436" s="376"/>
      <c r="S1436" s="376"/>
      <c r="T1436" s="376"/>
      <c r="U1436" s="376"/>
      <c r="V1436" s="376"/>
      <c r="W1436" s="376"/>
      <c r="X1436" s="376"/>
      <c r="Y1436" s="376"/>
      <c r="Z1436" s="376"/>
      <c r="AA1436" s="376"/>
      <c r="AB1436" s="376"/>
      <c r="AC1436" s="376"/>
      <c r="AD1436" s="376"/>
      <c r="AE1436" s="376"/>
      <c r="AF1436" s="376"/>
      <c r="AG1436" s="376"/>
      <c r="AH1436" s="376"/>
      <c r="AI1436" s="376"/>
      <c r="AJ1436" s="376"/>
      <c r="AK1436" s="376"/>
      <c r="AL1436" s="376"/>
      <c r="AM1436" s="376"/>
      <c r="AN1436" s="376"/>
      <c r="AO1436" s="376"/>
    </row>
    <row r="1437" spans="1:41" x14ac:dyDescent="0.25">
      <c r="F1437" s="74"/>
      <c r="G1437" s="74"/>
      <c r="H1437" s="74"/>
      <c r="I1437" s="74"/>
    </row>
  </sheetData>
  <mergeCells count="29"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2034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2197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2035</v>
      </c>
      <c r="B4">
        <v>26.341533309999999</v>
      </c>
      <c r="C4">
        <v>26.59714344</v>
      </c>
      <c r="D4">
        <v>26.828834839999999</v>
      </c>
      <c r="E4">
        <v>27.04972047</v>
      </c>
      <c r="F4">
        <v>27.262911880000001</v>
      </c>
      <c r="G4">
        <v>27.465846079999999</v>
      </c>
      <c r="H4">
        <v>27.66059817</v>
      </c>
      <c r="I4">
        <v>27.854188629999999</v>
      </c>
      <c r="J4">
        <v>28.050195519999999</v>
      </c>
      <c r="K4">
        <v>28.24884801</v>
      </c>
      <c r="L4">
        <v>28.447943729999999</v>
      </c>
      <c r="M4">
        <v>28.64364462</v>
      </c>
      <c r="N4">
        <v>28.831091010000002</v>
      </c>
      <c r="O4">
        <v>29.00488498</v>
      </c>
      <c r="P4">
        <v>29.159486950000002</v>
      </c>
      <c r="Q4">
        <v>29.289548889999999</v>
      </c>
      <c r="R4">
        <v>29.395418719999999</v>
      </c>
      <c r="S4">
        <v>29.483080180000002</v>
      </c>
      <c r="T4">
        <v>29.557810100000001</v>
      </c>
      <c r="U4">
        <v>29.62362955</v>
      </c>
      <c r="V4">
        <v>29.683515159999999</v>
      </c>
      <c r="W4">
        <v>29.7396615</v>
      </c>
      <c r="X4">
        <v>29.793692100000001</v>
      </c>
      <c r="Y4">
        <v>29.846816610000001</v>
      </c>
      <c r="Z4">
        <v>29.899945890000001</v>
      </c>
      <c r="AA4">
        <v>29.953776179999998</v>
      </c>
      <c r="AB4">
        <v>30.008850509999998</v>
      </c>
      <c r="AC4">
        <v>30.065603530000001</v>
      </c>
      <c r="AD4">
        <v>30.124394049999999</v>
      </c>
      <c r="AE4">
        <v>30.185528810000001</v>
      </c>
      <c r="AF4">
        <v>30.249279770000001</v>
      </c>
      <c r="AG4">
        <v>30.315896550000001</v>
      </c>
      <c r="AH4">
        <v>30.385615479999998</v>
      </c>
      <c r="AI4">
        <v>30.458665849999999</v>
      </c>
      <c r="AJ4">
        <v>30.535274139999999</v>
      </c>
      <c r="AK4">
        <v>30.615666770000001</v>
      </c>
    </row>
    <row r="5" spans="1:37" x14ac:dyDescent="0.25">
      <c r="A5" t="s">
        <v>2036</v>
      </c>
      <c r="B5">
        <v>4.8910688090000001</v>
      </c>
      <c r="C5">
        <v>4.9373030619999998</v>
      </c>
      <c r="D5">
        <v>4.9795591970000004</v>
      </c>
      <c r="E5">
        <v>5.0212136999999997</v>
      </c>
      <c r="F5">
        <v>5.062970698</v>
      </c>
      <c r="G5">
        <v>5.1040926439999996</v>
      </c>
      <c r="H5">
        <v>5.1446563469999997</v>
      </c>
      <c r="I5">
        <v>5.1856990219999997</v>
      </c>
      <c r="J5">
        <v>5.2276587839999999</v>
      </c>
      <c r="K5">
        <v>5.2704296529999999</v>
      </c>
      <c r="L5">
        <v>5.313518094</v>
      </c>
      <c r="M5">
        <v>5.3561694940000004</v>
      </c>
      <c r="N5">
        <v>5.3974666730000003</v>
      </c>
      <c r="O5">
        <v>5.4364125919999999</v>
      </c>
      <c r="P5">
        <v>5.4720042429999998</v>
      </c>
      <c r="Q5">
        <v>5.5032999519999999</v>
      </c>
      <c r="R5">
        <v>5.5304192209999998</v>
      </c>
      <c r="S5">
        <v>5.5544896970000002</v>
      </c>
      <c r="T5">
        <v>5.5765024460000001</v>
      </c>
      <c r="U5">
        <v>5.5972283190000001</v>
      </c>
      <c r="V5">
        <v>5.6172525130000004</v>
      </c>
      <c r="W5">
        <v>5.637016129</v>
      </c>
      <c r="X5">
        <v>5.6568497119999996</v>
      </c>
      <c r="Y5">
        <v>5.6769990029999997</v>
      </c>
      <c r="Z5">
        <v>5.6976448590000004</v>
      </c>
      <c r="AA5">
        <v>5.7189188199999998</v>
      </c>
      <c r="AB5">
        <v>5.7409153240000004</v>
      </c>
      <c r="AC5">
        <v>5.763701266</v>
      </c>
      <c r="AD5">
        <v>5.7873234470000003</v>
      </c>
      <c r="AE5">
        <v>5.8118143660000001</v>
      </c>
      <c r="AF5">
        <v>5.8371966889999998</v>
      </c>
      <c r="AG5">
        <v>5.8634866710000004</v>
      </c>
      <c r="AH5">
        <v>5.8906967379999999</v>
      </c>
      <c r="AI5">
        <v>5.918837398</v>
      </c>
      <c r="AJ5">
        <v>5.9479186080000002</v>
      </c>
      <c r="AK5">
        <v>5.9779507189999999</v>
      </c>
    </row>
    <row r="6" spans="1:37" x14ac:dyDescent="0.25">
      <c r="A6" t="s">
        <v>2037</v>
      </c>
      <c r="B6">
        <v>44.175484509999997</v>
      </c>
      <c r="C6">
        <v>44.638110240000003</v>
      </c>
      <c r="D6">
        <v>45.076045100000002</v>
      </c>
      <c r="E6">
        <v>45.497834439999998</v>
      </c>
      <c r="F6">
        <v>45.903039110000002</v>
      </c>
      <c r="G6">
        <v>46.285391580000002</v>
      </c>
      <c r="H6">
        <v>46.649558599999999</v>
      </c>
      <c r="I6">
        <v>47.009452279999998</v>
      </c>
      <c r="J6">
        <v>47.371984329999997</v>
      </c>
      <c r="K6">
        <v>47.737903070000002</v>
      </c>
      <c r="L6">
        <v>48.103606210000002</v>
      </c>
      <c r="M6">
        <v>48.462618919999997</v>
      </c>
      <c r="N6">
        <v>48.80673075</v>
      </c>
      <c r="O6">
        <v>49.12690637</v>
      </c>
      <c r="P6">
        <v>49.414044760000003</v>
      </c>
      <c r="Q6">
        <v>49.659615580000001</v>
      </c>
      <c r="R6">
        <v>49.865090459999998</v>
      </c>
      <c r="S6">
        <v>50.041291999999999</v>
      </c>
      <c r="T6">
        <v>50.197527489999999</v>
      </c>
      <c r="U6">
        <v>50.340891220000003</v>
      </c>
      <c r="V6">
        <v>50.476661149999998</v>
      </c>
      <c r="W6">
        <v>50.608737140000002</v>
      </c>
      <c r="X6">
        <v>50.739989880000003</v>
      </c>
      <c r="Y6">
        <v>50.872525979999999</v>
      </c>
      <c r="Z6">
        <v>51.007888899999998</v>
      </c>
      <c r="AA6">
        <v>51.147211419999998</v>
      </c>
      <c r="AB6">
        <v>51.291330969999997</v>
      </c>
      <c r="AC6">
        <v>51.440876060000001</v>
      </c>
      <c r="AD6">
        <v>51.596330549999998</v>
      </c>
      <c r="AE6">
        <v>51.758080919999998</v>
      </c>
      <c r="AF6">
        <v>51.926450639999999</v>
      </c>
      <c r="AG6">
        <v>52.101724859999997</v>
      </c>
      <c r="AH6">
        <v>52.284167979999999</v>
      </c>
      <c r="AI6">
        <v>52.474035669999999</v>
      </c>
      <c r="AJ6">
        <v>52.67158294</v>
      </c>
      <c r="AK6">
        <v>52.877069220000003</v>
      </c>
    </row>
    <row r="7" spans="1:37" x14ac:dyDescent="0.25">
      <c r="A7" t="s">
        <v>2038</v>
      </c>
      <c r="B7">
        <v>22.47585677</v>
      </c>
      <c r="C7">
        <v>22.70265775</v>
      </c>
      <c r="D7">
        <v>22.915782950000001</v>
      </c>
      <c r="E7">
        <v>23.123375339999999</v>
      </c>
      <c r="F7">
        <v>23.326096280000002</v>
      </c>
      <c r="G7">
        <v>23.520700690000002</v>
      </c>
      <c r="H7">
        <v>23.70978199</v>
      </c>
      <c r="I7">
        <v>23.900289019999999</v>
      </c>
      <c r="J7">
        <v>24.095068650000002</v>
      </c>
      <c r="K7">
        <v>24.293984890000001</v>
      </c>
      <c r="L7">
        <v>24.495062600000001</v>
      </c>
      <c r="M7">
        <v>24.695270130000001</v>
      </c>
      <c r="N7">
        <v>24.891063469999999</v>
      </c>
      <c r="O7">
        <v>25.078800220000002</v>
      </c>
      <c r="P7">
        <v>25.255072519999999</v>
      </c>
      <c r="Q7">
        <v>25.41696941</v>
      </c>
      <c r="R7">
        <v>25.56620105</v>
      </c>
      <c r="S7">
        <v>25.708192390000001</v>
      </c>
      <c r="T7">
        <v>25.847082400000001</v>
      </c>
      <c r="U7">
        <v>25.985757679999999</v>
      </c>
      <c r="V7">
        <v>26.126210830000002</v>
      </c>
      <c r="W7">
        <v>26.26980979</v>
      </c>
      <c r="X7">
        <v>26.417473820000001</v>
      </c>
      <c r="Y7">
        <v>26.56979192</v>
      </c>
      <c r="Z7">
        <v>26.727108179999998</v>
      </c>
      <c r="AA7">
        <v>26.889586730000001</v>
      </c>
      <c r="AB7">
        <v>27.05726263</v>
      </c>
      <c r="AC7">
        <v>27.230081819999999</v>
      </c>
      <c r="AD7">
        <v>27.407932290000002</v>
      </c>
      <c r="AE7">
        <v>27.590668059999999</v>
      </c>
      <c r="AF7">
        <v>27.77812724</v>
      </c>
      <c r="AG7">
        <v>27.970145290000001</v>
      </c>
      <c r="AH7">
        <v>28.16656454</v>
      </c>
      <c r="AI7">
        <v>28.367240580000001</v>
      </c>
      <c r="AJ7">
        <v>28.5720463</v>
      </c>
      <c r="AK7">
        <v>28.78087416</v>
      </c>
    </row>
    <row r="8" spans="1:37" x14ac:dyDescent="0.25">
      <c r="A8" t="s">
        <v>2039</v>
      </c>
      <c r="B8">
        <v>162.18538359999999</v>
      </c>
      <c r="C8">
        <v>163.1836089</v>
      </c>
      <c r="D8">
        <v>163.9389438</v>
      </c>
      <c r="E8">
        <v>164.69724890000001</v>
      </c>
      <c r="F8">
        <v>165.53685970000001</v>
      </c>
      <c r="G8">
        <v>166.46920030000001</v>
      </c>
      <c r="H8">
        <v>167.48335460000001</v>
      </c>
      <c r="I8">
        <v>168.56385230000001</v>
      </c>
      <c r="J8">
        <v>169.69685179999999</v>
      </c>
      <c r="K8">
        <v>170.87166010000001</v>
      </c>
      <c r="L8">
        <v>172.08057460000001</v>
      </c>
      <c r="M8">
        <v>173.3182592</v>
      </c>
      <c r="N8">
        <v>174.58110780000001</v>
      </c>
      <c r="O8">
        <v>175.86670079999999</v>
      </c>
      <c r="P8">
        <v>177.17338409999999</v>
      </c>
      <c r="Q8">
        <v>178.50012659999999</v>
      </c>
      <c r="R8">
        <v>179.84629720000001</v>
      </c>
      <c r="S8">
        <v>181.21148669999999</v>
      </c>
      <c r="T8">
        <v>182.59544919999999</v>
      </c>
      <c r="U8">
        <v>183.9980424</v>
      </c>
      <c r="V8">
        <v>185.4192007</v>
      </c>
      <c r="W8">
        <v>186.85890019999999</v>
      </c>
      <c r="X8">
        <v>188.31714059999999</v>
      </c>
      <c r="Y8">
        <v>189.79393630000001</v>
      </c>
      <c r="Z8">
        <v>191.28931309999999</v>
      </c>
      <c r="AA8">
        <v>192.80330810000001</v>
      </c>
      <c r="AB8">
        <v>194.335972</v>
      </c>
      <c r="AC8">
        <v>195.88737080000001</v>
      </c>
      <c r="AD8">
        <v>197.45758789999999</v>
      </c>
      <c r="AE8">
        <v>199.04672590000001</v>
      </c>
      <c r="AF8">
        <v>200.65490449999999</v>
      </c>
      <c r="AG8">
        <v>202.28226470000001</v>
      </c>
      <c r="AH8">
        <v>203.92896759999999</v>
      </c>
      <c r="AI8">
        <v>205.5951929</v>
      </c>
      <c r="AJ8">
        <v>207.2811371</v>
      </c>
      <c r="AK8">
        <v>208.98701170000001</v>
      </c>
    </row>
    <row r="9" spans="1:37" x14ac:dyDescent="0.25">
      <c r="A9" t="s">
        <v>2198</v>
      </c>
      <c r="B9">
        <v>64.301440170000006</v>
      </c>
      <c r="C9">
        <v>64.233783819999999</v>
      </c>
      <c r="D9">
        <v>63.931558289999998</v>
      </c>
      <c r="E9">
        <v>63.614626440000002</v>
      </c>
      <c r="F9">
        <v>63.352023590000002</v>
      </c>
      <c r="G9">
        <v>63.153949699999998</v>
      </c>
      <c r="H9">
        <v>63.011189659999999</v>
      </c>
      <c r="I9">
        <v>62.910661429999998</v>
      </c>
      <c r="J9">
        <v>62.840775710000003</v>
      </c>
      <c r="K9">
        <v>62.792712610000002</v>
      </c>
      <c r="L9">
        <v>62.760233210000003</v>
      </c>
      <c r="M9">
        <v>62.739095059999997</v>
      </c>
      <c r="N9">
        <v>62.726469620000003</v>
      </c>
      <c r="O9">
        <v>62.720452979999997</v>
      </c>
      <c r="P9">
        <v>62.719696919999997</v>
      </c>
      <c r="Q9">
        <v>62.723315069999998</v>
      </c>
      <c r="R9">
        <v>62.730703920000003</v>
      </c>
      <c r="S9">
        <v>62.741401070000002</v>
      </c>
      <c r="T9">
        <v>62.755058720000001</v>
      </c>
      <c r="U9">
        <v>62.771408960000002</v>
      </c>
      <c r="V9">
        <v>62.790253040000003</v>
      </c>
      <c r="W9">
        <v>62.811437220000002</v>
      </c>
      <c r="X9">
        <v>62.834839019999997</v>
      </c>
      <c r="Y9">
        <v>62.860359350000003</v>
      </c>
      <c r="Z9">
        <v>62.887917520000002</v>
      </c>
      <c r="AA9">
        <v>62.917448149999998</v>
      </c>
      <c r="AB9">
        <v>62.948898939999999</v>
      </c>
      <c r="AC9">
        <v>62.982229009999998</v>
      </c>
      <c r="AD9">
        <v>63.017407589999998</v>
      </c>
      <c r="AE9">
        <v>63.05441278</v>
      </c>
      <c r="AF9">
        <v>63.093227919999997</v>
      </c>
      <c r="AG9">
        <v>63.133844660000001</v>
      </c>
      <c r="AH9">
        <v>63.176261230000001</v>
      </c>
      <c r="AI9">
        <v>63.220480989999999</v>
      </c>
      <c r="AJ9">
        <v>63.266511289999997</v>
      </c>
      <c r="AK9">
        <v>63.314362500000001</v>
      </c>
    </row>
    <row r="10" spans="1:37" x14ac:dyDescent="0.25">
      <c r="A10" t="s">
        <v>2040</v>
      </c>
      <c r="B10">
        <v>26.341533309999999</v>
      </c>
      <c r="C10">
        <v>26.613547879999999</v>
      </c>
      <c r="D10">
        <v>26.875562989999999</v>
      </c>
      <c r="E10">
        <v>27.139256339999999</v>
      </c>
      <c r="F10">
        <v>27.40913196</v>
      </c>
      <c r="G10">
        <v>27.6862867</v>
      </c>
      <c r="H10">
        <v>27.9705525</v>
      </c>
      <c r="I10">
        <v>28.261389990000001</v>
      </c>
      <c r="J10">
        <v>28.558213339999998</v>
      </c>
      <c r="K10">
        <v>28.860494979999999</v>
      </c>
      <c r="L10">
        <v>29.167792609999999</v>
      </c>
      <c r="M10">
        <v>29.47975078</v>
      </c>
      <c r="N10">
        <v>29.796094669999999</v>
      </c>
      <c r="O10">
        <v>30.116621129999999</v>
      </c>
      <c r="P10">
        <v>30.44118838</v>
      </c>
      <c r="Q10">
        <v>30.769704749999999</v>
      </c>
      <c r="R10">
        <v>31.102117539999998</v>
      </c>
      <c r="S10">
        <v>31.438402929999999</v>
      </c>
      <c r="T10">
        <v>31.778556739999999</v>
      </c>
      <c r="U10">
        <v>32.122587060000001</v>
      </c>
      <c r="V10">
        <v>32.470508789999997</v>
      </c>
      <c r="W10">
        <v>32.822340070000003</v>
      </c>
      <c r="X10">
        <v>33.178100180000001</v>
      </c>
      <c r="Y10">
        <v>33.537808599999998</v>
      </c>
      <c r="Z10">
        <v>33.901484949999997</v>
      </c>
      <c r="AA10">
        <v>34.269149409999997</v>
      </c>
      <c r="AB10">
        <v>34.640823419999997</v>
      </c>
      <c r="AC10">
        <v>35.016530469999999</v>
      </c>
      <c r="AD10">
        <v>35.396296800000002</v>
      </c>
      <c r="AE10">
        <v>35.780151949999997</v>
      </c>
      <c r="AF10">
        <v>36.168129209999996</v>
      </c>
      <c r="AG10">
        <v>36.560265809999997</v>
      </c>
      <c r="AH10">
        <v>36.956602959999998</v>
      </c>
      <c r="AI10">
        <v>37.35718576</v>
      </c>
      <c r="AJ10">
        <v>37.762063060000003</v>
      </c>
      <c r="AK10">
        <v>38.171287149999998</v>
      </c>
    </row>
    <row r="11" spans="1:37" x14ac:dyDescent="0.25">
      <c r="A11" t="s">
        <v>2041</v>
      </c>
      <c r="B11">
        <v>4.8910688090000001</v>
      </c>
      <c r="C11">
        <v>4.9404678830000002</v>
      </c>
      <c r="D11">
        <v>4.9884927829999999</v>
      </c>
      <c r="E11">
        <v>5.0382642400000002</v>
      </c>
      <c r="F11">
        <v>5.090783032</v>
      </c>
      <c r="G11">
        <v>5.1460256219999998</v>
      </c>
      <c r="H11">
        <v>5.2036324519999999</v>
      </c>
      <c r="I11">
        <v>5.2632098559999996</v>
      </c>
      <c r="J11">
        <v>5.3244299599999998</v>
      </c>
      <c r="K11">
        <v>5.3870461399999998</v>
      </c>
      <c r="L11">
        <v>5.4508808899999996</v>
      </c>
      <c r="M11">
        <v>5.515809129</v>
      </c>
      <c r="N11">
        <v>5.5817441910000003</v>
      </c>
      <c r="O11">
        <v>5.648627565</v>
      </c>
      <c r="P11">
        <v>5.7164214920000003</v>
      </c>
      <c r="Q11">
        <v>5.7851032580000004</v>
      </c>
      <c r="R11">
        <v>5.8546608539999996</v>
      </c>
      <c r="S11">
        <v>5.9250896869999998</v>
      </c>
      <c r="T11">
        <v>5.9963897260000003</v>
      </c>
      <c r="U11">
        <v>6.0685631960000004</v>
      </c>
      <c r="V11">
        <v>6.1416134170000003</v>
      </c>
      <c r="W11">
        <v>6.2155438749999998</v>
      </c>
      <c r="X11">
        <v>6.290357727</v>
      </c>
      <c r="Y11">
        <v>6.3660576439999996</v>
      </c>
      <c r="Z11">
        <v>6.4426458870000003</v>
      </c>
      <c r="AA11">
        <v>6.5201245370000001</v>
      </c>
      <c r="AB11">
        <v>6.5984957809999996</v>
      </c>
      <c r="AC11">
        <v>6.6777622130000003</v>
      </c>
      <c r="AD11">
        <v>6.7579270930000002</v>
      </c>
      <c r="AE11">
        <v>6.8389945680000004</v>
      </c>
      <c r="AF11">
        <v>6.9209698230000001</v>
      </c>
      <c r="AG11">
        <v>7.0038591600000002</v>
      </c>
      <c r="AH11">
        <v>7.0876700340000003</v>
      </c>
      <c r="AI11">
        <v>7.1724110349999997</v>
      </c>
      <c r="AJ11">
        <v>7.258091834</v>
      </c>
      <c r="AK11">
        <v>7.3447231139999998</v>
      </c>
    </row>
    <row r="12" spans="1:37" x14ac:dyDescent="0.25">
      <c r="A12" t="s">
        <v>2042</v>
      </c>
      <c r="B12">
        <v>44.175484509999997</v>
      </c>
      <c r="C12">
        <v>44.674067790000002</v>
      </c>
      <c r="D12">
        <v>45.17557283</v>
      </c>
      <c r="E12">
        <v>45.685126349999997</v>
      </c>
      <c r="F12">
        <v>46.204778189999999</v>
      </c>
      <c r="G12">
        <v>46.734933900000001</v>
      </c>
      <c r="H12">
        <v>47.275284509999999</v>
      </c>
      <c r="I12">
        <v>47.825257379999996</v>
      </c>
      <c r="J12">
        <v>48.384226079999998</v>
      </c>
      <c r="K12">
        <v>48.951609300000001</v>
      </c>
      <c r="L12">
        <v>49.526915510000002</v>
      </c>
      <c r="M12">
        <v>50.109758980000002</v>
      </c>
      <c r="N12">
        <v>50.69985973</v>
      </c>
      <c r="O12">
        <v>51.297034869999997</v>
      </c>
      <c r="P12">
        <v>51.901184780000001</v>
      </c>
      <c r="Q12">
        <v>52.512276540000002</v>
      </c>
      <c r="R12">
        <v>53.130327520000002</v>
      </c>
      <c r="S12">
        <v>53.755390839999997</v>
      </c>
      <c r="T12">
        <v>54.387542109999998</v>
      </c>
      <c r="U12">
        <v>55.02686894</v>
      </c>
      <c r="V12">
        <v>55.673463380000001</v>
      </c>
      <c r="W12">
        <v>56.327417070000003</v>
      </c>
      <c r="X12">
        <v>56.988818629999997</v>
      </c>
      <c r="Y12">
        <v>57.657752619999997</v>
      </c>
      <c r="Z12">
        <v>58.334299780000002</v>
      </c>
      <c r="AA12">
        <v>59.018537879999997</v>
      </c>
      <c r="AB12">
        <v>59.710542940000003</v>
      </c>
      <c r="AC12">
        <v>60.410390540000002</v>
      </c>
      <c r="AD12">
        <v>61.118156980000002</v>
      </c>
      <c r="AE12">
        <v>61.83392027</v>
      </c>
      <c r="AF12">
        <v>62.557760850000001</v>
      </c>
      <c r="AG12">
        <v>63.289762000000003</v>
      </c>
      <c r="AH12">
        <v>64.030010079999997</v>
      </c>
      <c r="AI12">
        <v>64.778594569999996</v>
      </c>
      <c r="AJ12">
        <v>65.535607990000003</v>
      </c>
      <c r="AK12">
        <v>66.301145719999994</v>
      </c>
    </row>
    <row r="13" spans="1:37" x14ac:dyDescent="0.25">
      <c r="A13" t="s">
        <v>2043</v>
      </c>
      <c r="B13">
        <v>22.47585677</v>
      </c>
      <c r="C13">
        <v>22.721741569999999</v>
      </c>
      <c r="D13">
        <v>22.967756900000001</v>
      </c>
      <c r="E13">
        <v>23.21997554</v>
      </c>
      <c r="F13">
        <v>23.480142950000001</v>
      </c>
      <c r="G13">
        <v>23.748004349999999</v>
      </c>
      <c r="H13">
        <v>24.022695509999998</v>
      </c>
      <c r="I13">
        <v>24.303333680000001</v>
      </c>
      <c r="J13">
        <v>24.58920668</v>
      </c>
      <c r="K13">
        <v>24.879797100000001</v>
      </c>
      <c r="L13">
        <v>25.174752340000001</v>
      </c>
      <c r="M13">
        <v>25.47384521</v>
      </c>
      <c r="N13">
        <v>25.776939609999999</v>
      </c>
      <c r="O13">
        <v>26.083964229999999</v>
      </c>
      <c r="P13">
        <v>26.394892509999998</v>
      </c>
      <c r="Q13">
        <v>26.709726979999999</v>
      </c>
      <c r="R13">
        <v>27.02848736</v>
      </c>
      <c r="S13">
        <v>27.351202170000001</v>
      </c>
      <c r="T13">
        <v>27.67790188</v>
      </c>
      <c r="U13">
        <v>28.00861428</v>
      </c>
      <c r="V13">
        <v>28.34336206</v>
      </c>
      <c r="W13">
        <v>28.682161950000001</v>
      </c>
      <c r="X13">
        <v>29.025025079999999</v>
      </c>
      <c r="Y13">
        <v>29.37195814</v>
      </c>
      <c r="Z13">
        <v>29.72296493</v>
      </c>
      <c r="AA13">
        <v>30.078048119999998</v>
      </c>
      <c r="AB13">
        <v>30.4372109</v>
      </c>
      <c r="AC13">
        <v>30.800458509999999</v>
      </c>
      <c r="AD13">
        <v>31.16779944</v>
      </c>
      <c r="AE13">
        <v>31.539246339999998</v>
      </c>
      <c r="AF13">
        <v>31.91481667</v>
      </c>
      <c r="AG13">
        <v>32.294533039999997</v>
      </c>
      <c r="AH13">
        <v>32.678423309999999</v>
      </c>
      <c r="AI13">
        <v>33.066520570000002</v>
      </c>
      <c r="AJ13">
        <v>33.458862930000002</v>
      </c>
      <c r="AK13">
        <v>33.855493269999997</v>
      </c>
    </row>
    <row r="14" spans="1:37" x14ac:dyDescent="0.25">
      <c r="A14" t="s">
        <v>2044</v>
      </c>
      <c r="B14">
        <v>5.4734958730000001</v>
      </c>
      <c r="C14">
        <v>5.5277842440000002</v>
      </c>
      <c r="D14">
        <v>5.5763322310000003</v>
      </c>
      <c r="E14">
        <v>5.620037365</v>
      </c>
      <c r="F14">
        <v>5.6584105200000003</v>
      </c>
      <c r="G14">
        <v>5.6900146219999996</v>
      </c>
      <c r="H14">
        <v>5.7162223570000004</v>
      </c>
      <c r="I14">
        <v>5.7405340059999999</v>
      </c>
      <c r="J14">
        <v>5.7646312919999998</v>
      </c>
      <c r="K14">
        <v>5.788739026</v>
      </c>
      <c r="L14">
        <v>5.8120972469999996</v>
      </c>
      <c r="M14">
        <v>5.8333307129999996</v>
      </c>
      <c r="N14">
        <v>5.850730972</v>
      </c>
      <c r="O14">
        <v>5.8624817040000003</v>
      </c>
      <c r="P14">
        <v>5.8668452670000004</v>
      </c>
      <c r="Q14">
        <v>5.8623155259999997</v>
      </c>
      <c r="R14">
        <v>5.8496952139999996</v>
      </c>
      <c r="S14">
        <v>5.8316990029999998</v>
      </c>
      <c r="T14">
        <v>5.8104645899999996</v>
      </c>
      <c r="U14">
        <v>5.7875405659999997</v>
      </c>
      <c r="V14">
        <v>5.7640249529999998</v>
      </c>
      <c r="W14">
        <v>5.740687909</v>
      </c>
      <c r="X14">
        <v>5.7180638999999998</v>
      </c>
      <c r="Y14">
        <v>5.6965188759999998</v>
      </c>
      <c r="Z14">
        <v>5.6762990029999996</v>
      </c>
      <c r="AA14">
        <v>5.6575659820000004</v>
      </c>
      <c r="AB14">
        <v>5.6404225730000004</v>
      </c>
      <c r="AC14">
        <v>5.6249309509999996</v>
      </c>
      <c r="AD14">
        <v>5.611125844</v>
      </c>
      <c r="AE14">
        <v>5.5990238550000004</v>
      </c>
      <c r="AF14">
        <v>5.5886300489999998</v>
      </c>
      <c r="AG14">
        <v>5.5799425630000004</v>
      </c>
      <c r="AH14">
        <v>5.5729558020000001</v>
      </c>
      <c r="AI14">
        <v>5.5676626139999996</v>
      </c>
      <c r="AJ14">
        <v>5.5640557470000003</v>
      </c>
      <c r="AK14">
        <v>5.5621287730000004</v>
      </c>
    </row>
    <row r="15" spans="1:37" x14ac:dyDescent="0.25">
      <c r="A15" t="s">
        <v>2045</v>
      </c>
      <c r="B15">
        <v>5.4734958730000001</v>
      </c>
      <c r="C15">
        <v>5.5356888069999997</v>
      </c>
      <c r="D15">
        <v>5.5982632649999999</v>
      </c>
      <c r="E15">
        <v>5.661478303</v>
      </c>
      <c r="F15">
        <v>5.7254982270000001</v>
      </c>
      <c r="G15">
        <v>5.7904348050000003</v>
      </c>
      <c r="H15">
        <v>5.856351096</v>
      </c>
      <c r="I15">
        <v>5.9232658799999998</v>
      </c>
      <c r="J15">
        <v>5.9911655230000003</v>
      </c>
      <c r="K15">
        <v>6.0600186410000001</v>
      </c>
      <c r="L15">
        <v>6.1297886689999999</v>
      </c>
      <c r="M15">
        <v>6.2004423529999997</v>
      </c>
      <c r="N15">
        <v>6.2719542349999999</v>
      </c>
      <c r="O15">
        <v>6.3443081589999997</v>
      </c>
      <c r="P15">
        <v>6.4174967690000004</v>
      </c>
      <c r="Q15">
        <v>6.4915201429999998</v>
      </c>
      <c r="R15">
        <v>6.5663839709999996</v>
      </c>
      <c r="S15">
        <v>6.6420977810000004</v>
      </c>
      <c r="T15">
        <v>6.7186733759999999</v>
      </c>
      <c r="U15">
        <v>6.7961236180000002</v>
      </c>
      <c r="V15">
        <v>6.8744615859999998</v>
      </c>
      <c r="W15">
        <v>6.9537000439999996</v>
      </c>
      <c r="X15">
        <v>7.0338511840000004</v>
      </c>
      <c r="Y15">
        <v>7.1149265440000002</v>
      </c>
      <c r="Z15">
        <v>7.1969370560000003</v>
      </c>
      <c r="AA15">
        <v>7.2798931700000002</v>
      </c>
      <c r="AB15">
        <v>7.3638050020000003</v>
      </c>
      <c r="AC15">
        <v>7.4486824829999998</v>
      </c>
      <c r="AD15">
        <v>7.534535505</v>
      </c>
      <c r="AE15">
        <v>7.6213740220000004</v>
      </c>
      <c r="AF15">
        <v>7.709208136</v>
      </c>
      <c r="AG15">
        <v>7.7980481529999999</v>
      </c>
      <c r="AH15">
        <v>7.8879046060000002</v>
      </c>
      <c r="AI15">
        <v>7.9787882699999999</v>
      </c>
      <c r="AJ15">
        <v>8.0707101629999993</v>
      </c>
      <c r="AK15">
        <v>8.1636815309999999</v>
      </c>
    </row>
    <row r="16" spans="1:37" x14ac:dyDescent="0.25">
      <c r="A16" t="s">
        <v>2046</v>
      </c>
      <c r="B16">
        <v>8.4809985599999999E-2</v>
      </c>
      <c r="C16">
        <v>8.5667248299999998E-2</v>
      </c>
      <c r="D16">
        <v>8.6461996400000005E-2</v>
      </c>
      <c r="E16">
        <v>8.7219592900000004E-2</v>
      </c>
      <c r="F16">
        <v>8.7940293599999997E-2</v>
      </c>
      <c r="G16">
        <v>8.8609185899999998E-2</v>
      </c>
      <c r="H16">
        <v>8.9238191600000003E-2</v>
      </c>
      <c r="I16">
        <v>8.98608605E-2</v>
      </c>
      <c r="J16">
        <v>9.0492411800000006E-2</v>
      </c>
      <c r="K16">
        <v>9.1133421899999997E-2</v>
      </c>
      <c r="L16">
        <v>9.1774683999999995E-2</v>
      </c>
      <c r="M16">
        <v>9.2400875899999999E-2</v>
      </c>
      <c r="N16">
        <v>9.2993253499999998E-2</v>
      </c>
      <c r="O16">
        <v>9.3531745900000005E-2</v>
      </c>
      <c r="P16">
        <v>9.3996668899999997E-2</v>
      </c>
      <c r="Q16">
        <v>9.4370137399999998E-2</v>
      </c>
      <c r="R16">
        <v>9.4658563200000004E-2</v>
      </c>
      <c r="S16">
        <v>9.4889280699999995E-2</v>
      </c>
      <c r="T16">
        <v>9.5083832399999998E-2</v>
      </c>
      <c r="U16">
        <v>9.5257792499999994E-2</v>
      </c>
      <c r="V16">
        <v>9.5422264100000001E-2</v>
      </c>
      <c r="W16">
        <v>9.5585158200000006E-2</v>
      </c>
      <c r="X16">
        <v>9.5752106200000006E-2</v>
      </c>
      <c r="Y16">
        <v>9.5927100000000001E-2</v>
      </c>
      <c r="Z16">
        <v>9.6112946300000002E-2</v>
      </c>
      <c r="AA16">
        <v>9.6311595900000005E-2</v>
      </c>
      <c r="AB16">
        <v>9.6524386200000006E-2</v>
      </c>
      <c r="AC16">
        <v>9.675222E-2</v>
      </c>
      <c r="AD16">
        <v>9.6995699099999999E-2</v>
      </c>
      <c r="AE16">
        <v>9.7255222799999999E-2</v>
      </c>
      <c r="AF16">
        <v>9.7531060500000002E-2</v>
      </c>
      <c r="AG16">
        <v>9.7823405399999994E-2</v>
      </c>
      <c r="AH16">
        <v>9.8132412299999999E-2</v>
      </c>
      <c r="AI16">
        <v>9.8458224699999999E-2</v>
      </c>
      <c r="AJ16">
        <v>9.8800992599999998E-2</v>
      </c>
      <c r="AK16">
        <v>9.9160884300000002E-2</v>
      </c>
    </row>
    <row r="17" spans="1:37" x14ac:dyDescent="0.25">
      <c r="A17" t="s">
        <v>2047</v>
      </c>
      <c r="B17">
        <v>8.4809985599999999E-2</v>
      </c>
      <c r="C17">
        <v>8.5747439499999994E-2</v>
      </c>
      <c r="D17">
        <v>8.6683951499999995E-2</v>
      </c>
      <c r="E17">
        <v>8.7637727400000004E-2</v>
      </c>
      <c r="F17">
        <v>8.8615469299999999E-2</v>
      </c>
      <c r="G17">
        <v>8.96180964E-2</v>
      </c>
      <c r="H17">
        <v>9.0644333899999999E-2</v>
      </c>
      <c r="I17">
        <v>9.1692336599999993E-2</v>
      </c>
      <c r="J17">
        <v>9.27603226E-2</v>
      </c>
      <c r="K17">
        <v>9.3846784399999994E-2</v>
      </c>
      <c r="L17">
        <v>9.4950535000000003E-2</v>
      </c>
      <c r="M17">
        <v>9.6070691900000005E-2</v>
      </c>
      <c r="N17">
        <v>9.72066402E-2</v>
      </c>
      <c r="O17">
        <v>9.8357988800000004E-2</v>
      </c>
      <c r="P17">
        <v>9.95245248E-2</v>
      </c>
      <c r="Q17">
        <v>0.100706168</v>
      </c>
      <c r="R17">
        <v>0.10190293020000001</v>
      </c>
      <c r="S17">
        <v>0.1031148813</v>
      </c>
      <c r="T17">
        <v>0.1043421212</v>
      </c>
      <c r="U17">
        <v>0.1055847577</v>
      </c>
      <c r="V17">
        <v>0.10684289399999999</v>
      </c>
      <c r="W17">
        <v>0.1081166209</v>
      </c>
      <c r="X17">
        <v>0.1094060145</v>
      </c>
      <c r="Y17">
        <v>0.1107111375</v>
      </c>
      <c r="Z17">
        <v>0.112032042</v>
      </c>
      <c r="AA17">
        <v>0.1133687741</v>
      </c>
      <c r="AB17">
        <v>0.1147213788</v>
      </c>
      <c r="AC17">
        <v>0.1160899042</v>
      </c>
      <c r="AD17">
        <v>0.1174744059</v>
      </c>
      <c r="AE17">
        <v>0.1188749497</v>
      </c>
      <c r="AF17">
        <v>0.1202916141</v>
      </c>
      <c r="AG17">
        <v>0.1217244919</v>
      </c>
      <c r="AH17">
        <v>0.1231736907</v>
      </c>
      <c r="AI17">
        <v>0.1246393331</v>
      </c>
      <c r="AJ17">
        <v>0.12612155689999999</v>
      </c>
      <c r="AK17">
        <v>0.12762051390000001</v>
      </c>
    </row>
    <row r="18" spans="1:37" x14ac:dyDescent="0.25">
      <c r="A18" t="s">
        <v>2048</v>
      </c>
      <c r="B18">
        <v>47.362739759999997</v>
      </c>
      <c r="C18">
        <v>47.490493460000003</v>
      </c>
      <c r="D18">
        <v>47.53365522</v>
      </c>
      <c r="E18">
        <v>47.608170719999997</v>
      </c>
      <c r="F18">
        <v>47.736646639999996</v>
      </c>
      <c r="G18">
        <v>47.90736879</v>
      </c>
      <c r="H18">
        <v>48.109003540000003</v>
      </c>
      <c r="I18">
        <v>48.338051040000003</v>
      </c>
      <c r="J18">
        <v>48.589459810000001</v>
      </c>
      <c r="K18">
        <v>48.856643679999998</v>
      </c>
      <c r="L18">
        <v>49.132021440000003</v>
      </c>
      <c r="M18">
        <v>49.407417809999998</v>
      </c>
      <c r="N18">
        <v>49.674360380000003</v>
      </c>
      <c r="O18">
        <v>49.924338919999997</v>
      </c>
      <c r="P18">
        <v>50.14905426</v>
      </c>
      <c r="Q18">
        <v>50.340653140000001</v>
      </c>
      <c r="R18">
        <v>50.49882221</v>
      </c>
      <c r="S18">
        <v>50.630619920000001</v>
      </c>
      <c r="T18">
        <v>50.742077700000003</v>
      </c>
      <c r="U18">
        <v>50.837403100000003</v>
      </c>
      <c r="V18">
        <v>50.919246059999999</v>
      </c>
      <c r="W18">
        <v>50.989081120000002</v>
      </c>
      <c r="X18">
        <v>51.04752216</v>
      </c>
      <c r="Y18">
        <v>51.094551979999999</v>
      </c>
      <c r="Z18">
        <v>51.129684079999997</v>
      </c>
      <c r="AA18">
        <v>51.152077480000003</v>
      </c>
      <c r="AB18">
        <v>51.160620899999998</v>
      </c>
      <c r="AC18">
        <v>51.153997910000001</v>
      </c>
      <c r="AD18">
        <v>51.130741299999997</v>
      </c>
      <c r="AE18">
        <v>51.089282230000002</v>
      </c>
      <c r="AF18">
        <v>51.027997669999998</v>
      </c>
      <c r="AG18">
        <v>50.945258680000002</v>
      </c>
      <c r="AH18">
        <v>50.839480639999998</v>
      </c>
      <c r="AI18">
        <v>50.709176190000001</v>
      </c>
      <c r="AJ18">
        <v>50.553010520000001</v>
      </c>
      <c r="AK18">
        <v>50.369858440000002</v>
      </c>
    </row>
    <row r="19" spans="1:37" x14ac:dyDescent="0.25">
      <c r="A19" t="s">
        <v>2049</v>
      </c>
      <c r="B19">
        <v>47.362739759999997</v>
      </c>
      <c r="C19">
        <v>47.512699400000002</v>
      </c>
      <c r="D19">
        <v>47.596470310000001</v>
      </c>
      <c r="E19">
        <v>47.727838470000002</v>
      </c>
      <c r="F19">
        <v>47.931101230000003</v>
      </c>
      <c r="G19">
        <v>48.199313529999998</v>
      </c>
      <c r="H19">
        <v>48.518094929999997</v>
      </c>
      <c r="I19">
        <v>48.87399216</v>
      </c>
      <c r="J19">
        <v>49.25663419</v>
      </c>
      <c r="K19">
        <v>49.65867463</v>
      </c>
      <c r="L19">
        <v>50.075126449999999</v>
      </c>
      <c r="M19">
        <v>50.502672259999997</v>
      </c>
      <c r="N19">
        <v>50.939119320000003</v>
      </c>
      <c r="O19">
        <v>51.383014170000003</v>
      </c>
      <c r="P19">
        <v>51.833384870000003</v>
      </c>
      <c r="Q19">
        <v>52.289573050000001</v>
      </c>
      <c r="R19">
        <v>52.75112575</v>
      </c>
      <c r="S19">
        <v>53.217725969999996</v>
      </c>
      <c r="T19">
        <v>53.689147149999997</v>
      </c>
      <c r="U19">
        <v>54.165223220000001</v>
      </c>
      <c r="V19">
        <v>54.645829460000002</v>
      </c>
      <c r="W19">
        <v>55.130870100000003</v>
      </c>
      <c r="X19">
        <v>55.620270509999997</v>
      </c>
      <c r="Y19">
        <v>56.113972609999998</v>
      </c>
      <c r="Z19">
        <v>56.611932189999997</v>
      </c>
      <c r="AA19">
        <v>57.114117659999998</v>
      </c>
      <c r="AB19">
        <v>57.620509349999999</v>
      </c>
      <c r="AC19">
        <v>58.131099259999999</v>
      </c>
      <c r="AD19">
        <v>58.645890799999997</v>
      </c>
      <c r="AE19">
        <v>59.164898479999998</v>
      </c>
      <c r="AF19">
        <v>59.68814742</v>
      </c>
      <c r="AG19">
        <v>60.21567263</v>
      </c>
      <c r="AH19">
        <v>60.747518220000003</v>
      </c>
      <c r="AI19">
        <v>61.283736349999998</v>
      </c>
      <c r="AJ19">
        <v>61.824386179999998</v>
      </c>
      <c r="AK19">
        <v>62.369532769999999</v>
      </c>
    </row>
    <row r="20" spans="1:37" x14ac:dyDescent="0.25">
      <c r="A20" t="s">
        <v>2050</v>
      </c>
      <c r="B20">
        <v>14.823808209999999</v>
      </c>
      <c r="C20">
        <v>14.901818329999999</v>
      </c>
      <c r="D20">
        <v>14.941413430000001</v>
      </c>
      <c r="E20">
        <v>14.967128369999999</v>
      </c>
      <c r="F20">
        <v>14.98798629</v>
      </c>
      <c r="G20">
        <v>15.005593709999999</v>
      </c>
      <c r="H20">
        <v>15.02221228</v>
      </c>
      <c r="I20">
        <v>15.04143191</v>
      </c>
      <c r="J20">
        <v>15.06416059</v>
      </c>
      <c r="K20">
        <v>15.089655949999999</v>
      </c>
      <c r="L20">
        <v>15.11625162</v>
      </c>
      <c r="M20">
        <v>15.14178909</v>
      </c>
      <c r="N20">
        <v>15.163874760000001</v>
      </c>
      <c r="O20">
        <v>15.18004593</v>
      </c>
      <c r="P20">
        <v>15.187893170000001</v>
      </c>
      <c r="Q20">
        <v>15.185162569999999</v>
      </c>
      <c r="R20">
        <v>15.172726689999999</v>
      </c>
      <c r="S20">
        <v>15.154028159999999</v>
      </c>
      <c r="T20">
        <v>15.13145323</v>
      </c>
      <c r="U20">
        <v>15.10659274</v>
      </c>
      <c r="V20">
        <v>15.08052262</v>
      </c>
      <c r="W20">
        <v>15.053992620000001</v>
      </c>
      <c r="X20">
        <v>15.02754283</v>
      </c>
      <c r="Y20">
        <v>15.001574570000001</v>
      </c>
      <c r="Z20">
        <v>14.9763942</v>
      </c>
      <c r="AA20">
        <v>14.95224095</v>
      </c>
      <c r="AB20">
        <v>14.929305299999999</v>
      </c>
      <c r="AC20">
        <v>14.90774178</v>
      </c>
      <c r="AD20">
        <v>14.887678149999999</v>
      </c>
      <c r="AE20">
        <v>14.869222199999999</v>
      </c>
      <c r="AF20">
        <v>14.852467020000001</v>
      </c>
      <c r="AG20">
        <v>14.83749502</v>
      </c>
      <c r="AH20">
        <v>14.82438097</v>
      </c>
      <c r="AI20">
        <v>14.813194409999999</v>
      </c>
      <c r="AJ20">
        <v>14.80400131</v>
      </c>
      <c r="AK20">
        <v>14.79686534</v>
      </c>
    </row>
    <row r="21" spans="1:37" x14ac:dyDescent="0.25">
      <c r="A21" t="s">
        <v>2051</v>
      </c>
      <c r="B21">
        <v>14.823808209999999</v>
      </c>
      <c r="C21">
        <v>14.91038758</v>
      </c>
      <c r="D21">
        <v>14.96419184</v>
      </c>
      <c r="E21">
        <v>15.00880628</v>
      </c>
      <c r="F21">
        <v>15.05397696</v>
      </c>
      <c r="G21">
        <v>15.10309303</v>
      </c>
      <c r="H21">
        <v>15.15687835</v>
      </c>
      <c r="I21">
        <v>15.215061759999999</v>
      </c>
      <c r="J21">
        <v>15.27709072</v>
      </c>
      <c r="K21">
        <v>15.34241331</v>
      </c>
      <c r="L21">
        <v>15.410572180000001</v>
      </c>
      <c r="M21">
        <v>15.481220479999999</v>
      </c>
      <c r="N21">
        <v>15.55410891</v>
      </c>
      <c r="O21">
        <v>15.629060580000001</v>
      </c>
      <c r="P21">
        <v>15.705930589999999</v>
      </c>
      <c r="Q21">
        <v>15.78463339</v>
      </c>
      <c r="R21">
        <v>15.86511896</v>
      </c>
      <c r="S21">
        <v>15.9473585</v>
      </c>
      <c r="T21">
        <v>16.031335250000001</v>
      </c>
      <c r="U21">
        <v>16.117038910000002</v>
      </c>
      <c r="V21">
        <v>16.204462379999999</v>
      </c>
      <c r="W21">
        <v>16.29360002</v>
      </c>
      <c r="X21">
        <v>16.38444668</v>
      </c>
      <c r="Y21">
        <v>16.476997369999999</v>
      </c>
      <c r="Z21">
        <v>16.571247240000002</v>
      </c>
      <c r="AA21">
        <v>16.667191809999998</v>
      </c>
      <c r="AB21">
        <v>16.764827260000001</v>
      </c>
      <c r="AC21">
        <v>16.864150720000001</v>
      </c>
      <c r="AD21">
        <v>16.96516055</v>
      </c>
      <c r="AE21">
        <v>17.06785661</v>
      </c>
      <c r="AF21">
        <v>17.172240339999998</v>
      </c>
      <c r="AG21">
        <v>17.278314900000002</v>
      </c>
      <c r="AH21">
        <v>17.38608515</v>
      </c>
      <c r="AI21">
        <v>17.495557659999999</v>
      </c>
      <c r="AJ21">
        <v>17.606740609999999</v>
      </c>
      <c r="AK21">
        <v>17.719643690000002</v>
      </c>
    </row>
    <row r="22" spans="1:37" x14ac:dyDescent="0.25">
      <c r="A22" t="s">
        <v>2052</v>
      </c>
      <c r="B22">
        <v>34.426718839999999</v>
      </c>
      <c r="C22">
        <v>34.624999670000001</v>
      </c>
      <c r="D22">
        <v>34.740706320000001</v>
      </c>
      <c r="E22">
        <v>34.818318619999999</v>
      </c>
      <c r="F22">
        <v>34.867897229999997</v>
      </c>
      <c r="G22">
        <v>34.884140889999998</v>
      </c>
      <c r="H22">
        <v>34.883345650000003</v>
      </c>
      <c r="I22">
        <v>34.891952600000003</v>
      </c>
      <c r="J22">
        <v>34.914966630000002</v>
      </c>
      <c r="K22">
        <v>34.947410699999999</v>
      </c>
      <c r="L22">
        <v>34.980068760000002</v>
      </c>
      <c r="M22">
        <v>35.002329320000001</v>
      </c>
      <c r="N22">
        <v>35.003702330000003</v>
      </c>
      <c r="O22">
        <v>34.97474527</v>
      </c>
      <c r="P22">
        <v>34.907694669999998</v>
      </c>
      <c r="Q22">
        <v>34.79688951</v>
      </c>
      <c r="R22">
        <v>34.653289479999998</v>
      </c>
      <c r="S22">
        <v>34.497038080000003</v>
      </c>
      <c r="T22">
        <v>34.338888570000002</v>
      </c>
      <c r="U22">
        <v>34.184558449999997</v>
      </c>
      <c r="V22">
        <v>34.037132020000001</v>
      </c>
      <c r="W22">
        <v>33.89829392</v>
      </c>
      <c r="X22">
        <v>33.768955839999997</v>
      </c>
      <c r="Y22">
        <v>33.64958086</v>
      </c>
      <c r="Z22">
        <v>33.540358529999999</v>
      </c>
      <c r="AA22">
        <v>33.441305309999997</v>
      </c>
      <c r="AB22">
        <v>33.352326650000002</v>
      </c>
      <c r="AC22">
        <v>33.273257839999999</v>
      </c>
      <c r="AD22">
        <v>33.203892359999998</v>
      </c>
      <c r="AE22">
        <v>33.144002100000002</v>
      </c>
      <c r="AF22">
        <v>33.093352029999998</v>
      </c>
      <c r="AG22">
        <v>33.051710559999997</v>
      </c>
      <c r="AH22">
        <v>33.018856880000001</v>
      </c>
      <c r="AI22">
        <v>32.994585729999997</v>
      </c>
      <c r="AJ22">
        <v>32.978710409999998</v>
      </c>
      <c r="AK22">
        <v>32.971064239999997</v>
      </c>
    </row>
    <row r="23" spans="1:37" x14ac:dyDescent="0.25">
      <c r="A23" t="s">
        <v>2053</v>
      </c>
      <c r="B23">
        <v>34.426718839999999</v>
      </c>
      <c r="C23">
        <v>34.693223639999999</v>
      </c>
      <c r="D23">
        <v>34.91104447</v>
      </c>
      <c r="E23">
        <v>35.116286199999998</v>
      </c>
      <c r="F23">
        <v>35.323965399999999</v>
      </c>
      <c r="G23">
        <v>35.539366630000004</v>
      </c>
      <c r="H23">
        <v>35.763620830000001</v>
      </c>
      <c r="I23">
        <v>35.9962716</v>
      </c>
      <c r="J23">
        <v>36.236401690000001</v>
      </c>
      <c r="K23">
        <v>36.483093850000003</v>
      </c>
      <c r="L23">
        <v>36.735591399999997</v>
      </c>
      <c r="M23">
        <v>36.993328810000001</v>
      </c>
      <c r="N23">
        <v>37.255911269999999</v>
      </c>
      <c r="O23">
        <v>37.523056220000001</v>
      </c>
      <c r="P23">
        <v>37.794539309999998</v>
      </c>
      <c r="Q23">
        <v>38.070247989999999</v>
      </c>
      <c r="R23">
        <v>38.350133790000001</v>
      </c>
      <c r="S23">
        <v>38.634183829999998</v>
      </c>
      <c r="T23">
        <v>38.922402990000002</v>
      </c>
      <c r="U23">
        <v>39.214803310000001</v>
      </c>
      <c r="V23">
        <v>39.511398130000003</v>
      </c>
      <c r="W23">
        <v>39.812199290000002</v>
      </c>
      <c r="X23">
        <v>40.117216130000003</v>
      </c>
      <c r="Y23">
        <v>40.426455500000003</v>
      </c>
      <c r="Z23">
        <v>40.739922579999998</v>
      </c>
      <c r="AA23">
        <v>41.057621830000002</v>
      </c>
      <c r="AB23">
        <v>41.37955814</v>
      </c>
      <c r="AC23">
        <v>41.705737880000001</v>
      </c>
      <c r="AD23">
        <v>42.036169800000003</v>
      </c>
      <c r="AE23">
        <v>42.370865700000003</v>
      </c>
      <c r="AF23">
        <v>42.709840980000003</v>
      </c>
      <c r="AG23">
        <v>43.053114890000003</v>
      </c>
      <c r="AH23">
        <v>43.400710660000001</v>
      </c>
      <c r="AI23">
        <v>43.752655490000002</v>
      </c>
      <c r="AJ23">
        <v>44.108980459999998</v>
      </c>
      <c r="AK23">
        <v>44.46972032</v>
      </c>
    </row>
    <row r="24" spans="1:37" x14ac:dyDescent="0.25">
      <c r="A24" t="s">
        <v>2054</v>
      </c>
      <c r="B24">
        <v>37.958651860000003</v>
      </c>
      <c r="C24">
        <v>38.225286410000002</v>
      </c>
      <c r="D24">
        <v>38.425798120000003</v>
      </c>
      <c r="E24">
        <v>38.608986350000002</v>
      </c>
      <c r="F24">
        <v>38.795290960000003</v>
      </c>
      <c r="G24">
        <v>38.991605739999997</v>
      </c>
      <c r="H24">
        <v>39.196188059999997</v>
      </c>
      <c r="I24">
        <v>39.405906739999999</v>
      </c>
      <c r="J24">
        <v>39.621138999999999</v>
      </c>
      <c r="K24">
        <v>39.842692710000001</v>
      </c>
      <c r="L24">
        <v>40.07102209</v>
      </c>
      <c r="M24">
        <v>40.306086579999999</v>
      </c>
      <c r="N24">
        <v>40.54739575</v>
      </c>
      <c r="O24">
        <v>40.794094559999998</v>
      </c>
      <c r="P24">
        <v>41.045046409999998</v>
      </c>
      <c r="Q24">
        <v>41.298909109999997</v>
      </c>
      <c r="R24">
        <v>41.55269681</v>
      </c>
      <c r="S24">
        <v>41.804222609999997</v>
      </c>
      <c r="T24">
        <v>42.054374160000002</v>
      </c>
      <c r="U24">
        <v>42.304796770000003</v>
      </c>
      <c r="V24">
        <v>42.557209389999997</v>
      </c>
      <c r="W24">
        <v>42.81321543</v>
      </c>
      <c r="X24">
        <v>43.07428024</v>
      </c>
      <c r="Y24">
        <v>43.341761320000003</v>
      </c>
      <c r="Z24">
        <v>43.61694971</v>
      </c>
      <c r="AA24">
        <v>43.901107680000003</v>
      </c>
      <c r="AB24">
        <v>44.195498190000002</v>
      </c>
      <c r="AC24">
        <v>44.501405409999997</v>
      </c>
      <c r="AD24">
        <v>44.82014659</v>
      </c>
      <c r="AE24">
        <v>45.153075979999997</v>
      </c>
      <c r="AF24">
        <v>45.501581160000001</v>
      </c>
      <c r="AG24">
        <v>45.867072329999999</v>
      </c>
      <c r="AH24">
        <v>46.250964830000001</v>
      </c>
      <c r="AI24">
        <v>46.654655400000003</v>
      </c>
      <c r="AJ24">
        <v>47.079492879999997</v>
      </c>
      <c r="AK24">
        <v>47.526744119999996</v>
      </c>
    </row>
    <row r="25" spans="1:37" x14ac:dyDescent="0.25">
      <c r="A25" t="s">
        <v>2055</v>
      </c>
      <c r="B25">
        <v>37.958651860000003</v>
      </c>
      <c r="C25">
        <v>38.217802910000003</v>
      </c>
      <c r="D25">
        <v>38.411399250000002</v>
      </c>
      <c r="E25">
        <v>38.589211779999999</v>
      </c>
      <c r="F25">
        <v>38.771213690000003</v>
      </c>
      <c r="G25">
        <v>38.963884999999998</v>
      </c>
      <c r="H25">
        <v>39.168186140000003</v>
      </c>
      <c r="I25">
        <v>39.383141649999999</v>
      </c>
      <c r="J25">
        <v>39.607336930000002</v>
      </c>
      <c r="K25">
        <v>39.83947586</v>
      </c>
      <c r="L25">
        <v>40.078538469999998</v>
      </c>
      <c r="M25">
        <v>40.323783069999998</v>
      </c>
      <c r="N25">
        <v>40.574698400000003</v>
      </c>
      <c r="O25">
        <v>40.830948599999999</v>
      </c>
      <c r="P25">
        <v>41.09232506</v>
      </c>
      <c r="Q25">
        <v>41.358707930000001</v>
      </c>
      <c r="R25">
        <v>41.630037360000003</v>
      </c>
      <c r="S25">
        <v>41.906259009999999</v>
      </c>
      <c r="T25">
        <v>42.187347639999999</v>
      </c>
      <c r="U25">
        <v>42.473313169999997</v>
      </c>
      <c r="V25">
        <v>42.76418176</v>
      </c>
      <c r="W25">
        <v>43.059986170000002</v>
      </c>
      <c r="X25">
        <v>43.360761060000002</v>
      </c>
      <c r="Y25">
        <v>43.666541100000003</v>
      </c>
      <c r="Z25">
        <v>43.977360539999999</v>
      </c>
      <c r="AA25">
        <v>44.293253640000003</v>
      </c>
      <c r="AB25">
        <v>44.614255399999998</v>
      </c>
      <c r="AC25">
        <v>44.940402329999998</v>
      </c>
      <c r="AD25">
        <v>45.271733240000003</v>
      </c>
      <c r="AE25">
        <v>45.608289810000002</v>
      </c>
      <c r="AF25">
        <v>45.950116950000002</v>
      </c>
      <c r="AG25">
        <v>46.297263059999999</v>
      </c>
      <c r="AH25">
        <v>46.649780030000002</v>
      </c>
      <c r="AI25">
        <v>47.007723169999998</v>
      </c>
      <c r="AJ25">
        <v>47.371151089999998</v>
      </c>
      <c r="AK25">
        <v>47.740125460000002</v>
      </c>
    </row>
    <row r="26" spans="1:37" x14ac:dyDescent="0.25">
      <c r="A26" t="s">
        <v>2056</v>
      </c>
      <c r="B26">
        <v>5.1384279990000001</v>
      </c>
      <c r="C26">
        <v>5.1949810630000002</v>
      </c>
      <c r="D26">
        <v>5.2490494639999996</v>
      </c>
      <c r="E26">
        <v>5.3013331690000003</v>
      </c>
      <c r="F26">
        <v>5.3522522910000001</v>
      </c>
      <c r="G26">
        <v>5.4017185039999998</v>
      </c>
      <c r="H26">
        <v>5.4494819840000002</v>
      </c>
      <c r="I26">
        <v>5.4959802619999998</v>
      </c>
      <c r="J26">
        <v>5.5421224240000004</v>
      </c>
      <c r="K26">
        <v>5.588408898</v>
      </c>
      <c r="L26">
        <v>5.6348349799999999</v>
      </c>
      <c r="M26">
        <v>5.6810128759999996</v>
      </c>
      <c r="N26">
        <v>5.7263193650000002</v>
      </c>
      <c r="O26">
        <v>5.7700137309999997</v>
      </c>
      <c r="P26">
        <v>5.8113201600000002</v>
      </c>
      <c r="Q26">
        <v>5.8494832099999998</v>
      </c>
      <c r="R26">
        <v>5.8840050780000004</v>
      </c>
      <c r="S26">
        <v>5.9152214369999996</v>
      </c>
      <c r="T26">
        <v>5.9441026570000002</v>
      </c>
      <c r="U26">
        <v>5.9715248079999999</v>
      </c>
      <c r="V26">
        <v>5.9981070909999996</v>
      </c>
      <c r="W26">
        <v>6.0242353599999996</v>
      </c>
      <c r="X26">
        <v>6.050129836</v>
      </c>
      <c r="Y26">
        <v>6.075907795</v>
      </c>
      <c r="Z26">
        <v>6.101628882</v>
      </c>
      <c r="AA26">
        <v>6.1273239190000002</v>
      </c>
      <c r="AB26">
        <v>6.1530115399999996</v>
      </c>
      <c r="AC26">
        <v>6.1787069570000002</v>
      </c>
      <c r="AD26">
        <v>6.2044260500000004</v>
      </c>
      <c r="AE26">
        <v>6.2301869090000004</v>
      </c>
      <c r="AF26">
        <v>6.2560101250000004</v>
      </c>
      <c r="AG26">
        <v>6.2819185199999996</v>
      </c>
      <c r="AH26">
        <v>6.307936722</v>
      </c>
      <c r="AI26">
        <v>6.3340907309999999</v>
      </c>
      <c r="AJ26">
        <v>6.3604075670000002</v>
      </c>
      <c r="AK26">
        <v>6.3869149939999996</v>
      </c>
    </row>
    <row r="27" spans="1:37" x14ac:dyDescent="0.25">
      <c r="A27" t="s">
        <v>2057</v>
      </c>
      <c r="B27">
        <v>5.1384279990000001</v>
      </c>
      <c r="C27">
        <v>5.1954205370000004</v>
      </c>
      <c r="D27">
        <v>5.251824665</v>
      </c>
      <c r="E27">
        <v>5.3082040089999998</v>
      </c>
      <c r="F27">
        <v>5.3648049110000002</v>
      </c>
      <c r="G27">
        <v>5.4217016539999996</v>
      </c>
      <c r="H27">
        <v>5.4788878199999997</v>
      </c>
      <c r="I27">
        <v>5.5363255789999997</v>
      </c>
      <c r="J27">
        <v>5.5939712760000004</v>
      </c>
      <c r="K27">
        <v>5.6517875899999996</v>
      </c>
      <c r="L27">
        <v>5.7097479160000004</v>
      </c>
      <c r="M27">
        <v>5.7678364960000001</v>
      </c>
      <c r="N27">
        <v>5.8260466019999999</v>
      </c>
      <c r="O27">
        <v>5.8843781479999997</v>
      </c>
      <c r="P27">
        <v>5.9428354329999999</v>
      </c>
      <c r="Q27">
        <v>6.0014253000000002</v>
      </c>
      <c r="R27">
        <v>6.0601557980000003</v>
      </c>
      <c r="S27">
        <v>6.1190353249999996</v>
      </c>
      <c r="T27">
        <v>6.1780720489999998</v>
      </c>
      <c r="U27">
        <v>6.23727359</v>
      </c>
      <c r="V27">
        <v>6.2966469329999999</v>
      </c>
      <c r="W27">
        <v>6.3561984599999999</v>
      </c>
      <c r="X27">
        <v>6.4159340460000003</v>
      </c>
      <c r="Y27">
        <v>6.4758591829999999</v>
      </c>
      <c r="Z27">
        <v>6.5359791029999998</v>
      </c>
      <c r="AA27">
        <v>6.5962989160000003</v>
      </c>
      <c r="AB27">
        <v>6.6568237129999996</v>
      </c>
      <c r="AC27">
        <v>6.7175586740000002</v>
      </c>
      <c r="AD27">
        <v>6.7785091399999997</v>
      </c>
      <c r="AE27">
        <v>6.8396806650000004</v>
      </c>
      <c r="AF27">
        <v>6.901076465</v>
      </c>
      <c r="AG27">
        <v>6.9627015669999999</v>
      </c>
      <c r="AH27">
        <v>7.0245620669999997</v>
      </c>
      <c r="AI27">
        <v>7.0866646619999996</v>
      </c>
      <c r="AJ27">
        <v>7.1490164360000001</v>
      </c>
      <c r="AK27">
        <v>7.2116247470000001</v>
      </c>
    </row>
    <row r="28" spans="1:37" x14ac:dyDescent="0.25">
      <c r="A28" t="s">
        <v>2058</v>
      </c>
      <c r="B28">
        <v>8.2041278789999996</v>
      </c>
      <c r="C28">
        <v>8.2034241819999991</v>
      </c>
      <c r="D28">
        <v>8.1650587639999994</v>
      </c>
      <c r="E28">
        <v>8.1122691059999994</v>
      </c>
      <c r="F28">
        <v>8.0526300099999997</v>
      </c>
      <c r="G28">
        <v>7.9871293830000001</v>
      </c>
      <c r="H28">
        <v>7.9204064369999996</v>
      </c>
      <c r="I28">
        <v>7.8583539150000004</v>
      </c>
      <c r="J28">
        <v>7.8015503989999999</v>
      </c>
      <c r="K28">
        <v>7.7484350109999998</v>
      </c>
      <c r="L28">
        <v>7.6967328730000002</v>
      </c>
      <c r="M28">
        <v>7.6440838370000002</v>
      </c>
      <c r="N28">
        <v>7.5883289459999999</v>
      </c>
      <c r="O28">
        <v>7.5276543279999997</v>
      </c>
      <c r="P28">
        <v>7.460671337</v>
      </c>
      <c r="Q28">
        <v>7.3864584500000001</v>
      </c>
      <c r="R28">
        <v>7.3076067760000001</v>
      </c>
      <c r="S28">
        <v>7.2283905400000004</v>
      </c>
      <c r="T28">
        <v>7.1507623699999998</v>
      </c>
      <c r="U28">
        <v>7.0755688599999997</v>
      </c>
      <c r="V28">
        <v>7.003144722</v>
      </c>
      <c r="W28">
        <v>6.9335910399999996</v>
      </c>
      <c r="X28">
        <v>6.866902617</v>
      </c>
      <c r="Y28">
        <v>6.8030257839999999</v>
      </c>
      <c r="Z28">
        <v>6.7418849439999997</v>
      </c>
      <c r="AA28">
        <v>6.6833951650000003</v>
      </c>
      <c r="AB28">
        <v>6.62746849</v>
      </c>
      <c r="AC28">
        <v>6.5740172980000002</v>
      </c>
      <c r="AD28">
        <v>6.5229561550000001</v>
      </c>
      <c r="AE28">
        <v>6.4742028639999996</v>
      </c>
      <c r="AF28">
        <v>6.4276790420000003</v>
      </c>
      <c r="AG28">
        <v>6.3833103940000004</v>
      </c>
      <c r="AH28">
        <v>6.3410268280000004</v>
      </c>
      <c r="AI28">
        <v>6.3007624419999999</v>
      </c>
      <c r="AJ28">
        <v>6.2624554479999999</v>
      </c>
      <c r="AK28">
        <v>6.2260480420000004</v>
      </c>
    </row>
    <row r="29" spans="1:37" x14ac:dyDescent="0.25">
      <c r="A29" t="s">
        <v>2059</v>
      </c>
      <c r="B29">
        <v>8.2041278789999996</v>
      </c>
      <c r="C29">
        <v>8.2224071920000004</v>
      </c>
      <c r="D29">
        <v>8.2107482189999992</v>
      </c>
      <c r="E29">
        <v>8.1895903140000001</v>
      </c>
      <c r="F29">
        <v>8.1673428650000002</v>
      </c>
      <c r="G29">
        <v>8.1470025100000001</v>
      </c>
      <c r="H29">
        <v>8.1293023000000009</v>
      </c>
      <c r="I29">
        <v>8.1141290619999999</v>
      </c>
      <c r="J29">
        <v>8.1011249010000004</v>
      </c>
      <c r="K29">
        <v>8.0899203639999993</v>
      </c>
      <c r="L29">
        <v>8.0802092470000009</v>
      </c>
      <c r="M29">
        <v>8.0717602629999998</v>
      </c>
      <c r="N29">
        <v>8.0644070229999993</v>
      </c>
      <c r="O29">
        <v>8.0580331740000002</v>
      </c>
      <c r="P29">
        <v>8.0525587830000003</v>
      </c>
      <c r="Q29">
        <v>8.0479295250000007</v>
      </c>
      <c r="R29">
        <v>8.0441087049999993</v>
      </c>
      <c r="S29">
        <v>8.0410716050000008</v>
      </c>
      <c r="T29">
        <v>8.038800234</v>
      </c>
      <c r="U29">
        <v>8.0372675319999995</v>
      </c>
      <c r="V29">
        <v>8.0364596079999995</v>
      </c>
      <c r="W29">
        <v>8.0363695449999994</v>
      </c>
      <c r="X29">
        <v>8.0369940639999999</v>
      </c>
      <c r="Y29">
        <v>8.0383317289999994</v>
      </c>
      <c r="Z29">
        <v>8.0403820009999993</v>
      </c>
      <c r="AA29">
        <v>8.043144753</v>
      </c>
      <c r="AB29">
        <v>8.0466200400000005</v>
      </c>
      <c r="AC29">
        <v>8.0508080060000005</v>
      </c>
      <c r="AD29">
        <v>8.0557088560000008</v>
      </c>
      <c r="AE29">
        <v>8.0613228659999994</v>
      </c>
      <c r="AF29">
        <v>8.0676504009999999</v>
      </c>
      <c r="AG29">
        <v>8.0746919310000003</v>
      </c>
      <c r="AH29">
        <v>8.0824480399999992</v>
      </c>
      <c r="AI29">
        <v>8.0909194360000001</v>
      </c>
      <c r="AJ29">
        <v>8.1001069430000001</v>
      </c>
      <c r="AK29">
        <v>8.1100115049999992</v>
      </c>
    </row>
    <row r="30" spans="1:37" x14ac:dyDescent="0.25">
      <c r="A30" t="s">
        <v>2060</v>
      </c>
      <c r="B30">
        <v>8.7126031669999993</v>
      </c>
      <c r="C30">
        <v>8.8056386510000006</v>
      </c>
      <c r="D30">
        <v>8.8950835680000004</v>
      </c>
      <c r="E30">
        <v>8.9825495239999995</v>
      </c>
      <c r="F30">
        <v>9.0680695030000003</v>
      </c>
      <c r="G30">
        <v>9.1506153609999998</v>
      </c>
      <c r="H30">
        <v>9.2306044319999998</v>
      </c>
      <c r="I30">
        <v>9.309916222</v>
      </c>
      <c r="J30">
        <v>9.3895915910000003</v>
      </c>
      <c r="K30">
        <v>9.469795006</v>
      </c>
      <c r="L30">
        <v>9.5500057930000004</v>
      </c>
      <c r="M30">
        <v>9.6292094779999999</v>
      </c>
      <c r="N30">
        <v>9.7060607270000006</v>
      </c>
      <c r="O30">
        <v>9.7790209430000008</v>
      </c>
      <c r="P30">
        <v>9.846475839</v>
      </c>
      <c r="Q30">
        <v>9.9068357210000002</v>
      </c>
      <c r="R30">
        <v>9.9600281850000005</v>
      </c>
      <c r="S30">
        <v>10.007553529999999</v>
      </c>
      <c r="T30">
        <v>10.05084347</v>
      </c>
      <c r="U30">
        <v>10.091063070000001</v>
      </c>
      <c r="V30">
        <v>10.12911888</v>
      </c>
      <c r="W30">
        <v>10.16570402</v>
      </c>
      <c r="X30">
        <v>10.201345099999999</v>
      </c>
      <c r="Y30">
        <v>10.236442719999999</v>
      </c>
      <c r="Z30">
        <v>10.27130434</v>
      </c>
      <c r="AA30">
        <v>10.30616996</v>
      </c>
      <c r="AB30">
        <v>10.34123162</v>
      </c>
      <c r="AC30">
        <v>10.376647869999999</v>
      </c>
      <c r="AD30">
        <v>10.41255438</v>
      </c>
      <c r="AE30">
        <v>10.44907145</v>
      </c>
      <c r="AF30">
        <v>10.48630943</v>
      </c>
      <c r="AG30">
        <v>10.52437245</v>
      </c>
      <c r="AH30">
        <v>10.563360919999999</v>
      </c>
      <c r="AI30">
        <v>10.603373319999999</v>
      </c>
      <c r="AJ30">
        <v>10.64450723</v>
      </c>
      <c r="AK30">
        <v>10.686859979999999</v>
      </c>
    </row>
    <row r="31" spans="1:37" x14ac:dyDescent="0.25">
      <c r="A31" t="s">
        <v>2061</v>
      </c>
      <c r="B31">
        <v>8.7126031669999993</v>
      </c>
      <c r="C31">
        <v>8.8102314360000005</v>
      </c>
      <c r="D31">
        <v>8.9083178190000005</v>
      </c>
      <c r="E31">
        <v>9.0081958279999998</v>
      </c>
      <c r="F31">
        <v>9.1103409670000008</v>
      </c>
      <c r="G31">
        <v>9.2147850210000009</v>
      </c>
      <c r="H31">
        <v>9.3213888419999993</v>
      </c>
      <c r="I31">
        <v>9.4299722950000007</v>
      </c>
      <c r="J31">
        <v>9.5403662189999991</v>
      </c>
      <c r="K31">
        <v>9.6524291039999994</v>
      </c>
      <c r="L31">
        <v>9.7660496919999993</v>
      </c>
      <c r="M31">
        <v>9.8811447349999995</v>
      </c>
      <c r="N31">
        <v>9.9976554340000003</v>
      </c>
      <c r="O31">
        <v>10.11554374</v>
      </c>
      <c r="P31">
        <v>10.234788740000001</v>
      </c>
      <c r="Q31">
        <v>10.355383120000001</v>
      </c>
      <c r="R31">
        <v>10.47732993</v>
      </c>
      <c r="S31">
        <v>10.600639790000001</v>
      </c>
      <c r="T31">
        <v>10.725328360000001</v>
      </c>
      <c r="U31">
        <v>10.851414330000001</v>
      </c>
      <c r="V31">
        <v>10.978917940000001</v>
      </c>
      <c r="W31">
        <v>11.10785993</v>
      </c>
      <c r="X31">
        <v>11.23826094</v>
      </c>
      <c r="Y31">
        <v>11.37014117</v>
      </c>
      <c r="Z31">
        <v>11.5035203</v>
      </c>
      <c r="AA31">
        <v>11.63841753</v>
      </c>
      <c r="AB31">
        <v>11.774851699999999</v>
      </c>
      <c r="AC31">
        <v>11.912841500000001</v>
      </c>
      <c r="AD31">
        <v>12.0524056</v>
      </c>
      <c r="AE31">
        <v>12.1935628</v>
      </c>
      <c r="AF31">
        <v>12.33633216</v>
      </c>
      <c r="AG31">
        <v>12.48073304</v>
      </c>
      <c r="AH31">
        <v>12.62678515</v>
      </c>
      <c r="AI31">
        <v>12.77450855</v>
      </c>
      <c r="AJ31">
        <v>12.92392366</v>
      </c>
      <c r="AK31">
        <v>13.07505121</v>
      </c>
    </row>
    <row r="32" spans="1:37" x14ac:dyDescent="0.25">
      <c r="A32" t="s">
        <v>2062</v>
      </c>
      <c r="B32">
        <v>3.0823350200000002E-3</v>
      </c>
      <c r="C32">
        <v>3.1127392200000002E-3</v>
      </c>
      <c r="D32">
        <v>3.1405222999999999E-3</v>
      </c>
      <c r="E32">
        <v>3.1670778200000001E-3</v>
      </c>
      <c r="F32">
        <v>3.1927275600000002E-3</v>
      </c>
      <c r="G32">
        <v>3.21715983E-3</v>
      </c>
      <c r="H32">
        <v>3.24057713E-3</v>
      </c>
      <c r="I32">
        <v>3.2637771200000002E-3</v>
      </c>
      <c r="J32">
        <v>3.2872011399999999E-3</v>
      </c>
      <c r="K32">
        <v>3.3108974999999999E-3</v>
      </c>
      <c r="L32">
        <v>3.3346172300000002E-3</v>
      </c>
      <c r="M32">
        <v>3.3579058200000002E-3</v>
      </c>
      <c r="N32">
        <v>3.3801765800000002E-3</v>
      </c>
      <c r="O32">
        <v>3.4007693100000002E-3</v>
      </c>
      <c r="P32">
        <v>3.4189988799999999E-3</v>
      </c>
      <c r="Q32">
        <v>3.43419699E-3</v>
      </c>
      <c r="R32">
        <v>3.4463662899999999E-3</v>
      </c>
      <c r="S32">
        <v>3.4562051600000002E-3</v>
      </c>
      <c r="T32">
        <v>3.4643611299999999E-3</v>
      </c>
      <c r="U32">
        <v>3.4713388999999999E-3</v>
      </c>
      <c r="V32">
        <v>3.4775168899999999E-3</v>
      </c>
      <c r="W32">
        <v>3.48317636E-3</v>
      </c>
      <c r="X32">
        <v>3.4885266799999999E-3</v>
      </c>
      <c r="Y32">
        <v>3.4937248299999999E-3</v>
      </c>
      <c r="Z32">
        <v>3.49888993E-3</v>
      </c>
      <c r="AA32">
        <v>3.5041138399999998E-3</v>
      </c>
      <c r="AB32">
        <v>3.5094689300000001E-3</v>
      </c>
      <c r="AC32">
        <v>3.5150136300000001E-3</v>
      </c>
      <c r="AD32">
        <v>3.5207964999999998E-3</v>
      </c>
      <c r="AE32">
        <v>3.52685918E-3</v>
      </c>
      <c r="AF32">
        <v>3.53323848E-3</v>
      </c>
      <c r="AG32">
        <v>3.5399679800000002E-3</v>
      </c>
      <c r="AH32">
        <v>3.54707907E-3</v>
      </c>
      <c r="AI32">
        <v>3.5546018299999998E-3</v>
      </c>
      <c r="AJ32">
        <v>3.56256549E-3</v>
      </c>
      <c r="AK32">
        <v>3.5709988800000001E-3</v>
      </c>
    </row>
    <row r="33" spans="1:37" x14ac:dyDescent="0.25">
      <c r="A33" t="s">
        <v>2063</v>
      </c>
      <c r="B33">
        <v>3.0823350200000002E-3</v>
      </c>
      <c r="C33">
        <v>3.1145561599999999E-3</v>
      </c>
      <c r="D33">
        <v>3.1457885100000002E-3</v>
      </c>
      <c r="E33">
        <v>3.1772690199999998E-3</v>
      </c>
      <c r="F33">
        <v>3.2094770800000002E-3</v>
      </c>
      <c r="G33">
        <v>3.2425306000000002E-3</v>
      </c>
      <c r="H33">
        <v>3.2764118000000002E-3</v>
      </c>
      <c r="I33">
        <v>3.3110616600000001E-3</v>
      </c>
      <c r="J33">
        <v>3.3464148000000001E-3</v>
      </c>
      <c r="K33">
        <v>3.3824112699999999E-3</v>
      </c>
      <c r="L33">
        <v>3.41900014E-3</v>
      </c>
      <c r="M33">
        <v>3.45614019E-3</v>
      </c>
      <c r="N33">
        <v>3.49379957E-3</v>
      </c>
      <c r="O33">
        <v>3.5319548799999999E-3</v>
      </c>
      <c r="P33">
        <v>3.5705901100000002E-3</v>
      </c>
      <c r="Q33">
        <v>3.6096952599999998E-3</v>
      </c>
      <c r="R33">
        <v>3.6492649700000002E-3</v>
      </c>
      <c r="S33">
        <v>3.6892973400000002E-3</v>
      </c>
      <c r="T33">
        <v>3.7297928099999998E-3</v>
      </c>
      <c r="U33">
        <v>3.77075321E-3</v>
      </c>
      <c r="V33">
        <v>3.8121811499999998E-3</v>
      </c>
      <c r="W33">
        <v>3.8540795900000001E-3</v>
      </c>
      <c r="X33">
        <v>3.8964516100000002E-3</v>
      </c>
      <c r="Y33">
        <v>3.9393002399999997E-3</v>
      </c>
      <c r="Z33">
        <v>3.9826285399999998E-3</v>
      </c>
      <c r="AA33">
        <v>4.02643958E-3</v>
      </c>
      <c r="AB33">
        <v>4.0707365699999996E-3</v>
      </c>
      <c r="AC33">
        <v>4.1155229600000004E-3</v>
      </c>
      <c r="AD33">
        <v>4.1608024799999997E-3</v>
      </c>
      <c r="AE33">
        <v>4.2065792500000001E-3</v>
      </c>
      <c r="AF33">
        <v>4.2528578099999999E-3</v>
      </c>
      <c r="AG33">
        <v>4.29964315E-3</v>
      </c>
      <c r="AH33">
        <v>4.3469407000000003E-3</v>
      </c>
      <c r="AI33">
        <v>4.39475635E-3</v>
      </c>
      <c r="AJ33">
        <v>4.4430963899999999E-3</v>
      </c>
      <c r="AK33">
        <v>4.49196753E-3</v>
      </c>
    </row>
    <row r="34" spans="1:37" x14ac:dyDescent="0.25">
      <c r="A34" t="s">
        <v>2064</v>
      </c>
      <c r="B34">
        <v>1.2192443400000001E-2</v>
      </c>
      <c r="C34">
        <v>1.23094368E-2</v>
      </c>
      <c r="D34">
        <v>1.2410492299999999E-2</v>
      </c>
      <c r="E34">
        <v>1.24992986E-2</v>
      </c>
      <c r="F34">
        <v>1.2575427700000001E-2</v>
      </c>
      <c r="G34">
        <v>1.26356206E-2</v>
      </c>
      <c r="H34">
        <v>1.26832765E-2</v>
      </c>
      <c r="I34">
        <v>1.27271608E-2</v>
      </c>
      <c r="J34">
        <v>1.27717588E-2</v>
      </c>
      <c r="K34">
        <v>1.28177567E-2</v>
      </c>
      <c r="L34">
        <v>1.28632368E-2</v>
      </c>
      <c r="M34">
        <v>1.2904693599999999E-2</v>
      </c>
      <c r="N34">
        <v>1.2937822099999999E-2</v>
      </c>
      <c r="O34">
        <v>1.29581321E-2</v>
      </c>
      <c r="P34">
        <v>1.29614352E-2</v>
      </c>
      <c r="Q34">
        <v>1.29442167E-2</v>
      </c>
      <c r="R34">
        <v>1.2908432399999999E-2</v>
      </c>
      <c r="S34">
        <v>1.2860673899999999E-2</v>
      </c>
      <c r="T34">
        <v>1.2806305800000001E-2</v>
      </c>
      <c r="U34">
        <v>1.27491545E-2</v>
      </c>
      <c r="V34">
        <v>1.26918147E-2</v>
      </c>
      <c r="W34">
        <v>1.26359909E-2</v>
      </c>
      <c r="X34">
        <v>1.25827714E-2</v>
      </c>
      <c r="Y34">
        <v>1.2532828399999999E-2</v>
      </c>
      <c r="Z34">
        <v>1.24865576E-2</v>
      </c>
      <c r="AA34">
        <v>1.2444174400000001E-2</v>
      </c>
      <c r="AB34">
        <v>1.24057775E-2</v>
      </c>
      <c r="AC34">
        <v>1.2371392700000001E-2</v>
      </c>
      <c r="AD34">
        <v>1.23410013E-2</v>
      </c>
      <c r="AE34">
        <v>1.23145593E-2</v>
      </c>
      <c r="AF34">
        <v>1.22920106E-2</v>
      </c>
      <c r="AG34">
        <v>1.22732951E-2</v>
      </c>
      <c r="AH34">
        <v>1.22583542E-2</v>
      </c>
      <c r="AI34">
        <v>1.2247134999999999E-2</v>
      </c>
      <c r="AJ34">
        <v>1.22395916E-2</v>
      </c>
      <c r="AK34">
        <v>1.22356867E-2</v>
      </c>
    </row>
    <row r="35" spans="1:37" x14ac:dyDescent="0.25">
      <c r="A35" t="s">
        <v>2065</v>
      </c>
      <c r="B35">
        <v>1.2192443400000001E-2</v>
      </c>
      <c r="C35">
        <v>1.2329247099999999E-2</v>
      </c>
      <c r="D35">
        <v>1.24662622E-2</v>
      </c>
      <c r="E35">
        <v>1.2605259400000001E-2</v>
      </c>
      <c r="F35">
        <v>1.2747054400000001E-2</v>
      </c>
      <c r="G35">
        <v>1.2891942599999999E-2</v>
      </c>
      <c r="H35">
        <v>1.30399751E-2</v>
      </c>
      <c r="I35">
        <v>1.3191085599999999E-2</v>
      </c>
      <c r="J35">
        <v>1.3345152000000001E-2</v>
      </c>
      <c r="K35">
        <v>1.35020326E-2</v>
      </c>
      <c r="L35">
        <v>1.3661589E-2</v>
      </c>
      <c r="M35">
        <v>1.38237004E-2</v>
      </c>
      <c r="N35">
        <v>1.39882707E-2</v>
      </c>
      <c r="O35">
        <v>1.415523E-2</v>
      </c>
      <c r="P35">
        <v>1.43245331E-2</v>
      </c>
      <c r="Q35">
        <v>1.4496155599999999E-2</v>
      </c>
      <c r="R35">
        <v>1.4670088899999999E-2</v>
      </c>
      <c r="S35">
        <v>1.48463359E-2</v>
      </c>
      <c r="T35">
        <v>1.50249068E-2</v>
      </c>
      <c r="U35">
        <v>1.5205815899999999E-2</v>
      </c>
      <c r="V35">
        <v>1.5389078699999999E-2</v>
      </c>
      <c r="W35">
        <v>1.5574711600000001E-2</v>
      </c>
      <c r="X35">
        <v>1.5762729900000001E-2</v>
      </c>
      <c r="Y35">
        <v>1.5953148800000001E-2</v>
      </c>
      <c r="Z35">
        <v>1.6145982900000001E-2</v>
      </c>
      <c r="AA35">
        <v>1.6341246699999999E-2</v>
      </c>
      <c r="AB35">
        <v>1.6538955500000001E-2</v>
      </c>
      <c r="AC35">
        <v>1.6739125600000002E-2</v>
      </c>
      <c r="AD35">
        <v>1.6941774699999999E-2</v>
      </c>
      <c r="AE35">
        <v>1.7146922799999999E-2</v>
      </c>
      <c r="AF35">
        <v>1.7354591799999999E-2</v>
      </c>
      <c r="AG35">
        <v>1.7564805999999999E-2</v>
      </c>
      <c r="AH35">
        <v>1.7777592200000001E-2</v>
      </c>
      <c r="AI35">
        <v>1.7992979499999999E-2</v>
      </c>
      <c r="AJ35">
        <v>1.82109994E-2</v>
      </c>
      <c r="AK35">
        <v>1.8431685499999999E-2</v>
      </c>
    </row>
    <row r="36" spans="1:37" x14ac:dyDescent="0.25">
      <c r="A36" t="s">
        <v>2066</v>
      </c>
      <c r="B36">
        <v>18.352541380000002</v>
      </c>
      <c r="C36">
        <v>18.53067845</v>
      </c>
      <c r="D36">
        <v>18.691687000000002</v>
      </c>
      <c r="E36">
        <v>18.844352260000001</v>
      </c>
      <c r="F36">
        <v>18.990602249999998</v>
      </c>
      <c r="G36">
        <v>19.128409900000001</v>
      </c>
      <c r="H36">
        <v>19.25948211</v>
      </c>
      <c r="I36">
        <v>19.389321240000001</v>
      </c>
      <c r="J36">
        <v>19.520734539999999</v>
      </c>
      <c r="K36">
        <v>19.65394672</v>
      </c>
      <c r="L36">
        <v>19.78731891</v>
      </c>
      <c r="M36">
        <v>19.917971219999998</v>
      </c>
      <c r="N36">
        <v>20.042263670000001</v>
      </c>
      <c r="O36">
        <v>20.15617481</v>
      </c>
      <c r="P36">
        <v>20.255610860000001</v>
      </c>
      <c r="Q36">
        <v>20.3366629</v>
      </c>
      <c r="R36">
        <v>20.39974381</v>
      </c>
      <c r="S36">
        <v>20.449467970000001</v>
      </c>
      <c r="T36">
        <v>20.489854690000001</v>
      </c>
      <c r="U36">
        <v>20.52394378</v>
      </c>
      <c r="V36">
        <v>20.55396532</v>
      </c>
      <c r="W36">
        <v>20.581545949999999</v>
      </c>
      <c r="X36">
        <v>20.60787491</v>
      </c>
      <c r="Y36">
        <v>20.633827279999998</v>
      </c>
      <c r="Z36">
        <v>20.660053640000001</v>
      </c>
      <c r="AA36">
        <v>20.687044950000001</v>
      </c>
      <c r="AB36">
        <v>20.71517931</v>
      </c>
      <c r="AC36">
        <v>20.74475567</v>
      </c>
      <c r="AD36">
        <v>20.776018069999999</v>
      </c>
      <c r="AE36">
        <v>20.80917311</v>
      </c>
      <c r="AF36">
        <v>20.84440253</v>
      </c>
      <c r="AG36">
        <v>20.881872269999999</v>
      </c>
      <c r="AH36">
        <v>20.921738829999999</v>
      </c>
      <c r="AI36">
        <v>20.96415382</v>
      </c>
      <c r="AJ36">
        <v>21.009266879999998</v>
      </c>
      <c r="AK36">
        <v>21.05722763</v>
      </c>
    </row>
    <row r="37" spans="1:37" x14ac:dyDescent="0.25">
      <c r="A37" t="s">
        <v>2067</v>
      </c>
      <c r="B37">
        <v>18.352541380000002</v>
      </c>
      <c r="C37">
        <v>18.543405199999999</v>
      </c>
      <c r="D37">
        <v>18.72786739</v>
      </c>
      <c r="E37">
        <v>18.913593509999998</v>
      </c>
      <c r="F37">
        <v>19.103563560000001</v>
      </c>
      <c r="G37">
        <v>19.298525569999999</v>
      </c>
      <c r="H37">
        <v>19.498391649999999</v>
      </c>
      <c r="I37">
        <v>19.70282044</v>
      </c>
      <c r="J37">
        <v>19.91143091</v>
      </c>
      <c r="K37">
        <v>20.123873799999998</v>
      </c>
      <c r="L37">
        <v>20.339852449999999</v>
      </c>
      <c r="M37">
        <v>20.559126460000002</v>
      </c>
      <c r="N37">
        <v>20.78150917</v>
      </c>
      <c r="O37">
        <v>21.006862680000001</v>
      </c>
      <c r="P37">
        <v>21.23509116</v>
      </c>
      <c r="Q37">
        <v>21.46613335</v>
      </c>
      <c r="R37">
        <v>21.699954810000001</v>
      </c>
      <c r="S37">
        <v>21.936540910000002</v>
      </c>
      <c r="T37">
        <v>22.175890370000001</v>
      </c>
      <c r="U37">
        <v>22.418010150000001</v>
      </c>
      <c r="V37">
        <v>22.662911650000002</v>
      </c>
      <c r="W37">
        <v>22.910608310000001</v>
      </c>
      <c r="X37">
        <v>23.161114120000001</v>
      </c>
      <c r="Y37">
        <v>23.414443089999999</v>
      </c>
      <c r="Z37">
        <v>23.670609160000001</v>
      </c>
      <c r="AA37">
        <v>23.929626590000002</v>
      </c>
      <c r="AB37">
        <v>24.191510480000002</v>
      </c>
      <c r="AC37">
        <v>24.456277310000001</v>
      </c>
      <c r="AD37">
        <v>24.723945459999999</v>
      </c>
      <c r="AE37">
        <v>24.99453566</v>
      </c>
      <c r="AF37">
        <v>25.268071249999998</v>
      </c>
      <c r="AG37">
        <v>25.544578380000001</v>
      </c>
      <c r="AH37">
        <v>25.824086000000001</v>
      </c>
      <c r="AI37">
        <v>26.106625869999998</v>
      </c>
      <c r="AJ37">
        <v>26.392232400000001</v>
      </c>
      <c r="AK37">
        <v>26.680942479999999</v>
      </c>
    </row>
    <row r="38" spans="1:37" x14ac:dyDescent="0.25">
      <c r="A38" t="s">
        <v>2068</v>
      </c>
      <c r="B38">
        <v>5.3420570679999999</v>
      </c>
      <c r="C38">
        <v>5.3932642270000004</v>
      </c>
      <c r="D38">
        <v>5.4396488700000001</v>
      </c>
      <c r="E38">
        <v>5.4842437390000001</v>
      </c>
      <c r="F38">
        <v>5.5278717310000003</v>
      </c>
      <c r="G38">
        <v>5.5701574520000001</v>
      </c>
      <c r="H38">
        <v>5.6113927989999999</v>
      </c>
      <c r="I38">
        <v>5.652668791</v>
      </c>
      <c r="J38">
        <v>5.6945055900000003</v>
      </c>
      <c r="K38">
        <v>5.7368844929999998</v>
      </c>
      <c r="L38">
        <v>5.7793939950000004</v>
      </c>
      <c r="M38">
        <v>5.8213496400000002</v>
      </c>
      <c r="N38">
        <v>5.8618834690000003</v>
      </c>
      <c r="O38">
        <v>5.9000138120000001</v>
      </c>
      <c r="P38">
        <v>5.9347036949999996</v>
      </c>
      <c r="Q38">
        <v>5.9649127550000003</v>
      </c>
      <c r="R38">
        <v>5.9906095099999996</v>
      </c>
      <c r="S38">
        <v>6.0127929780000002</v>
      </c>
      <c r="T38">
        <v>6.0323456489999998</v>
      </c>
      <c r="U38">
        <v>6.0499509419999997</v>
      </c>
      <c r="V38">
        <v>6.0661305419999998</v>
      </c>
      <c r="W38">
        <v>6.0812851160000001</v>
      </c>
      <c r="X38">
        <v>6.0957251719999999</v>
      </c>
      <c r="Y38">
        <v>6.1096935940000003</v>
      </c>
      <c r="Z38">
        <v>6.1233824270000001</v>
      </c>
      <c r="AA38">
        <v>6.1369455840000002</v>
      </c>
      <c r="AB38">
        <v>6.150508565</v>
      </c>
      <c r="AC38">
        <v>6.1641758580000001</v>
      </c>
      <c r="AD38">
        <v>6.1780365770000003</v>
      </c>
      <c r="AE38">
        <v>6.1921687240000001</v>
      </c>
      <c r="AF38">
        <v>6.2066424109999998</v>
      </c>
      <c r="AG38">
        <v>6.2215222590000003</v>
      </c>
      <c r="AH38">
        <v>6.2368691849999998</v>
      </c>
      <c r="AI38">
        <v>6.2527416840000001</v>
      </c>
      <c r="AJ38">
        <v>6.2691967330000002</v>
      </c>
      <c r="AK38">
        <v>6.2862903799999996</v>
      </c>
    </row>
    <row r="39" spans="1:37" x14ac:dyDescent="0.25">
      <c r="A39" t="s">
        <v>2069</v>
      </c>
      <c r="B39">
        <v>5.3420570679999999</v>
      </c>
      <c r="C39">
        <v>5.395876007</v>
      </c>
      <c r="D39">
        <v>5.4470472409999999</v>
      </c>
      <c r="E39">
        <v>5.4983868620000003</v>
      </c>
      <c r="F39">
        <v>5.5509753079999999</v>
      </c>
      <c r="G39">
        <v>5.6050749440000001</v>
      </c>
      <c r="H39">
        <v>5.6606480130000003</v>
      </c>
      <c r="I39">
        <v>5.7175712399999998</v>
      </c>
      <c r="J39">
        <v>5.7757125360000003</v>
      </c>
      <c r="K39">
        <v>5.8349545980000004</v>
      </c>
      <c r="L39">
        <v>5.8952001139999997</v>
      </c>
      <c r="M39">
        <v>5.9563713150000002</v>
      </c>
      <c r="N39">
        <v>6.0184080370000004</v>
      </c>
      <c r="O39">
        <v>6.081265481</v>
      </c>
      <c r="P39">
        <v>6.1449118450000002</v>
      </c>
      <c r="Q39">
        <v>6.2093258750000002</v>
      </c>
      <c r="R39">
        <v>6.2744944980000001</v>
      </c>
      <c r="S39">
        <v>6.3404106950000001</v>
      </c>
      <c r="T39">
        <v>6.4070715759999999</v>
      </c>
      <c r="U39">
        <v>6.4744768150000001</v>
      </c>
      <c r="V39">
        <v>6.5426275350000003</v>
      </c>
      <c r="W39">
        <v>6.6115255470000003</v>
      </c>
      <c r="X39">
        <v>6.6811729130000002</v>
      </c>
      <c r="Y39">
        <v>6.751571749</v>
      </c>
      <c r="Z39">
        <v>6.822724204</v>
      </c>
      <c r="AA39">
        <v>6.8946325469999996</v>
      </c>
      <c r="AB39">
        <v>6.9672993090000004</v>
      </c>
      <c r="AC39">
        <v>7.040727446</v>
      </c>
      <c r="AD39">
        <v>7.1149204819999996</v>
      </c>
      <c r="AE39">
        <v>7.1898826329999999</v>
      </c>
      <c r="AF39">
        <v>7.2656188899999998</v>
      </c>
      <c r="AG39">
        <v>7.3421350619999997</v>
      </c>
      <c r="AH39">
        <v>7.4194377920000001</v>
      </c>
      <c r="AI39">
        <v>7.4975345410000003</v>
      </c>
      <c r="AJ39">
        <v>7.5764335479999998</v>
      </c>
      <c r="AK39">
        <v>7.6561437830000001</v>
      </c>
    </row>
    <row r="40" spans="1:37" x14ac:dyDescent="0.25">
      <c r="A40" t="s">
        <v>2070</v>
      </c>
      <c r="B40">
        <v>0.24960722420000001</v>
      </c>
      <c r="C40">
        <v>0.2519188665</v>
      </c>
      <c r="D40">
        <v>0.25393841509999998</v>
      </c>
      <c r="E40">
        <v>0.25580648909999998</v>
      </c>
      <c r="F40">
        <v>0.25754995180000001</v>
      </c>
      <c r="G40">
        <v>0.2591321305</v>
      </c>
      <c r="H40">
        <v>0.26059049509999999</v>
      </c>
      <c r="I40">
        <v>0.26202636829999998</v>
      </c>
      <c r="J40">
        <v>0.26348524410000002</v>
      </c>
      <c r="K40">
        <v>0.2649678124</v>
      </c>
      <c r="L40">
        <v>0.26644447310000002</v>
      </c>
      <c r="M40">
        <v>0.26786641999999999</v>
      </c>
      <c r="N40">
        <v>0.26917380790000001</v>
      </c>
      <c r="O40">
        <v>0.27030206810000001</v>
      </c>
      <c r="P40">
        <v>0.27118705250000003</v>
      </c>
      <c r="Q40">
        <v>0.27176931700000001</v>
      </c>
      <c r="R40">
        <v>0.27206568660000002</v>
      </c>
      <c r="S40">
        <v>0.27216042670000001</v>
      </c>
      <c r="T40">
        <v>0.2721207692</v>
      </c>
      <c r="U40">
        <v>0.27199588070000003</v>
      </c>
      <c r="V40">
        <v>0.2718212351</v>
      </c>
      <c r="W40">
        <v>0.27162248290000002</v>
      </c>
      <c r="X40">
        <v>0.27141827120000001</v>
      </c>
      <c r="Y40">
        <v>0.27122223080000002</v>
      </c>
      <c r="Z40">
        <v>0.27104438180000001</v>
      </c>
      <c r="AA40">
        <v>0.2708921393</v>
      </c>
      <c r="AB40">
        <v>0.27077103870000002</v>
      </c>
      <c r="AC40">
        <v>0.27068526389999997</v>
      </c>
      <c r="AD40">
        <v>0.27063803380000001</v>
      </c>
      <c r="AE40">
        <v>0.2706318855</v>
      </c>
      <c r="AF40">
        <v>0.270668884</v>
      </c>
      <c r="AG40">
        <v>0.27075077600000003</v>
      </c>
      <c r="AH40">
        <v>0.27087910259999998</v>
      </c>
      <c r="AI40">
        <v>0.27105528130000001</v>
      </c>
      <c r="AJ40">
        <v>0.27128066319999999</v>
      </c>
      <c r="AK40">
        <v>0.27155657179999998</v>
      </c>
    </row>
    <row r="41" spans="1:37" x14ac:dyDescent="0.25">
      <c r="A41" t="s">
        <v>2071</v>
      </c>
      <c r="B41">
        <v>0.24960722420000001</v>
      </c>
      <c r="C41">
        <v>0.2521594895</v>
      </c>
      <c r="D41">
        <v>0.25460441989999999</v>
      </c>
      <c r="E41">
        <v>0.25706120669999999</v>
      </c>
      <c r="F41">
        <v>0.2595762076</v>
      </c>
      <c r="G41">
        <v>0.26216110999999997</v>
      </c>
      <c r="H41">
        <v>0.26481464179999997</v>
      </c>
      <c r="I41">
        <v>0.26753165229999998</v>
      </c>
      <c r="J41">
        <v>0.27030643770000001</v>
      </c>
      <c r="K41">
        <v>0.27313383149999998</v>
      </c>
      <c r="L41">
        <v>0.27600949520000001</v>
      </c>
      <c r="M41">
        <v>0.2789299422</v>
      </c>
      <c r="N41">
        <v>0.28189247569999998</v>
      </c>
      <c r="O41">
        <v>0.28489509750000003</v>
      </c>
      <c r="P41">
        <v>0.2879364029</v>
      </c>
      <c r="Q41">
        <v>0.29101546690000002</v>
      </c>
      <c r="R41">
        <v>0.29413173450000002</v>
      </c>
      <c r="S41">
        <v>0.29728492150000002</v>
      </c>
      <c r="T41">
        <v>0.30047492580000001</v>
      </c>
      <c r="U41">
        <v>0.30370175640000002</v>
      </c>
      <c r="V41">
        <v>0.30696548239999999</v>
      </c>
      <c r="W41">
        <v>0.31026620049999998</v>
      </c>
      <c r="X41">
        <v>0.31360401519999997</v>
      </c>
      <c r="Y41">
        <v>0.31697903189999999</v>
      </c>
      <c r="Z41">
        <v>0.32039135670000002</v>
      </c>
      <c r="AA41">
        <v>0.32384110199999999</v>
      </c>
      <c r="AB41">
        <v>0.3273283931</v>
      </c>
      <c r="AC41">
        <v>0.33085337729999997</v>
      </c>
      <c r="AD41">
        <v>0.33441623040000001</v>
      </c>
      <c r="AE41">
        <v>0.33801716320000003</v>
      </c>
      <c r="AF41">
        <v>0.3416564252</v>
      </c>
      <c r="AG41">
        <v>0.34533430739999998</v>
      </c>
      <c r="AH41">
        <v>0.34905114209999999</v>
      </c>
      <c r="AI41">
        <v>0.35280730329999999</v>
      </c>
      <c r="AJ41">
        <v>0.3566032039</v>
      </c>
      <c r="AK41">
        <v>0.36043929400000002</v>
      </c>
    </row>
    <row r="42" spans="1:37" x14ac:dyDescent="0.25">
      <c r="A42" t="s">
        <v>2072</v>
      </c>
      <c r="B42">
        <v>2.025571738</v>
      </c>
      <c r="C42">
        <v>2.0455994550000001</v>
      </c>
      <c r="D42">
        <v>2.0642423189999999</v>
      </c>
      <c r="E42">
        <v>2.0826173130000001</v>
      </c>
      <c r="F42">
        <v>2.1010811999999999</v>
      </c>
      <c r="G42">
        <v>2.1195895149999999</v>
      </c>
      <c r="H42">
        <v>2.1381253409999998</v>
      </c>
      <c r="I42">
        <v>2.1568285490000001</v>
      </c>
      <c r="J42">
        <v>2.1757918900000002</v>
      </c>
      <c r="K42">
        <v>2.1950116469999998</v>
      </c>
      <c r="L42">
        <v>2.2144042549999998</v>
      </c>
      <c r="M42">
        <v>2.2338265900000001</v>
      </c>
      <c r="N42">
        <v>2.253092783</v>
      </c>
      <c r="O42">
        <v>2.2719879939999998</v>
      </c>
      <c r="P42">
        <v>2.2902800380000001</v>
      </c>
      <c r="Q42">
        <v>2.3077295229999999</v>
      </c>
      <c r="R42">
        <v>2.324261387</v>
      </c>
      <c r="S42">
        <v>2.3400158370000002</v>
      </c>
      <c r="T42">
        <v>2.3551664639999998</v>
      </c>
      <c r="U42">
        <v>2.3698604200000002</v>
      </c>
      <c r="V42">
        <v>2.38421525</v>
      </c>
      <c r="W42">
        <v>2.3983234950000001</v>
      </c>
      <c r="X42">
        <v>2.4122575830000001</v>
      </c>
      <c r="Y42">
        <v>2.4260740799999998</v>
      </c>
      <c r="Z42">
        <v>2.4398172819999999</v>
      </c>
      <c r="AA42">
        <v>2.453522231</v>
      </c>
      <c r="AB42">
        <v>2.4672171729999999</v>
      </c>
      <c r="AC42">
        <v>2.4809255339999998</v>
      </c>
      <c r="AD42">
        <v>2.4946674639999999</v>
      </c>
      <c r="AE42">
        <v>2.5084610399999998</v>
      </c>
      <c r="AF42">
        <v>2.522323181</v>
      </c>
      <c r="AG42">
        <v>2.5362703299999998</v>
      </c>
      <c r="AH42">
        <v>2.5503189640000001</v>
      </c>
      <c r="AI42">
        <v>2.5644859480000002</v>
      </c>
      <c r="AJ42">
        <v>2.5787887650000001</v>
      </c>
      <c r="AK42">
        <v>2.5932456570000002</v>
      </c>
    </row>
    <row r="43" spans="1:37" x14ac:dyDescent="0.25">
      <c r="A43" t="s">
        <v>2073</v>
      </c>
      <c r="B43">
        <v>2.025571738</v>
      </c>
      <c r="C43">
        <v>2.0460254789999999</v>
      </c>
      <c r="D43">
        <v>2.06555716</v>
      </c>
      <c r="E43">
        <v>2.0852430630000001</v>
      </c>
      <c r="F43">
        <v>2.1054771830000001</v>
      </c>
      <c r="G43">
        <v>2.126331832</v>
      </c>
      <c r="H43">
        <v>2.1477652489999999</v>
      </c>
      <c r="I43">
        <v>2.1697089759999999</v>
      </c>
      <c r="J43">
        <v>2.192098455</v>
      </c>
      <c r="K43">
        <v>2.2148809350000001</v>
      </c>
      <c r="L43">
        <v>2.2380155309999998</v>
      </c>
      <c r="M43">
        <v>2.2614712419999998</v>
      </c>
      <c r="N43">
        <v>2.2852249119999999</v>
      </c>
      <c r="O43">
        <v>2.3092596209999998</v>
      </c>
      <c r="P43">
        <v>2.3335634440000002</v>
      </c>
      <c r="Q43">
        <v>2.3581284459999998</v>
      </c>
      <c r="R43">
        <v>2.3829498330000001</v>
      </c>
      <c r="S43">
        <v>2.4080252459999998</v>
      </c>
      <c r="T43">
        <v>2.4333541009999999</v>
      </c>
      <c r="U43">
        <v>2.4589370339999999</v>
      </c>
      <c r="V43">
        <v>2.4847754800000001</v>
      </c>
      <c r="W43">
        <v>2.5108713680000001</v>
      </c>
      <c r="X43">
        <v>2.537226923</v>
      </c>
      <c r="Y43">
        <v>2.5638445569999999</v>
      </c>
      <c r="Z43">
        <v>2.5907268189999999</v>
      </c>
      <c r="AA43">
        <v>2.617876393</v>
      </c>
      <c r="AB43">
        <v>2.6452961130000001</v>
      </c>
      <c r="AC43">
        <v>2.6729889930000001</v>
      </c>
      <c r="AD43">
        <v>2.7009582559999998</v>
      </c>
      <c r="AE43">
        <v>2.7292073509999999</v>
      </c>
      <c r="AF43">
        <v>2.7577399690000002</v>
      </c>
      <c r="AG43">
        <v>2.7865600399999999</v>
      </c>
      <c r="AH43">
        <v>2.815671729</v>
      </c>
      <c r="AI43">
        <v>2.845079412</v>
      </c>
      <c r="AJ43">
        <v>2.8747876630000002</v>
      </c>
      <c r="AK43">
        <v>2.9048012239999998</v>
      </c>
    </row>
    <row r="44" spans="1:37" x14ac:dyDescent="0.25">
      <c r="A44" t="s">
        <v>2074</v>
      </c>
      <c r="B44">
        <v>2.1585652100000002E-2</v>
      </c>
      <c r="C44">
        <v>2.1798264599999999E-2</v>
      </c>
      <c r="D44">
        <v>2.1991706100000001E-2</v>
      </c>
      <c r="E44">
        <v>2.2176527299999998E-2</v>
      </c>
      <c r="F44">
        <v>2.2355826799999999E-2</v>
      </c>
      <c r="G44">
        <v>2.2528117300000001E-2</v>
      </c>
      <c r="H44">
        <v>2.2693737200000001E-2</v>
      </c>
      <c r="I44">
        <v>2.2856724700000001E-2</v>
      </c>
      <c r="J44">
        <v>2.3020334900000002E-2</v>
      </c>
      <c r="K44">
        <v>2.3185658200000001E-2</v>
      </c>
      <c r="L44">
        <v>2.3351753900000001E-2</v>
      </c>
      <c r="M44">
        <v>2.3516095899999999E-2</v>
      </c>
      <c r="N44">
        <v>2.36750482E-2</v>
      </c>
      <c r="O44">
        <v>2.3824298899999999E-2</v>
      </c>
      <c r="P44">
        <v>2.3959236599999999E-2</v>
      </c>
      <c r="Q44">
        <v>2.4075274300000001E-2</v>
      </c>
      <c r="R44">
        <v>2.41712392E-2</v>
      </c>
      <c r="S44">
        <v>2.4250408899999999E-2</v>
      </c>
      <c r="T44">
        <v>2.4316996899999999E-2</v>
      </c>
      <c r="U44">
        <v>2.4374745100000001E-2</v>
      </c>
      <c r="V44">
        <v>2.4426645E-2</v>
      </c>
      <c r="W44">
        <v>2.44749693E-2</v>
      </c>
      <c r="X44">
        <v>2.4521394299999999E-2</v>
      </c>
      <c r="Y44">
        <v>2.4567134899999999E-2</v>
      </c>
      <c r="Z44">
        <v>2.4613065900000002E-2</v>
      </c>
      <c r="AA44">
        <v>2.4659820400000001E-2</v>
      </c>
      <c r="AB44">
        <v>2.4707863300000001E-2</v>
      </c>
      <c r="AC44">
        <v>2.4757546799999999E-2</v>
      </c>
      <c r="AD44">
        <v>2.4809148499999999E-2</v>
      </c>
      <c r="AE44">
        <v>2.4862898800000002E-2</v>
      </c>
      <c r="AF44">
        <v>2.4918998800000002E-2</v>
      </c>
      <c r="AG44">
        <v>2.49776333E-2</v>
      </c>
      <c r="AH44">
        <v>2.5038978699999999E-2</v>
      </c>
      <c r="AI44">
        <v>2.5103208299999999E-2</v>
      </c>
      <c r="AJ44">
        <v>2.51704957E-2</v>
      </c>
      <c r="AK44">
        <v>2.5241016200000001E-2</v>
      </c>
    </row>
    <row r="45" spans="1:37" x14ac:dyDescent="0.25">
      <c r="A45" t="s">
        <v>2075</v>
      </c>
      <c r="B45">
        <v>2.1585652100000002E-2</v>
      </c>
      <c r="C45">
        <v>2.1807531099999999E-2</v>
      </c>
      <c r="D45">
        <v>2.2020988799999999E-2</v>
      </c>
      <c r="E45">
        <v>2.2236078699999998E-2</v>
      </c>
      <c r="F45">
        <v>2.24566195E-2</v>
      </c>
      <c r="G45">
        <v>2.2683453900000001E-2</v>
      </c>
      <c r="H45">
        <v>2.29163267E-2</v>
      </c>
      <c r="I45">
        <v>2.3154680099999998E-2</v>
      </c>
      <c r="J45">
        <v>2.3397944399999999E-2</v>
      </c>
      <c r="K45">
        <v>2.3645627299999999E-2</v>
      </c>
      <c r="L45">
        <v>2.3897330200000001E-2</v>
      </c>
      <c r="M45">
        <v>2.41527411E-2</v>
      </c>
      <c r="N45">
        <v>2.4411623399999999E-2</v>
      </c>
      <c r="O45">
        <v>2.4673803300000002E-2</v>
      </c>
      <c r="P45">
        <v>2.4939159200000002E-2</v>
      </c>
      <c r="Q45">
        <v>2.52076114E-2</v>
      </c>
      <c r="R45">
        <v>2.5479113099999999E-2</v>
      </c>
      <c r="S45">
        <v>2.5753641800000001E-2</v>
      </c>
      <c r="T45">
        <v>2.6031192599999999E-2</v>
      </c>
      <c r="U45">
        <v>2.6311772099999998E-2</v>
      </c>
      <c r="V45">
        <v>2.65953939E-2</v>
      </c>
      <c r="W45">
        <v>2.6882075799999999E-2</v>
      </c>
      <c r="X45">
        <v>2.7171837399999999E-2</v>
      </c>
      <c r="Y45">
        <v>2.7464699799999999E-2</v>
      </c>
      <c r="Z45">
        <v>2.7760684800000001E-2</v>
      </c>
      <c r="AA45">
        <v>2.8059815299999999E-2</v>
      </c>
      <c r="AB45">
        <v>2.8362115699999999E-2</v>
      </c>
      <c r="AC45">
        <v>2.8667612200000001E-2</v>
      </c>
      <c r="AD45">
        <v>2.8976333399999998E-2</v>
      </c>
      <c r="AE45">
        <v>2.9288310500000001E-2</v>
      </c>
      <c r="AF45">
        <v>2.9603577799999999E-2</v>
      </c>
      <c r="AG45">
        <v>2.99221725E-2</v>
      </c>
      <c r="AH45">
        <v>3.0244134999999998E-2</v>
      </c>
      <c r="AI45">
        <v>3.05695081E-2</v>
      </c>
      <c r="AJ45">
        <v>3.0898337800000002E-2</v>
      </c>
      <c r="AK45">
        <v>3.1230672099999999E-2</v>
      </c>
    </row>
    <row r="46" spans="1:37" x14ac:dyDescent="0.25">
      <c r="A46" t="s">
        <v>2076</v>
      </c>
      <c r="B46">
        <v>1.4848009800000001E-2</v>
      </c>
      <c r="C46">
        <v>1.49978857E-2</v>
      </c>
      <c r="D46">
        <v>1.5138955399999999E-2</v>
      </c>
      <c r="E46">
        <v>1.5278396600000001E-2</v>
      </c>
      <c r="F46">
        <v>1.54184053E-2</v>
      </c>
      <c r="G46">
        <v>1.5558562E-2</v>
      </c>
      <c r="H46">
        <v>1.5698794700000001E-2</v>
      </c>
      <c r="I46">
        <v>1.5840228899999999E-2</v>
      </c>
      <c r="J46">
        <v>1.5983636900000001E-2</v>
      </c>
      <c r="K46">
        <v>1.6129043799999999E-2</v>
      </c>
      <c r="L46">
        <v>1.6275894199999998E-2</v>
      </c>
      <c r="M46">
        <v>1.6423224399999999E-2</v>
      </c>
      <c r="N46">
        <v>1.65697923E-2</v>
      </c>
      <c r="O46">
        <v>1.67141788E-2</v>
      </c>
      <c r="P46">
        <v>1.6854874400000001E-2</v>
      </c>
      <c r="Q46">
        <v>1.6990356299999999E-2</v>
      </c>
      <c r="R46">
        <v>1.7120242899999999E-2</v>
      </c>
      <c r="S46">
        <v>1.72456018E-2</v>
      </c>
      <c r="T46">
        <v>1.7367670700000001E-2</v>
      </c>
      <c r="U46">
        <v>1.7487434400000001E-2</v>
      </c>
      <c r="V46">
        <v>1.76056474E-2</v>
      </c>
      <c r="W46">
        <v>1.7722893100000001E-2</v>
      </c>
      <c r="X46">
        <v>1.7839628499999999E-2</v>
      </c>
      <c r="Y46">
        <v>1.7956213400000001E-2</v>
      </c>
      <c r="Z46">
        <v>1.8072931399999999E-2</v>
      </c>
      <c r="AA46">
        <v>1.8190007399999999E-2</v>
      </c>
      <c r="AB46">
        <v>1.8307620600000001E-2</v>
      </c>
      <c r="AC46">
        <v>1.84259175E-2</v>
      </c>
      <c r="AD46">
        <v>1.8545021299999999E-2</v>
      </c>
      <c r="AE46">
        <v>1.8665040599999998E-2</v>
      </c>
      <c r="AF46">
        <v>1.8786075499999999E-2</v>
      </c>
      <c r="AG46">
        <v>1.89082231E-2</v>
      </c>
      <c r="AH46">
        <v>1.9031580699999998E-2</v>
      </c>
      <c r="AI46">
        <v>1.9156248899999999E-2</v>
      </c>
      <c r="AJ46">
        <v>1.9282332900000001E-2</v>
      </c>
      <c r="AK46">
        <v>1.9409943400000001E-2</v>
      </c>
    </row>
    <row r="47" spans="1:37" x14ac:dyDescent="0.25">
      <c r="A47" t="s">
        <v>2077</v>
      </c>
      <c r="B47">
        <v>1.4848009800000001E-2</v>
      </c>
      <c r="C47">
        <v>1.5001000400000001E-2</v>
      </c>
      <c r="D47">
        <v>1.51486078E-2</v>
      </c>
      <c r="E47">
        <v>1.5297618000000001E-2</v>
      </c>
      <c r="F47">
        <v>1.54504638E-2</v>
      </c>
      <c r="G47">
        <v>1.5607557899999999E-2</v>
      </c>
      <c r="H47">
        <v>1.5768628E-2</v>
      </c>
      <c r="I47">
        <v>1.5933265200000001E-2</v>
      </c>
      <c r="J47">
        <v>1.6101101E-2</v>
      </c>
      <c r="K47">
        <v>1.62718437E-2</v>
      </c>
      <c r="L47">
        <v>1.64452683E-2</v>
      </c>
      <c r="M47">
        <v>1.6621200400000001E-2</v>
      </c>
      <c r="N47">
        <v>1.6799502899999999E-2</v>
      </c>
      <c r="O47">
        <v>1.6980068500000001E-2</v>
      </c>
      <c r="P47">
        <v>1.7162815200000001E-2</v>
      </c>
      <c r="Q47">
        <v>1.7347682999999999E-2</v>
      </c>
      <c r="R47">
        <v>1.75346306E-2</v>
      </c>
      <c r="S47">
        <v>1.7723633400000001E-2</v>
      </c>
      <c r="T47">
        <v>1.7914679199999999E-2</v>
      </c>
      <c r="U47">
        <v>1.8107766300000001E-2</v>
      </c>
      <c r="V47">
        <v>1.8302899800000001E-2</v>
      </c>
      <c r="W47">
        <v>1.850009E-2</v>
      </c>
      <c r="X47">
        <v>1.8699350900000002E-2</v>
      </c>
      <c r="Y47">
        <v>1.8900698399999999E-2</v>
      </c>
      <c r="Z47">
        <v>1.9104150699999999E-2</v>
      </c>
      <c r="AA47">
        <v>1.9309727200000001E-2</v>
      </c>
      <c r="AB47">
        <v>1.9517449100000001E-2</v>
      </c>
      <c r="AC47">
        <v>1.9727339100000001E-2</v>
      </c>
      <c r="AD47">
        <v>1.9939421700000001E-2</v>
      </c>
      <c r="AE47">
        <v>2.01537231E-2</v>
      </c>
      <c r="AF47">
        <v>2.0370271499999999E-2</v>
      </c>
      <c r="AG47">
        <v>2.0589096899999999E-2</v>
      </c>
      <c r="AH47">
        <v>2.0810230999999998E-2</v>
      </c>
      <c r="AI47">
        <v>2.1033707299999999E-2</v>
      </c>
      <c r="AJ47">
        <v>2.1259560699999999E-2</v>
      </c>
      <c r="AK47">
        <v>2.1487827399999999E-2</v>
      </c>
    </row>
    <row r="48" spans="1:37" x14ac:dyDescent="0.25">
      <c r="A48" t="s">
        <v>2078</v>
      </c>
      <c r="B48">
        <v>0.32004745600000001</v>
      </c>
      <c r="C48">
        <v>0.32346411870000003</v>
      </c>
      <c r="D48">
        <v>0.32663655429999999</v>
      </c>
      <c r="E48">
        <v>0.32957937040000002</v>
      </c>
      <c r="F48">
        <v>0.33226436079999999</v>
      </c>
      <c r="G48">
        <v>0.33461762020000002</v>
      </c>
      <c r="H48">
        <v>0.3366910421</v>
      </c>
      <c r="I48">
        <v>0.3386557925</v>
      </c>
      <c r="J48">
        <v>0.34061532480000001</v>
      </c>
      <c r="K48">
        <v>0.34259399089999998</v>
      </c>
      <c r="L48">
        <v>0.34455658830000002</v>
      </c>
      <c r="M48">
        <v>0.34642883460000001</v>
      </c>
      <c r="N48">
        <v>0.34811444159999999</v>
      </c>
      <c r="O48">
        <v>0.34950891639999998</v>
      </c>
      <c r="P48">
        <v>0.3505107502</v>
      </c>
      <c r="Q48">
        <v>0.3510303488</v>
      </c>
      <c r="R48">
        <v>0.35109204259999999</v>
      </c>
      <c r="S48">
        <v>0.35083007929999999</v>
      </c>
      <c r="T48">
        <v>0.35036718880000001</v>
      </c>
      <c r="U48">
        <v>0.34979585270000002</v>
      </c>
      <c r="V48">
        <v>0.34918119399999997</v>
      </c>
      <c r="W48">
        <v>0.34856742419999998</v>
      </c>
      <c r="X48">
        <v>0.3479838442</v>
      </c>
      <c r="Y48">
        <v>0.3474495299</v>
      </c>
      <c r="Z48">
        <v>0.34697671870000002</v>
      </c>
      <c r="AA48">
        <v>0.34657315840000003</v>
      </c>
      <c r="AB48">
        <v>0.3462436954</v>
      </c>
      <c r="AC48">
        <v>0.34599133430000001</v>
      </c>
      <c r="AD48">
        <v>0.34581793970000002</v>
      </c>
      <c r="AE48">
        <v>0.34572470020000001</v>
      </c>
      <c r="AF48">
        <v>0.34571243569999999</v>
      </c>
      <c r="AG48">
        <v>0.34578179869999998</v>
      </c>
      <c r="AH48">
        <v>0.34593340630000002</v>
      </c>
      <c r="AI48">
        <v>0.34616792419999998</v>
      </c>
      <c r="AJ48">
        <v>0.34648611800000001</v>
      </c>
      <c r="AK48">
        <v>0.34688888200000001</v>
      </c>
    </row>
    <row r="49" spans="1:37" x14ac:dyDescent="0.25">
      <c r="A49" t="s">
        <v>2079</v>
      </c>
      <c r="B49">
        <v>0.32004745600000001</v>
      </c>
      <c r="C49">
        <v>0.32382937649999999</v>
      </c>
      <c r="D49">
        <v>0.32770514169999998</v>
      </c>
      <c r="E49">
        <v>0.3316554706</v>
      </c>
      <c r="F49">
        <v>0.33567608780000002</v>
      </c>
      <c r="G49">
        <v>0.33976775399999998</v>
      </c>
      <c r="H49">
        <v>0.3439316047</v>
      </c>
      <c r="I49">
        <v>0.34816758590000002</v>
      </c>
      <c r="J49">
        <v>0.35247438330000003</v>
      </c>
      <c r="K49">
        <v>0.35684990459999999</v>
      </c>
      <c r="L49">
        <v>0.36129183139999999</v>
      </c>
      <c r="M49">
        <v>0.36579804399999999</v>
      </c>
      <c r="N49">
        <v>0.37036687149999997</v>
      </c>
      <c r="O49">
        <v>0.37499719279999999</v>
      </c>
      <c r="P49">
        <v>0.37968842829999999</v>
      </c>
      <c r="Q49">
        <v>0.3844404669</v>
      </c>
      <c r="R49">
        <v>0.38925356519999998</v>
      </c>
      <c r="S49">
        <v>0.3941282438</v>
      </c>
      <c r="T49">
        <v>0.39906519299999998</v>
      </c>
      <c r="U49">
        <v>0.40406519810000002</v>
      </c>
      <c r="V49">
        <v>0.40912908549999999</v>
      </c>
      <c r="W49">
        <v>0.41425768889999998</v>
      </c>
      <c r="X49">
        <v>0.4194518324</v>
      </c>
      <c r="Y49">
        <v>0.42471232510000001</v>
      </c>
      <c r="Z49">
        <v>0.43003996439999997</v>
      </c>
      <c r="AA49">
        <v>0.43543554449999999</v>
      </c>
      <c r="AB49">
        <v>0.44089986619999999</v>
      </c>
      <c r="AC49">
        <v>0.44643374810000003</v>
      </c>
      <c r="AD49">
        <v>0.45203803479999999</v>
      </c>
      <c r="AE49">
        <v>0.45771360480000001</v>
      </c>
      <c r="AF49">
        <v>0.46346137520000003</v>
      </c>
      <c r="AG49">
        <v>0.4692823042</v>
      </c>
      <c r="AH49">
        <v>0.47517739209999998</v>
      </c>
      <c r="AI49">
        <v>0.48114768029999999</v>
      </c>
      <c r="AJ49">
        <v>0.48719424970000003</v>
      </c>
      <c r="AK49">
        <v>0.49331821770000001</v>
      </c>
    </row>
    <row r="50" spans="1:37" x14ac:dyDescent="0.25">
      <c r="A50" t="s">
        <v>2080</v>
      </c>
      <c r="B50">
        <v>5.334086922</v>
      </c>
      <c r="C50">
        <v>5.38780752</v>
      </c>
      <c r="D50">
        <v>5.4362567850000003</v>
      </c>
      <c r="E50">
        <v>5.4800859060000002</v>
      </c>
      <c r="F50">
        <v>5.5187325669999998</v>
      </c>
      <c r="G50">
        <v>5.5507678900000004</v>
      </c>
      <c r="H50">
        <v>5.5775011650000001</v>
      </c>
      <c r="I50">
        <v>5.6023240369999998</v>
      </c>
      <c r="J50">
        <v>5.6268781839999997</v>
      </c>
      <c r="K50">
        <v>5.6513906069999997</v>
      </c>
      <c r="L50">
        <v>5.6751272129999997</v>
      </c>
      <c r="M50">
        <v>5.6967501289999998</v>
      </c>
      <c r="N50">
        <v>5.7145914839999996</v>
      </c>
      <c r="O50">
        <v>5.726872846</v>
      </c>
      <c r="P50">
        <v>5.7318876029999997</v>
      </c>
      <c r="Q50">
        <v>5.7281512010000002</v>
      </c>
      <c r="R50">
        <v>5.7164340889999998</v>
      </c>
      <c r="S50">
        <v>5.6993837689999998</v>
      </c>
      <c r="T50">
        <v>5.6790926710000003</v>
      </c>
      <c r="U50">
        <v>5.657080852</v>
      </c>
      <c r="V50">
        <v>5.6344291750000002</v>
      </c>
      <c r="W50">
        <v>5.6118981210000003</v>
      </c>
      <c r="X50">
        <v>5.5900173439999996</v>
      </c>
      <c r="Y50">
        <v>5.5691511220000001</v>
      </c>
      <c r="Z50">
        <v>5.549545943</v>
      </c>
      <c r="AA50">
        <v>5.5313650609999998</v>
      </c>
      <c r="AB50">
        <v>5.5147135059999997</v>
      </c>
      <c r="AC50">
        <v>5.4996561079999999</v>
      </c>
      <c r="AD50">
        <v>5.4862303900000002</v>
      </c>
      <c r="AE50">
        <v>5.4744557570000003</v>
      </c>
      <c r="AF50">
        <v>5.4643399779999999</v>
      </c>
      <c r="AG50">
        <v>5.4558837349999996</v>
      </c>
      <c r="AH50">
        <v>5.4490837900000004</v>
      </c>
      <c r="AI50">
        <v>5.4439351440000001</v>
      </c>
      <c r="AJ50">
        <v>5.4404324839999996</v>
      </c>
      <c r="AK50">
        <v>5.4385711199999998</v>
      </c>
    </row>
    <row r="51" spans="1:37" x14ac:dyDescent="0.25">
      <c r="A51" t="s">
        <v>2081</v>
      </c>
      <c r="B51">
        <v>5.334086922</v>
      </c>
      <c r="C51">
        <v>5.3954232480000002</v>
      </c>
      <c r="D51">
        <v>5.4574124919999996</v>
      </c>
      <c r="E51">
        <v>5.5200981669999996</v>
      </c>
      <c r="F51">
        <v>5.5835591449999997</v>
      </c>
      <c r="G51">
        <v>5.6478804079999998</v>
      </c>
      <c r="H51">
        <v>5.7131217850000002</v>
      </c>
      <c r="I51">
        <v>5.7793068959999996</v>
      </c>
      <c r="J51">
        <v>5.8464286789999997</v>
      </c>
      <c r="K51">
        <v>5.914461717</v>
      </c>
      <c r="L51">
        <v>5.9833741649999999</v>
      </c>
      <c r="M51">
        <v>6.0531362379999996</v>
      </c>
      <c r="N51">
        <v>6.1237249120000001</v>
      </c>
      <c r="O51">
        <v>6.1951256739999998</v>
      </c>
      <c r="P51">
        <v>6.2673323180000002</v>
      </c>
      <c r="Q51">
        <v>6.340345653</v>
      </c>
      <c r="R51">
        <v>6.4141718169999997</v>
      </c>
      <c r="S51">
        <v>6.488820628</v>
      </c>
      <c r="T51">
        <v>6.5643040949999998</v>
      </c>
      <c r="U51">
        <v>6.6406352569999996</v>
      </c>
      <c r="V51">
        <v>6.7178273659999999</v>
      </c>
      <c r="W51">
        <v>6.7958933769999996</v>
      </c>
      <c r="X51">
        <v>6.8748456820000001</v>
      </c>
      <c r="Y51">
        <v>6.9546960350000004</v>
      </c>
      <c r="Z51">
        <v>7.0354555909999998</v>
      </c>
      <c r="AA51">
        <v>7.1171350179999999</v>
      </c>
      <c r="AB51">
        <v>7.1997446439999999</v>
      </c>
      <c r="AC51">
        <v>7.2832945960000002</v>
      </c>
      <c r="AD51">
        <v>7.367794935</v>
      </c>
      <c r="AE51">
        <v>7.4532557600000002</v>
      </c>
      <c r="AF51">
        <v>7.5396872889999997</v>
      </c>
      <c r="AG51">
        <v>7.6270999059999998</v>
      </c>
      <c r="AH51">
        <v>7.7155041950000003</v>
      </c>
      <c r="AI51">
        <v>7.8049109469999998</v>
      </c>
      <c r="AJ51">
        <v>7.8953311660000001</v>
      </c>
      <c r="AK51">
        <v>7.9867760519999997</v>
      </c>
    </row>
    <row r="52" spans="1:37" x14ac:dyDescent="0.25">
      <c r="A52" t="s">
        <v>2082</v>
      </c>
      <c r="B52">
        <v>3.9410012199999997E-2</v>
      </c>
      <c r="C52">
        <v>3.9829711400000002E-2</v>
      </c>
      <c r="D52">
        <v>4.0231973400000003E-2</v>
      </c>
      <c r="E52">
        <v>4.06241585E-2</v>
      </c>
      <c r="F52">
        <v>4.1006492200000001E-2</v>
      </c>
      <c r="G52">
        <v>4.1374354100000003E-2</v>
      </c>
      <c r="H52">
        <v>4.1730556000000002E-2</v>
      </c>
      <c r="I52">
        <v>4.2084795799999998E-2</v>
      </c>
      <c r="J52">
        <v>4.2441842399999999E-2</v>
      </c>
      <c r="K52">
        <v>4.2801986100000002E-2</v>
      </c>
      <c r="L52">
        <v>4.31623005E-2</v>
      </c>
      <c r="M52">
        <v>4.3517661800000003E-2</v>
      </c>
      <c r="N52">
        <v>4.3861512499999998E-2</v>
      </c>
      <c r="O52">
        <v>4.4186464799999998E-2</v>
      </c>
      <c r="P52">
        <v>4.4484809799999997E-2</v>
      </c>
      <c r="Q52">
        <v>4.4748965500000001E-2</v>
      </c>
      <c r="R52">
        <v>4.4979355499999998E-2</v>
      </c>
      <c r="S52">
        <v>4.5184192599999999E-2</v>
      </c>
      <c r="T52">
        <v>4.5370502E-2</v>
      </c>
      <c r="U52">
        <v>4.5543669699999997E-2</v>
      </c>
      <c r="V52">
        <v>4.5707777599999999E-2</v>
      </c>
      <c r="W52">
        <v>4.5865936699999998E-2</v>
      </c>
      <c r="X52">
        <v>4.6020535100000003E-2</v>
      </c>
      <c r="Y52">
        <v>4.6173418399999999E-2</v>
      </c>
      <c r="Z52">
        <v>4.6326024100000002E-2</v>
      </c>
      <c r="AA52">
        <v>4.6479482500000002E-2</v>
      </c>
      <c r="AB52">
        <v>4.66346947E-2</v>
      </c>
      <c r="AC52">
        <v>4.67923924E-2</v>
      </c>
      <c r="AD52">
        <v>4.6953183099999997E-2</v>
      </c>
      <c r="AE52">
        <v>4.7117584800000001E-2</v>
      </c>
      <c r="AF52">
        <v>4.7286052299999999E-2</v>
      </c>
      <c r="AG52">
        <v>4.7458996699999999E-2</v>
      </c>
      <c r="AH52">
        <v>4.7636799399999999E-2</v>
      </c>
      <c r="AI52">
        <v>4.7819822900000003E-2</v>
      </c>
      <c r="AJ52">
        <v>4.8008417999999997E-2</v>
      </c>
      <c r="AK52">
        <v>4.8202928499999999E-2</v>
      </c>
    </row>
    <row r="53" spans="1:37" x14ac:dyDescent="0.25">
      <c r="A53" t="s">
        <v>2083</v>
      </c>
      <c r="B53">
        <v>3.9410012199999997E-2</v>
      </c>
      <c r="C53">
        <v>3.9852048100000002E-2</v>
      </c>
      <c r="D53">
        <v>4.0294995100000001E-2</v>
      </c>
      <c r="E53">
        <v>4.07444941E-2</v>
      </c>
      <c r="F53">
        <v>4.12029982E-2</v>
      </c>
      <c r="G53">
        <v>4.1671169500000001E-2</v>
      </c>
      <c r="H53">
        <v>4.2148853700000002E-2</v>
      </c>
      <c r="I53">
        <v>4.2635577000000001E-2</v>
      </c>
      <c r="J53">
        <v>4.3130783499999999E-2</v>
      </c>
      <c r="K53">
        <v>4.3633946299999997E-2</v>
      </c>
      <c r="L53">
        <v>4.4144617099999998E-2</v>
      </c>
      <c r="M53">
        <v>4.4662443900000001E-2</v>
      </c>
      <c r="N53">
        <v>4.5187171999999998E-2</v>
      </c>
      <c r="O53">
        <v>4.5718634899999999E-2</v>
      </c>
      <c r="P53">
        <v>4.6256741400000002E-2</v>
      </c>
      <c r="Q53">
        <v>4.6801459300000001E-2</v>
      </c>
      <c r="R53">
        <v>4.7352799799999998E-2</v>
      </c>
      <c r="S53">
        <v>4.79108039E-2</v>
      </c>
      <c r="T53">
        <v>4.8475530199999999E-2</v>
      </c>
      <c r="U53">
        <v>4.9047045499999997E-2</v>
      </c>
      <c r="V53">
        <v>4.96254182E-2</v>
      </c>
      <c r="W53">
        <v>5.0210714099999998E-2</v>
      </c>
      <c r="X53">
        <v>5.0802994499999997E-2</v>
      </c>
      <c r="Y53">
        <v>5.1402315400000002E-2</v>
      </c>
      <c r="Z53">
        <v>5.2008728300000001E-2</v>
      </c>
      <c r="AA53">
        <v>5.2622281200000003E-2</v>
      </c>
      <c r="AB53">
        <v>5.3243019500000002E-2</v>
      </c>
      <c r="AC53">
        <v>5.3870988199999997E-2</v>
      </c>
      <c r="AD53">
        <v>5.4506232699999997E-2</v>
      </c>
      <c r="AE53">
        <v>5.51488002E-2</v>
      </c>
      <c r="AF53">
        <v>5.5798740499999999E-2</v>
      </c>
      <c r="AG53">
        <v>5.6456106300000003E-2</v>
      </c>
      <c r="AH53">
        <v>5.7120954199999997E-2</v>
      </c>
      <c r="AI53">
        <v>5.7793344300000001E-2</v>
      </c>
      <c r="AJ53">
        <v>5.8473340499999998E-2</v>
      </c>
      <c r="AK53">
        <v>5.91610105E-2</v>
      </c>
    </row>
    <row r="54" spans="1:37" x14ac:dyDescent="0.25">
      <c r="A54" t="s">
        <v>2084</v>
      </c>
      <c r="B54">
        <v>3.010842319</v>
      </c>
      <c r="C54">
        <v>3.0417692270000001</v>
      </c>
      <c r="D54">
        <v>3.0704751090000002</v>
      </c>
      <c r="E54">
        <v>3.0977114559999999</v>
      </c>
      <c r="F54">
        <v>3.1235080079999999</v>
      </c>
      <c r="G54">
        <v>3.14739177</v>
      </c>
      <c r="H54">
        <v>3.1697646920000002</v>
      </c>
      <c r="I54">
        <v>3.191777868</v>
      </c>
      <c r="J54">
        <v>3.2139890800000002</v>
      </c>
      <c r="K54">
        <v>3.2364493040000002</v>
      </c>
      <c r="L54">
        <v>3.2588588669999998</v>
      </c>
      <c r="M54">
        <v>3.2806910130000002</v>
      </c>
      <c r="N54">
        <v>3.3012850239999998</v>
      </c>
      <c r="O54">
        <v>3.319920062</v>
      </c>
      <c r="P54">
        <v>3.335877</v>
      </c>
      <c r="Q54">
        <v>3.3484910559999999</v>
      </c>
      <c r="R54">
        <v>3.3579463710000002</v>
      </c>
      <c r="S54">
        <v>3.3651900239999999</v>
      </c>
      <c r="T54">
        <v>3.3709996420000001</v>
      </c>
      <c r="U54">
        <v>3.3759531319999998</v>
      </c>
      <c r="V54">
        <v>3.3804729089999999</v>
      </c>
      <c r="W54">
        <v>3.3848672049999999</v>
      </c>
      <c r="X54">
        <v>3.3893607669999999</v>
      </c>
      <c r="Y54">
        <v>3.3941169430000002</v>
      </c>
      <c r="Z54">
        <v>3.399253726</v>
      </c>
      <c r="AA54">
        <v>3.404855591</v>
      </c>
      <c r="AB54">
        <v>3.4109823540000002</v>
      </c>
      <c r="AC54">
        <v>3.4176758249999999</v>
      </c>
      <c r="AD54">
        <v>3.424964825</v>
      </c>
      <c r="AE54">
        <v>3.4328689579999998</v>
      </c>
      <c r="AF54">
        <v>3.4414014399999999</v>
      </c>
      <c r="AG54">
        <v>3.4505712000000002</v>
      </c>
      <c r="AH54">
        <v>3.460384436</v>
      </c>
      <c r="AI54">
        <v>3.470845738</v>
      </c>
      <c r="AJ54">
        <v>3.4819588829999999</v>
      </c>
      <c r="AK54">
        <v>3.4937273869999999</v>
      </c>
    </row>
    <row r="55" spans="1:37" x14ac:dyDescent="0.25">
      <c r="A55" t="s">
        <v>2085</v>
      </c>
      <c r="B55">
        <v>3.010842319</v>
      </c>
      <c r="C55">
        <v>3.0444032050000001</v>
      </c>
      <c r="D55">
        <v>3.0778480259999998</v>
      </c>
      <c r="E55">
        <v>3.1117084570000002</v>
      </c>
      <c r="F55">
        <v>3.1462445830000001</v>
      </c>
      <c r="G55">
        <v>3.1815433290000001</v>
      </c>
      <c r="H55">
        <v>3.2176063660000001</v>
      </c>
      <c r="I55">
        <v>3.2543998630000002</v>
      </c>
      <c r="J55">
        <v>3.2918794600000001</v>
      </c>
      <c r="K55">
        <v>3.3300020429999999</v>
      </c>
      <c r="L55">
        <v>3.36873084</v>
      </c>
      <c r="M55">
        <v>3.4080371669999998</v>
      </c>
      <c r="N55">
        <v>3.4479004940000002</v>
      </c>
      <c r="O55">
        <v>3.488307684</v>
      </c>
      <c r="P55">
        <v>3.529251801</v>
      </c>
      <c r="Q55">
        <v>3.570730712</v>
      </c>
      <c r="R55">
        <v>3.6127457270000001</v>
      </c>
      <c r="S55">
        <v>3.6553003980000001</v>
      </c>
      <c r="T55">
        <v>3.698399459</v>
      </c>
      <c r="U55">
        <v>3.742048021</v>
      </c>
      <c r="V55">
        <v>3.7862510089999999</v>
      </c>
      <c r="W55">
        <v>3.8310128259999998</v>
      </c>
      <c r="X55">
        <v>3.876337194</v>
      </c>
      <c r="Y55">
        <v>3.92222713</v>
      </c>
      <c r="Z55">
        <v>3.9686850210000002</v>
      </c>
      <c r="AA55">
        <v>4.0157127460000002</v>
      </c>
      <c r="AB55">
        <v>4.0633118330000002</v>
      </c>
      <c r="AC55">
        <v>4.1114836129999999</v>
      </c>
      <c r="AD55">
        <v>4.1602293650000002</v>
      </c>
      <c r="AE55">
        <v>4.2095504420000003</v>
      </c>
      <c r="AF55">
        <v>4.2594483710000004</v>
      </c>
      <c r="AG55">
        <v>4.309924927</v>
      </c>
      <c r="AH55">
        <v>4.3609821860000002</v>
      </c>
      <c r="AI55">
        <v>4.4126225620000001</v>
      </c>
      <c r="AJ55">
        <v>4.4648488239999997</v>
      </c>
      <c r="AK55">
        <v>4.5176641059999998</v>
      </c>
    </row>
    <row r="56" spans="1:37" x14ac:dyDescent="0.25">
      <c r="A56" t="s">
        <v>2086</v>
      </c>
      <c r="B56">
        <v>0.96789552570000004</v>
      </c>
      <c r="C56">
        <v>0.97792267899999996</v>
      </c>
      <c r="D56">
        <v>0.98732124460000004</v>
      </c>
      <c r="E56">
        <v>0.99634670820000004</v>
      </c>
      <c r="F56">
        <v>1.005029306</v>
      </c>
      <c r="G56">
        <v>1.0132419859999999</v>
      </c>
      <c r="H56">
        <v>1.021079651</v>
      </c>
      <c r="I56">
        <v>1.0288402109999999</v>
      </c>
      <c r="J56">
        <v>1.0366693039999999</v>
      </c>
      <c r="K56">
        <v>1.0445783710000001</v>
      </c>
      <c r="L56">
        <v>1.0524839850000001</v>
      </c>
      <c r="M56">
        <v>1.0602396569999999</v>
      </c>
      <c r="N56">
        <v>1.067660066</v>
      </c>
      <c r="O56">
        <v>1.0745404300000001</v>
      </c>
      <c r="P56">
        <v>1.080672879</v>
      </c>
      <c r="Q56">
        <v>1.0858606070000001</v>
      </c>
      <c r="R56">
        <v>1.090138788</v>
      </c>
      <c r="S56">
        <v>1.093758469</v>
      </c>
      <c r="T56">
        <v>1.0969310800000001</v>
      </c>
      <c r="U56">
        <v>1.0998168589999999</v>
      </c>
      <c r="V56">
        <v>1.102535144</v>
      </c>
      <c r="W56">
        <v>1.105174755</v>
      </c>
      <c r="X56">
        <v>1.1078019379999999</v>
      </c>
      <c r="Y56">
        <v>1.110466162</v>
      </c>
      <c r="Z56">
        <v>1.1132043869999999</v>
      </c>
      <c r="AA56">
        <v>1.116044236</v>
      </c>
      <c r="AB56">
        <v>1.119006384</v>
      </c>
      <c r="AC56">
        <v>1.122106367</v>
      </c>
      <c r="AD56">
        <v>1.125355952</v>
      </c>
      <c r="AE56">
        <v>1.128764176</v>
      </c>
      <c r="AF56">
        <v>1.132338131</v>
      </c>
      <c r="AG56">
        <v>1.136083556</v>
      </c>
      <c r="AH56">
        <v>1.1400052700000001</v>
      </c>
      <c r="AI56">
        <v>1.1441075000000001</v>
      </c>
      <c r="AJ56">
        <v>1.1483941150000001</v>
      </c>
      <c r="AK56">
        <v>1.152868783</v>
      </c>
    </row>
    <row r="57" spans="1:37" x14ac:dyDescent="0.25">
      <c r="A57" t="s">
        <v>2087</v>
      </c>
      <c r="B57">
        <v>0.96789552570000004</v>
      </c>
      <c r="C57">
        <v>0.97861787840000003</v>
      </c>
      <c r="D57">
        <v>0.98927798290000002</v>
      </c>
      <c r="E57">
        <v>1.0000762780000001</v>
      </c>
      <c r="F57">
        <v>1.0111070369999999</v>
      </c>
      <c r="G57">
        <v>1.022397454</v>
      </c>
      <c r="H57">
        <v>1.0339430869999999</v>
      </c>
      <c r="I57">
        <v>1.0457279450000001</v>
      </c>
      <c r="J57">
        <v>1.0577340449999999</v>
      </c>
      <c r="K57">
        <v>1.0699453269999999</v>
      </c>
      <c r="L57">
        <v>1.0823489129999999</v>
      </c>
      <c r="M57">
        <v>1.0949352139999999</v>
      </c>
      <c r="N57">
        <v>1.107697607</v>
      </c>
      <c r="O57">
        <v>1.120631969</v>
      </c>
      <c r="P57">
        <v>1.1337361850000001</v>
      </c>
      <c r="Q57">
        <v>1.147009669</v>
      </c>
      <c r="R57">
        <v>1.1604529240000001</v>
      </c>
      <c r="S57">
        <v>1.174067178</v>
      </c>
      <c r="T57">
        <v>1.187854057</v>
      </c>
      <c r="U57">
        <v>1.2018153469999999</v>
      </c>
      <c r="V57">
        <v>1.2159528159999999</v>
      </c>
      <c r="W57">
        <v>1.2302681049999999</v>
      </c>
      <c r="X57">
        <v>1.2447626679999999</v>
      </c>
      <c r="Y57">
        <v>1.2594377569999999</v>
      </c>
      <c r="Z57">
        <v>1.274294432</v>
      </c>
      <c r="AA57">
        <v>1.2893335889999999</v>
      </c>
      <c r="AB57">
        <v>1.3045560009999999</v>
      </c>
      <c r="AC57">
        <v>1.3199623579999999</v>
      </c>
      <c r="AD57">
        <v>1.3355533079999999</v>
      </c>
      <c r="AE57">
        <v>1.3513294929999999</v>
      </c>
      <c r="AF57">
        <v>1.367291579</v>
      </c>
      <c r="AG57">
        <v>1.3834402770000001</v>
      </c>
      <c r="AH57">
        <v>1.399776363</v>
      </c>
      <c r="AI57">
        <v>1.4163006890000001</v>
      </c>
      <c r="AJ57">
        <v>1.4330141890000001</v>
      </c>
      <c r="AK57">
        <v>1.449917889</v>
      </c>
    </row>
    <row r="58" spans="1:37" x14ac:dyDescent="0.25">
      <c r="A58" t="s">
        <v>2088</v>
      </c>
      <c r="B58">
        <v>13.28085467</v>
      </c>
      <c r="C58">
        <v>13.41680631</v>
      </c>
      <c r="D58">
        <v>13.54346979</v>
      </c>
      <c r="E58">
        <v>13.663903850000001</v>
      </c>
      <c r="F58">
        <v>13.777773789999999</v>
      </c>
      <c r="G58">
        <v>13.882606620000001</v>
      </c>
      <c r="H58">
        <v>13.98028171</v>
      </c>
      <c r="I58">
        <v>14.076169030000001</v>
      </c>
      <c r="J58">
        <v>14.172748350000001</v>
      </c>
      <c r="K58">
        <v>14.27018065</v>
      </c>
      <c r="L58">
        <v>14.36704153</v>
      </c>
      <c r="M58">
        <v>14.46088525</v>
      </c>
      <c r="N58">
        <v>14.54866923</v>
      </c>
      <c r="O58">
        <v>14.62709164</v>
      </c>
      <c r="P58">
        <v>14.69287374</v>
      </c>
      <c r="Q58">
        <v>14.742998050000001</v>
      </c>
      <c r="R58">
        <v>14.77838757</v>
      </c>
      <c r="S58">
        <v>14.803407139999999</v>
      </c>
      <c r="T58">
        <v>14.821555050000001</v>
      </c>
      <c r="U58">
        <v>14.835421419999999</v>
      </c>
      <c r="V58">
        <v>14.846898810000001</v>
      </c>
      <c r="W58">
        <v>14.8573681</v>
      </c>
      <c r="X58">
        <v>14.867836219999999</v>
      </c>
      <c r="Y58">
        <v>14.87903607</v>
      </c>
      <c r="Z58">
        <v>14.89149984</v>
      </c>
      <c r="AA58">
        <v>14.90561333</v>
      </c>
      <c r="AB58">
        <v>14.921656520000001</v>
      </c>
      <c r="AC58">
        <v>14.93983379</v>
      </c>
      <c r="AD58">
        <v>14.96029626</v>
      </c>
      <c r="AE58">
        <v>14.983158449999999</v>
      </c>
      <c r="AF58">
        <v>15.008510360000001</v>
      </c>
      <c r="AG58">
        <v>15.03642636</v>
      </c>
      <c r="AH58">
        <v>15.06697149</v>
      </c>
      <c r="AI58">
        <v>15.10020594</v>
      </c>
      <c r="AJ58">
        <v>15.13618812</v>
      </c>
      <c r="AK58">
        <v>15.17497663</v>
      </c>
    </row>
    <row r="59" spans="1:37" x14ac:dyDescent="0.25">
      <c r="A59" t="s">
        <v>2089</v>
      </c>
      <c r="B59">
        <v>13.28085467</v>
      </c>
      <c r="C59">
        <v>13.42948604</v>
      </c>
      <c r="D59">
        <v>13.57860685</v>
      </c>
      <c r="E59">
        <v>13.73026686</v>
      </c>
      <c r="F59">
        <v>13.88525042</v>
      </c>
      <c r="G59">
        <v>14.043701260000001</v>
      </c>
      <c r="H59">
        <v>14.205501480000001</v>
      </c>
      <c r="I59">
        <v>14.370444750000001</v>
      </c>
      <c r="J59">
        <v>14.53831096</v>
      </c>
      <c r="K59">
        <v>14.70889852</v>
      </c>
      <c r="L59">
        <v>14.882037860000001</v>
      </c>
      <c r="M59">
        <v>15.05759582</v>
      </c>
      <c r="N59">
        <v>15.23547505</v>
      </c>
      <c r="O59">
        <v>15.415610790000001</v>
      </c>
      <c r="P59">
        <v>15.597965889999999</v>
      </c>
      <c r="Q59">
        <v>15.78252502</v>
      </c>
      <c r="R59">
        <v>15.96928892</v>
      </c>
      <c r="S59">
        <v>16.15826947</v>
      </c>
      <c r="T59">
        <v>16.349485189999999</v>
      </c>
      <c r="U59">
        <v>16.542957779999998</v>
      </c>
      <c r="V59">
        <v>16.73870973</v>
      </c>
      <c r="W59">
        <v>16.936762860000002</v>
      </c>
      <c r="X59">
        <v>17.137137620000001</v>
      </c>
      <c r="Y59">
        <v>17.339852910000001</v>
      </c>
      <c r="Z59">
        <v>17.54492625</v>
      </c>
      <c r="AA59">
        <v>17.75237422</v>
      </c>
      <c r="AB59">
        <v>17.962212959999999</v>
      </c>
      <c r="AC59">
        <v>18.17445871</v>
      </c>
      <c r="AD59">
        <v>18.389128209999999</v>
      </c>
      <c r="AE59">
        <v>18.60623914</v>
      </c>
      <c r="AF59">
        <v>18.825810369999999</v>
      </c>
      <c r="AG59">
        <v>19.047862160000001</v>
      </c>
      <c r="AH59">
        <v>19.272416199999999</v>
      </c>
      <c r="AI59">
        <v>19.499495700000001</v>
      </c>
      <c r="AJ59">
        <v>19.7291253</v>
      </c>
      <c r="AK59">
        <v>19.961331049999998</v>
      </c>
    </row>
    <row r="60" spans="1:37" x14ac:dyDescent="0.25">
      <c r="A60" t="s">
        <v>2090</v>
      </c>
      <c r="B60">
        <v>10.66675435</v>
      </c>
      <c r="C60">
        <v>10.78702155</v>
      </c>
      <c r="D60">
        <v>10.906326249999999</v>
      </c>
      <c r="E60">
        <v>11.025457400000001</v>
      </c>
      <c r="F60">
        <v>11.144498130000001</v>
      </c>
      <c r="G60">
        <v>11.262932340000001</v>
      </c>
      <c r="H60">
        <v>11.38070931</v>
      </c>
      <c r="I60">
        <v>11.49863611</v>
      </c>
      <c r="J60">
        <v>11.617407529999999</v>
      </c>
      <c r="K60">
        <v>11.737215409999999</v>
      </c>
      <c r="L60">
        <v>11.857816850000001</v>
      </c>
      <c r="M60">
        <v>11.97863843</v>
      </c>
      <c r="N60">
        <v>12.09886455</v>
      </c>
      <c r="O60">
        <v>12.21751036</v>
      </c>
      <c r="P60">
        <v>12.33348385</v>
      </c>
      <c r="Q60">
        <v>12.44564053</v>
      </c>
      <c r="R60">
        <v>12.55351885</v>
      </c>
      <c r="S60">
        <v>12.65767248</v>
      </c>
      <c r="T60">
        <v>12.75892545</v>
      </c>
      <c r="U60">
        <v>12.85800489</v>
      </c>
      <c r="V60">
        <v>12.95550894</v>
      </c>
      <c r="W60">
        <v>13.0519202</v>
      </c>
      <c r="X60">
        <v>13.1476237</v>
      </c>
      <c r="Y60">
        <v>13.24292397</v>
      </c>
      <c r="Z60">
        <v>13.33806103</v>
      </c>
      <c r="AA60">
        <v>13.43322478</v>
      </c>
      <c r="AB60">
        <v>13.52856755</v>
      </c>
      <c r="AC60">
        <v>13.62421458</v>
      </c>
      <c r="AD60">
        <v>13.72027252</v>
      </c>
      <c r="AE60">
        <v>13.816836049999999</v>
      </c>
      <c r="AF60">
        <v>13.913992970000001</v>
      </c>
      <c r="AG60">
        <v>14.01182796</v>
      </c>
      <c r="AH60">
        <v>14.11042533</v>
      </c>
      <c r="AI60">
        <v>14.20987087</v>
      </c>
      <c r="AJ60">
        <v>14.31025307</v>
      </c>
      <c r="AK60">
        <v>14.41166385</v>
      </c>
    </row>
    <row r="61" spans="1:37" x14ac:dyDescent="0.25">
      <c r="A61" t="s">
        <v>2091</v>
      </c>
      <c r="B61">
        <v>10.66675435</v>
      </c>
      <c r="C61">
        <v>10.78884152</v>
      </c>
      <c r="D61">
        <v>10.912299450000001</v>
      </c>
      <c r="E61">
        <v>11.03774658</v>
      </c>
      <c r="F61">
        <v>11.16543783</v>
      </c>
      <c r="G61">
        <v>11.295418010000001</v>
      </c>
      <c r="H61">
        <v>11.4276286</v>
      </c>
      <c r="I61">
        <v>11.56196271</v>
      </c>
      <c r="J61">
        <v>11.698296900000001</v>
      </c>
      <c r="K61">
        <v>11.83651113</v>
      </c>
      <c r="L61">
        <v>11.97650037</v>
      </c>
      <c r="M61">
        <v>12.118180089999999</v>
      </c>
      <c r="N61">
        <v>12.261487710000001</v>
      </c>
      <c r="O61">
        <v>12.40638173</v>
      </c>
      <c r="P61">
        <v>12.55283929</v>
      </c>
      <c r="Q61">
        <v>12.700852980000001</v>
      </c>
      <c r="R61">
        <v>12.85042743</v>
      </c>
      <c r="S61">
        <v>13.001576330000001</v>
      </c>
      <c r="T61">
        <v>13.15431942</v>
      </c>
      <c r="U61">
        <v>13.30868008</v>
      </c>
      <c r="V61">
        <v>13.46468351</v>
      </c>
      <c r="W61">
        <v>13.622355499999999</v>
      </c>
      <c r="X61">
        <v>13.781721750000001</v>
      </c>
      <c r="Y61">
        <v>13.942807520000001</v>
      </c>
      <c r="Z61">
        <v>14.10563761</v>
      </c>
      <c r="AA61">
        <v>14.27023647</v>
      </c>
      <c r="AB61">
        <v>14.4366284</v>
      </c>
      <c r="AC61">
        <v>14.604837789999999</v>
      </c>
      <c r="AD61">
        <v>14.774889290000001</v>
      </c>
      <c r="AE61">
        <v>14.94680797</v>
      </c>
      <c r="AF61">
        <v>15.12061944</v>
      </c>
      <c r="AG61">
        <v>15.29634985</v>
      </c>
      <c r="AH61">
        <v>15.474025920000001</v>
      </c>
      <c r="AI61">
        <v>15.653674880000001</v>
      </c>
      <c r="AJ61">
        <v>15.835324419999999</v>
      </c>
      <c r="AK61">
        <v>16.019002619999998</v>
      </c>
    </row>
    <row r="62" spans="1:37" x14ac:dyDescent="0.25">
      <c r="A62" t="s">
        <v>2092</v>
      </c>
      <c r="B62">
        <v>1.185692003</v>
      </c>
      <c r="C62">
        <v>1.198752246</v>
      </c>
      <c r="D62">
        <v>1.211345152</v>
      </c>
      <c r="E62">
        <v>1.2235522400000001</v>
      </c>
      <c r="F62">
        <v>1.235351141</v>
      </c>
      <c r="G62">
        <v>1.246607756</v>
      </c>
      <c r="H62">
        <v>1.2573441729999999</v>
      </c>
      <c r="I62">
        <v>1.2678080679999999</v>
      </c>
      <c r="J62">
        <v>1.278203735</v>
      </c>
      <c r="K62">
        <v>1.28860967</v>
      </c>
      <c r="L62">
        <v>1.2989873119999999</v>
      </c>
      <c r="M62">
        <v>1.3092057070000001</v>
      </c>
      <c r="N62">
        <v>1.319067207</v>
      </c>
      <c r="O62">
        <v>1.3283309889999999</v>
      </c>
      <c r="P62">
        <v>1.3367339229999999</v>
      </c>
      <c r="Q62">
        <v>1.344008994</v>
      </c>
      <c r="R62">
        <v>1.35008448</v>
      </c>
      <c r="S62">
        <v>1.355145829</v>
      </c>
      <c r="T62">
        <v>1.359430452</v>
      </c>
      <c r="U62">
        <v>1.363149392</v>
      </c>
      <c r="V62">
        <v>1.366473437</v>
      </c>
      <c r="W62">
        <v>1.3695346930000001</v>
      </c>
      <c r="X62">
        <v>1.372432611</v>
      </c>
      <c r="Y62">
        <v>1.375240891</v>
      </c>
      <c r="Z62">
        <v>1.3780138930000001</v>
      </c>
      <c r="AA62">
        <v>1.3807919989999999</v>
      </c>
      <c r="AB62">
        <v>1.383605821</v>
      </c>
      <c r="AC62">
        <v>1.3864793550000001</v>
      </c>
      <c r="AD62">
        <v>1.389432244</v>
      </c>
      <c r="AE62">
        <v>1.392481361</v>
      </c>
      <c r="AF62">
        <v>1.395641873</v>
      </c>
      <c r="AG62">
        <v>1.398927939</v>
      </c>
      <c r="AH62">
        <v>1.402353156</v>
      </c>
      <c r="AI62">
        <v>1.405930831</v>
      </c>
      <c r="AJ62">
        <v>1.409674133</v>
      </c>
      <c r="AK62">
        <v>1.413596173</v>
      </c>
    </row>
    <row r="63" spans="1:37" x14ac:dyDescent="0.25">
      <c r="A63" t="s">
        <v>2093</v>
      </c>
      <c r="B63">
        <v>1.185692003</v>
      </c>
      <c r="C63">
        <v>1.1992627849999999</v>
      </c>
      <c r="D63">
        <v>1.212971816</v>
      </c>
      <c r="E63">
        <v>1.226876563</v>
      </c>
      <c r="F63">
        <v>1.241002553</v>
      </c>
      <c r="G63">
        <v>1.255355599</v>
      </c>
      <c r="H63">
        <v>1.269931345</v>
      </c>
      <c r="I63">
        <v>1.28472046</v>
      </c>
      <c r="J63">
        <v>1.2997118620000001</v>
      </c>
      <c r="K63">
        <v>1.3148948730000001</v>
      </c>
      <c r="L63">
        <v>1.3302604899999999</v>
      </c>
      <c r="M63">
        <v>1.3458019459999999</v>
      </c>
      <c r="N63">
        <v>1.361514779</v>
      </c>
      <c r="O63">
        <v>1.3773966209999999</v>
      </c>
      <c r="P63">
        <v>1.393446851</v>
      </c>
      <c r="Q63">
        <v>1.4096662</v>
      </c>
      <c r="R63">
        <v>1.4260563770000001</v>
      </c>
      <c r="S63">
        <v>1.442619756</v>
      </c>
      <c r="T63">
        <v>1.4593591029999999</v>
      </c>
      <c r="U63">
        <v>1.4762773730000001</v>
      </c>
      <c r="V63">
        <v>1.493377569</v>
      </c>
      <c r="W63">
        <v>1.5106626540000001</v>
      </c>
      <c r="X63">
        <v>1.5281355139999999</v>
      </c>
      <c r="Y63">
        <v>1.5457989409999999</v>
      </c>
      <c r="Z63">
        <v>1.563655652</v>
      </c>
      <c r="AA63">
        <v>1.5817083110000001</v>
      </c>
      <c r="AB63">
        <v>1.5999595499999999</v>
      </c>
      <c r="AC63">
        <v>1.618412006</v>
      </c>
      <c r="AD63">
        <v>1.6370683349999999</v>
      </c>
      <c r="AE63">
        <v>1.6559312310000001</v>
      </c>
      <c r="AF63">
        <v>1.675003442</v>
      </c>
      <c r="AG63">
        <v>1.694287769</v>
      </c>
      <c r="AH63">
        <v>1.7137870660000001</v>
      </c>
      <c r="AI63">
        <v>1.7335042389999999</v>
      </c>
      <c r="AJ63">
        <v>1.753442239</v>
      </c>
      <c r="AK63">
        <v>1.7736040529999999</v>
      </c>
    </row>
    <row r="64" spans="1:37" x14ac:dyDescent="0.25">
      <c r="A64" t="s">
        <v>2094</v>
      </c>
      <c r="B64">
        <v>1.297393003</v>
      </c>
      <c r="C64">
        <v>1.3060264660000001</v>
      </c>
      <c r="D64">
        <v>1.312171781</v>
      </c>
      <c r="E64">
        <v>1.3171825699999999</v>
      </c>
      <c r="F64">
        <v>1.3213345249999999</v>
      </c>
      <c r="G64">
        <v>1.324471116</v>
      </c>
      <c r="H64">
        <v>1.3272339609999999</v>
      </c>
      <c r="I64">
        <v>1.33055173</v>
      </c>
      <c r="J64">
        <v>1.334670035</v>
      </c>
      <c r="K64">
        <v>1.3394760619999999</v>
      </c>
      <c r="L64">
        <v>1.344678952</v>
      </c>
      <c r="M64">
        <v>1.349910425</v>
      </c>
      <c r="N64">
        <v>1.354785387</v>
      </c>
      <c r="O64">
        <v>1.358941548</v>
      </c>
      <c r="P64">
        <v>1.362065876</v>
      </c>
      <c r="Q64">
        <v>1.363910806</v>
      </c>
      <c r="R64">
        <v>1.3646648109999999</v>
      </c>
      <c r="S64">
        <v>1.3648266550000001</v>
      </c>
      <c r="T64">
        <v>1.3647463630000001</v>
      </c>
      <c r="U64">
        <v>1.3646537729999999</v>
      </c>
      <c r="V64">
        <v>1.364697276</v>
      </c>
      <c r="W64">
        <v>1.3649715339999999</v>
      </c>
      <c r="X64">
        <v>1.3655355179999999</v>
      </c>
      <c r="Y64">
        <v>1.3664242179999999</v>
      </c>
      <c r="Z64">
        <v>1.367656438</v>
      </c>
      <c r="AA64">
        <v>1.3692401430000001</v>
      </c>
      <c r="AB64">
        <v>1.3711762119999999</v>
      </c>
      <c r="AC64">
        <v>1.373461102</v>
      </c>
      <c r="AD64">
        <v>1.376088738</v>
      </c>
      <c r="AE64">
        <v>1.3790518389999999</v>
      </c>
      <c r="AF64">
        <v>1.382342833</v>
      </c>
      <c r="AG64">
        <v>1.385954468</v>
      </c>
      <c r="AH64">
        <v>1.3898801999999999</v>
      </c>
      <c r="AI64">
        <v>1.394114429</v>
      </c>
      <c r="AJ64">
        <v>1.398652604</v>
      </c>
      <c r="AK64">
        <v>1.403491257</v>
      </c>
    </row>
    <row r="65" spans="1:37" x14ac:dyDescent="0.25">
      <c r="A65" t="s">
        <v>2095</v>
      </c>
      <c r="B65">
        <v>1.297393003</v>
      </c>
      <c r="C65">
        <v>1.3117790069999999</v>
      </c>
      <c r="D65">
        <v>1.326248535</v>
      </c>
      <c r="E65">
        <v>1.3410685959999999</v>
      </c>
      <c r="F65">
        <v>1.356308748</v>
      </c>
      <c r="G65">
        <v>1.3719494029999999</v>
      </c>
      <c r="H65">
        <v>1.3879457479999999</v>
      </c>
      <c r="I65">
        <v>1.404254463</v>
      </c>
      <c r="J65">
        <v>1.4208415539999999</v>
      </c>
      <c r="K65">
        <v>1.437682541</v>
      </c>
      <c r="L65">
        <v>1.454760394</v>
      </c>
      <c r="M65">
        <v>1.472063372</v>
      </c>
      <c r="N65">
        <v>1.4895834370000001</v>
      </c>
      <c r="O65">
        <v>1.507315221</v>
      </c>
      <c r="P65">
        <v>1.5252553929999999</v>
      </c>
      <c r="Q65">
        <v>1.543402205</v>
      </c>
      <c r="R65">
        <v>1.5617551569999999</v>
      </c>
      <c r="S65">
        <v>1.580314725</v>
      </c>
      <c r="T65">
        <v>1.5990820910000001</v>
      </c>
      <c r="U65">
        <v>1.6180589089999999</v>
      </c>
      <c r="V65">
        <v>1.6372471159999999</v>
      </c>
      <c r="W65">
        <v>1.6566487990000001</v>
      </c>
      <c r="X65">
        <v>1.6762660970000001</v>
      </c>
      <c r="Y65">
        <v>1.696101166</v>
      </c>
      <c r="Z65">
        <v>1.716156166</v>
      </c>
      <c r="AA65">
        <v>1.7364332709999999</v>
      </c>
      <c r="AB65">
        <v>1.756934698</v>
      </c>
      <c r="AC65">
        <v>1.7776627309999999</v>
      </c>
      <c r="AD65">
        <v>1.7986197479999999</v>
      </c>
      <c r="AE65">
        <v>1.819808243</v>
      </c>
      <c r="AF65">
        <v>1.8412308340000001</v>
      </c>
      <c r="AG65">
        <v>1.8628902730000001</v>
      </c>
      <c r="AH65">
        <v>1.8847894409999999</v>
      </c>
      <c r="AI65">
        <v>1.906931344</v>
      </c>
      <c r="AJ65">
        <v>1.929319104</v>
      </c>
      <c r="AK65">
        <v>1.951955946</v>
      </c>
    </row>
    <row r="66" spans="1:37" x14ac:dyDescent="0.25">
      <c r="A66" t="s">
        <v>2096</v>
      </c>
      <c r="B66">
        <v>8.392555711</v>
      </c>
      <c r="C66">
        <v>8.4821745330000002</v>
      </c>
      <c r="D66">
        <v>8.5684470130000001</v>
      </c>
      <c r="E66">
        <v>8.6529701540000001</v>
      </c>
      <c r="F66">
        <v>8.7358051420000002</v>
      </c>
      <c r="G66">
        <v>8.8159977400000002</v>
      </c>
      <c r="H66">
        <v>8.8939133899999998</v>
      </c>
      <c r="I66">
        <v>8.9712604290000009</v>
      </c>
      <c r="J66">
        <v>9.0489762660000004</v>
      </c>
      <c r="K66">
        <v>9.1272010150000007</v>
      </c>
      <c r="L66">
        <v>9.2054492050000007</v>
      </c>
      <c r="M66">
        <v>9.2827806440000007</v>
      </c>
      <c r="N66">
        <v>9.3579462850000006</v>
      </c>
      <c r="O66">
        <v>9.4295120259999994</v>
      </c>
      <c r="P66">
        <v>9.4959650890000002</v>
      </c>
      <c r="Q66">
        <v>9.555805372</v>
      </c>
      <c r="R66">
        <v>9.6089361419999992</v>
      </c>
      <c r="S66">
        <v>9.6567234479999993</v>
      </c>
      <c r="T66">
        <v>9.7004762850000006</v>
      </c>
      <c r="U66">
        <v>9.7412672219999994</v>
      </c>
      <c r="V66">
        <v>9.7799376819999999</v>
      </c>
      <c r="W66">
        <v>9.8171365940000008</v>
      </c>
      <c r="X66">
        <v>9.8533612549999994</v>
      </c>
      <c r="Y66">
        <v>9.8889931900000008</v>
      </c>
      <c r="Z66">
        <v>9.924327624</v>
      </c>
      <c r="AA66">
        <v>9.9595968060000004</v>
      </c>
      <c r="AB66">
        <v>9.9949879240000001</v>
      </c>
      <c r="AC66">
        <v>10.030656540000001</v>
      </c>
      <c r="AD66">
        <v>10.06673644</v>
      </c>
      <c r="AE66">
        <v>10.10334675</v>
      </c>
      <c r="AF66">
        <v>10.140597</v>
      </c>
      <c r="AG66">
        <v>10.17859065</v>
      </c>
      <c r="AH66">
        <v>10.21742751</v>
      </c>
      <c r="AI66">
        <v>10.257205389999999</v>
      </c>
      <c r="AJ66">
        <v>10.298021110000001</v>
      </c>
      <c r="AK66">
        <v>10.3399711</v>
      </c>
    </row>
    <row r="67" spans="1:37" x14ac:dyDescent="0.25">
      <c r="A67" t="s">
        <v>2097</v>
      </c>
      <c r="B67">
        <v>8.392555711</v>
      </c>
      <c r="C67">
        <v>8.4864020599999996</v>
      </c>
      <c r="D67">
        <v>8.5806126769999995</v>
      </c>
      <c r="E67">
        <v>8.6765403570000004</v>
      </c>
      <c r="F67">
        <v>8.7746648799999996</v>
      </c>
      <c r="G67">
        <v>8.8750172670000005</v>
      </c>
      <c r="H67">
        <v>8.9774572369999994</v>
      </c>
      <c r="I67">
        <v>9.081804709</v>
      </c>
      <c r="J67">
        <v>9.1878918350000003</v>
      </c>
      <c r="K67">
        <v>9.2955791990000005</v>
      </c>
      <c r="L67">
        <v>9.4047578600000001</v>
      </c>
      <c r="M67">
        <v>9.5153466909999995</v>
      </c>
      <c r="N67">
        <v>9.6272885620000004</v>
      </c>
      <c r="O67">
        <v>9.7405465440000008</v>
      </c>
      <c r="P67">
        <v>9.8551003080000008</v>
      </c>
      <c r="Q67">
        <v>9.9709426499999996</v>
      </c>
      <c r="R67">
        <v>10.088076360000001</v>
      </c>
      <c r="S67">
        <v>10.20651155</v>
      </c>
      <c r="T67">
        <v>10.326263170000001</v>
      </c>
      <c r="U67">
        <v>10.447349129999999</v>
      </c>
      <c r="V67">
        <v>10.56978885</v>
      </c>
      <c r="W67">
        <v>10.693602240000001</v>
      </c>
      <c r="X67">
        <v>10.81880911</v>
      </c>
      <c r="Y67">
        <v>10.945428850000001</v>
      </c>
      <c r="Z67">
        <v>11.07348034</v>
      </c>
      <c r="AA67">
        <v>11.202981980000001</v>
      </c>
      <c r="AB67">
        <v>11.33395183</v>
      </c>
      <c r="AC67">
        <v>11.46640775</v>
      </c>
      <c r="AD67">
        <v>11.60036756</v>
      </c>
      <c r="AE67">
        <v>11.735849200000001</v>
      </c>
      <c r="AF67">
        <v>11.87287079</v>
      </c>
      <c r="AG67">
        <v>12.011450740000001</v>
      </c>
      <c r="AH67">
        <v>12.151607759999999</v>
      </c>
      <c r="AI67">
        <v>12.293360870000001</v>
      </c>
      <c r="AJ67">
        <v>12.43672941</v>
      </c>
      <c r="AK67">
        <v>12.581732990000001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1875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1876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1877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1878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1879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1880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1881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1882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1883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1884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1885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1886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1887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1888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1889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1890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1891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1892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1893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1894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1968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1969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1970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1971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1895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1897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1972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1973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1974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1899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1901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1975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1976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1977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1978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1979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1980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1981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1982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1983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1984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1985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1986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1987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1988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1989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1990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1991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1992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1896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1898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1993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1994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1995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1900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1902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1996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1997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1998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1999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2000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2001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2002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2003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2004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2005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2006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2007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2008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2009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1944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1945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1946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1947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1849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1850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1948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1949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1950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1851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1852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1853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1854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1855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1856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1857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1858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1859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1860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1861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1951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1952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1953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1954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1955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1956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1957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1958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1959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1862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1863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1961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1962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1864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1865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1866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1867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1868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1869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1870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1871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1872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1873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1874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1963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1964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1965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1966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1967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468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1839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1840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1841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472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1842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1843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475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477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1844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1845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1846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481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1847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1848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484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1771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1772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1773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1774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66</v>
      </c>
      <c r="B10">
        <v>7095.7005250000002</v>
      </c>
      <c r="C10">
        <v>7141.7439880000002</v>
      </c>
      <c r="D10">
        <v>7236.2108500000004</v>
      </c>
      <c r="E10">
        <v>7362.7565290000002</v>
      </c>
      <c r="F10">
        <v>7510.0299349999996</v>
      </c>
      <c r="G10">
        <v>7670.2472029999999</v>
      </c>
      <c r="H10">
        <v>7838.7850349999999</v>
      </c>
      <c r="I10">
        <v>8013.1055109999998</v>
      </c>
      <c r="J10">
        <v>8191.2469520000004</v>
      </c>
      <c r="K10">
        <v>8371.6255729999993</v>
      </c>
      <c r="L10">
        <v>8552.9218550000005</v>
      </c>
      <c r="M10">
        <v>8733.9921400000003</v>
      </c>
      <c r="N10">
        <v>8913.8008030000001</v>
      </c>
      <c r="O10">
        <v>9091.3683889999993</v>
      </c>
      <c r="P10">
        <v>9265.7305400000005</v>
      </c>
      <c r="Q10">
        <v>9435.9022650000006</v>
      </c>
      <c r="R10">
        <v>9601.6398969999991</v>
      </c>
      <c r="S10">
        <v>9763.3043679999992</v>
      </c>
      <c r="T10">
        <v>9920.8512179999998</v>
      </c>
      <c r="U10">
        <v>10073.96235</v>
      </c>
      <c r="V10">
        <v>10222.14596</v>
      </c>
      <c r="W10">
        <v>10364.787990000001</v>
      </c>
      <c r="X10">
        <v>10501.17597</v>
      </c>
      <c r="Y10">
        <v>10630.50922</v>
      </c>
      <c r="Z10">
        <v>10751.902609999999</v>
      </c>
      <c r="AA10">
        <v>10864.38847</v>
      </c>
      <c r="AB10">
        <v>10966.918830000001</v>
      </c>
      <c r="AC10">
        <v>11058.36961</v>
      </c>
      <c r="AD10">
        <v>11137.54775</v>
      </c>
      <c r="AE10">
        <v>11203.201940000001</v>
      </c>
      <c r="AF10">
        <v>11254.03751</v>
      </c>
      <c r="AG10">
        <v>11288.73596</v>
      </c>
      <c r="AH10">
        <v>11305.979009999999</v>
      </c>
      <c r="AI10">
        <v>11304.4774</v>
      </c>
      <c r="AJ10">
        <v>11283.00395</v>
      </c>
      <c r="AK10">
        <v>11240.43024</v>
      </c>
    </row>
    <row r="11" spans="1:37" x14ac:dyDescent="0.25">
      <c r="A11" t="s">
        <v>67</v>
      </c>
      <c r="B11">
        <v>8251.256421</v>
      </c>
      <c r="C11">
        <v>8182.7844539999996</v>
      </c>
      <c r="D11">
        <v>8168.3355730000003</v>
      </c>
      <c r="E11">
        <v>8191.2663309999998</v>
      </c>
      <c r="F11">
        <v>8239.9130120000009</v>
      </c>
      <c r="G11">
        <v>8306.1530999999995</v>
      </c>
      <c r="H11">
        <v>8384.9727180000009</v>
      </c>
      <c r="I11">
        <v>8473.4298299999991</v>
      </c>
      <c r="J11">
        <v>8569.2031970000007</v>
      </c>
      <c r="K11">
        <v>8670.3748560000004</v>
      </c>
      <c r="L11">
        <v>8775.3060330000008</v>
      </c>
      <c r="M11">
        <v>8882.5442230000008</v>
      </c>
      <c r="N11">
        <v>8990.7536220000002</v>
      </c>
      <c r="O11">
        <v>9098.6627050000006</v>
      </c>
      <c r="P11">
        <v>9205.0230439999996</v>
      </c>
      <c r="Q11">
        <v>9308.5738020000008</v>
      </c>
      <c r="R11">
        <v>9408.7536359999995</v>
      </c>
      <c r="S11">
        <v>9505.5997970000008</v>
      </c>
      <c r="T11">
        <v>9598.8301439999996</v>
      </c>
      <c r="U11">
        <v>9687.9491309999994</v>
      </c>
      <c r="V11">
        <v>9772.3322900000003</v>
      </c>
      <c r="W11">
        <v>9851.2702169999993</v>
      </c>
      <c r="X11">
        <v>9923.9897560000009</v>
      </c>
      <c r="Y11">
        <v>9989.6639109999996</v>
      </c>
      <c r="Z11">
        <v>10047.417020000001</v>
      </c>
      <c r="AA11">
        <v>10096.328729999999</v>
      </c>
      <c r="AB11">
        <v>10135.43887</v>
      </c>
      <c r="AC11">
        <v>10163.754150000001</v>
      </c>
      <c r="AD11">
        <v>10180.257680000001</v>
      </c>
      <c r="AE11">
        <v>10183.92152</v>
      </c>
      <c r="AF11">
        <v>10173.722529999999</v>
      </c>
      <c r="AG11">
        <v>10148.661630000001</v>
      </c>
      <c r="AH11">
        <v>10107.786260000001</v>
      </c>
      <c r="AI11">
        <v>10050.215630000001</v>
      </c>
      <c r="AJ11">
        <v>9975.1682849999997</v>
      </c>
      <c r="AK11">
        <v>9881.9910660000005</v>
      </c>
    </row>
    <row r="12" spans="1:37" x14ac:dyDescent="0.25">
      <c r="A12" t="s">
        <v>68</v>
      </c>
      <c r="B12">
        <v>6777.6024520000001</v>
      </c>
      <c r="C12">
        <v>6646.7628590000004</v>
      </c>
      <c r="D12">
        <v>6558.9663870000004</v>
      </c>
      <c r="E12">
        <v>6502.0081840000003</v>
      </c>
      <c r="F12">
        <v>6467.26224</v>
      </c>
      <c r="G12">
        <v>6448.6372609999999</v>
      </c>
      <c r="H12">
        <v>6442.2478430000001</v>
      </c>
      <c r="I12">
        <v>6445.6930149999998</v>
      </c>
      <c r="J12">
        <v>6457.0498120000002</v>
      </c>
      <c r="K12">
        <v>6474.7042330000004</v>
      </c>
      <c r="L12">
        <v>6497.2552610000002</v>
      </c>
      <c r="M12">
        <v>6523.4452289999999</v>
      </c>
      <c r="N12">
        <v>6552.1088769999997</v>
      </c>
      <c r="O12">
        <v>6582.1355510000003</v>
      </c>
      <c r="P12">
        <v>6612.4398520000004</v>
      </c>
      <c r="Q12">
        <v>6641.9366570000002</v>
      </c>
      <c r="R12">
        <v>6670.0211129999998</v>
      </c>
      <c r="S12">
        <v>6696.5179209999997</v>
      </c>
      <c r="T12">
        <v>6721.0788030000003</v>
      </c>
      <c r="U12">
        <v>6743.242346</v>
      </c>
      <c r="V12">
        <v>6762.4847749999999</v>
      </c>
      <c r="W12">
        <v>6778.2466480000003</v>
      </c>
      <c r="X12">
        <v>6789.9460079999999</v>
      </c>
      <c r="Y12">
        <v>6796.9849889999996</v>
      </c>
      <c r="Z12">
        <v>6798.7538560000003</v>
      </c>
      <c r="AA12">
        <v>6794.6346009999997</v>
      </c>
      <c r="AB12">
        <v>6784.0052619999997</v>
      </c>
      <c r="AC12">
        <v>6766.2455490000002</v>
      </c>
      <c r="AD12">
        <v>6740.7441310000004</v>
      </c>
      <c r="AE12">
        <v>6706.9076919999998</v>
      </c>
      <c r="AF12">
        <v>6664.1717500000004</v>
      </c>
      <c r="AG12">
        <v>6612.0131240000001</v>
      </c>
      <c r="AH12">
        <v>6549.9637679999996</v>
      </c>
      <c r="AI12">
        <v>6477.6256270000003</v>
      </c>
      <c r="AJ12">
        <v>6394.6860070000002</v>
      </c>
      <c r="AK12">
        <v>6300.9328379999997</v>
      </c>
    </row>
    <row r="13" spans="1:37" x14ac:dyDescent="0.25">
      <c r="A13" t="s">
        <v>69</v>
      </c>
      <c r="B13">
        <v>4159.6639080000004</v>
      </c>
      <c r="C13">
        <v>4054.5797419999999</v>
      </c>
      <c r="D13">
        <v>3973.8284979999999</v>
      </c>
      <c r="E13">
        <v>3910.0598810000001</v>
      </c>
      <c r="F13">
        <v>3858.1675019999998</v>
      </c>
      <c r="G13">
        <v>3814.603525</v>
      </c>
      <c r="H13">
        <v>3777.1169620000001</v>
      </c>
      <c r="I13">
        <v>3744.3155849999998</v>
      </c>
      <c r="J13">
        <v>3715.1046860000001</v>
      </c>
      <c r="K13">
        <v>3688.5794689999998</v>
      </c>
      <c r="L13">
        <v>3663.966539</v>
      </c>
      <c r="M13">
        <v>3640.5846419999998</v>
      </c>
      <c r="N13">
        <v>3617.8179610000002</v>
      </c>
      <c r="O13">
        <v>3595.0978479999999</v>
      </c>
      <c r="P13">
        <v>3571.8900829999998</v>
      </c>
      <c r="Q13">
        <v>3547.6856480000001</v>
      </c>
      <c r="R13">
        <v>3522.2278809999998</v>
      </c>
      <c r="S13">
        <v>3495.4858749999999</v>
      </c>
      <c r="T13">
        <v>3467.3739759999999</v>
      </c>
      <c r="U13">
        <v>3437.7763599999998</v>
      </c>
      <c r="V13">
        <v>3406.5692130000002</v>
      </c>
      <c r="W13">
        <v>3373.63229</v>
      </c>
      <c r="X13">
        <v>3338.854241</v>
      </c>
      <c r="Y13">
        <v>3302.1347110000002</v>
      </c>
      <c r="Z13">
        <v>3263.3849359999999</v>
      </c>
      <c r="AA13">
        <v>3222.5277270000001</v>
      </c>
      <c r="AB13">
        <v>3179.4972859999998</v>
      </c>
      <c r="AC13">
        <v>3134.2390569999998</v>
      </c>
      <c r="AD13">
        <v>3086.7097010000002</v>
      </c>
      <c r="AE13">
        <v>3036.8772060000001</v>
      </c>
      <c r="AF13">
        <v>2984.7211400000001</v>
      </c>
      <c r="AG13">
        <v>2930.233025</v>
      </c>
      <c r="AH13">
        <v>2873.4168239999999</v>
      </c>
      <c r="AI13">
        <v>2814.28955</v>
      </c>
      <c r="AJ13">
        <v>2752.881969</v>
      </c>
      <c r="AK13">
        <v>2689.239435</v>
      </c>
    </row>
    <row r="14" spans="1:37" x14ac:dyDescent="0.25">
      <c r="A14" t="s">
        <v>70</v>
      </c>
      <c r="B14">
        <v>2503.7292430000002</v>
      </c>
      <c r="C14">
        <v>2442.716915</v>
      </c>
      <c r="D14">
        <v>2395.2654680000001</v>
      </c>
      <c r="E14">
        <v>2356.683145</v>
      </c>
      <c r="F14">
        <v>2323.7961850000002</v>
      </c>
      <c r="G14">
        <v>2294.4653119999998</v>
      </c>
      <c r="H14">
        <v>2267.380537</v>
      </c>
      <c r="I14">
        <v>2241.7722570000001</v>
      </c>
      <c r="J14">
        <v>2217.0646809999998</v>
      </c>
      <c r="K14">
        <v>2192.8016640000001</v>
      </c>
      <c r="L14">
        <v>2168.607501</v>
      </c>
      <c r="M14">
        <v>2144.1620480000001</v>
      </c>
      <c r="N14">
        <v>2119.1846540000001</v>
      </c>
      <c r="O14">
        <v>2093.42371</v>
      </c>
      <c r="P14">
        <v>2066.649754</v>
      </c>
      <c r="Q14">
        <v>2038.6508260000001</v>
      </c>
      <c r="R14">
        <v>2009.35256</v>
      </c>
      <c r="S14">
        <v>1978.8037879999999</v>
      </c>
      <c r="T14">
        <v>1947.0308769999999</v>
      </c>
      <c r="U14">
        <v>1914.048667</v>
      </c>
      <c r="V14">
        <v>1879.8711149999999</v>
      </c>
      <c r="W14">
        <v>1844.5167650000001</v>
      </c>
      <c r="X14">
        <v>1808.011115</v>
      </c>
      <c r="Y14">
        <v>1770.3873530000001</v>
      </c>
      <c r="Z14">
        <v>1731.6863330000001</v>
      </c>
      <c r="AA14">
        <v>1691.9562410000001</v>
      </c>
      <c r="AB14">
        <v>1651.2521509999999</v>
      </c>
      <c r="AC14">
        <v>1609.6355759999999</v>
      </c>
      <c r="AD14">
        <v>1567.174037</v>
      </c>
      <c r="AE14">
        <v>1523.9406530000001</v>
      </c>
      <c r="AF14">
        <v>1480.013733</v>
      </c>
      <c r="AG14">
        <v>1435.476369</v>
      </c>
      <c r="AH14">
        <v>1390.416017</v>
      </c>
      <c r="AI14">
        <v>1344.9240589999999</v>
      </c>
      <c r="AJ14">
        <v>1299.095358</v>
      </c>
      <c r="AK14">
        <v>1253.0278020000001</v>
      </c>
    </row>
    <row r="15" spans="1:37" x14ac:dyDescent="0.25">
      <c r="A15" t="s">
        <v>71</v>
      </c>
      <c r="B15">
        <v>1243.6668460000001</v>
      </c>
      <c r="C15">
        <v>1210.492495</v>
      </c>
      <c r="D15">
        <v>1182.323858</v>
      </c>
      <c r="E15">
        <v>1156.636193</v>
      </c>
      <c r="F15">
        <v>1131.8888010000001</v>
      </c>
      <c r="G15">
        <v>1107.1769650000001</v>
      </c>
      <c r="H15">
        <v>1082.050888</v>
      </c>
      <c r="I15">
        <v>1056.334942</v>
      </c>
      <c r="J15">
        <v>1029.955195</v>
      </c>
      <c r="K15">
        <v>1002.894758</v>
      </c>
      <c r="L15">
        <v>975.17131440000003</v>
      </c>
      <c r="M15">
        <v>946.82415349999997</v>
      </c>
      <c r="N15">
        <v>917.90639620000002</v>
      </c>
      <c r="O15">
        <v>888.48020250000002</v>
      </c>
      <c r="P15">
        <v>858.61372919999997</v>
      </c>
      <c r="Q15">
        <v>828.37916280000002</v>
      </c>
      <c r="R15">
        <v>797.88431449999996</v>
      </c>
      <c r="S15">
        <v>767.26368239999999</v>
      </c>
      <c r="T15">
        <v>736.63803399999995</v>
      </c>
      <c r="U15">
        <v>706.11730850000004</v>
      </c>
      <c r="V15">
        <v>675.80339600000002</v>
      </c>
      <c r="W15">
        <v>645.79139239999995</v>
      </c>
      <c r="X15">
        <v>616.1699539</v>
      </c>
      <c r="Y15">
        <v>587.02122580000002</v>
      </c>
      <c r="Z15">
        <v>558.42062080000005</v>
      </c>
      <c r="AA15">
        <v>530.43659400000001</v>
      </c>
      <c r="AB15">
        <v>503.13047640000002</v>
      </c>
      <c r="AC15">
        <v>476.55638979999998</v>
      </c>
      <c r="AD15">
        <v>450.76124620000002</v>
      </c>
      <c r="AE15">
        <v>425.78482250000002</v>
      </c>
      <c r="AF15">
        <v>401.65990470000003</v>
      </c>
      <c r="AG15">
        <v>378.41249169999998</v>
      </c>
      <c r="AH15">
        <v>356.06205340000002</v>
      </c>
      <c r="AI15">
        <v>334.62183520000002</v>
      </c>
      <c r="AJ15">
        <v>314.09920460000001</v>
      </c>
      <c r="AK15">
        <v>294.49603300000001</v>
      </c>
    </row>
    <row r="16" spans="1:37" x14ac:dyDescent="0.25">
      <c r="A16" t="s">
        <v>72</v>
      </c>
      <c r="B16">
        <v>2239.620606</v>
      </c>
      <c r="C16">
        <v>2182.9511900000002</v>
      </c>
      <c r="D16">
        <v>2132.3988039999999</v>
      </c>
      <c r="E16">
        <v>2083.0710549999999</v>
      </c>
      <c r="F16">
        <v>2032.3339940000001</v>
      </c>
      <c r="G16">
        <v>1978.9455640000001</v>
      </c>
      <c r="H16">
        <v>1922.5733849999999</v>
      </c>
      <c r="I16">
        <v>1863.38723</v>
      </c>
      <c r="J16">
        <v>1801.724555</v>
      </c>
      <c r="K16">
        <v>1737.993365</v>
      </c>
      <c r="L16">
        <v>1672.625378</v>
      </c>
      <c r="M16">
        <v>1606.0510870000001</v>
      </c>
      <c r="N16">
        <v>1538.6862080000001</v>
      </c>
      <c r="O16">
        <v>1470.924264</v>
      </c>
      <c r="P16">
        <v>1403.132642</v>
      </c>
      <c r="Q16">
        <v>1335.6506919999999</v>
      </c>
      <c r="R16">
        <v>1268.8255959999999</v>
      </c>
      <c r="S16">
        <v>1202.999047</v>
      </c>
      <c r="T16">
        <v>1138.4631440000001</v>
      </c>
      <c r="U16">
        <v>1075.4659320000001</v>
      </c>
      <c r="V16">
        <v>1014.216772</v>
      </c>
      <c r="W16">
        <v>954.88991929999997</v>
      </c>
      <c r="X16">
        <v>897.62713929999995</v>
      </c>
      <c r="Y16">
        <v>842.53990799999997</v>
      </c>
      <c r="Z16">
        <v>789.71152359999996</v>
      </c>
      <c r="AA16">
        <v>739.19925909999995</v>
      </c>
      <c r="AB16">
        <v>691.03658819999998</v>
      </c>
      <c r="AC16">
        <v>645.23546690000001</v>
      </c>
      <c r="AD16">
        <v>601.78863509999996</v>
      </c>
      <c r="AE16">
        <v>560.67190059999996</v>
      </c>
      <c r="AF16">
        <v>521.84636839999996</v>
      </c>
      <c r="AG16">
        <v>485.26058890000002</v>
      </c>
      <c r="AH16">
        <v>450.85260019999998</v>
      </c>
      <c r="AI16">
        <v>418.55184789999998</v>
      </c>
      <c r="AJ16">
        <v>388.28096840000001</v>
      </c>
      <c r="AK16">
        <v>359.95742710000002</v>
      </c>
    </row>
    <row r="17" spans="1:37" x14ac:dyDescent="0.25">
      <c r="A17" t="s">
        <v>73</v>
      </c>
      <c r="B17">
        <v>9.8427898650000003</v>
      </c>
      <c r="C17">
        <v>14.98677562</v>
      </c>
      <c r="D17">
        <v>20.44188892</v>
      </c>
      <c r="E17">
        <v>26.112449139999999</v>
      </c>
      <c r="F17">
        <v>31.950416000000001</v>
      </c>
      <c r="G17">
        <v>37.949261730000003</v>
      </c>
      <c r="H17">
        <v>44.142141090000003</v>
      </c>
      <c r="I17">
        <v>50.582779780000003</v>
      </c>
      <c r="J17">
        <v>57.325872269999998</v>
      </c>
      <c r="K17">
        <v>64.430769369999993</v>
      </c>
      <c r="L17">
        <v>71.966934690000002</v>
      </c>
      <c r="M17">
        <v>80.020459020000004</v>
      </c>
      <c r="N17">
        <v>88.701914599999995</v>
      </c>
      <c r="O17">
        <v>98.156257339999996</v>
      </c>
      <c r="P17">
        <v>108.57594520000001</v>
      </c>
      <c r="Q17">
        <v>120.2190784</v>
      </c>
      <c r="R17">
        <v>133.4370993</v>
      </c>
      <c r="S17">
        <v>148.6682544</v>
      </c>
      <c r="T17">
        <v>166.4089108</v>
      </c>
      <c r="U17">
        <v>187.22067989999999</v>
      </c>
      <c r="V17">
        <v>211.73773399999999</v>
      </c>
      <c r="W17">
        <v>240.67353679999999</v>
      </c>
      <c r="X17">
        <v>274.82690589999999</v>
      </c>
      <c r="Y17">
        <v>315.08722010000002</v>
      </c>
      <c r="Z17">
        <v>362.4384718</v>
      </c>
      <c r="AA17">
        <v>417.9617619</v>
      </c>
      <c r="AB17">
        <v>482.83575330000002</v>
      </c>
      <c r="AC17">
        <v>558.33453750000001</v>
      </c>
      <c r="AD17">
        <v>645.82233480000002</v>
      </c>
      <c r="AE17">
        <v>746.74444080000001</v>
      </c>
      <c r="AF17">
        <v>862.61385929999994</v>
      </c>
      <c r="AG17">
        <v>994.99314949999996</v>
      </c>
      <c r="AH17">
        <v>1145.4711460000001</v>
      </c>
      <c r="AI17">
        <v>1315.634419</v>
      </c>
      <c r="AJ17">
        <v>1507.033623</v>
      </c>
      <c r="AK17">
        <v>1721.1452220000001</v>
      </c>
    </row>
    <row r="18" spans="1:37" x14ac:dyDescent="0.25">
      <c r="A18" t="s">
        <v>74</v>
      </c>
      <c r="B18">
        <v>11.44571741</v>
      </c>
      <c r="C18">
        <v>16.298725730000001</v>
      </c>
      <c r="D18">
        <v>21.445142629999999</v>
      </c>
      <c r="E18">
        <v>26.792131120000001</v>
      </c>
      <c r="F18">
        <v>32.294000230000002</v>
      </c>
      <c r="G18">
        <v>37.945945260000002</v>
      </c>
      <c r="H18">
        <v>43.781767790000004</v>
      </c>
      <c r="I18">
        <v>49.854747240000002</v>
      </c>
      <c r="J18">
        <v>56.21847236</v>
      </c>
      <c r="K18">
        <v>62.930440470000001</v>
      </c>
      <c r="L18">
        <v>70.057372700000002</v>
      </c>
      <c r="M18">
        <v>77.681484060000003</v>
      </c>
      <c r="N18">
        <v>85.907924730000005</v>
      </c>
      <c r="O18">
        <v>94.874013860000005</v>
      </c>
      <c r="P18">
        <v>104.76130120000001</v>
      </c>
      <c r="Q18">
        <v>115.8120426</v>
      </c>
      <c r="R18">
        <v>128.35424190000001</v>
      </c>
      <c r="S18">
        <v>142.7937646</v>
      </c>
      <c r="T18">
        <v>159.58537770000001</v>
      </c>
      <c r="U18">
        <v>179.2376491</v>
      </c>
      <c r="V18">
        <v>202.3178685</v>
      </c>
      <c r="W18">
        <v>229.45618899999999</v>
      </c>
      <c r="X18">
        <v>261.34888030000002</v>
      </c>
      <c r="Y18">
        <v>298.76051790000002</v>
      </c>
      <c r="Z18">
        <v>342.52484459999999</v>
      </c>
      <c r="AA18">
        <v>393.54397510000001</v>
      </c>
      <c r="AB18">
        <v>452.78556479999997</v>
      </c>
      <c r="AC18">
        <v>521.27754449999998</v>
      </c>
      <c r="AD18">
        <v>600.1000229</v>
      </c>
      <c r="AE18">
        <v>690.37399719999996</v>
      </c>
      <c r="AF18">
        <v>793.2465737</v>
      </c>
      <c r="AG18">
        <v>909.87251289999995</v>
      </c>
      <c r="AH18">
        <v>1041.3920660000001</v>
      </c>
      <c r="AI18">
        <v>1188.9052670000001</v>
      </c>
      <c r="AJ18">
        <v>1353.4430850000001</v>
      </c>
      <c r="AK18">
        <v>1535.9361309999999</v>
      </c>
    </row>
    <row r="19" spans="1:37" x14ac:dyDescent="0.25">
      <c r="A19" t="s">
        <v>75</v>
      </c>
      <c r="B19">
        <v>9.4015406210000005</v>
      </c>
      <c r="C19">
        <v>12.69768285</v>
      </c>
      <c r="D19">
        <v>16.19335895</v>
      </c>
      <c r="E19">
        <v>19.823554609999999</v>
      </c>
      <c r="F19">
        <v>23.556821750000001</v>
      </c>
      <c r="G19">
        <v>27.39065647</v>
      </c>
      <c r="H19">
        <v>31.34954905</v>
      </c>
      <c r="I19">
        <v>35.47124152</v>
      </c>
      <c r="J19">
        <v>39.793247970000003</v>
      </c>
      <c r="K19">
        <v>44.35537171</v>
      </c>
      <c r="L19">
        <v>49.203413930000004</v>
      </c>
      <c r="M19">
        <v>54.393495029999997</v>
      </c>
      <c r="N19">
        <v>59.99710151</v>
      </c>
      <c r="O19">
        <v>66.107249269999997</v>
      </c>
      <c r="P19">
        <v>72.846419979999993</v>
      </c>
      <c r="Q19">
        <v>80.377270300000006</v>
      </c>
      <c r="R19">
        <v>88.91887423</v>
      </c>
      <c r="S19">
        <v>98.740275030000006</v>
      </c>
      <c r="T19">
        <v>110.1396676</v>
      </c>
      <c r="U19">
        <v>123.4465984</v>
      </c>
      <c r="V19">
        <v>139.024114</v>
      </c>
      <c r="W19">
        <v>157.27027609999999</v>
      </c>
      <c r="X19">
        <v>178.61896239999999</v>
      </c>
      <c r="Y19">
        <v>203.53984109999999</v>
      </c>
      <c r="Z19">
        <v>232.53736660000001</v>
      </c>
      <c r="AA19">
        <v>266.14861280000002</v>
      </c>
      <c r="AB19">
        <v>304.93974739999999</v>
      </c>
      <c r="AC19">
        <v>349.50095399999998</v>
      </c>
      <c r="AD19">
        <v>400.43962970000001</v>
      </c>
      <c r="AE19">
        <v>458.3717302</v>
      </c>
      <c r="AF19">
        <v>523.9111881</v>
      </c>
      <c r="AG19">
        <v>597.65742379999995</v>
      </c>
      <c r="AH19">
        <v>680.18106290000003</v>
      </c>
      <c r="AI19">
        <v>772.00810660000002</v>
      </c>
      <c r="AJ19">
        <v>873.60293979999994</v>
      </c>
      <c r="AK19">
        <v>985.35070729999995</v>
      </c>
    </row>
    <row r="20" spans="1:37" x14ac:dyDescent="0.25">
      <c r="A20" t="s">
        <v>76</v>
      </c>
      <c r="B20">
        <v>5.770071272</v>
      </c>
      <c r="C20">
        <v>7.5615054730000004</v>
      </c>
      <c r="D20">
        <v>9.4379838589999991</v>
      </c>
      <c r="E20">
        <v>11.35207945</v>
      </c>
      <c r="F20">
        <v>13.275194150000001</v>
      </c>
      <c r="G20">
        <v>15.19295917</v>
      </c>
      <c r="H20">
        <v>17.10332404</v>
      </c>
      <c r="I20">
        <v>19.010938110000001</v>
      </c>
      <c r="J20">
        <v>20.921141630000001</v>
      </c>
      <c r="K20">
        <v>22.840063820000001</v>
      </c>
      <c r="L20">
        <v>24.775194509999999</v>
      </c>
      <c r="M20">
        <v>26.73612</v>
      </c>
      <c r="N20">
        <v>28.735392220000001</v>
      </c>
      <c r="O20">
        <v>30.789568280000001</v>
      </c>
      <c r="P20">
        <v>32.920506150000001</v>
      </c>
      <c r="Q20">
        <v>35.157052210000003</v>
      </c>
      <c r="R20">
        <v>37.538923269999998</v>
      </c>
      <c r="S20">
        <v>40.114565859999999</v>
      </c>
      <c r="T20">
        <v>42.934930999999999</v>
      </c>
      <c r="U20">
        <v>46.053606670000001</v>
      </c>
      <c r="V20">
        <v>49.526958950000001</v>
      </c>
      <c r="W20">
        <v>53.41412141</v>
      </c>
      <c r="X20">
        <v>57.776851649999998</v>
      </c>
      <c r="Y20">
        <v>62.679266990000002</v>
      </c>
      <c r="Z20">
        <v>68.187461170000006</v>
      </c>
      <c r="AA20">
        <v>74.368996670000001</v>
      </c>
      <c r="AB20">
        <v>81.292263750000004</v>
      </c>
      <c r="AC20">
        <v>89.025695900000002</v>
      </c>
      <c r="AD20">
        <v>97.636831959999995</v>
      </c>
      <c r="AE20">
        <v>107.191216</v>
      </c>
      <c r="AF20">
        <v>117.7511284</v>
      </c>
      <c r="AG20">
        <v>129.37414480000001</v>
      </c>
      <c r="AH20">
        <v>142.1115246</v>
      </c>
      <c r="AI20">
        <v>156.0064361</v>
      </c>
      <c r="AJ20">
        <v>171.09203640000001</v>
      </c>
      <c r="AK20">
        <v>187.38943420000001</v>
      </c>
    </row>
    <row r="21" spans="1:37" x14ac:dyDescent="0.25">
      <c r="A21" t="s">
        <v>77</v>
      </c>
      <c r="B21">
        <v>3.4730440960000002</v>
      </c>
      <c r="C21">
        <v>4.5722154760000002</v>
      </c>
      <c r="D21">
        <v>5.7140433249999996</v>
      </c>
      <c r="E21">
        <v>6.8675525430000004</v>
      </c>
      <c r="F21">
        <v>8.0145189620000004</v>
      </c>
      <c r="G21">
        <v>9.1461110110000003</v>
      </c>
      <c r="H21">
        <v>10.261243759999999</v>
      </c>
      <c r="I21">
        <v>11.362807200000001</v>
      </c>
      <c r="J21">
        <v>12.45393795</v>
      </c>
      <c r="K21">
        <v>13.538066860000001</v>
      </c>
      <c r="L21">
        <v>14.619250660000001</v>
      </c>
      <c r="M21">
        <v>15.70257655</v>
      </c>
      <c r="N21">
        <v>16.794605059999999</v>
      </c>
      <c r="O21">
        <v>17.903858849999999</v>
      </c>
      <c r="P21">
        <v>19.04138876</v>
      </c>
      <c r="Q21">
        <v>20.221467619999999</v>
      </c>
      <c r="R21">
        <v>21.463368240000001</v>
      </c>
      <c r="S21">
        <v>22.789836999999999</v>
      </c>
      <c r="T21">
        <v>24.223509069999999</v>
      </c>
      <c r="U21">
        <v>25.786814570000001</v>
      </c>
      <c r="V21">
        <v>27.50190834</v>
      </c>
      <c r="W21">
        <v>29.390532260000001</v>
      </c>
      <c r="X21">
        <v>31.473822670000001</v>
      </c>
      <c r="Y21">
        <v>33.772074310000001</v>
      </c>
      <c r="Z21">
        <v>36.304468649999997</v>
      </c>
      <c r="AA21">
        <v>39.088771960000003</v>
      </c>
      <c r="AB21">
        <v>42.141007449999996</v>
      </c>
      <c r="AC21">
        <v>45.475105829999997</v>
      </c>
      <c r="AD21">
        <v>49.102538780000003</v>
      </c>
      <c r="AE21">
        <v>53.031940990000003</v>
      </c>
      <c r="AF21">
        <v>57.268726450000003</v>
      </c>
      <c r="AG21">
        <v>61.814705940000003</v>
      </c>
      <c r="AH21">
        <v>66.667713710000001</v>
      </c>
      <c r="AI21">
        <v>71.821252290000004</v>
      </c>
      <c r="AJ21">
        <v>77.264166209999999</v>
      </c>
      <c r="AK21">
        <v>82.980357240000004</v>
      </c>
    </row>
    <row r="22" spans="1:37" x14ac:dyDescent="0.25">
      <c r="A22" t="s">
        <v>78</v>
      </c>
      <c r="B22">
        <v>1.7251505170000001</v>
      </c>
      <c r="C22">
        <v>2.244394497</v>
      </c>
      <c r="D22">
        <v>2.7668950890000001</v>
      </c>
      <c r="E22">
        <v>3.2740041689999999</v>
      </c>
      <c r="F22">
        <v>3.7551965630000002</v>
      </c>
      <c r="G22">
        <v>4.2053456369999997</v>
      </c>
      <c r="H22">
        <v>4.6232034869999996</v>
      </c>
      <c r="I22">
        <v>5.0095093979999996</v>
      </c>
      <c r="J22">
        <v>5.3653540150000003</v>
      </c>
      <c r="K22">
        <v>5.6920121210000003</v>
      </c>
      <c r="L22">
        <v>5.9909231490000003</v>
      </c>
      <c r="M22">
        <v>6.2637074889999997</v>
      </c>
      <c r="N22">
        <v>6.5121891439999997</v>
      </c>
      <c r="O22">
        <v>6.738415045</v>
      </c>
      <c r="P22">
        <v>6.9446695040000002</v>
      </c>
      <c r="Q22">
        <v>7.1334857420000004</v>
      </c>
      <c r="R22">
        <v>7.3079419129999996</v>
      </c>
      <c r="S22">
        <v>7.4712815580000003</v>
      </c>
      <c r="T22">
        <v>7.6261899179999997</v>
      </c>
      <c r="U22">
        <v>7.7748277469999998</v>
      </c>
      <c r="V22">
        <v>7.9188780850000002</v>
      </c>
      <c r="W22">
        <v>8.0595840780000003</v>
      </c>
      <c r="X22">
        <v>8.1977818669999998</v>
      </c>
      <c r="Y22">
        <v>8.333932055</v>
      </c>
      <c r="Z22">
        <v>8.4681519220000006</v>
      </c>
      <c r="AA22">
        <v>8.6002494380000005</v>
      </c>
      <c r="AB22">
        <v>8.7297594230000009</v>
      </c>
      <c r="AC22">
        <v>8.8559816930000004</v>
      </c>
      <c r="AD22">
        <v>8.9780207720000007</v>
      </c>
      <c r="AE22">
        <v>9.0948264979999998</v>
      </c>
      <c r="AF22">
        <v>9.2052348070000001</v>
      </c>
      <c r="AG22">
        <v>9.3080078709999992</v>
      </c>
      <c r="AH22">
        <v>9.4018728300000003</v>
      </c>
      <c r="AI22">
        <v>9.4855584250000007</v>
      </c>
      <c r="AJ22">
        <v>9.5578289190000003</v>
      </c>
      <c r="AK22">
        <v>9.6175148539999995</v>
      </c>
    </row>
    <row r="23" spans="1:37" x14ac:dyDescent="0.25">
      <c r="A23" t="s">
        <v>79</v>
      </c>
      <c r="B23">
        <v>3.1066862139999998</v>
      </c>
      <c r="C23">
        <v>4.0702695269999998</v>
      </c>
      <c r="D23">
        <v>5.0143829850000001</v>
      </c>
      <c r="E23">
        <v>5.9012134720000002</v>
      </c>
      <c r="F23">
        <v>6.711763382</v>
      </c>
      <c r="G23">
        <v>7.4388891170000004</v>
      </c>
      <c r="H23">
        <v>8.0831671870000008</v>
      </c>
      <c r="I23">
        <v>8.6487843669999993</v>
      </c>
      <c r="J23">
        <v>9.1404852200000004</v>
      </c>
      <c r="K23">
        <v>9.5631832140000004</v>
      </c>
      <c r="L23">
        <v>9.9218700230000003</v>
      </c>
      <c r="M23">
        <v>10.221594680000001</v>
      </c>
      <c r="N23">
        <v>10.467450299999999</v>
      </c>
      <c r="O23">
        <v>10.66455011</v>
      </c>
      <c r="P23">
        <v>10.81799124</v>
      </c>
      <c r="Q23">
        <v>10.932810529999999</v>
      </c>
      <c r="R23">
        <v>11.014264259999999</v>
      </c>
      <c r="S23">
        <v>11.06733715</v>
      </c>
      <c r="T23">
        <v>11.09599064</v>
      </c>
      <c r="U23">
        <v>11.103313999999999</v>
      </c>
      <c r="V23">
        <v>11.09168113</v>
      </c>
      <c r="W23">
        <v>11.062885189999999</v>
      </c>
      <c r="X23">
        <v>11.01825519</v>
      </c>
      <c r="Y23">
        <v>10.958758449999999</v>
      </c>
      <c r="Z23">
        <v>10.885091149999999</v>
      </c>
      <c r="AA23">
        <v>10.797758099999999</v>
      </c>
      <c r="AB23">
        <v>10.697142210000001</v>
      </c>
      <c r="AC23">
        <v>10.583563829999999</v>
      </c>
      <c r="AD23">
        <v>10.457329830000001</v>
      </c>
      <c r="AE23">
        <v>10.31877289</v>
      </c>
      <c r="AF23">
        <v>10.168281</v>
      </c>
      <c r="AG23">
        <v>10.006317960000001</v>
      </c>
      <c r="AH23">
        <v>9.8334354479999995</v>
      </c>
      <c r="AI23">
        <v>9.6502777650000002</v>
      </c>
      <c r="AJ23">
        <v>9.4575801429999995</v>
      </c>
      <c r="AK23">
        <v>9.2561619079999993</v>
      </c>
    </row>
    <row r="24" spans="1:37" x14ac:dyDescent="0.25">
      <c r="A24" t="s">
        <v>80</v>
      </c>
      <c r="B24">
        <v>0.42568169729999999</v>
      </c>
      <c r="C24">
        <v>0.44933516569999998</v>
      </c>
      <c r="D24">
        <v>0.47587941420000002</v>
      </c>
      <c r="E24">
        <v>0.50407722799999999</v>
      </c>
      <c r="F24">
        <v>0.53308136819999996</v>
      </c>
      <c r="G24">
        <v>0.56232302369999998</v>
      </c>
      <c r="H24">
        <v>0.59148356609999997</v>
      </c>
      <c r="I24">
        <v>0.62040925059999996</v>
      </c>
      <c r="J24">
        <v>0.64898775880000004</v>
      </c>
      <c r="K24">
        <v>0.67713271480000004</v>
      </c>
      <c r="L24">
        <v>0.70477498770000002</v>
      </c>
      <c r="M24">
        <v>0.73185591490000002</v>
      </c>
      <c r="N24">
        <v>0.75832209910000004</v>
      </c>
      <c r="O24">
        <v>0.78412142839999999</v>
      </c>
      <c r="P24">
        <v>0.80919991300000005</v>
      </c>
      <c r="Q24">
        <v>0.83349889870000005</v>
      </c>
      <c r="R24">
        <v>0.85701923759999998</v>
      </c>
      <c r="S24">
        <v>0.87981092790000004</v>
      </c>
      <c r="T24">
        <v>0.90188914539999998</v>
      </c>
      <c r="U24">
        <v>0.9232448379</v>
      </c>
      <c r="V24">
        <v>0.94385284790000001</v>
      </c>
      <c r="W24">
        <v>0.96367609990000003</v>
      </c>
      <c r="X24">
        <v>0.98266755900000002</v>
      </c>
      <c r="Y24">
        <v>1.0007710569999999</v>
      </c>
      <c r="Z24">
        <v>1.017921608</v>
      </c>
      <c r="AA24">
        <v>1.0340455669999999</v>
      </c>
      <c r="AB24">
        <v>1.04906082</v>
      </c>
      <c r="AC24">
        <v>1.0628771379999999</v>
      </c>
      <c r="AD24">
        <v>1.075396789</v>
      </c>
      <c r="AE24">
        <v>1.086515452</v>
      </c>
      <c r="AF24">
        <v>1.0961235090000001</v>
      </c>
      <c r="AG24">
        <v>1.1041077189999999</v>
      </c>
      <c r="AH24">
        <v>1.110353323</v>
      </c>
      <c r="AI24">
        <v>1.1147465519999999</v>
      </c>
      <c r="AJ24">
        <v>1.1171775319999999</v>
      </c>
      <c r="AK24">
        <v>1.1175435330000001</v>
      </c>
    </row>
    <row r="25" spans="1:37" x14ac:dyDescent="0.25">
      <c r="A25" t="s">
        <v>81</v>
      </c>
      <c r="B25">
        <v>0.49500522540000003</v>
      </c>
      <c r="C25">
        <v>0.51226023529999998</v>
      </c>
      <c r="D25">
        <v>0.53252768289999997</v>
      </c>
      <c r="E25">
        <v>0.55457425149999995</v>
      </c>
      <c r="F25">
        <v>0.57755324689999998</v>
      </c>
      <c r="G25">
        <v>0.60089213809999997</v>
      </c>
      <c r="H25">
        <v>0.62426223319999996</v>
      </c>
      <c r="I25">
        <v>0.64749666139999995</v>
      </c>
      <c r="J25">
        <v>0.67047190050000005</v>
      </c>
      <c r="K25">
        <v>0.69309085189999997</v>
      </c>
      <c r="L25">
        <v>0.71527340210000001</v>
      </c>
      <c r="M25">
        <v>0.73694937849999997</v>
      </c>
      <c r="N25">
        <v>0.75805330260000003</v>
      </c>
      <c r="O25">
        <v>0.77852045520000002</v>
      </c>
      <c r="P25">
        <v>0.79828378960000002</v>
      </c>
      <c r="Q25">
        <v>0.81727124470000001</v>
      </c>
      <c r="R25">
        <v>0.83546578540000005</v>
      </c>
      <c r="S25">
        <v>0.85289806000000001</v>
      </c>
      <c r="T25">
        <v>0.86957021209999996</v>
      </c>
      <c r="U25">
        <v>0.88546447849999999</v>
      </c>
      <c r="V25">
        <v>0.90055013559999997</v>
      </c>
      <c r="W25">
        <v>0.91478716169999996</v>
      </c>
      <c r="X25">
        <v>0.92812804270000004</v>
      </c>
      <c r="Y25">
        <v>0.94051865629999998</v>
      </c>
      <c r="Z25">
        <v>0.95189876699999998</v>
      </c>
      <c r="AA25">
        <v>0.96220242659999999</v>
      </c>
      <c r="AB25">
        <v>0.97135844280000005</v>
      </c>
      <c r="AC25">
        <v>0.97929101659999995</v>
      </c>
      <c r="AD25">
        <v>0.98592060800000003</v>
      </c>
      <c r="AE25">
        <v>0.99116507129999998</v>
      </c>
      <c r="AF25">
        <v>0.99494107899999995</v>
      </c>
      <c r="AG25">
        <v>0.99716584399999997</v>
      </c>
      <c r="AH25">
        <v>0.99775912789999999</v>
      </c>
      <c r="AI25">
        <v>0.99664551010000002</v>
      </c>
      <c r="AJ25">
        <v>0.99375687069999996</v>
      </c>
      <c r="AK25">
        <v>0.98903501650000003</v>
      </c>
    </row>
    <row r="26" spans="1:37" x14ac:dyDescent="0.25">
      <c r="A26" t="s">
        <v>82</v>
      </c>
      <c r="B26">
        <v>0.40659851759999999</v>
      </c>
      <c r="C26">
        <v>0.41450489509999999</v>
      </c>
      <c r="D26">
        <v>0.42467781360000001</v>
      </c>
      <c r="E26">
        <v>0.43623168080000002</v>
      </c>
      <c r="F26">
        <v>0.44855712269999998</v>
      </c>
      <c r="G26">
        <v>0.46123940009999997</v>
      </c>
      <c r="H26">
        <v>0.47403519</v>
      </c>
      <c r="I26">
        <v>0.48681568390000002</v>
      </c>
      <c r="J26">
        <v>0.49948458439999999</v>
      </c>
      <c r="K26">
        <v>0.51196499689999997</v>
      </c>
      <c r="L26">
        <v>0.52419217389999995</v>
      </c>
      <c r="M26">
        <v>0.53610829790000003</v>
      </c>
      <c r="N26">
        <v>0.54765870569999997</v>
      </c>
      <c r="O26">
        <v>0.55878912010000004</v>
      </c>
      <c r="P26">
        <v>0.5694435162</v>
      </c>
      <c r="Q26">
        <v>0.57956229820000005</v>
      </c>
      <c r="R26">
        <v>0.58912284820000005</v>
      </c>
      <c r="S26">
        <v>0.5981360952</v>
      </c>
      <c r="T26">
        <v>0.60659660650000002</v>
      </c>
      <c r="U26">
        <v>0.61448750770000005</v>
      </c>
      <c r="V26">
        <v>0.62178472299999998</v>
      </c>
      <c r="W26">
        <v>0.62845926100000005</v>
      </c>
      <c r="X26">
        <v>0.63447839289999997</v>
      </c>
      <c r="Y26">
        <v>0.63980629440000003</v>
      </c>
      <c r="Z26">
        <v>0.644404474</v>
      </c>
      <c r="AA26">
        <v>0.64823216500000003</v>
      </c>
      <c r="AB26">
        <v>0.6512467757</v>
      </c>
      <c r="AC26">
        <v>0.65340445079999998</v>
      </c>
      <c r="AD26">
        <v>0.65466077290000002</v>
      </c>
      <c r="AE26">
        <v>0.65497161780000002</v>
      </c>
      <c r="AF26">
        <v>0.65429416220000003</v>
      </c>
      <c r="AG26">
        <v>0.65258803860000003</v>
      </c>
      <c r="AH26">
        <v>0.64981661390000001</v>
      </c>
      <c r="AI26">
        <v>0.64594836470000006</v>
      </c>
      <c r="AJ26">
        <v>0.64095830639999996</v>
      </c>
      <c r="AK26">
        <v>0.63482942539999998</v>
      </c>
    </row>
    <row r="27" spans="1:37" x14ac:dyDescent="0.25">
      <c r="A27" t="s">
        <v>83</v>
      </c>
      <c r="B27">
        <v>0.2495444651</v>
      </c>
      <c r="C27">
        <v>0.25231484729999998</v>
      </c>
      <c r="D27">
        <v>0.25626929209999999</v>
      </c>
      <c r="E27">
        <v>0.26087537430000002</v>
      </c>
      <c r="F27">
        <v>0.26577440320000001</v>
      </c>
      <c r="G27">
        <v>0.27072765720000003</v>
      </c>
      <c r="H27">
        <v>0.2755970888</v>
      </c>
      <c r="I27">
        <v>0.28031070759999999</v>
      </c>
      <c r="J27">
        <v>0.28481691539999998</v>
      </c>
      <c r="K27">
        <v>0.28907613640000002</v>
      </c>
      <c r="L27">
        <v>0.29305639220000002</v>
      </c>
      <c r="M27">
        <v>0.29673038730000001</v>
      </c>
      <c r="N27">
        <v>0.30007357600000001</v>
      </c>
      <c r="O27">
        <v>0.30306288310000001</v>
      </c>
      <c r="P27">
        <v>0.30567585050000001</v>
      </c>
      <c r="Q27">
        <v>0.30789004790000002</v>
      </c>
      <c r="R27">
        <v>0.30970231990000002</v>
      </c>
      <c r="S27">
        <v>0.31112699659999998</v>
      </c>
      <c r="T27">
        <v>0.3121727104</v>
      </c>
      <c r="U27">
        <v>0.31284445999999999</v>
      </c>
      <c r="V27">
        <v>0.31314550299999999</v>
      </c>
      <c r="W27">
        <v>0.31307838389999998</v>
      </c>
      <c r="X27">
        <v>0.31264544919999998</v>
      </c>
      <c r="Y27">
        <v>0.31184909459999999</v>
      </c>
      <c r="Z27">
        <v>0.31069188349999999</v>
      </c>
      <c r="AA27">
        <v>0.30917661140000002</v>
      </c>
      <c r="AB27">
        <v>0.3073063513</v>
      </c>
      <c r="AC27">
        <v>0.30508449850000002</v>
      </c>
      <c r="AD27">
        <v>0.30251482159999998</v>
      </c>
      <c r="AE27">
        <v>0.29960152220000003</v>
      </c>
      <c r="AF27">
        <v>0.29634930250000002</v>
      </c>
      <c r="AG27">
        <v>0.29276344180000002</v>
      </c>
      <c r="AH27">
        <v>0.28884987909999998</v>
      </c>
      <c r="AI27">
        <v>0.28461530429999998</v>
      </c>
      <c r="AJ27">
        <v>0.28006725609999999</v>
      </c>
      <c r="AK27">
        <v>0.2752142286</v>
      </c>
    </row>
    <row r="28" spans="1:37" x14ac:dyDescent="0.25">
      <c r="A28" t="s">
        <v>84</v>
      </c>
      <c r="B28">
        <v>0.15020246549999999</v>
      </c>
      <c r="C28">
        <v>0.15205803779999999</v>
      </c>
      <c r="D28">
        <v>0.15453801219999999</v>
      </c>
      <c r="E28">
        <v>0.15729786309999999</v>
      </c>
      <c r="F28">
        <v>0.1601114521</v>
      </c>
      <c r="G28">
        <v>0.1628329332</v>
      </c>
      <c r="H28">
        <v>0.16538125870000001</v>
      </c>
      <c r="I28">
        <v>0.16771728020000001</v>
      </c>
      <c r="J28">
        <v>0.16981554709999999</v>
      </c>
      <c r="K28">
        <v>0.1716584864</v>
      </c>
      <c r="L28">
        <v>0.17323339930000001</v>
      </c>
      <c r="M28">
        <v>0.1745305919</v>
      </c>
      <c r="N28">
        <v>0.17554220109999999</v>
      </c>
      <c r="O28">
        <v>0.17626146009999999</v>
      </c>
      <c r="P28">
        <v>0.17668224090000001</v>
      </c>
      <c r="Q28">
        <v>0.17679876850000001</v>
      </c>
      <c r="R28">
        <v>0.17661580239999999</v>
      </c>
      <c r="S28">
        <v>0.17614766870000001</v>
      </c>
      <c r="T28">
        <v>0.17540622980000001</v>
      </c>
      <c r="U28">
        <v>0.1744018108</v>
      </c>
      <c r="V28">
        <v>0.17314411430000001</v>
      </c>
      <c r="W28">
        <v>0.1716427133</v>
      </c>
      <c r="X28">
        <v>0.1699072875</v>
      </c>
      <c r="Y28">
        <v>0.1679477247</v>
      </c>
      <c r="Z28">
        <v>0.16577415570000001</v>
      </c>
      <c r="AA28">
        <v>0.16339696109999999</v>
      </c>
      <c r="AB28">
        <v>0.16082676630000001</v>
      </c>
      <c r="AC28">
        <v>0.15807443390000001</v>
      </c>
      <c r="AD28">
        <v>0.15515105439999999</v>
      </c>
      <c r="AE28">
        <v>0.15206793660000001</v>
      </c>
      <c r="AF28">
        <v>0.14883659690000001</v>
      </c>
      <c r="AG28">
        <v>0.14546874570000001</v>
      </c>
      <c r="AH28">
        <v>0.1419762712</v>
      </c>
      <c r="AI28">
        <v>0.1383712201</v>
      </c>
      <c r="AJ28">
        <v>0.13466577630000001</v>
      </c>
      <c r="AK28">
        <v>0.13087223649999999</v>
      </c>
    </row>
    <row r="29" spans="1:37" x14ac:dyDescent="0.25">
      <c r="A29" t="s">
        <v>85</v>
      </c>
      <c r="B29">
        <v>7.4609436000000001E-2</v>
      </c>
      <c r="C29">
        <v>7.5290206700000001E-2</v>
      </c>
      <c r="D29">
        <v>7.6132076399999998E-2</v>
      </c>
      <c r="E29">
        <v>7.6945596599999999E-2</v>
      </c>
      <c r="F29">
        <v>7.7619323800000001E-2</v>
      </c>
      <c r="G29">
        <v>7.8092136100000001E-2</v>
      </c>
      <c r="H29">
        <v>7.8339035299999998E-2</v>
      </c>
      <c r="I29">
        <v>7.8356677999999999E-2</v>
      </c>
      <c r="J29">
        <v>7.8149325199999994E-2</v>
      </c>
      <c r="K29">
        <v>7.7725280399999999E-2</v>
      </c>
      <c r="L29">
        <v>7.7095122399999994E-2</v>
      </c>
      <c r="M29">
        <v>7.62706992E-2</v>
      </c>
      <c r="N29">
        <v>7.5264537399999998E-2</v>
      </c>
      <c r="O29">
        <v>7.4089487400000001E-2</v>
      </c>
      <c r="P29">
        <v>7.27585065E-2</v>
      </c>
      <c r="Q29">
        <v>7.1284526400000006E-2</v>
      </c>
      <c r="R29">
        <v>6.9683135300000004E-2</v>
      </c>
      <c r="S29">
        <v>6.7971894099999999E-2</v>
      </c>
      <c r="T29">
        <v>6.61669919E-2</v>
      </c>
      <c r="U29">
        <v>6.4283485700000004E-2</v>
      </c>
      <c r="V29">
        <v>6.2335534200000001E-2</v>
      </c>
      <c r="W29">
        <v>6.0336506400000003E-2</v>
      </c>
      <c r="X29">
        <v>5.8299016600000003E-2</v>
      </c>
      <c r="Y29">
        <v>5.6234922999999999E-2</v>
      </c>
      <c r="Z29">
        <v>5.4155314500000003E-2</v>
      </c>
      <c r="AA29">
        <v>5.2070495299999998E-2</v>
      </c>
      <c r="AB29">
        <v>4.9989974499999999E-2</v>
      </c>
      <c r="AC29">
        <v>4.7922462499999999E-2</v>
      </c>
      <c r="AD29">
        <v>4.5875873099999999E-2</v>
      </c>
      <c r="AE29">
        <v>4.3857332999999998E-2</v>
      </c>
      <c r="AF29">
        <v>4.1873196100000003E-2</v>
      </c>
      <c r="AG29">
        <v>3.99290635E-2</v>
      </c>
      <c r="AH29">
        <v>3.8029807399999997E-2</v>
      </c>
      <c r="AI29">
        <v>3.6179600200000002E-2</v>
      </c>
      <c r="AJ29">
        <v>3.4381946099999998E-2</v>
      </c>
      <c r="AK29">
        <v>3.2639716800000003E-2</v>
      </c>
    </row>
    <row r="30" spans="1:37" x14ac:dyDescent="0.25">
      <c r="A30" t="s">
        <v>86</v>
      </c>
      <c r="B30">
        <v>0.13435819299999999</v>
      </c>
      <c r="C30">
        <v>0.13584218980000001</v>
      </c>
      <c r="D30">
        <v>0.13737684</v>
      </c>
      <c r="E30">
        <v>0.1385879552</v>
      </c>
      <c r="F30">
        <v>0.1392824819</v>
      </c>
      <c r="G30">
        <v>0.13937914670000001</v>
      </c>
      <c r="H30">
        <v>0.1388700584</v>
      </c>
      <c r="I30">
        <v>0.13778783189999999</v>
      </c>
      <c r="J30">
        <v>0.13617824119999999</v>
      </c>
      <c r="K30">
        <v>0.13409233240000001</v>
      </c>
      <c r="L30">
        <v>0.1315826209</v>
      </c>
      <c r="M30">
        <v>0.12870105940000001</v>
      </c>
      <c r="N30">
        <v>0.1254979266</v>
      </c>
      <c r="O30">
        <v>0.1220212123</v>
      </c>
      <c r="P30">
        <v>0.1183162839</v>
      </c>
      <c r="Q30">
        <v>0.1144257199</v>
      </c>
      <c r="R30">
        <v>0.1103923143</v>
      </c>
      <c r="S30">
        <v>0.1062579949</v>
      </c>
      <c r="T30">
        <v>0.10206013680000001</v>
      </c>
      <c r="U30">
        <v>9.7831987600000003E-2</v>
      </c>
      <c r="V30">
        <v>9.3603088900000006E-2</v>
      </c>
      <c r="W30">
        <v>8.9399555199999994E-2</v>
      </c>
      <c r="X30">
        <v>8.5244278899999998E-2</v>
      </c>
      <c r="Y30">
        <v>8.1157103600000002E-2</v>
      </c>
      <c r="Z30">
        <v>7.7154994300000002E-2</v>
      </c>
      <c r="AA30">
        <v>7.3252213799999993E-2</v>
      </c>
      <c r="AB30">
        <v>6.9460508700000007E-2</v>
      </c>
      <c r="AC30">
        <v>6.5789302399999999E-2</v>
      </c>
      <c r="AD30">
        <v>6.2245893199999999E-2</v>
      </c>
      <c r="AE30">
        <v>5.8835653199999997E-2</v>
      </c>
      <c r="AF30">
        <v>5.5562225600000001E-2</v>
      </c>
      <c r="AG30">
        <v>5.2427716700000002E-2</v>
      </c>
      <c r="AH30">
        <v>4.9432881800000002E-2</v>
      </c>
      <c r="AI30">
        <v>4.6577301699999997E-2</v>
      </c>
      <c r="AJ30">
        <v>4.3859550599999998E-2</v>
      </c>
      <c r="AK30">
        <v>4.1277351099999998E-2</v>
      </c>
    </row>
    <row r="31" spans="1:37" x14ac:dyDescent="0.25">
      <c r="A31" t="s">
        <v>1775</v>
      </c>
      <c r="B31">
        <v>528.68436870000005</v>
      </c>
      <c r="C31">
        <v>598.23805579999998</v>
      </c>
      <c r="D31">
        <v>650.24460480000005</v>
      </c>
      <c r="E31">
        <v>689.67492819999995</v>
      </c>
      <c r="F31">
        <v>720.25056719999998</v>
      </c>
      <c r="G31">
        <v>744.65539590000003</v>
      </c>
      <c r="H31">
        <v>765.44422840000004</v>
      </c>
      <c r="I31">
        <v>784.34265800000003</v>
      </c>
      <c r="J31">
        <v>801.72941860000003</v>
      </c>
      <c r="K31">
        <v>817.82974609999997</v>
      </c>
      <c r="L31">
        <v>832.7846528</v>
      </c>
      <c r="M31">
        <v>846.66731630000004</v>
      </c>
      <c r="N31">
        <v>859.4967676</v>
      </c>
      <c r="O31">
        <v>871.24858270000004</v>
      </c>
      <c r="P31">
        <v>881.8616366</v>
      </c>
      <c r="Q31">
        <v>891.24024899999995</v>
      </c>
      <c r="R31">
        <v>900.04909250000003</v>
      </c>
      <c r="S31">
        <v>908.87380159999998</v>
      </c>
      <c r="T31">
        <v>917.33707300000003</v>
      </c>
      <c r="U31">
        <v>925.16180569999995</v>
      </c>
      <c r="V31">
        <v>932.14956099999995</v>
      </c>
      <c r="W31">
        <v>938.13976090000006</v>
      </c>
      <c r="X31">
        <v>942.98627309999995</v>
      </c>
      <c r="Y31">
        <v>946.54538720000005</v>
      </c>
      <c r="Z31">
        <v>948.67037560000006</v>
      </c>
      <c r="AA31">
        <v>949.20979680000005</v>
      </c>
      <c r="AB31">
        <v>948.00805839999998</v>
      </c>
      <c r="AC31">
        <v>944.90750270000001</v>
      </c>
      <c r="AD31">
        <v>939.75165130000005</v>
      </c>
      <c r="AE31">
        <v>932.38941580000005</v>
      </c>
      <c r="AF31">
        <v>922.68008650000002</v>
      </c>
      <c r="AG31">
        <v>910.49903270000004</v>
      </c>
      <c r="AH31">
        <v>895.74389910000002</v>
      </c>
      <c r="AI31">
        <v>878.34111270000005</v>
      </c>
      <c r="AJ31">
        <v>858.25241679999999</v>
      </c>
      <c r="AK31">
        <v>835.48108079999997</v>
      </c>
    </row>
    <row r="32" spans="1:37" x14ac:dyDescent="0.25">
      <c r="A32" t="s">
        <v>1776</v>
      </c>
      <c r="B32">
        <v>507.5668948</v>
      </c>
      <c r="C32">
        <v>573.64915540000004</v>
      </c>
      <c r="D32">
        <v>622.34368410000002</v>
      </c>
      <c r="E32">
        <v>658.59889599999997</v>
      </c>
      <c r="F32">
        <v>686.09931349999999</v>
      </c>
      <c r="G32">
        <v>707.47845489999997</v>
      </c>
      <c r="H32">
        <v>725.2128553</v>
      </c>
      <c r="I32">
        <v>740.98417119999999</v>
      </c>
      <c r="J32">
        <v>755.18424949999996</v>
      </c>
      <c r="K32">
        <v>768.03572029999998</v>
      </c>
      <c r="L32">
        <v>779.66852029999995</v>
      </c>
      <c r="M32">
        <v>790.14138330000003</v>
      </c>
      <c r="N32">
        <v>799.45797630000004</v>
      </c>
      <c r="O32">
        <v>807.5786253</v>
      </c>
      <c r="P32">
        <v>814.42747629999997</v>
      </c>
      <c r="Q32">
        <v>819.89496350000002</v>
      </c>
      <c r="R32">
        <v>824.58246410000004</v>
      </c>
      <c r="S32">
        <v>829.04488790000005</v>
      </c>
      <c r="T32">
        <v>832.96574009999995</v>
      </c>
      <c r="U32">
        <v>836.10965940000006</v>
      </c>
      <c r="V32">
        <v>838.30916149999996</v>
      </c>
      <c r="W32">
        <v>839.43071210000005</v>
      </c>
      <c r="X32">
        <v>839.35535370000002</v>
      </c>
      <c r="Y32">
        <v>837.96907780000004</v>
      </c>
      <c r="Z32">
        <v>835.15885649999996</v>
      </c>
      <c r="AA32">
        <v>830.81187460000001</v>
      </c>
      <c r="AB32">
        <v>824.81665220000002</v>
      </c>
      <c r="AC32">
        <v>817.06538850000004</v>
      </c>
      <c r="AD32">
        <v>807.45716349999998</v>
      </c>
      <c r="AE32">
        <v>795.90178719999994</v>
      </c>
      <c r="AF32">
        <v>782.3240816</v>
      </c>
      <c r="AG32">
        <v>766.66848449999998</v>
      </c>
      <c r="AH32">
        <v>748.90374629999997</v>
      </c>
      <c r="AI32">
        <v>729.0275226</v>
      </c>
      <c r="AJ32">
        <v>707.07060109999998</v>
      </c>
      <c r="AK32">
        <v>683.10046839999995</v>
      </c>
    </row>
    <row r="33" spans="1:37" x14ac:dyDescent="0.25">
      <c r="A33" t="s">
        <v>1777</v>
      </c>
      <c r="B33">
        <v>351.33496400000001</v>
      </c>
      <c r="C33">
        <v>396.60028699999998</v>
      </c>
      <c r="D33">
        <v>429.46133750000001</v>
      </c>
      <c r="E33">
        <v>453.467197</v>
      </c>
      <c r="F33">
        <v>471.24691050000001</v>
      </c>
      <c r="G33">
        <v>484.66391160000001</v>
      </c>
      <c r="H33">
        <v>495.45005730000003</v>
      </c>
      <c r="I33">
        <v>504.78741650000001</v>
      </c>
      <c r="J33">
        <v>512.96714889999998</v>
      </c>
      <c r="K33">
        <v>520.14856959999997</v>
      </c>
      <c r="L33">
        <v>526.41906159999996</v>
      </c>
      <c r="M33">
        <v>531.81294579999997</v>
      </c>
      <c r="N33">
        <v>536.32475509999995</v>
      </c>
      <c r="O33">
        <v>539.91841529999999</v>
      </c>
      <c r="P33">
        <v>542.53274820000001</v>
      </c>
      <c r="Q33">
        <v>544.08356460000005</v>
      </c>
      <c r="R33">
        <v>544.96668590000002</v>
      </c>
      <c r="S33">
        <v>545.56459859999995</v>
      </c>
      <c r="T33">
        <v>545.69068200000004</v>
      </c>
      <c r="U33">
        <v>545.20469500000002</v>
      </c>
      <c r="V33">
        <v>544.00836979999997</v>
      </c>
      <c r="W33">
        <v>542.02527940000004</v>
      </c>
      <c r="X33">
        <v>539.18937149999999</v>
      </c>
      <c r="Y33">
        <v>535.43944929999998</v>
      </c>
      <c r="Z33">
        <v>530.71711479999999</v>
      </c>
      <c r="AA33">
        <v>524.96664859999998</v>
      </c>
      <c r="AB33">
        <v>518.13599910000005</v>
      </c>
      <c r="AC33">
        <v>510.17844029999998</v>
      </c>
      <c r="AD33">
        <v>501.05465579999998</v>
      </c>
      <c r="AE33">
        <v>490.7350879</v>
      </c>
      <c r="AF33">
        <v>479.20240030000002</v>
      </c>
      <c r="AG33">
        <v>466.4539613</v>
      </c>
      <c r="AH33">
        <v>452.50419429999999</v>
      </c>
      <c r="AI33">
        <v>437.38666640000002</v>
      </c>
      <c r="AJ33">
        <v>421.15575919999998</v>
      </c>
      <c r="AK33">
        <v>403.8877655</v>
      </c>
    </row>
    <row r="34" spans="1:37" x14ac:dyDescent="0.25">
      <c r="A34" t="s">
        <v>1778</v>
      </c>
      <c r="B34">
        <v>194.7292726</v>
      </c>
      <c r="C34">
        <v>218.62508769999999</v>
      </c>
      <c r="D34">
        <v>234.78025410000001</v>
      </c>
      <c r="E34">
        <v>245.4787365</v>
      </c>
      <c r="F34">
        <v>252.3924366</v>
      </c>
      <c r="G34">
        <v>256.6825217</v>
      </c>
      <c r="H34">
        <v>259.36974249999997</v>
      </c>
      <c r="I34">
        <v>261.13768549999998</v>
      </c>
      <c r="J34">
        <v>262.17552810000001</v>
      </c>
      <c r="K34">
        <v>262.587988</v>
      </c>
      <c r="L34">
        <v>262.43605609999997</v>
      </c>
      <c r="M34">
        <v>261.75168550000001</v>
      </c>
      <c r="N34">
        <v>260.54729939999999</v>
      </c>
      <c r="O34">
        <v>258.8221403</v>
      </c>
      <c r="P34">
        <v>256.56638720000001</v>
      </c>
      <c r="Q34">
        <v>253.76366490000001</v>
      </c>
      <c r="R34">
        <v>250.62671839999999</v>
      </c>
      <c r="S34">
        <v>247.3613312</v>
      </c>
      <c r="T34">
        <v>243.91034859999999</v>
      </c>
      <c r="U34">
        <v>240.23693470000001</v>
      </c>
      <c r="V34">
        <v>236.3240868</v>
      </c>
      <c r="W34">
        <v>232.1657395</v>
      </c>
      <c r="X34">
        <v>227.7614289</v>
      </c>
      <c r="Y34">
        <v>223.113485</v>
      </c>
      <c r="Z34">
        <v>218.22568899999999</v>
      </c>
      <c r="AA34">
        <v>213.1027082</v>
      </c>
      <c r="AB34">
        <v>207.74992639999999</v>
      </c>
      <c r="AC34">
        <v>202.17346649999999</v>
      </c>
      <c r="AD34">
        <v>196.38029789999999</v>
      </c>
      <c r="AE34">
        <v>190.37837690000001</v>
      </c>
      <c r="AF34">
        <v>184.1767907</v>
      </c>
      <c r="AG34">
        <v>177.78590320000001</v>
      </c>
      <c r="AH34">
        <v>171.21749840000001</v>
      </c>
      <c r="AI34">
        <v>164.4849298</v>
      </c>
      <c r="AJ34">
        <v>157.60327910000001</v>
      </c>
      <c r="AK34">
        <v>150.5895261</v>
      </c>
    </row>
    <row r="35" spans="1:37" x14ac:dyDescent="0.25">
      <c r="A35" t="s">
        <v>1779</v>
      </c>
      <c r="B35">
        <v>119.7902723</v>
      </c>
      <c r="C35">
        <v>133.83041510000001</v>
      </c>
      <c r="D35">
        <v>142.6432543</v>
      </c>
      <c r="E35">
        <v>147.81965880000001</v>
      </c>
      <c r="F35">
        <v>150.51250619999999</v>
      </c>
      <c r="G35">
        <v>151.5092975</v>
      </c>
      <c r="H35">
        <v>151.47283669999999</v>
      </c>
      <c r="I35">
        <v>150.84156730000001</v>
      </c>
      <c r="J35">
        <v>149.74940889999999</v>
      </c>
      <c r="K35">
        <v>148.27119930000001</v>
      </c>
      <c r="L35">
        <v>146.4518812</v>
      </c>
      <c r="M35">
        <v>144.31777629999999</v>
      </c>
      <c r="N35">
        <v>141.8834659</v>
      </c>
      <c r="O35">
        <v>139.15614969999999</v>
      </c>
      <c r="P35">
        <v>136.13839469999999</v>
      </c>
      <c r="Q35">
        <v>132.82984640000001</v>
      </c>
      <c r="R35">
        <v>129.3516041</v>
      </c>
      <c r="S35">
        <v>125.82107689999999</v>
      </c>
      <c r="T35">
        <v>122.21960180000001</v>
      </c>
      <c r="U35">
        <v>118.53770249999999</v>
      </c>
      <c r="V35">
        <v>114.77565130000001</v>
      </c>
      <c r="W35">
        <v>110.9391227</v>
      </c>
      <c r="X35">
        <v>107.0365108</v>
      </c>
      <c r="Y35">
        <v>103.0774914</v>
      </c>
      <c r="Z35">
        <v>99.072315219999993</v>
      </c>
      <c r="AA35">
        <v>95.03149062</v>
      </c>
      <c r="AB35">
        <v>90.965656339999995</v>
      </c>
      <c r="AC35">
        <v>86.885537630000002</v>
      </c>
      <c r="AD35">
        <v>82.801930029999994</v>
      </c>
      <c r="AE35">
        <v>78.725684670000007</v>
      </c>
      <c r="AF35">
        <v>74.667683229999994</v>
      </c>
      <c r="AG35">
        <v>70.638802609999999</v>
      </c>
      <c r="AH35">
        <v>66.649871430000005</v>
      </c>
      <c r="AI35">
        <v>62.711623080000003</v>
      </c>
      <c r="AJ35">
        <v>58.83464961</v>
      </c>
      <c r="AK35">
        <v>55.02935918</v>
      </c>
    </row>
    <row r="36" spans="1:37" x14ac:dyDescent="0.25">
      <c r="A36" t="s">
        <v>1780</v>
      </c>
      <c r="B36">
        <v>57.932893</v>
      </c>
      <c r="C36">
        <v>63.609060390000003</v>
      </c>
      <c r="D36">
        <v>66.033113589999999</v>
      </c>
      <c r="E36">
        <v>66.321973819999997</v>
      </c>
      <c r="F36">
        <v>65.263206890000006</v>
      </c>
      <c r="G36">
        <v>63.372895249999999</v>
      </c>
      <c r="H36">
        <v>61.035555250000002</v>
      </c>
      <c r="I36">
        <v>58.490347980000003</v>
      </c>
      <c r="J36">
        <v>55.825307479999999</v>
      </c>
      <c r="K36">
        <v>53.091717719999998</v>
      </c>
      <c r="L36">
        <v>50.322841390000001</v>
      </c>
      <c r="M36">
        <v>47.541657270000002</v>
      </c>
      <c r="N36">
        <v>44.765056190000003</v>
      </c>
      <c r="O36">
        <v>42.006210750000001</v>
      </c>
      <c r="P36">
        <v>39.275954890000001</v>
      </c>
      <c r="Q36">
        <v>36.583622660000003</v>
      </c>
      <c r="R36">
        <v>33.970456220000003</v>
      </c>
      <c r="S36">
        <v>31.471532419999999</v>
      </c>
      <c r="T36">
        <v>29.083587609999999</v>
      </c>
      <c r="U36">
        <v>26.805191499999999</v>
      </c>
      <c r="V36">
        <v>24.63685087</v>
      </c>
      <c r="W36">
        <v>22.579700330000001</v>
      </c>
      <c r="X36">
        <v>20.634701039999999</v>
      </c>
      <c r="Y36">
        <v>18.802240999999999</v>
      </c>
      <c r="Z36">
        <v>17.081980690000002</v>
      </c>
      <c r="AA36">
        <v>15.472830889999999</v>
      </c>
      <c r="AB36">
        <v>13.972994699999999</v>
      </c>
      <c r="AC36">
        <v>12.580036140000001</v>
      </c>
      <c r="AD36">
        <v>11.290956789999999</v>
      </c>
      <c r="AE36">
        <v>10.10227252</v>
      </c>
      <c r="AF36">
        <v>9.0100877809999993</v>
      </c>
      <c r="AG36">
        <v>8.0101671400000001</v>
      </c>
      <c r="AH36">
        <v>7.0980046200000002</v>
      </c>
      <c r="AI36">
        <v>6.2688910360000003</v>
      </c>
      <c r="AJ36">
        <v>5.5179791749999998</v>
      </c>
      <c r="AK36">
        <v>4.8403462140000002</v>
      </c>
    </row>
    <row r="37" spans="1:37" x14ac:dyDescent="0.25">
      <c r="A37" t="s">
        <v>1781</v>
      </c>
      <c r="B37">
        <v>108.7643346</v>
      </c>
      <c r="C37">
        <v>117.6201255</v>
      </c>
      <c r="D37">
        <v>119.3270837</v>
      </c>
      <c r="E37">
        <v>116.6176839</v>
      </c>
      <c r="F37">
        <v>111.3696352</v>
      </c>
      <c r="G37">
        <v>104.7698573</v>
      </c>
      <c r="H37">
        <v>97.631366979999996</v>
      </c>
      <c r="I37">
        <v>90.430450919999998</v>
      </c>
      <c r="J37">
        <v>83.348004200000005</v>
      </c>
      <c r="K37">
        <v>76.480837870000002</v>
      </c>
      <c r="L37">
        <v>69.884414770000006</v>
      </c>
      <c r="M37">
        <v>63.591108460000001</v>
      </c>
      <c r="N37">
        <v>57.619641219999998</v>
      </c>
      <c r="O37">
        <v>51.980173739999998</v>
      </c>
      <c r="P37">
        <v>46.677191929999999</v>
      </c>
      <c r="Q37">
        <v>41.711251279999999</v>
      </c>
      <c r="R37">
        <v>37.11659246</v>
      </c>
      <c r="S37">
        <v>32.914743020000003</v>
      </c>
      <c r="T37">
        <v>29.082699059999999</v>
      </c>
      <c r="U37">
        <v>25.599142400000002</v>
      </c>
      <c r="V37">
        <v>22.444686390000001</v>
      </c>
      <c r="W37">
        <v>19.60052258</v>
      </c>
      <c r="X37">
        <v>17.04771959</v>
      </c>
      <c r="Y37">
        <v>14.767020779999999</v>
      </c>
      <c r="Z37">
        <v>12.738923590000001</v>
      </c>
      <c r="AA37">
        <v>10.943885229999999</v>
      </c>
      <c r="AB37">
        <v>9.3625632949999993</v>
      </c>
      <c r="AC37">
        <v>7.9760450389999997</v>
      </c>
      <c r="AD37">
        <v>6.7660450579999996</v>
      </c>
      <c r="AE37">
        <v>5.715065879</v>
      </c>
      <c r="AF37">
        <v>4.8065223379999997</v>
      </c>
      <c r="AG37">
        <v>4.0248328249999998</v>
      </c>
      <c r="AH37">
        <v>3.3554812570000001</v>
      </c>
      <c r="AI37">
        <v>2.785053129</v>
      </c>
      <c r="AJ37">
        <v>2.3012487500000001</v>
      </c>
      <c r="AK37">
        <v>1.8928764760000001</v>
      </c>
    </row>
    <row r="38" spans="1:37" x14ac:dyDescent="0.25">
      <c r="A38" t="s">
        <v>1782</v>
      </c>
      <c r="B38">
        <v>4.8854001</v>
      </c>
      <c r="C38">
        <v>5.537697348</v>
      </c>
      <c r="D38">
        <v>6.0545843220000002</v>
      </c>
      <c r="E38">
        <v>6.488235779</v>
      </c>
      <c r="F38">
        <v>6.8824648310000001</v>
      </c>
      <c r="G38">
        <v>7.2768623689999998</v>
      </c>
      <c r="H38">
        <v>7.710849821</v>
      </c>
      <c r="I38">
        <v>8.2063243430000004</v>
      </c>
      <c r="J38">
        <v>8.7664036779999996</v>
      </c>
      <c r="K38">
        <v>9.3979319879999998</v>
      </c>
      <c r="L38">
        <v>10.113396099999999</v>
      </c>
      <c r="M38">
        <v>10.932201709999999</v>
      </c>
      <c r="N38">
        <v>11.88227395</v>
      </c>
      <c r="O38">
        <v>13.00241933</v>
      </c>
      <c r="P38">
        <v>14.345938139999999</v>
      </c>
      <c r="Q38">
        <v>15.98617099</v>
      </c>
      <c r="R38">
        <v>18.026784060000001</v>
      </c>
      <c r="S38">
        <v>20.568639050000002</v>
      </c>
      <c r="T38">
        <v>23.687386579999998</v>
      </c>
      <c r="U38">
        <v>27.468125560000001</v>
      </c>
      <c r="V38">
        <v>32.005881260000002</v>
      </c>
      <c r="W38">
        <v>37.405312199999997</v>
      </c>
      <c r="X38">
        <v>43.780310579999998</v>
      </c>
      <c r="Y38">
        <v>51.253390410000002</v>
      </c>
      <c r="Z38">
        <v>59.954740479999998</v>
      </c>
      <c r="AA38">
        <v>70.02082901</v>
      </c>
      <c r="AB38">
        <v>81.592461839999999</v>
      </c>
      <c r="AC38">
        <v>94.812214350000005</v>
      </c>
      <c r="AD38">
        <v>109.8211788</v>
      </c>
      <c r="AE38">
        <v>126.7549994</v>
      </c>
      <c r="AF38">
        <v>145.73919620000001</v>
      </c>
      <c r="AG38">
        <v>166.8838446</v>
      </c>
      <c r="AH38">
        <v>190.2777222</v>
      </c>
      <c r="AI38">
        <v>215.98211860000001</v>
      </c>
      <c r="AJ38">
        <v>244.0245807</v>
      </c>
      <c r="AK38">
        <v>274.39294439999998</v>
      </c>
    </row>
    <row r="39" spans="1:37" x14ac:dyDescent="0.25">
      <c r="A39" t="s">
        <v>1783</v>
      </c>
      <c r="B39">
        <v>4.6902603999999997</v>
      </c>
      <c r="C39">
        <v>5.3108370069999999</v>
      </c>
      <c r="D39">
        <v>5.7983659379999999</v>
      </c>
      <c r="E39">
        <v>6.2047941919999996</v>
      </c>
      <c r="F39">
        <v>6.5735543559999998</v>
      </c>
      <c r="G39">
        <v>6.9437050390000001</v>
      </c>
      <c r="H39">
        <v>7.3536603349999998</v>
      </c>
      <c r="I39">
        <v>7.8242501600000001</v>
      </c>
      <c r="J39">
        <v>8.3579150099999993</v>
      </c>
      <c r="K39">
        <v>8.9607070130000004</v>
      </c>
      <c r="L39">
        <v>9.6441498410000008</v>
      </c>
      <c r="M39">
        <v>10.426406269999999</v>
      </c>
      <c r="N39">
        <v>11.33370002</v>
      </c>
      <c r="O39">
        <v>12.40240612</v>
      </c>
      <c r="P39">
        <v>13.682247889999999</v>
      </c>
      <c r="Q39">
        <v>15.241193429999999</v>
      </c>
      <c r="R39">
        <v>17.174681069999998</v>
      </c>
      <c r="S39">
        <v>19.573692319999999</v>
      </c>
      <c r="T39">
        <v>22.503363749999998</v>
      </c>
      <c r="U39">
        <v>26.03568645</v>
      </c>
      <c r="V39">
        <v>30.249725349999999</v>
      </c>
      <c r="W39">
        <v>35.231035210000002</v>
      </c>
      <c r="X39">
        <v>41.070938920000003</v>
      </c>
      <c r="Y39">
        <v>47.865592820000003</v>
      </c>
      <c r="Z39">
        <v>55.714747420000002</v>
      </c>
      <c r="AA39">
        <v>64.720124220000002</v>
      </c>
      <c r="AB39">
        <v>74.983348739999997</v>
      </c>
      <c r="AC39">
        <v>86.603402299999999</v>
      </c>
      <c r="AD39">
        <v>99.673580119999997</v>
      </c>
      <c r="AE39">
        <v>114.27797529999999</v>
      </c>
      <c r="AF39">
        <v>130.48753629999999</v>
      </c>
      <c r="AG39">
        <v>148.3558022</v>
      </c>
      <c r="AH39">
        <v>167.91445379999999</v>
      </c>
      <c r="AI39">
        <v>189.1688833</v>
      </c>
      <c r="AJ39">
        <v>212.09402879999999</v>
      </c>
      <c r="AK39">
        <v>236.63076960000001</v>
      </c>
    </row>
    <row r="40" spans="1:37" x14ac:dyDescent="0.25">
      <c r="A40" t="s">
        <v>1784</v>
      </c>
      <c r="B40">
        <v>3.246572</v>
      </c>
      <c r="C40">
        <v>3.6722038530000001</v>
      </c>
      <c r="D40">
        <v>4.0035834159999997</v>
      </c>
      <c r="E40">
        <v>4.2779300180000002</v>
      </c>
      <c r="F40">
        <v>4.5262093229999998</v>
      </c>
      <c r="G40">
        <v>4.7761075890000004</v>
      </c>
      <c r="H40">
        <v>5.0545188359999997</v>
      </c>
      <c r="I40">
        <v>5.3756744359999997</v>
      </c>
      <c r="J40">
        <v>5.7408561110000003</v>
      </c>
      <c r="K40">
        <v>6.1538536610000003</v>
      </c>
      <c r="L40">
        <v>6.6222570870000004</v>
      </c>
      <c r="M40">
        <v>7.1582176579999999</v>
      </c>
      <c r="N40">
        <v>7.7793462819999997</v>
      </c>
      <c r="O40">
        <v>8.5100318149999996</v>
      </c>
      <c r="P40">
        <v>9.3834606889999996</v>
      </c>
      <c r="Q40">
        <v>10.44470711</v>
      </c>
      <c r="R40">
        <v>11.756694749999999</v>
      </c>
      <c r="S40">
        <v>13.378155769999999</v>
      </c>
      <c r="T40">
        <v>15.3490036</v>
      </c>
      <c r="U40">
        <v>17.712517510000001</v>
      </c>
      <c r="V40">
        <v>20.515379490000001</v>
      </c>
      <c r="W40">
        <v>23.807126650000001</v>
      </c>
      <c r="X40">
        <v>27.63949736</v>
      </c>
      <c r="Y40">
        <v>32.065637240000001</v>
      </c>
      <c r="Z40">
        <v>37.13911916</v>
      </c>
      <c r="AA40">
        <v>42.912740839999998</v>
      </c>
      <c r="AB40">
        <v>49.437079109999999</v>
      </c>
      <c r="AC40">
        <v>56.758796429999997</v>
      </c>
      <c r="AD40">
        <v>64.918713949999997</v>
      </c>
      <c r="AE40">
        <v>73.949685619999997</v>
      </c>
      <c r="AF40">
        <v>83.874327170000001</v>
      </c>
      <c r="AG40">
        <v>94.702683230000005</v>
      </c>
      <c r="AH40">
        <v>106.429936</v>
      </c>
      <c r="AI40">
        <v>119.0342862</v>
      </c>
      <c r="AJ40">
        <v>132.47515749999999</v>
      </c>
      <c r="AK40">
        <v>146.69188510000001</v>
      </c>
    </row>
    <row r="41" spans="1:37" x14ac:dyDescent="0.25">
      <c r="A41" t="s">
        <v>1785</v>
      </c>
      <c r="B41">
        <v>1.7994298</v>
      </c>
      <c r="C41">
        <v>2.0222370519999999</v>
      </c>
      <c r="D41">
        <v>2.1789386049999999</v>
      </c>
      <c r="E41">
        <v>2.2916149479999999</v>
      </c>
      <c r="F41">
        <v>2.3771978759999999</v>
      </c>
      <c r="G41">
        <v>2.4487727850000001</v>
      </c>
      <c r="H41">
        <v>2.5180832369999999</v>
      </c>
      <c r="I41">
        <v>2.5917470310000001</v>
      </c>
      <c r="J41">
        <v>2.67064105</v>
      </c>
      <c r="K41">
        <v>2.7557678540000001</v>
      </c>
      <c r="L41">
        <v>2.8487332400000001</v>
      </c>
      <c r="M41">
        <v>2.9519332739999999</v>
      </c>
      <c r="N41">
        <v>3.0687170130000001</v>
      </c>
      <c r="O41">
        <v>3.2035917519999999</v>
      </c>
      <c r="P41">
        <v>3.3625205990000002</v>
      </c>
      <c r="Q41">
        <v>3.553366311</v>
      </c>
      <c r="R41">
        <v>3.7881531449999999</v>
      </c>
      <c r="S41">
        <v>4.0771995209999998</v>
      </c>
      <c r="T41">
        <v>4.4249477769999999</v>
      </c>
      <c r="U41">
        <v>4.836072905</v>
      </c>
      <c r="V41">
        <v>5.3154965440000002</v>
      </c>
      <c r="W41">
        <v>5.868240825</v>
      </c>
      <c r="X41">
        <v>6.4992950970000001</v>
      </c>
      <c r="Y41">
        <v>7.2134894029999996</v>
      </c>
      <c r="Z41">
        <v>8.0153648569999998</v>
      </c>
      <c r="AA41">
        <v>8.9090339509999996</v>
      </c>
      <c r="AB41">
        <v>9.8980269429999996</v>
      </c>
      <c r="AC41">
        <v>10.985122710000001</v>
      </c>
      <c r="AD41">
        <v>12.17216389</v>
      </c>
      <c r="AE41">
        <v>13.45985731</v>
      </c>
      <c r="AF41">
        <v>14.84756103</v>
      </c>
      <c r="AG41">
        <v>16.33306159</v>
      </c>
      <c r="AH41">
        <v>17.912345590000001</v>
      </c>
      <c r="AI41">
        <v>19.579372469999999</v>
      </c>
      <c r="AJ41">
        <v>21.325857769999999</v>
      </c>
      <c r="AK41">
        <v>23.141079250000001</v>
      </c>
    </row>
    <row r="42" spans="1:37" x14ac:dyDescent="0.25">
      <c r="A42" t="s">
        <v>1786</v>
      </c>
      <c r="B42">
        <v>1.1069429</v>
      </c>
      <c r="C42">
        <v>1.238093144</v>
      </c>
      <c r="D42">
        <v>1.3247164680000001</v>
      </c>
      <c r="E42">
        <v>1.382070951</v>
      </c>
      <c r="F42">
        <v>1.421668521</v>
      </c>
      <c r="G42">
        <v>1.452172808</v>
      </c>
      <c r="H42">
        <v>1.480977188</v>
      </c>
      <c r="I42">
        <v>1.5120131889999999</v>
      </c>
      <c r="J42">
        <v>1.545643044</v>
      </c>
      <c r="K42">
        <v>1.5822864210000001</v>
      </c>
      <c r="L42">
        <v>1.6227064739999999</v>
      </c>
      <c r="M42">
        <v>1.6680959230000001</v>
      </c>
      <c r="N42">
        <v>1.7201315720000001</v>
      </c>
      <c r="O42">
        <v>1.781037988</v>
      </c>
      <c r="P42">
        <v>1.8536842650000001</v>
      </c>
      <c r="Q42">
        <v>1.9417344080000001</v>
      </c>
      <c r="R42">
        <v>2.0507593279999998</v>
      </c>
      <c r="S42">
        <v>2.185003494</v>
      </c>
      <c r="T42">
        <v>2.345265543</v>
      </c>
      <c r="U42">
        <v>2.5322458640000001</v>
      </c>
      <c r="V42">
        <v>2.7465663500000002</v>
      </c>
      <c r="W42">
        <v>2.9887002549999999</v>
      </c>
      <c r="X42">
        <v>3.2589117019999998</v>
      </c>
      <c r="Y42">
        <v>3.557204547</v>
      </c>
      <c r="Z42">
        <v>3.8832773110000001</v>
      </c>
      <c r="AA42">
        <v>4.2364820539999997</v>
      </c>
      <c r="AB42">
        <v>4.6157863770000001</v>
      </c>
      <c r="AC42">
        <v>5.0197386689999997</v>
      </c>
      <c r="AD42">
        <v>5.4464371849999997</v>
      </c>
      <c r="AE42">
        <v>5.8935037680000004</v>
      </c>
      <c r="AF42">
        <v>6.3580630930000002</v>
      </c>
      <c r="AG42">
        <v>6.8367285459999998</v>
      </c>
      <c r="AH42">
        <v>7.325596011</v>
      </c>
      <c r="AI42">
        <v>7.8202471310000004</v>
      </c>
      <c r="AJ42">
        <v>8.3157640130000008</v>
      </c>
      <c r="AK42">
        <v>8.8067576790000004</v>
      </c>
    </row>
    <row r="43" spans="1:37" x14ac:dyDescent="0.25">
      <c r="A43" t="s">
        <v>1787</v>
      </c>
      <c r="B43">
        <v>0.53533900000000001</v>
      </c>
      <c r="C43">
        <v>0.5882500007</v>
      </c>
      <c r="D43">
        <v>0.61227637170000004</v>
      </c>
      <c r="E43">
        <v>0.6177848829</v>
      </c>
      <c r="F43">
        <v>0.61215256149999997</v>
      </c>
      <c r="G43">
        <v>0.60035693590000005</v>
      </c>
      <c r="H43">
        <v>0.58607167540000005</v>
      </c>
      <c r="I43">
        <v>0.5712340508</v>
      </c>
      <c r="J43">
        <v>0.55622499280000004</v>
      </c>
      <c r="K43">
        <v>0.54127226650000004</v>
      </c>
      <c r="L43">
        <v>0.5265915135</v>
      </c>
      <c r="M43">
        <v>0.51242126529999998</v>
      </c>
      <c r="N43">
        <v>0.49902995439999998</v>
      </c>
      <c r="O43">
        <v>0.48671346720000003</v>
      </c>
      <c r="P43">
        <v>0.47579106030000001</v>
      </c>
      <c r="Q43">
        <v>0.46660301840000001</v>
      </c>
      <c r="R43">
        <v>0.4597956004</v>
      </c>
      <c r="S43">
        <v>0.45565732240000001</v>
      </c>
      <c r="T43">
        <v>0.45375962139999998</v>
      </c>
      <c r="U43">
        <v>0.45368542620000002</v>
      </c>
      <c r="V43">
        <v>0.4550434478</v>
      </c>
      <c r="W43">
        <v>0.45746111649999999</v>
      </c>
      <c r="X43">
        <v>0.46058115189999999</v>
      </c>
      <c r="Y43">
        <v>0.46406146279999999</v>
      </c>
      <c r="Z43">
        <v>0.46757714880000001</v>
      </c>
      <c r="AA43">
        <v>0.47082359350000003</v>
      </c>
      <c r="AB43">
        <v>0.47351996229999999</v>
      </c>
      <c r="AC43">
        <v>0.47541264750000001</v>
      </c>
      <c r="AD43">
        <v>0.4762783458</v>
      </c>
      <c r="AE43">
        <v>0.47592655699999997</v>
      </c>
      <c r="AF43">
        <v>0.47420136940000002</v>
      </c>
      <c r="AG43">
        <v>0.47098245570000002</v>
      </c>
      <c r="AH43">
        <v>0.46618527389999997</v>
      </c>
      <c r="AI43">
        <v>0.4597605085</v>
      </c>
      <c r="AJ43">
        <v>0.45169283139999999</v>
      </c>
      <c r="AK43">
        <v>0.44199909129999998</v>
      </c>
    </row>
    <row r="44" spans="1:37" x14ac:dyDescent="0.25">
      <c r="A44" t="s">
        <v>1788</v>
      </c>
      <c r="B44">
        <v>1.0050558000000001</v>
      </c>
      <c r="C44">
        <v>1.0878507610000001</v>
      </c>
      <c r="D44">
        <v>1.1069242399999999</v>
      </c>
      <c r="E44">
        <v>1.087405806</v>
      </c>
      <c r="F44">
        <v>1.046598449</v>
      </c>
      <c r="G44">
        <v>0.99559627019999997</v>
      </c>
      <c r="H44">
        <v>0.94183363399999998</v>
      </c>
      <c r="I44">
        <v>0.88894386800000003</v>
      </c>
      <c r="J44">
        <v>0.83765222800000005</v>
      </c>
      <c r="K44">
        <v>0.78831740279999996</v>
      </c>
      <c r="L44">
        <v>0.74121413719999996</v>
      </c>
      <c r="M44">
        <v>0.6965994539</v>
      </c>
      <c r="N44">
        <v>0.65471940939999995</v>
      </c>
      <c r="O44">
        <v>0.61579782189999999</v>
      </c>
      <c r="P44">
        <v>0.58002313719999998</v>
      </c>
      <c r="Q44">
        <v>0.54753893360000006</v>
      </c>
      <c r="R44">
        <v>0.51876615270000004</v>
      </c>
      <c r="S44">
        <v>0.4936434677</v>
      </c>
      <c r="T44">
        <v>0.47134696850000002</v>
      </c>
      <c r="U44">
        <v>0.45116298529999999</v>
      </c>
      <c r="V44">
        <v>0.43249969630000001</v>
      </c>
      <c r="W44">
        <v>0.41487130430000002</v>
      </c>
      <c r="X44">
        <v>0.39788540729999999</v>
      </c>
      <c r="Y44">
        <v>0.38123347000000002</v>
      </c>
      <c r="Z44">
        <v>0.3646830358</v>
      </c>
      <c r="AA44">
        <v>0.34807059099999998</v>
      </c>
      <c r="AB44">
        <v>0.33129444060000002</v>
      </c>
      <c r="AC44">
        <v>0.31430730220000003</v>
      </c>
      <c r="AD44">
        <v>0.29710855809999998</v>
      </c>
      <c r="AE44">
        <v>0.27973625369999999</v>
      </c>
      <c r="AF44">
        <v>0.26225902800000001</v>
      </c>
      <c r="AG44">
        <v>0.2447681941</v>
      </c>
      <c r="AH44">
        <v>0.22737020790000001</v>
      </c>
      <c r="AI44">
        <v>0.21017973449999999</v>
      </c>
      <c r="AJ44">
        <v>0.19331348840000001</v>
      </c>
      <c r="AK44">
        <v>0.17688497149999999</v>
      </c>
    </row>
    <row r="45" spans="1:37" x14ac:dyDescent="0.25">
      <c r="A45" t="s">
        <v>1789</v>
      </c>
      <c r="B45">
        <v>4.4415299999999998E-2</v>
      </c>
      <c r="C45">
        <v>5.02585745E-2</v>
      </c>
      <c r="D45">
        <v>5.4627696400000002E-2</v>
      </c>
      <c r="E45">
        <v>5.79402771E-2</v>
      </c>
      <c r="F45">
        <v>6.0508966999999997E-2</v>
      </c>
      <c r="G45">
        <v>6.2559240899999993E-2</v>
      </c>
      <c r="H45">
        <v>6.4305731500000005E-2</v>
      </c>
      <c r="I45">
        <v>6.5893407299999998E-2</v>
      </c>
      <c r="J45">
        <v>6.7354086399999999E-2</v>
      </c>
      <c r="K45">
        <v>6.8706690900000006E-2</v>
      </c>
      <c r="L45">
        <v>6.9963067500000004E-2</v>
      </c>
      <c r="M45">
        <v>7.1129363900000006E-2</v>
      </c>
      <c r="N45">
        <v>7.2207178900000002E-2</v>
      </c>
      <c r="O45">
        <v>7.3194460599999997E-2</v>
      </c>
      <c r="P45">
        <v>7.4086073799999999E-2</v>
      </c>
      <c r="Q45">
        <v>7.4873980300000004E-2</v>
      </c>
      <c r="R45">
        <v>7.5614020099999998E-2</v>
      </c>
      <c r="S45">
        <v>7.6355392600000002E-2</v>
      </c>
      <c r="T45">
        <v>7.7066400500000007E-2</v>
      </c>
      <c r="U45">
        <v>7.7723764099999995E-2</v>
      </c>
      <c r="V45">
        <v>7.8310812399999999E-2</v>
      </c>
      <c r="W45">
        <v>7.8814054999999994E-2</v>
      </c>
      <c r="X45">
        <v>7.9221215299999995E-2</v>
      </c>
      <c r="Y45">
        <v>7.9520220000000003E-2</v>
      </c>
      <c r="Z45">
        <v>7.9698742399999994E-2</v>
      </c>
      <c r="AA45">
        <v>7.9744059800000003E-2</v>
      </c>
      <c r="AB45">
        <v>7.9643100499999994E-2</v>
      </c>
      <c r="AC45">
        <v>7.9382619700000004E-2</v>
      </c>
      <c r="AD45">
        <v>7.8949471500000007E-2</v>
      </c>
      <c r="AE45">
        <v>7.8330962800000001E-2</v>
      </c>
      <c r="AF45">
        <v>7.7515272400000002E-2</v>
      </c>
      <c r="AG45">
        <v>7.6491929900000005E-2</v>
      </c>
      <c r="AH45">
        <v>7.5252336500000003E-2</v>
      </c>
      <c r="AI45">
        <v>7.3790311100000006E-2</v>
      </c>
      <c r="AJ45">
        <v>7.2102639699999999E-2</v>
      </c>
      <c r="AK45">
        <v>7.0189597100000001E-2</v>
      </c>
    </row>
    <row r="46" spans="1:37" x14ac:dyDescent="0.25">
      <c r="A46" t="s">
        <v>1790</v>
      </c>
      <c r="B46">
        <v>4.2641199999999997E-2</v>
      </c>
      <c r="C46">
        <v>4.8192836500000003E-2</v>
      </c>
      <c r="D46">
        <v>5.22837123E-2</v>
      </c>
      <c r="E46">
        <v>5.5329548700000002E-2</v>
      </c>
      <c r="F46">
        <v>5.7639886199999997E-2</v>
      </c>
      <c r="G46">
        <v>5.94359691E-2</v>
      </c>
      <c r="H46">
        <v>6.0925853799999999E-2</v>
      </c>
      <c r="I46">
        <v>6.2250817700000002E-2</v>
      </c>
      <c r="J46">
        <v>6.3443780399999997E-2</v>
      </c>
      <c r="K46">
        <v>6.4523445299999996E-2</v>
      </c>
      <c r="L46">
        <v>6.55007284E-2</v>
      </c>
      <c r="M46">
        <v>6.6380564000000003E-2</v>
      </c>
      <c r="N46">
        <v>6.7163260299999999E-2</v>
      </c>
      <c r="O46">
        <v>6.7845484100000006E-2</v>
      </c>
      <c r="P46">
        <v>6.8420862900000004E-2</v>
      </c>
      <c r="Q46">
        <v>6.8880191899999998E-2</v>
      </c>
      <c r="R46">
        <v>6.9273993500000006E-2</v>
      </c>
      <c r="S46">
        <v>6.9648886199999996E-2</v>
      </c>
      <c r="T46">
        <v>6.9978280899999995E-2</v>
      </c>
      <c r="U46">
        <v>7.0242404600000002E-2</v>
      </c>
      <c r="V46">
        <v>7.0427187000000002E-2</v>
      </c>
      <c r="W46">
        <v>7.0521409600000001E-2</v>
      </c>
      <c r="X46">
        <v>7.0515078699999997E-2</v>
      </c>
      <c r="Y46">
        <v>7.03986162E-2</v>
      </c>
      <c r="Z46">
        <v>7.0162526700000005E-2</v>
      </c>
      <c r="AA46">
        <v>6.9797332500000003E-2</v>
      </c>
      <c r="AB46">
        <v>6.9293667899999994E-2</v>
      </c>
      <c r="AC46">
        <v>6.8642476499999994E-2</v>
      </c>
      <c r="AD46">
        <v>6.7835279900000003E-2</v>
      </c>
      <c r="AE46">
        <v>6.6864501300000004E-2</v>
      </c>
      <c r="AF46">
        <v>6.5723824700000003E-2</v>
      </c>
      <c r="AG46">
        <v>6.4408582399999997E-2</v>
      </c>
      <c r="AH46">
        <v>6.2916149099999999E-2</v>
      </c>
      <c r="AI46">
        <v>6.12463278E-2</v>
      </c>
      <c r="AJ46">
        <v>5.9401704899999998E-2</v>
      </c>
      <c r="AK46">
        <v>5.7387950200000003E-2</v>
      </c>
    </row>
    <row r="47" spans="1:37" x14ac:dyDescent="0.25">
      <c r="A47" t="s">
        <v>1791</v>
      </c>
      <c r="B47">
        <v>2.9516000000000001E-2</v>
      </c>
      <c r="C47">
        <v>3.3318784800000001E-2</v>
      </c>
      <c r="D47">
        <v>3.6079474399999999E-2</v>
      </c>
      <c r="E47">
        <v>3.8096230500000001E-2</v>
      </c>
      <c r="F47">
        <v>3.9589922E-2</v>
      </c>
      <c r="G47">
        <v>4.0717097600000002E-2</v>
      </c>
      <c r="H47">
        <v>4.1623252399999998E-2</v>
      </c>
      <c r="I47">
        <v>4.24076933E-2</v>
      </c>
      <c r="J47">
        <v>4.3094880699999998E-2</v>
      </c>
      <c r="K47">
        <v>4.3698199E-2</v>
      </c>
      <c r="L47">
        <v>4.4224989300000003E-2</v>
      </c>
      <c r="M47">
        <v>4.4678134899999999E-2</v>
      </c>
      <c r="N47">
        <v>4.5057176499999997E-2</v>
      </c>
      <c r="O47">
        <v>4.53590834E-2</v>
      </c>
      <c r="P47">
        <v>4.55787161E-2</v>
      </c>
      <c r="Q47">
        <v>4.5709001800000003E-2</v>
      </c>
      <c r="R47">
        <v>4.5783193700000002E-2</v>
      </c>
      <c r="S47">
        <v>4.5833424900000003E-2</v>
      </c>
      <c r="T47">
        <v>4.5844017299999998E-2</v>
      </c>
      <c r="U47">
        <v>4.5803189100000002E-2</v>
      </c>
      <c r="V47">
        <v>4.5702684600000001E-2</v>
      </c>
      <c r="W47">
        <v>4.5536083200000001E-2</v>
      </c>
      <c r="X47">
        <v>4.5297835699999997E-2</v>
      </c>
      <c r="Y47">
        <v>4.4982801000000003E-2</v>
      </c>
      <c r="Z47">
        <v>4.4586072999999997E-2</v>
      </c>
      <c r="AA47">
        <v>4.4102970599999999E-2</v>
      </c>
      <c r="AB47">
        <v>4.3529120999999997E-2</v>
      </c>
      <c r="AC47">
        <v>4.2860598499999999E-2</v>
      </c>
      <c r="AD47">
        <v>4.2094100299999999E-2</v>
      </c>
      <c r="AE47">
        <v>4.1227143199999997E-2</v>
      </c>
      <c r="AF47">
        <v>4.02582706E-2</v>
      </c>
      <c r="AG47">
        <v>3.9187261500000001E-2</v>
      </c>
      <c r="AH47">
        <v>3.8015327699999997E-2</v>
      </c>
      <c r="AI47">
        <v>3.6745289200000003E-2</v>
      </c>
      <c r="AJ47">
        <v>3.5381714500000001E-2</v>
      </c>
      <c r="AK47">
        <v>3.3931013199999999E-2</v>
      </c>
    </row>
    <row r="48" spans="1:37" x14ac:dyDescent="0.25">
      <c r="A48" t="s">
        <v>1792</v>
      </c>
      <c r="B48">
        <v>1.63594E-2</v>
      </c>
      <c r="C48">
        <v>1.8366911199999999E-2</v>
      </c>
      <c r="D48">
        <v>1.97241228E-2</v>
      </c>
      <c r="E48">
        <v>2.0622913E-2</v>
      </c>
      <c r="F48">
        <v>2.1203739799999999E-2</v>
      </c>
      <c r="G48">
        <v>2.15641541E-2</v>
      </c>
      <c r="H48">
        <v>2.1789910199999998E-2</v>
      </c>
      <c r="I48">
        <v>2.19384369E-2</v>
      </c>
      <c r="J48">
        <v>2.20256271E-2</v>
      </c>
      <c r="K48">
        <v>2.2060278199999998E-2</v>
      </c>
      <c r="L48">
        <v>2.2047514300000001E-2</v>
      </c>
      <c r="M48">
        <v>2.1990019600000001E-2</v>
      </c>
      <c r="N48">
        <v>2.1888837899999999E-2</v>
      </c>
      <c r="O48">
        <v>2.1743905599999998E-2</v>
      </c>
      <c r="P48">
        <v>2.1554397499999999E-2</v>
      </c>
      <c r="Q48">
        <v>2.13189381E-2</v>
      </c>
      <c r="R48">
        <v>2.10554001E-2</v>
      </c>
      <c r="S48">
        <v>2.0781071599999999E-2</v>
      </c>
      <c r="T48">
        <v>2.04911511E-2</v>
      </c>
      <c r="U48">
        <v>2.0182544E-2</v>
      </c>
      <c r="V48">
        <v>1.98538217E-2</v>
      </c>
      <c r="W48">
        <v>1.9504474800000001E-2</v>
      </c>
      <c r="X48">
        <v>1.9134464300000001E-2</v>
      </c>
      <c r="Y48">
        <v>1.8743985899999999E-2</v>
      </c>
      <c r="Z48">
        <v>1.8333357299999999E-2</v>
      </c>
      <c r="AA48">
        <v>1.7902970599999998E-2</v>
      </c>
      <c r="AB48">
        <v>1.74532781E-2</v>
      </c>
      <c r="AC48">
        <v>1.6984794099999999E-2</v>
      </c>
      <c r="AD48">
        <v>1.64981043E-2</v>
      </c>
      <c r="AE48">
        <v>1.5993876899999999E-2</v>
      </c>
      <c r="AF48">
        <v>1.54728755E-2</v>
      </c>
      <c r="AG48">
        <v>1.49359707E-2</v>
      </c>
      <c r="AH48">
        <v>1.4384152399999999E-2</v>
      </c>
      <c r="AI48">
        <v>1.38185427E-2</v>
      </c>
      <c r="AJ48">
        <v>1.3240408299999999E-2</v>
      </c>
      <c r="AK48">
        <v>1.2651176E-2</v>
      </c>
    </row>
    <row r="49" spans="1:37" x14ac:dyDescent="0.25">
      <c r="A49" t="s">
        <v>1793</v>
      </c>
      <c r="B49">
        <v>1.00637E-2</v>
      </c>
      <c r="C49">
        <v>1.12432264E-2</v>
      </c>
      <c r="D49">
        <v>1.19836018E-2</v>
      </c>
      <c r="E49">
        <v>1.24184767E-2</v>
      </c>
      <c r="F49">
        <v>1.2644705399999999E-2</v>
      </c>
      <c r="G49">
        <v>1.2728446900000001E-2</v>
      </c>
      <c r="H49">
        <v>1.27253838E-2</v>
      </c>
      <c r="I49">
        <v>1.26723502E-2</v>
      </c>
      <c r="J49">
        <v>1.2580596899999999E-2</v>
      </c>
      <c r="K49">
        <v>1.2456411000000001E-2</v>
      </c>
      <c r="L49">
        <v>1.23035683E-2</v>
      </c>
      <c r="M49">
        <v>1.2124279999999999E-2</v>
      </c>
      <c r="N49">
        <v>1.19197712E-2</v>
      </c>
      <c r="O49">
        <v>1.16906466E-2</v>
      </c>
      <c r="P49">
        <v>1.1437121999999999E-2</v>
      </c>
      <c r="Q49">
        <v>1.11591676E-2</v>
      </c>
      <c r="R49">
        <v>1.0866957E-2</v>
      </c>
      <c r="S49">
        <v>1.0570353899999999E-2</v>
      </c>
      <c r="T49">
        <v>1.0267790400000001E-2</v>
      </c>
      <c r="U49">
        <v>9.9584703699999999E-3</v>
      </c>
      <c r="V49">
        <v>9.6424166999999998E-3</v>
      </c>
      <c r="W49">
        <v>9.3201061100000003E-3</v>
      </c>
      <c r="X49">
        <v>8.9922438099999998E-3</v>
      </c>
      <c r="Y49">
        <v>8.6596426399999996E-3</v>
      </c>
      <c r="Z49">
        <v>8.3231638100000008E-3</v>
      </c>
      <c r="AA49">
        <v>7.9836901100000003E-3</v>
      </c>
      <c r="AB49">
        <v>7.6421153300000001E-3</v>
      </c>
      <c r="AC49">
        <v>7.2993404900000003E-3</v>
      </c>
      <c r="AD49">
        <v>6.9562725499999999E-3</v>
      </c>
      <c r="AE49">
        <v>6.61382312E-3</v>
      </c>
      <c r="AF49">
        <v>6.2729063800000002E-3</v>
      </c>
      <c r="AG49">
        <v>5.93443611E-3</v>
      </c>
      <c r="AH49">
        <v>5.5993220300000002E-3</v>
      </c>
      <c r="AI49">
        <v>5.2684658699999999E-3</v>
      </c>
      <c r="AJ49">
        <v>4.9427574699999997E-3</v>
      </c>
      <c r="AK49">
        <v>4.6230712300000002E-3</v>
      </c>
    </row>
    <row r="50" spans="1:37" x14ac:dyDescent="0.25">
      <c r="A50" t="s">
        <v>1794</v>
      </c>
      <c r="B50">
        <v>4.8669999999999998E-3</v>
      </c>
      <c r="C50">
        <v>5.3438604699999996E-3</v>
      </c>
      <c r="D50">
        <v>5.5475075900000004E-3</v>
      </c>
      <c r="E50">
        <v>5.57177503E-3</v>
      </c>
      <c r="F50">
        <v>5.4828269700000001E-3</v>
      </c>
      <c r="G50">
        <v>5.3240199999999996E-3</v>
      </c>
      <c r="H50">
        <v>5.1276577400000004E-3</v>
      </c>
      <c r="I50">
        <v>4.9138323500000003E-3</v>
      </c>
      <c r="J50">
        <v>4.6899396399999998E-3</v>
      </c>
      <c r="K50">
        <v>4.4602880500000004E-3</v>
      </c>
      <c r="L50">
        <v>4.2276719900000001E-3</v>
      </c>
      <c r="M50">
        <v>3.9940219400000001E-3</v>
      </c>
      <c r="N50">
        <v>3.7607569199999999E-3</v>
      </c>
      <c r="O50">
        <v>3.5289835700000002E-3</v>
      </c>
      <c r="P50">
        <v>3.2996120600000001E-3</v>
      </c>
      <c r="Q50">
        <v>3.0734265500000002E-3</v>
      </c>
      <c r="R50">
        <v>2.85389184E-3</v>
      </c>
      <c r="S50">
        <v>2.64395476E-3</v>
      </c>
      <c r="T50">
        <v>2.4433411399999998E-3</v>
      </c>
      <c r="U50">
        <v>2.2519308199999998E-3</v>
      </c>
      <c r="V50">
        <v>2.0697663600000001E-3</v>
      </c>
      <c r="W50">
        <v>1.8969430999999999E-3</v>
      </c>
      <c r="X50">
        <v>1.7335417700000001E-3</v>
      </c>
      <c r="Y50">
        <v>1.5795949799999999E-3</v>
      </c>
      <c r="Z50">
        <v>1.4350742E-3</v>
      </c>
      <c r="AA50">
        <v>1.29988792E-3</v>
      </c>
      <c r="AB50">
        <v>1.1738851900000001E-3</v>
      </c>
      <c r="AC50">
        <v>1.0568613599999999E-3</v>
      </c>
      <c r="AD50">
        <v>9.4856451800000004E-4</v>
      </c>
      <c r="AE50">
        <v>8.4870196900000002E-4</v>
      </c>
      <c r="AF50">
        <v>7.5694644199999995E-4</v>
      </c>
      <c r="AG50">
        <v>6.7294211400000003E-4</v>
      </c>
      <c r="AH50">
        <v>5.9631043299999997E-4</v>
      </c>
      <c r="AI50">
        <v>5.2665577500000005E-4</v>
      </c>
      <c r="AJ50">
        <v>4.6357092200000001E-4</v>
      </c>
      <c r="AK50">
        <v>4.0664230300000001E-4</v>
      </c>
    </row>
    <row r="51" spans="1:37" x14ac:dyDescent="0.25">
      <c r="A51" t="s">
        <v>1795</v>
      </c>
      <c r="B51">
        <v>9.1374000000000004E-3</v>
      </c>
      <c r="C51">
        <v>9.8813838099999999E-3</v>
      </c>
      <c r="D51">
        <v>1.00247871E-2</v>
      </c>
      <c r="E51">
        <v>9.7971676900000006E-3</v>
      </c>
      <c r="F51">
        <v>9.3562738999999999E-3</v>
      </c>
      <c r="G51">
        <v>8.8018199899999993E-3</v>
      </c>
      <c r="H51">
        <v>8.2021083099999992E-3</v>
      </c>
      <c r="I51">
        <v>7.5971521900000004E-3</v>
      </c>
      <c r="J51">
        <v>7.00214879E-3</v>
      </c>
      <c r="K51">
        <v>6.4252313099999996E-3</v>
      </c>
      <c r="L51">
        <v>5.8710592400000004E-3</v>
      </c>
      <c r="M51">
        <v>5.3423523100000004E-3</v>
      </c>
      <c r="N51">
        <v>4.8406834100000002E-3</v>
      </c>
      <c r="O51">
        <v>4.3669061299999997E-3</v>
      </c>
      <c r="P51">
        <v>3.9213973500000004E-3</v>
      </c>
      <c r="Q51">
        <v>3.5042037300000001E-3</v>
      </c>
      <c r="R51">
        <v>3.1182018700000001E-3</v>
      </c>
      <c r="S51">
        <v>2.7652003199999998E-3</v>
      </c>
      <c r="T51">
        <v>2.4432664900000001E-3</v>
      </c>
      <c r="U51">
        <v>2.15060943E-3</v>
      </c>
      <c r="V51">
        <v>1.8856004400000001E-3</v>
      </c>
      <c r="W51">
        <v>1.6466594100000001E-3</v>
      </c>
      <c r="X51">
        <v>1.43219589E-3</v>
      </c>
      <c r="Y51">
        <v>1.24059211E-3</v>
      </c>
      <c r="Z51">
        <v>1.0702096499999999E-3</v>
      </c>
      <c r="AA51">
        <v>9.1940668999999995E-4</v>
      </c>
      <c r="AB51">
        <v>7.8655826099999996E-4</v>
      </c>
      <c r="AC51">
        <v>6.7007548200000004E-4</v>
      </c>
      <c r="AD51">
        <v>5.68422179E-4</v>
      </c>
      <c r="AE51">
        <v>4.80128373E-4</v>
      </c>
      <c r="AF51">
        <v>4.0380072499999998E-4</v>
      </c>
      <c r="AG51">
        <v>3.3813021099999999E-4</v>
      </c>
      <c r="AH51">
        <v>2.8189732E-4</v>
      </c>
      <c r="AI51">
        <v>2.3397508499999999E-4</v>
      </c>
      <c r="AJ51">
        <v>1.9333019799999999E-4</v>
      </c>
      <c r="AK51">
        <v>1.59022437E-4</v>
      </c>
    </row>
    <row r="52" spans="1:37" x14ac:dyDescent="0.25">
      <c r="A52" t="s">
        <v>1796</v>
      </c>
      <c r="B52">
        <v>2457.4699179999998</v>
      </c>
      <c r="C52">
        <v>2463.613593</v>
      </c>
      <c r="D52">
        <v>2469.7726269999998</v>
      </c>
      <c r="E52">
        <v>2475.9470590000001</v>
      </c>
      <c r="F52">
        <v>2482.1369260000001</v>
      </c>
      <c r="G52">
        <v>2488.3422690000002</v>
      </c>
      <c r="H52">
        <v>2494.5631239999998</v>
      </c>
      <c r="I52">
        <v>2500.799532</v>
      </c>
      <c r="J52">
        <v>2507.0515310000001</v>
      </c>
      <c r="K52">
        <v>2513.31916</v>
      </c>
      <c r="L52">
        <v>2519.6024579999998</v>
      </c>
      <c r="M52">
        <v>2525.901464</v>
      </c>
      <c r="N52">
        <v>2532.2162170000001</v>
      </c>
      <c r="O52">
        <v>2538.546758</v>
      </c>
      <c r="P52">
        <v>2544.8931250000001</v>
      </c>
      <c r="Q52">
        <v>2551.2553579999999</v>
      </c>
      <c r="R52">
        <v>2557.6334959999999</v>
      </c>
      <c r="S52">
        <v>2564.0275799999999</v>
      </c>
      <c r="T52">
        <v>2570.437649</v>
      </c>
      <c r="U52">
        <v>2576.8637429999999</v>
      </c>
      <c r="V52">
        <v>2583.3059020000001</v>
      </c>
      <c r="W52">
        <v>2589.7641669999998</v>
      </c>
      <c r="X52">
        <v>2596.2385770000001</v>
      </c>
      <c r="Y52">
        <v>2602.7291740000001</v>
      </c>
      <c r="Z52">
        <v>2609.2359970000002</v>
      </c>
      <c r="AA52">
        <v>2615.7590869999999</v>
      </c>
      <c r="AB52">
        <v>2622.2984839999999</v>
      </c>
      <c r="AC52">
        <v>2628.8542309999998</v>
      </c>
      <c r="AD52">
        <v>2635.4263660000001</v>
      </c>
      <c r="AE52">
        <v>2642.014932</v>
      </c>
      <c r="AF52">
        <v>2648.6199700000002</v>
      </c>
      <c r="AG52">
        <v>2655.2415190000002</v>
      </c>
      <c r="AH52">
        <v>2661.8796229999998</v>
      </c>
      <c r="AI52">
        <v>2668.534322</v>
      </c>
      <c r="AJ52">
        <v>2675.2056579999999</v>
      </c>
      <c r="AK52">
        <v>2681.8936720000002</v>
      </c>
    </row>
    <row r="53" spans="1:37" x14ac:dyDescent="0.25">
      <c r="A53" t="s">
        <v>1797</v>
      </c>
      <c r="B53">
        <v>3.476542051</v>
      </c>
      <c r="C53">
        <v>5.5991122850000004</v>
      </c>
      <c r="D53">
        <v>7.7010989729999997</v>
      </c>
      <c r="E53">
        <v>9.7827382830000005</v>
      </c>
      <c r="F53">
        <v>11.844296630000001</v>
      </c>
      <c r="G53">
        <v>13.88576879</v>
      </c>
      <c r="H53">
        <v>15.907078820000001</v>
      </c>
      <c r="I53">
        <v>17.908692800000001</v>
      </c>
      <c r="J53">
        <v>19.891430660000001</v>
      </c>
      <c r="K53">
        <v>21.8558187</v>
      </c>
      <c r="L53">
        <v>23.80203586</v>
      </c>
      <c r="M53">
        <v>25.730014489999999</v>
      </c>
      <c r="N53">
        <v>27.63954713</v>
      </c>
      <c r="O53">
        <v>29.530363739999999</v>
      </c>
      <c r="P53">
        <v>31.40218136</v>
      </c>
      <c r="Q53">
        <v>33.254736979999997</v>
      </c>
      <c r="R53">
        <v>35.087920879999999</v>
      </c>
      <c r="S53">
        <v>36.902126979999998</v>
      </c>
      <c r="T53">
        <v>38.698126350000003</v>
      </c>
      <c r="U53">
        <v>40.47661849</v>
      </c>
      <c r="V53">
        <v>42.23814359</v>
      </c>
      <c r="W53">
        <v>43.983107779999997</v>
      </c>
      <c r="X53">
        <v>45.711828650000001</v>
      </c>
      <c r="Y53">
        <v>47.424571929999999</v>
      </c>
      <c r="Z53">
        <v>49.121574750000001</v>
      </c>
      <c r="AA53">
        <v>50.803058020000002</v>
      </c>
      <c r="AB53">
        <v>52.469232040000001</v>
      </c>
      <c r="AC53">
        <v>54.120298419999997</v>
      </c>
      <c r="AD53">
        <v>55.756450430000001</v>
      </c>
      <c r="AE53">
        <v>57.377872850000003</v>
      </c>
      <c r="AF53">
        <v>58.98474186</v>
      </c>
      <c r="AG53">
        <v>60.577225300000002</v>
      </c>
      <c r="AH53">
        <v>62.155483089999997</v>
      </c>
      <c r="AI53">
        <v>63.719667899999997</v>
      </c>
      <c r="AJ53">
        <v>65.269925990000004</v>
      </c>
      <c r="AK53">
        <v>66.80639798</v>
      </c>
    </row>
    <row r="54" spans="1:37" x14ac:dyDescent="0.25">
      <c r="A54" t="s">
        <v>1798</v>
      </c>
      <c r="B54">
        <v>68.80476281</v>
      </c>
      <c r="C54">
        <v>76.774266659999995</v>
      </c>
      <c r="D54">
        <v>84.695532490000005</v>
      </c>
      <c r="E54">
        <v>92.573301439999994</v>
      </c>
      <c r="F54">
        <v>100.41090509999999</v>
      </c>
      <c r="G54">
        <v>108.21146330000001</v>
      </c>
      <c r="H54">
        <v>115.978041</v>
      </c>
      <c r="I54">
        <v>123.711482</v>
      </c>
      <c r="J54">
        <v>131.40979899999999</v>
      </c>
      <c r="K54">
        <v>139.07021180000001</v>
      </c>
      <c r="L54">
        <v>146.69061629999999</v>
      </c>
      <c r="M54">
        <v>154.27034810000001</v>
      </c>
      <c r="N54">
        <v>161.81041200000001</v>
      </c>
      <c r="O54">
        <v>169.3133837</v>
      </c>
      <c r="P54">
        <v>176.7831362</v>
      </c>
      <c r="Q54">
        <v>184.22448549999999</v>
      </c>
      <c r="R54">
        <v>191.6423815</v>
      </c>
      <c r="S54">
        <v>199.0398658</v>
      </c>
      <c r="T54">
        <v>206.4170641</v>
      </c>
      <c r="U54">
        <v>213.77217139999999</v>
      </c>
      <c r="V54">
        <v>221.10242210000001</v>
      </c>
      <c r="W54">
        <v>228.40478490000001</v>
      </c>
      <c r="X54">
        <v>235.6763771</v>
      </c>
      <c r="Y54">
        <v>242.9146686</v>
      </c>
      <c r="Z54">
        <v>250.11755109999999</v>
      </c>
      <c r="AA54">
        <v>257.28333149999997</v>
      </c>
      <c r="AB54">
        <v>264.41068860000001</v>
      </c>
      <c r="AC54">
        <v>271.49861659999999</v>
      </c>
      <c r="AD54">
        <v>278.5463694</v>
      </c>
      <c r="AE54">
        <v>285.55341060000001</v>
      </c>
      <c r="AF54">
        <v>292.51937099999998</v>
      </c>
      <c r="AG54">
        <v>299.44401499999998</v>
      </c>
      <c r="AH54">
        <v>306.32721379999998</v>
      </c>
      <c r="AI54">
        <v>313.16892410000003</v>
      </c>
      <c r="AJ54">
        <v>319.96917189999999</v>
      </c>
      <c r="AK54">
        <v>326.72803959999999</v>
      </c>
    </row>
    <row r="55" spans="1:37" x14ac:dyDescent="0.25">
      <c r="A55" t="s">
        <v>1799</v>
      </c>
      <c r="B55">
        <v>408.28039699999999</v>
      </c>
      <c r="C55">
        <v>424.07498500000003</v>
      </c>
      <c r="D55">
        <v>439.74758329999997</v>
      </c>
      <c r="E55">
        <v>455.29549209999999</v>
      </c>
      <c r="F55">
        <v>470.7172668</v>
      </c>
      <c r="G55">
        <v>486.01122820000001</v>
      </c>
      <c r="H55">
        <v>501.17559139999997</v>
      </c>
      <c r="I55">
        <v>516.21132750000004</v>
      </c>
      <c r="J55">
        <v>531.12268700000004</v>
      </c>
      <c r="K55">
        <v>545.91460459999996</v>
      </c>
      <c r="L55">
        <v>560.59113139999999</v>
      </c>
      <c r="M55">
        <v>575.15469880000001</v>
      </c>
      <c r="N55">
        <v>589.60593510000001</v>
      </c>
      <c r="O55">
        <v>603.94380850000005</v>
      </c>
      <c r="P55">
        <v>618.16594840000005</v>
      </c>
      <c r="Q55">
        <v>632.26905490000001</v>
      </c>
      <c r="R55">
        <v>646.24983699999996</v>
      </c>
      <c r="S55">
        <v>660.10727789999999</v>
      </c>
      <c r="T55">
        <v>673.84350810000001</v>
      </c>
      <c r="U55">
        <v>687.46254429999999</v>
      </c>
      <c r="V55">
        <v>700.96926359999998</v>
      </c>
      <c r="W55">
        <v>714.36871559999997</v>
      </c>
      <c r="X55">
        <v>727.66572540000004</v>
      </c>
      <c r="Y55">
        <v>740.86469980000004</v>
      </c>
      <c r="Z55">
        <v>753.96956339999997</v>
      </c>
      <c r="AA55">
        <v>766.98376840000003</v>
      </c>
      <c r="AB55">
        <v>779.91034030000003</v>
      </c>
      <c r="AC55">
        <v>792.75193660000002</v>
      </c>
      <c r="AD55">
        <v>805.51090739999995</v>
      </c>
      <c r="AE55">
        <v>818.18934939999997</v>
      </c>
      <c r="AF55">
        <v>830.78915229999996</v>
      </c>
      <c r="AG55">
        <v>843.31203719999996</v>
      </c>
      <c r="AH55">
        <v>855.75958709999998</v>
      </c>
      <c r="AI55">
        <v>868.13327179999999</v>
      </c>
      <c r="AJ55">
        <v>880.43446630000005</v>
      </c>
      <c r="AK55">
        <v>892.66446659999997</v>
      </c>
    </row>
    <row r="56" spans="1:37" x14ac:dyDescent="0.25">
      <c r="A56" t="s">
        <v>1800</v>
      </c>
      <c r="B56">
        <v>954.38155940000001</v>
      </c>
      <c r="C56">
        <v>947.51893399999994</v>
      </c>
      <c r="D56">
        <v>940.69733710000003</v>
      </c>
      <c r="E56">
        <v>933.91695400000003</v>
      </c>
      <c r="F56">
        <v>927.17797680000001</v>
      </c>
      <c r="G56">
        <v>920.48142849999999</v>
      </c>
      <c r="H56">
        <v>913.82859499999995</v>
      </c>
      <c r="I56">
        <v>907.21924000000001</v>
      </c>
      <c r="J56">
        <v>900.6518777</v>
      </c>
      <c r="K56">
        <v>894.12545239999997</v>
      </c>
      <c r="L56">
        <v>887.63965089999999</v>
      </c>
      <c r="M56">
        <v>881.19480429999999</v>
      </c>
      <c r="N56">
        <v>874.79171540000004</v>
      </c>
      <c r="O56">
        <v>868.43150879999996</v>
      </c>
      <c r="P56">
        <v>862.11551029999998</v>
      </c>
      <c r="Q56">
        <v>855.84514200000001</v>
      </c>
      <c r="R56">
        <v>849.62153020000005</v>
      </c>
      <c r="S56">
        <v>843.44448</v>
      </c>
      <c r="T56">
        <v>837.31260759999998</v>
      </c>
      <c r="U56">
        <v>831.22440719999997</v>
      </c>
      <c r="V56">
        <v>825.17854239999997</v>
      </c>
      <c r="W56">
        <v>819.1738742</v>
      </c>
      <c r="X56">
        <v>813.20942190000005</v>
      </c>
      <c r="Y56">
        <v>807.28432439999995</v>
      </c>
      <c r="Z56">
        <v>801.39781479999999</v>
      </c>
      <c r="AA56">
        <v>795.54920609999999</v>
      </c>
      <c r="AB56">
        <v>789.73788449999995</v>
      </c>
      <c r="AC56">
        <v>783.96330330000001</v>
      </c>
      <c r="AD56">
        <v>778.22497920000001</v>
      </c>
      <c r="AE56">
        <v>772.52248669999994</v>
      </c>
      <c r="AF56">
        <v>766.85545290000005</v>
      </c>
      <c r="AG56">
        <v>761.22355149999999</v>
      </c>
      <c r="AH56">
        <v>755.62649739999995</v>
      </c>
      <c r="AI56">
        <v>750.06404090000001</v>
      </c>
      <c r="AJ56">
        <v>744.53596289999996</v>
      </c>
      <c r="AK56">
        <v>739.04207029999998</v>
      </c>
    </row>
    <row r="57" spans="1:37" x14ac:dyDescent="0.25">
      <c r="A57" t="s">
        <v>1801</v>
      </c>
      <c r="B57">
        <v>878.79999729999997</v>
      </c>
      <c r="C57">
        <v>867.96668339999997</v>
      </c>
      <c r="D57">
        <v>857.2679263</v>
      </c>
      <c r="E57">
        <v>846.70180649999998</v>
      </c>
      <c r="F57">
        <v>836.26651449999997</v>
      </c>
      <c r="G57">
        <v>825.96011910000004</v>
      </c>
      <c r="H57">
        <v>815.78064810000001</v>
      </c>
      <c r="I57">
        <v>805.72656859999995</v>
      </c>
      <c r="J57">
        <v>795.79679020000003</v>
      </c>
      <c r="K57">
        <v>785.99018530000001</v>
      </c>
      <c r="L57">
        <v>776.30542609999998</v>
      </c>
      <c r="M57">
        <v>766.74095650000004</v>
      </c>
      <c r="N57">
        <v>757.29501049999999</v>
      </c>
      <c r="O57">
        <v>747.96564130000002</v>
      </c>
      <c r="P57">
        <v>738.75074529999995</v>
      </c>
      <c r="Q57">
        <v>729.6480798</v>
      </c>
      <c r="R57">
        <v>720.65539249999995</v>
      </c>
      <c r="S57">
        <v>711.77088049999998</v>
      </c>
      <c r="T57">
        <v>702.99332049999998</v>
      </c>
      <c r="U57">
        <v>694.32172379999997</v>
      </c>
      <c r="V57">
        <v>685.75518629999999</v>
      </c>
      <c r="W57">
        <v>677.29282720000003</v>
      </c>
      <c r="X57">
        <v>668.93376469999998</v>
      </c>
      <c r="Y57">
        <v>660.67710790000001</v>
      </c>
      <c r="Z57">
        <v>652.52195340000003</v>
      </c>
      <c r="AA57">
        <v>644.46738440000001</v>
      </c>
      <c r="AB57">
        <v>636.51247020000005</v>
      </c>
      <c r="AC57">
        <v>628.65626669999995</v>
      </c>
      <c r="AD57">
        <v>620.89781700000003</v>
      </c>
      <c r="AE57">
        <v>613.23615270000005</v>
      </c>
      <c r="AF57">
        <v>605.67029490000004</v>
      </c>
      <c r="AG57">
        <v>598.19925590000003</v>
      </c>
      <c r="AH57">
        <v>590.82204079999997</v>
      </c>
      <c r="AI57">
        <v>583.53764899999999</v>
      </c>
      <c r="AJ57">
        <v>576.34507589999998</v>
      </c>
      <c r="AK57">
        <v>569.24331419999999</v>
      </c>
    </row>
    <row r="58" spans="1:37" x14ac:dyDescent="0.25">
      <c r="A58" t="s">
        <v>1802</v>
      </c>
      <c r="B58">
        <v>139.85209269999999</v>
      </c>
      <c r="C58">
        <v>137.9553411</v>
      </c>
      <c r="D58">
        <v>136.0829918</v>
      </c>
      <c r="E58">
        <v>134.23479950000001</v>
      </c>
      <c r="F58">
        <v>132.4105155</v>
      </c>
      <c r="G58">
        <v>130.60988939999999</v>
      </c>
      <c r="H58">
        <v>128.83267029999999</v>
      </c>
      <c r="I58">
        <v>127.07860340000001</v>
      </c>
      <c r="J58">
        <v>125.34743</v>
      </c>
      <c r="K58">
        <v>123.63889229999999</v>
      </c>
      <c r="L58">
        <v>121.9527358</v>
      </c>
      <c r="M58">
        <v>120.2887096</v>
      </c>
      <c r="N58">
        <v>118.6465664</v>
      </c>
      <c r="O58">
        <v>117.0260626</v>
      </c>
      <c r="P58">
        <v>115.4269571</v>
      </c>
      <c r="Q58">
        <v>113.8490123</v>
      </c>
      <c r="R58">
        <v>112.2919923</v>
      </c>
      <c r="S58">
        <v>110.75565810000001</v>
      </c>
      <c r="T58">
        <v>109.23976519999999</v>
      </c>
      <c r="U58">
        <v>107.74406690000001</v>
      </c>
      <c r="V58">
        <v>106.2683167</v>
      </c>
      <c r="W58">
        <v>104.8122697</v>
      </c>
      <c r="X58">
        <v>103.375683</v>
      </c>
      <c r="Y58">
        <v>101.958316</v>
      </c>
      <c r="Z58">
        <v>100.5599309</v>
      </c>
      <c r="AA58">
        <v>99.180292399999999</v>
      </c>
      <c r="AB58">
        <v>97.819167820000004</v>
      </c>
      <c r="AC58">
        <v>96.476326990000004</v>
      </c>
      <c r="AD58">
        <v>95.151542190000001</v>
      </c>
      <c r="AE58">
        <v>93.844588099999996</v>
      </c>
      <c r="AF58">
        <v>92.555241769999995</v>
      </c>
      <c r="AG58">
        <v>91.28328252</v>
      </c>
      <c r="AH58">
        <v>90.028491939999995</v>
      </c>
      <c r="AI58">
        <v>88.790653840000004</v>
      </c>
      <c r="AJ58">
        <v>87.569554240000002</v>
      </c>
      <c r="AK58">
        <v>86.364981290000003</v>
      </c>
    </row>
    <row r="59" spans="1:37" x14ac:dyDescent="0.25">
      <c r="A59" t="s">
        <v>1803</v>
      </c>
      <c r="B59">
        <v>3.874567114</v>
      </c>
      <c r="C59">
        <v>3.7242706779999999</v>
      </c>
      <c r="D59">
        <v>3.5801571349999999</v>
      </c>
      <c r="E59">
        <v>3.4419667719999998</v>
      </c>
      <c r="F59">
        <v>3.3094508610000002</v>
      </c>
      <c r="G59">
        <v>3.1823711970000002</v>
      </c>
      <c r="H59">
        <v>3.0604996469999999</v>
      </c>
      <c r="I59">
        <v>2.9436177290000001</v>
      </c>
      <c r="J59">
        <v>2.8315161980000001</v>
      </c>
      <c r="K59">
        <v>2.7239946530000001</v>
      </c>
      <c r="L59">
        <v>2.6208611679999998</v>
      </c>
      <c r="M59">
        <v>2.5219319269999998</v>
      </c>
      <c r="N59">
        <v>2.427030883</v>
      </c>
      <c r="O59">
        <v>2.3359894290000001</v>
      </c>
      <c r="P59">
        <v>2.248646082</v>
      </c>
      <c r="Q59">
        <v>2.1648461810000001</v>
      </c>
      <c r="R59">
        <v>2.0844416020000001</v>
      </c>
      <c r="S59">
        <v>2.0072904739999999</v>
      </c>
      <c r="T59">
        <v>1.9332569209999999</v>
      </c>
      <c r="U59">
        <v>1.8622107999999999</v>
      </c>
      <c r="V59">
        <v>1.7940274650000001</v>
      </c>
      <c r="W59">
        <v>1.728587528</v>
      </c>
      <c r="X59">
        <v>1.6657766389999999</v>
      </c>
      <c r="Y59">
        <v>1.6054852719999999</v>
      </c>
      <c r="Z59">
        <v>1.5476085230000001</v>
      </c>
      <c r="AA59">
        <v>1.492045909</v>
      </c>
      <c r="AB59">
        <v>1.438701185</v>
      </c>
      <c r="AC59">
        <v>1.3874821660000001</v>
      </c>
      <c r="AD59">
        <v>1.3383005480000001</v>
      </c>
      <c r="AE59">
        <v>1.2910717519999999</v>
      </c>
      <c r="AF59">
        <v>1.245714762</v>
      </c>
      <c r="AG59">
        <v>1.202151974</v>
      </c>
      <c r="AH59">
        <v>1.160309051</v>
      </c>
      <c r="AI59">
        <v>1.1201147899999999</v>
      </c>
      <c r="AJ59">
        <v>1.081500981</v>
      </c>
      <c r="AK59">
        <v>1.0444022879999999</v>
      </c>
    </row>
    <row r="60" spans="1:37" x14ac:dyDescent="0.25">
      <c r="A60" t="s">
        <v>1804</v>
      </c>
      <c r="B60">
        <v>1.1716777110000001</v>
      </c>
      <c r="C60">
        <v>1.1716777110000001</v>
      </c>
      <c r="D60">
        <v>1.156539886</v>
      </c>
      <c r="E60">
        <v>1.141606444</v>
      </c>
      <c r="F60">
        <v>1.126874092</v>
      </c>
      <c r="G60">
        <v>1.1123396780000001</v>
      </c>
      <c r="H60">
        <v>1.0979999600000001</v>
      </c>
      <c r="I60">
        <v>1.083851688</v>
      </c>
      <c r="J60">
        <v>1.0698920759999999</v>
      </c>
      <c r="K60">
        <v>1.0561188050000001</v>
      </c>
      <c r="L60">
        <v>1.042529552</v>
      </c>
      <c r="M60">
        <v>1.0291218259999999</v>
      </c>
      <c r="N60">
        <v>1.015892944</v>
      </c>
      <c r="O60">
        <v>1.0028400479999999</v>
      </c>
      <c r="P60">
        <v>0.98996013039999997</v>
      </c>
      <c r="Q60">
        <v>0.97725005629999995</v>
      </c>
      <c r="R60">
        <v>0.96470658149999999</v>
      </c>
      <c r="S60">
        <v>0.95232647859999997</v>
      </c>
      <c r="T60">
        <v>0.94010698439999996</v>
      </c>
      <c r="U60">
        <v>0.9280459244</v>
      </c>
      <c r="V60">
        <v>0.91614137419999997</v>
      </c>
      <c r="W60">
        <v>0.9043915132</v>
      </c>
      <c r="X60">
        <v>0.89279456420000003</v>
      </c>
      <c r="Y60">
        <v>0.88134877119999999</v>
      </c>
      <c r="Z60">
        <v>0.87005238979999999</v>
      </c>
      <c r="AA60">
        <v>0.85890368419999996</v>
      </c>
      <c r="AB60">
        <v>0.84790092530000005</v>
      </c>
      <c r="AC60">
        <v>0.83704238990000002</v>
      </c>
      <c r="AD60">
        <v>0.82632636000000004</v>
      </c>
      <c r="AE60">
        <v>0.81575112329999999</v>
      </c>
      <c r="AF60">
        <v>0.80531497289999998</v>
      </c>
      <c r="AG60">
        <v>0.7950162087</v>
      </c>
      <c r="AH60">
        <v>0.78485313769999998</v>
      </c>
      <c r="AI60">
        <v>0.77482407539999998</v>
      </c>
      <c r="AJ60">
        <v>0.76492734699999998</v>
      </c>
      <c r="AK60">
        <v>0.75516128770000002</v>
      </c>
    </row>
    <row r="61" spans="1:37" x14ac:dyDescent="0.25">
      <c r="A61" t="s">
        <v>87</v>
      </c>
      <c r="B61">
        <v>32317.940999999999</v>
      </c>
      <c r="C61">
        <v>31931.6253</v>
      </c>
      <c r="D61">
        <v>31743.508249999999</v>
      </c>
      <c r="E61">
        <v>31687.79249</v>
      </c>
      <c r="F61">
        <v>31720.643349999998</v>
      </c>
      <c r="G61">
        <v>31813.33711</v>
      </c>
      <c r="H61">
        <v>31947.162380000002</v>
      </c>
      <c r="I61">
        <v>32109.87729</v>
      </c>
      <c r="J61">
        <v>32293.361379999998</v>
      </c>
      <c r="K61">
        <v>32492.108840000001</v>
      </c>
      <c r="L61">
        <v>32702.282360000001</v>
      </c>
      <c r="M61">
        <v>32921.126179999999</v>
      </c>
      <c r="N61">
        <v>33146.603029999998</v>
      </c>
      <c r="O61">
        <v>33377.167979999998</v>
      </c>
      <c r="P61">
        <v>33611.625030000003</v>
      </c>
      <c r="Q61">
        <v>33849.033629999998</v>
      </c>
      <c r="R61">
        <v>34088.645530000002</v>
      </c>
      <c r="S61">
        <v>34329.860690000001</v>
      </c>
      <c r="T61">
        <v>34572.195419999996</v>
      </c>
      <c r="U61">
        <v>34815.258710000002</v>
      </c>
      <c r="V61">
        <v>35058.734510000002</v>
      </c>
      <c r="W61">
        <v>35302.36808</v>
      </c>
      <c r="X61">
        <v>35545.95566</v>
      </c>
      <c r="Y61">
        <v>35789.336340000002</v>
      </c>
      <c r="Z61">
        <v>36032.385739999998</v>
      </c>
      <c r="AA61">
        <v>36275.010999999999</v>
      </c>
      <c r="AB61">
        <v>36517.146650000002</v>
      </c>
      <c r="AC61">
        <v>36758.751190000003</v>
      </c>
      <c r="AD61">
        <v>36999.804109999997</v>
      </c>
      <c r="AE61">
        <v>37240.303260000001</v>
      </c>
      <c r="AF61">
        <v>37480.262430000002</v>
      </c>
      <c r="AG61">
        <v>37719.709159999999</v>
      </c>
      <c r="AH61">
        <v>37958.682679999998</v>
      </c>
      <c r="AI61">
        <v>38197.23199</v>
      </c>
      <c r="AJ61">
        <v>38435.414069999999</v>
      </c>
      <c r="AK61">
        <v>38673.292269999998</v>
      </c>
    </row>
    <row r="62" spans="1:37" x14ac:dyDescent="0.25">
      <c r="A62" t="s">
        <v>88</v>
      </c>
      <c r="B62">
        <v>32271.24</v>
      </c>
      <c r="C62">
        <v>31867.184539999998</v>
      </c>
      <c r="D62">
        <v>31660.485769999999</v>
      </c>
      <c r="E62">
        <v>31585.837940000001</v>
      </c>
      <c r="F62">
        <v>31599.720549999998</v>
      </c>
      <c r="G62">
        <v>31673.60284</v>
      </c>
      <c r="H62">
        <v>31788.887490000001</v>
      </c>
      <c r="I62">
        <v>31933.39687</v>
      </c>
      <c r="J62">
        <v>32099.043880000001</v>
      </c>
      <c r="K62">
        <v>32280.33711</v>
      </c>
      <c r="L62">
        <v>32473.442050000001</v>
      </c>
      <c r="M62">
        <v>32675.5985</v>
      </c>
      <c r="N62">
        <v>32884.760260000003</v>
      </c>
      <c r="O62">
        <v>33099.37055</v>
      </c>
      <c r="P62">
        <v>33318.219720000001</v>
      </c>
      <c r="Q62">
        <v>33540.352330000002</v>
      </c>
      <c r="R62">
        <v>33765.004459999996</v>
      </c>
      <c r="S62">
        <v>33991.559860000001</v>
      </c>
      <c r="T62">
        <v>34219.518219999998</v>
      </c>
      <c r="U62">
        <v>34448.471680000002</v>
      </c>
      <c r="V62">
        <v>34678.087050000002</v>
      </c>
      <c r="W62">
        <v>34908.092270000001</v>
      </c>
      <c r="X62">
        <v>35138.265950000001</v>
      </c>
      <c r="Y62">
        <v>35368.429279999997</v>
      </c>
      <c r="Z62">
        <v>35598.439659999996</v>
      </c>
      <c r="AA62">
        <v>35828.185579999998</v>
      </c>
      <c r="AB62">
        <v>36057.582459999998</v>
      </c>
      <c r="AC62">
        <v>36286.56912</v>
      </c>
      <c r="AD62">
        <v>36515.104740000002</v>
      </c>
      <c r="AE62">
        <v>36743.166120000002</v>
      </c>
      <c r="AF62">
        <v>36970.745210000001</v>
      </c>
      <c r="AG62">
        <v>37197.846769999996</v>
      </c>
      <c r="AH62">
        <v>37424.486270000001</v>
      </c>
      <c r="AI62">
        <v>37650.6878</v>
      </c>
      <c r="AJ62">
        <v>37876.482239999998</v>
      </c>
      <c r="AK62">
        <v>38101.905460000002</v>
      </c>
    </row>
    <row r="63" spans="1:37" x14ac:dyDescent="0.25">
      <c r="A63" t="s">
        <v>89</v>
      </c>
      <c r="B63">
        <v>44.765000000000001</v>
      </c>
      <c r="C63">
        <v>62.448716269999998</v>
      </c>
      <c r="D63">
        <v>80.96397125</v>
      </c>
      <c r="E63">
        <v>99.823967240000002</v>
      </c>
      <c r="F63">
        <v>118.71771630000001</v>
      </c>
      <c r="G63">
        <v>137.45419670000001</v>
      </c>
      <c r="H63">
        <v>155.92054479999999</v>
      </c>
      <c r="I63">
        <v>174.05323809999999</v>
      </c>
      <c r="J63">
        <v>191.819312</v>
      </c>
      <c r="K63">
        <v>209.20456300000001</v>
      </c>
      <c r="L63">
        <v>226.20631040000001</v>
      </c>
      <c r="M63">
        <v>242.8290054</v>
      </c>
      <c r="N63">
        <v>259.08157080000001</v>
      </c>
      <c r="O63">
        <v>274.9757745</v>
      </c>
      <c r="P63">
        <v>290.52522199999999</v>
      </c>
      <c r="Q63">
        <v>305.74471920000002</v>
      </c>
      <c r="R63">
        <v>320.64986579999999</v>
      </c>
      <c r="S63">
        <v>335.25679709999997</v>
      </c>
      <c r="T63">
        <v>349.58202449999999</v>
      </c>
      <c r="U63">
        <v>363.64234420000003</v>
      </c>
      <c r="V63">
        <v>377.45479499999999</v>
      </c>
      <c r="W63">
        <v>391.03665089999998</v>
      </c>
      <c r="X63">
        <v>404.40544</v>
      </c>
      <c r="Y63">
        <v>417.57898280000001</v>
      </c>
      <c r="Z63">
        <v>430.57544489999998</v>
      </c>
      <c r="AA63">
        <v>443.41340109999999</v>
      </c>
      <c r="AB63">
        <v>456.11190629999999</v>
      </c>
      <c r="AC63">
        <v>468.69057370000002</v>
      </c>
      <c r="AD63">
        <v>481.16965679999998</v>
      </c>
      <c r="AE63">
        <v>493.57013669999998</v>
      </c>
      <c r="AF63">
        <v>505.91381250000001</v>
      </c>
      <c r="AG63">
        <v>518.22339710000006</v>
      </c>
      <c r="AH63">
        <v>530.5226169</v>
      </c>
      <c r="AI63">
        <v>542.83631739999998</v>
      </c>
      <c r="AJ63">
        <v>555.19057529999998</v>
      </c>
      <c r="AK63">
        <v>567.61281750000001</v>
      </c>
    </row>
    <row r="64" spans="1:37" x14ac:dyDescent="0.25">
      <c r="A64" t="s">
        <v>90</v>
      </c>
      <c r="B64">
        <v>1.9359999999999999</v>
      </c>
      <c r="C64">
        <v>1.992038478</v>
      </c>
      <c r="D64">
        <v>2.0585130399999998</v>
      </c>
      <c r="E64">
        <v>2.1305753150000002</v>
      </c>
      <c r="F64">
        <v>2.205083192</v>
      </c>
      <c r="G64">
        <v>2.2800657229999999</v>
      </c>
      <c r="H64">
        <v>2.3543231279999999</v>
      </c>
      <c r="I64">
        <v>2.4271483549999999</v>
      </c>
      <c r="J64">
        <v>2.498142573</v>
      </c>
      <c r="K64">
        <v>2.5670970789999998</v>
      </c>
      <c r="L64">
        <v>2.6339195040000001</v>
      </c>
      <c r="M64">
        <v>2.69858844</v>
      </c>
      <c r="N64">
        <v>2.7611257519999999</v>
      </c>
      <c r="O64">
        <v>2.8215796809999998</v>
      </c>
      <c r="P64">
        <v>2.8800144360000002</v>
      </c>
      <c r="Q64">
        <v>2.9365036600000001</v>
      </c>
      <c r="R64">
        <v>2.9911262380000001</v>
      </c>
      <c r="S64">
        <v>3.0439635360000001</v>
      </c>
      <c r="T64">
        <v>3.0950975459999999</v>
      </c>
      <c r="U64">
        <v>3.1446096300000002</v>
      </c>
      <c r="V64">
        <v>3.192579673</v>
      </c>
      <c r="W64">
        <v>3.239085524</v>
      </c>
      <c r="X64">
        <v>3.2842026450000001</v>
      </c>
      <c r="Y64">
        <v>3.3280039100000001</v>
      </c>
      <c r="Z64">
        <v>3.370559514</v>
      </c>
      <c r="AA64">
        <v>3.4119369420000001</v>
      </c>
      <c r="AB64">
        <v>3.452200994</v>
      </c>
      <c r="AC64">
        <v>3.4914138370000001</v>
      </c>
      <c r="AD64">
        <v>3.5296350570000001</v>
      </c>
      <c r="AE64">
        <v>3.5669217350000002</v>
      </c>
      <c r="AF64">
        <v>3.6033285020000001</v>
      </c>
      <c r="AG64">
        <v>3.6389076010000001</v>
      </c>
      <c r="AH64">
        <v>3.6737089360000001</v>
      </c>
      <c r="AI64">
        <v>3.707780122</v>
      </c>
      <c r="AJ64">
        <v>3.741166524</v>
      </c>
      <c r="AK64">
        <v>3.7739112929999998</v>
      </c>
    </row>
    <row r="65" spans="1:37" x14ac:dyDescent="0.25">
      <c r="A65" t="s">
        <v>1805</v>
      </c>
      <c r="B65">
        <v>1886.229</v>
      </c>
      <c r="C65">
        <v>2126.9764409999998</v>
      </c>
      <c r="D65">
        <v>2294.441949</v>
      </c>
      <c r="E65">
        <v>2411.5024819999999</v>
      </c>
      <c r="F65">
        <v>2495.0188450000001</v>
      </c>
      <c r="G65">
        <v>2556.7025119999998</v>
      </c>
      <c r="H65">
        <v>2604.3377540000001</v>
      </c>
      <c r="I65">
        <v>2642.9422650000001</v>
      </c>
      <c r="J65">
        <v>2675.6871630000001</v>
      </c>
      <c r="K65">
        <v>2704.556431</v>
      </c>
      <c r="L65">
        <v>2730.7906400000002</v>
      </c>
      <c r="M65">
        <v>2755.1728119999998</v>
      </c>
      <c r="N65">
        <v>2778.2068039999999</v>
      </c>
      <c r="O65">
        <v>2800.226091</v>
      </c>
      <c r="P65">
        <v>2821.4589340000002</v>
      </c>
      <c r="Q65">
        <v>2842.0671710000001</v>
      </c>
      <c r="R65">
        <v>2862.1693700000001</v>
      </c>
      <c r="S65">
        <v>2881.8549119999998</v>
      </c>
      <c r="T65">
        <v>2901.192822</v>
      </c>
      <c r="U65">
        <v>2920.2375459999998</v>
      </c>
      <c r="V65">
        <v>2939.0329419999998</v>
      </c>
      <c r="W65">
        <v>2957.6151220000002</v>
      </c>
      <c r="X65">
        <v>2976.0145470000002</v>
      </c>
      <c r="Y65">
        <v>2994.25756</v>
      </c>
      <c r="Z65">
        <v>3012.367506</v>
      </c>
      <c r="AA65">
        <v>3030.3655220000001</v>
      </c>
      <c r="AB65">
        <v>3048.2710809999999</v>
      </c>
      <c r="AC65">
        <v>3066.1023279999999</v>
      </c>
      <c r="AD65">
        <v>3083.87628</v>
      </c>
      <c r="AE65">
        <v>3101.6089280000001</v>
      </c>
      <c r="AF65">
        <v>3119.3152650000002</v>
      </c>
      <c r="AG65">
        <v>3137.0092840000002</v>
      </c>
      <c r="AH65">
        <v>3154.703955</v>
      </c>
      <c r="AI65">
        <v>3172.4112030000001</v>
      </c>
      <c r="AJ65">
        <v>3190.1418899999999</v>
      </c>
      <c r="AK65">
        <v>3207.9058129999999</v>
      </c>
    </row>
    <row r="66" spans="1:37" x14ac:dyDescent="0.25">
      <c r="A66" t="s">
        <v>1806</v>
      </c>
      <c r="B66">
        <v>1868.8030000000001</v>
      </c>
      <c r="C66">
        <v>2107.3250859999998</v>
      </c>
      <c r="D66">
        <v>2273.237768</v>
      </c>
      <c r="E66">
        <v>2389.2032079999999</v>
      </c>
      <c r="F66">
        <v>2471.9244659999999</v>
      </c>
      <c r="G66">
        <v>2533.004516</v>
      </c>
      <c r="H66">
        <v>2580.1564659999999</v>
      </c>
      <c r="I66">
        <v>2618.3527669999999</v>
      </c>
      <c r="J66">
        <v>2650.7362549999998</v>
      </c>
      <c r="K66">
        <v>2679.2733050000002</v>
      </c>
      <c r="L66">
        <v>2705.1934289999999</v>
      </c>
      <c r="M66">
        <v>2729.2725620000001</v>
      </c>
      <c r="N66">
        <v>2752.009888</v>
      </c>
      <c r="O66">
        <v>2773.735604</v>
      </c>
      <c r="P66">
        <v>2794.6756730000002</v>
      </c>
      <c r="Q66">
        <v>2814.9901749999999</v>
      </c>
      <c r="R66">
        <v>2834.79628</v>
      </c>
      <c r="S66">
        <v>2854.1822029999998</v>
      </c>
      <c r="T66">
        <v>2873.21594</v>
      </c>
      <c r="U66">
        <v>2891.9509889999999</v>
      </c>
      <c r="V66">
        <v>2910.430288</v>
      </c>
      <c r="W66">
        <v>2928.6890320000002</v>
      </c>
      <c r="X66">
        <v>2946.7567319999998</v>
      </c>
      <c r="Y66">
        <v>2964.658735</v>
      </c>
      <c r="Z66">
        <v>2982.417328</v>
      </c>
      <c r="AA66">
        <v>3000.05251</v>
      </c>
      <c r="AB66">
        <v>3017.5825289999998</v>
      </c>
      <c r="AC66">
        <v>3035.0242079999998</v>
      </c>
      <c r="AD66">
        <v>3052.3931389999998</v>
      </c>
      <c r="AE66">
        <v>3069.7037719999998</v>
      </c>
      <c r="AF66">
        <v>3086.969443</v>
      </c>
      <c r="AG66">
        <v>3104.2023589999999</v>
      </c>
      <c r="AH66">
        <v>3121.4135649999998</v>
      </c>
      <c r="AI66">
        <v>3138.6129190000001</v>
      </c>
      <c r="AJ66">
        <v>3155.8090560000001</v>
      </c>
      <c r="AK66">
        <v>3173.00938</v>
      </c>
    </row>
    <row r="67" spans="1:37" x14ac:dyDescent="0.25">
      <c r="A67" t="s">
        <v>1807</v>
      </c>
      <c r="B67">
        <v>17.268999999999998</v>
      </c>
      <c r="C67">
        <v>19.474316269999999</v>
      </c>
      <c r="D67">
        <v>21.01320363</v>
      </c>
      <c r="E67">
        <v>22.098554849999999</v>
      </c>
      <c r="F67">
        <v>22.886707730000001</v>
      </c>
      <c r="G67">
        <v>23.485189049999999</v>
      </c>
      <c r="H67">
        <v>23.964515939999998</v>
      </c>
      <c r="I67">
        <v>24.36951509</v>
      </c>
      <c r="J67">
        <v>24.72820342</v>
      </c>
      <c r="K67">
        <v>25.058023500000001</v>
      </c>
      <c r="L67">
        <v>25.369929899999999</v>
      </c>
      <c r="M67">
        <v>25.670947420000001</v>
      </c>
      <c r="N67">
        <v>25.96572561</v>
      </c>
      <c r="O67">
        <v>26.257466600000001</v>
      </c>
      <c r="P67">
        <v>26.548478500000002</v>
      </c>
      <c r="Q67">
        <v>26.84050603</v>
      </c>
      <c r="R67">
        <v>27.134935380000002</v>
      </c>
      <c r="S67">
        <v>27.432925959999999</v>
      </c>
      <c r="T67">
        <v>27.735499220000001</v>
      </c>
      <c r="U67">
        <v>28.043600659999999</v>
      </c>
      <c r="V67">
        <v>28.358144589999998</v>
      </c>
      <c r="W67">
        <v>28.680047739999999</v>
      </c>
      <c r="X67">
        <v>29.010255140000002</v>
      </c>
      <c r="Y67">
        <v>29.34976035</v>
      </c>
      <c r="Z67">
        <v>29.69962147</v>
      </c>
      <c r="AA67">
        <v>30.06097398</v>
      </c>
      <c r="AB67">
        <v>30.43504128</v>
      </c>
      <c r="AC67">
        <v>30.82314362</v>
      </c>
      <c r="AD67">
        <v>31.226706069999999</v>
      </c>
      <c r="AE67">
        <v>31.647266129999998</v>
      </c>
      <c r="AF67">
        <v>32.086481310000003</v>
      </c>
      <c r="AG67">
        <v>32.546137109999997</v>
      </c>
      <c r="AH67">
        <v>33.028155650000002</v>
      </c>
      <c r="AI67">
        <v>33.534605169999999</v>
      </c>
      <c r="AJ67">
        <v>34.067710599999998</v>
      </c>
      <c r="AK67">
        <v>34.629865250000002</v>
      </c>
    </row>
    <row r="68" spans="1:37" x14ac:dyDescent="0.25">
      <c r="A68" t="s">
        <v>1808</v>
      </c>
      <c r="B68">
        <v>0.157</v>
      </c>
      <c r="C68">
        <v>0.17703847780000001</v>
      </c>
      <c r="D68">
        <v>0.1909769674</v>
      </c>
      <c r="E68">
        <v>0.2007193394</v>
      </c>
      <c r="F68">
        <v>0.2076688347</v>
      </c>
      <c r="G68">
        <v>0.21280023040000001</v>
      </c>
      <c r="H68">
        <v>0.21676151269999999</v>
      </c>
      <c r="I68">
        <v>0.219970422</v>
      </c>
      <c r="J68">
        <v>0.222690991</v>
      </c>
      <c r="K68">
        <v>0.2250884169</v>
      </c>
      <c r="L68">
        <v>0.22726599240000001</v>
      </c>
      <c r="M68">
        <v>0.22928890430000001</v>
      </c>
      <c r="N68">
        <v>0.2311990897</v>
      </c>
      <c r="O68">
        <v>0.23302428880000001</v>
      </c>
      <c r="P68">
        <v>0.2347834848</v>
      </c>
      <c r="Q68">
        <v>0.23649012629999999</v>
      </c>
      <c r="R68">
        <v>0.23815405689999999</v>
      </c>
      <c r="S68">
        <v>0.23978268759999999</v>
      </c>
      <c r="T68">
        <v>0.2413817308</v>
      </c>
      <c r="U68">
        <v>0.2429556809</v>
      </c>
      <c r="V68">
        <v>0.2445081452</v>
      </c>
      <c r="W68">
        <v>0.2460420804</v>
      </c>
      <c r="X68">
        <v>0.24755996590000001</v>
      </c>
      <c r="Y68">
        <v>0.24906393099999999</v>
      </c>
      <c r="Z68">
        <v>0.25055584800000003</v>
      </c>
      <c r="AA68">
        <v>0.25203739730000002</v>
      </c>
      <c r="AB68">
        <v>0.25351011159999998</v>
      </c>
      <c r="AC68">
        <v>0.25497540439999999</v>
      </c>
      <c r="AD68">
        <v>0.25643458559999999</v>
      </c>
      <c r="AE68">
        <v>0.25788886909999997</v>
      </c>
      <c r="AF68">
        <v>0.25933937530000001</v>
      </c>
      <c r="AG68">
        <v>0.26078712970000001</v>
      </c>
      <c r="AH68">
        <v>0.26223306029999999</v>
      </c>
      <c r="AI68">
        <v>0.26367799510000001</v>
      </c>
      <c r="AJ68">
        <v>0.26512265969999999</v>
      </c>
      <c r="AK68">
        <v>0.26656767599999998</v>
      </c>
    </row>
    <row r="69" spans="1:37" x14ac:dyDescent="0.25">
      <c r="A69" t="s">
        <v>91</v>
      </c>
      <c r="B69">
        <v>7095.7005250000002</v>
      </c>
      <c r="C69">
        <v>7143.1787640000002</v>
      </c>
      <c r="D69">
        <v>7239.8100320000003</v>
      </c>
      <c r="E69">
        <v>7369.0432149999997</v>
      </c>
      <c r="F69">
        <v>7519.6803529999997</v>
      </c>
      <c r="G69">
        <v>7684.2985710000003</v>
      </c>
      <c r="H69">
        <v>7858.0379009999997</v>
      </c>
      <c r="I69">
        <v>8037.7298559999999</v>
      </c>
      <c r="J69">
        <v>8221.3015240000004</v>
      </c>
      <c r="K69">
        <v>8407.3826119999994</v>
      </c>
      <c r="L69">
        <v>8595.0529569999999</v>
      </c>
      <c r="M69">
        <v>8783.6831230000007</v>
      </c>
      <c r="N69">
        <v>8972.8346920000004</v>
      </c>
      <c r="O69">
        <v>9162.1979510000001</v>
      </c>
      <c r="P69">
        <v>9351.5526379999992</v>
      </c>
      <c r="Q69">
        <v>9540.7427050000006</v>
      </c>
      <c r="R69">
        <v>9729.6596580000005</v>
      </c>
      <c r="S69">
        <v>9918.2312120000006</v>
      </c>
      <c r="T69">
        <v>10106.41331</v>
      </c>
      <c r="U69">
        <v>10294.18433</v>
      </c>
      <c r="V69">
        <v>10481.540859999999</v>
      </c>
      <c r="W69">
        <v>10668.49447</v>
      </c>
      <c r="X69">
        <v>10855.069320000001</v>
      </c>
      <c r="Y69">
        <v>11041.30032</v>
      </c>
      <c r="Z69">
        <v>11227.23172</v>
      </c>
      <c r="AA69">
        <v>11412.9159</v>
      </c>
      <c r="AB69">
        <v>11598.41252</v>
      </c>
      <c r="AC69">
        <v>11783.787609999999</v>
      </c>
      <c r="AD69">
        <v>11969.11292</v>
      </c>
      <c r="AE69">
        <v>12154.46516</v>
      </c>
      <c r="AF69">
        <v>12339.92534</v>
      </c>
      <c r="AG69">
        <v>12525.57812</v>
      </c>
      <c r="AH69">
        <v>12711.51116</v>
      </c>
      <c r="AI69">
        <v>12897.81444</v>
      </c>
      <c r="AJ69">
        <v>13084.579680000001</v>
      </c>
      <c r="AK69">
        <v>13271.899649999999</v>
      </c>
    </row>
    <row r="70" spans="1:37" x14ac:dyDescent="0.25">
      <c r="A70" t="s">
        <v>92</v>
      </c>
      <c r="B70">
        <v>8251.256421</v>
      </c>
      <c r="C70">
        <v>8184.178527</v>
      </c>
      <c r="D70">
        <v>8171.8778769999999</v>
      </c>
      <c r="E70">
        <v>8197.5342110000001</v>
      </c>
      <c r="F70">
        <v>8249.6491499999993</v>
      </c>
      <c r="G70">
        <v>8320.4704320000001</v>
      </c>
      <c r="H70">
        <v>8404.7877079999998</v>
      </c>
      <c r="I70">
        <v>8499.0715280000004</v>
      </c>
      <c r="J70">
        <v>8600.8872150000007</v>
      </c>
      <c r="K70">
        <v>8708.5096250000006</v>
      </c>
      <c r="L70">
        <v>8820.6760479999994</v>
      </c>
      <c r="M70">
        <v>8936.4301090000008</v>
      </c>
      <c r="N70">
        <v>9055.0237899999993</v>
      </c>
      <c r="O70">
        <v>9175.8556850000004</v>
      </c>
      <c r="P70">
        <v>9298.4315650000008</v>
      </c>
      <c r="Q70">
        <v>9422.3384829999995</v>
      </c>
      <c r="R70">
        <v>9547.2271970000002</v>
      </c>
      <c r="S70">
        <v>9672.7997749999995</v>
      </c>
      <c r="T70">
        <v>9798.8005140000005</v>
      </c>
      <c r="U70">
        <v>9925.0090739999996</v>
      </c>
      <c r="V70">
        <v>10051.23516</v>
      </c>
      <c r="W70">
        <v>10177.31431</v>
      </c>
      <c r="X70">
        <v>10303.10454</v>
      </c>
      <c r="Y70">
        <v>10428.483620000001</v>
      </c>
      <c r="Z70">
        <v>10553.34671</v>
      </c>
      <c r="AA70">
        <v>10677.604530000001</v>
      </c>
      <c r="AB70">
        <v>10801.181570000001</v>
      </c>
      <c r="AC70">
        <v>10924.014639999999</v>
      </c>
      <c r="AD70">
        <v>11046.05148</v>
      </c>
      <c r="AE70">
        <v>11167.24944</v>
      </c>
      <c r="AF70">
        <v>11287.574280000001</v>
      </c>
      <c r="AG70">
        <v>11406.99901</v>
      </c>
      <c r="AH70">
        <v>11525.50275</v>
      </c>
      <c r="AI70">
        <v>11643.06969</v>
      </c>
      <c r="AJ70">
        <v>11759.68808</v>
      </c>
      <c r="AK70">
        <v>11875.349249999999</v>
      </c>
    </row>
    <row r="71" spans="1:37" x14ac:dyDescent="0.25">
      <c r="A71" t="s">
        <v>93</v>
      </c>
      <c r="B71">
        <v>6777.6024520000001</v>
      </c>
      <c r="C71">
        <v>6647.7392339999997</v>
      </c>
      <c r="D71">
        <v>6561.4777880000001</v>
      </c>
      <c r="E71">
        <v>6506.5051000000003</v>
      </c>
      <c r="F71">
        <v>6474.3213969999997</v>
      </c>
      <c r="G71">
        <v>6459.1067370000001</v>
      </c>
      <c r="H71">
        <v>6456.8591409999999</v>
      </c>
      <c r="I71">
        <v>6464.7815380000002</v>
      </c>
      <c r="J71">
        <v>6480.8662649999997</v>
      </c>
      <c r="K71">
        <v>6503.6228220000003</v>
      </c>
      <c r="L71">
        <v>6531.9035240000003</v>
      </c>
      <c r="M71">
        <v>6564.7932879999998</v>
      </c>
      <c r="N71">
        <v>6601.5401860000002</v>
      </c>
      <c r="O71">
        <v>6641.5113270000002</v>
      </c>
      <c r="P71">
        <v>6684.1642849999998</v>
      </c>
      <c r="Q71">
        <v>6729.0279730000002</v>
      </c>
      <c r="R71">
        <v>6775.6893330000003</v>
      </c>
      <c r="S71">
        <v>6823.7836639999996</v>
      </c>
      <c r="T71">
        <v>6872.9873250000001</v>
      </c>
      <c r="U71">
        <v>6923.012025</v>
      </c>
      <c r="V71">
        <v>6973.600265</v>
      </c>
      <c r="W71">
        <v>7024.5216149999997</v>
      </c>
      <c r="X71">
        <v>7075.56963</v>
      </c>
      <c r="Y71">
        <v>7126.559252</v>
      </c>
      <c r="Z71">
        <v>7177.324595</v>
      </c>
      <c r="AA71">
        <v>7227.7170050000004</v>
      </c>
      <c r="AB71">
        <v>7277.6033479999996</v>
      </c>
      <c r="AC71">
        <v>7326.8644670000003</v>
      </c>
      <c r="AD71">
        <v>7375.3937619999997</v>
      </c>
      <c r="AE71">
        <v>7423.0958760000003</v>
      </c>
      <c r="AF71">
        <v>7469.8854730000003</v>
      </c>
      <c r="AG71">
        <v>7515.6860820000002</v>
      </c>
      <c r="AH71">
        <v>7560.4290179999998</v>
      </c>
      <c r="AI71">
        <v>7604.0523620000004</v>
      </c>
      <c r="AJ71">
        <v>7646.5000209999998</v>
      </c>
      <c r="AK71">
        <v>7687.7208369999998</v>
      </c>
    </row>
    <row r="72" spans="1:37" x14ac:dyDescent="0.25">
      <c r="A72" t="s">
        <v>94</v>
      </c>
      <c r="B72">
        <v>4159.6639080000004</v>
      </c>
      <c r="C72">
        <v>4055.1231299999999</v>
      </c>
      <c r="D72">
        <v>3975.232931</v>
      </c>
      <c r="E72">
        <v>3912.580833</v>
      </c>
      <c r="F72">
        <v>3862.1234340000001</v>
      </c>
      <c r="G72">
        <v>3820.4515780000002</v>
      </c>
      <c r="H72">
        <v>3785.243532</v>
      </c>
      <c r="I72">
        <v>3754.885698</v>
      </c>
      <c r="J72">
        <v>3728.221814</v>
      </c>
      <c r="K72">
        <v>3704.392398</v>
      </c>
      <c r="L72">
        <v>3682.7340829999998</v>
      </c>
      <c r="M72">
        <v>3662.7171469999998</v>
      </c>
      <c r="N72">
        <v>3643.9066910000001</v>
      </c>
      <c r="O72">
        <v>3625.9381819999999</v>
      </c>
      <c r="P72">
        <v>3608.501608</v>
      </c>
      <c r="Q72">
        <v>3591.3308040000002</v>
      </c>
      <c r="R72">
        <v>3574.1959099999999</v>
      </c>
      <c r="S72">
        <v>3556.897802</v>
      </c>
      <c r="T72">
        <v>3539.263817</v>
      </c>
      <c r="U72">
        <v>3521.1443530000001</v>
      </c>
      <c r="V72">
        <v>3502.4101219999998</v>
      </c>
      <c r="W72">
        <v>3482.9498749999998</v>
      </c>
      <c r="X72">
        <v>3462.668494</v>
      </c>
      <c r="Y72">
        <v>3441.4853720000001</v>
      </c>
      <c r="Z72">
        <v>3419.3330099999998</v>
      </c>
      <c r="AA72">
        <v>3396.1557819999998</v>
      </c>
      <c r="AB72">
        <v>3371.9088350000002</v>
      </c>
      <c r="AC72">
        <v>3346.5571</v>
      </c>
      <c r="AD72">
        <v>3320.0743790000001</v>
      </c>
      <c r="AE72">
        <v>3292.4425150000002</v>
      </c>
      <c r="AF72">
        <v>3263.6506209999998</v>
      </c>
      <c r="AG72">
        <v>3233.6943660000002</v>
      </c>
      <c r="AH72">
        <v>3202.5753220000001</v>
      </c>
      <c r="AI72">
        <v>3170.300358</v>
      </c>
      <c r="AJ72">
        <v>3136.8810910000002</v>
      </c>
      <c r="AK72">
        <v>3102.3333859999998</v>
      </c>
    </row>
    <row r="73" spans="1:37" x14ac:dyDescent="0.25">
      <c r="A73" t="s">
        <v>95</v>
      </c>
      <c r="B73">
        <v>2503.7292430000002</v>
      </c>
      <c r="C73">
        <v>2443.05404</v>
      </c>
      <c r="D73">
        <v>2396.1449859999998</v>
      </c>
      <c r="E73">
        <v>2358.2744779999998</v>
      </c>
      <c r="F73">
        <v>2326.3078700000001</v>
      </c>
      <c r="G73">
        <v>2298.1903590000002</v>
      </c>
      <c r="H73">
        <v>2272.5717709999999</v>
      </c>
      <c r="I73">
        <v>2248.5515999999998</v>
      </c>
      <c r="J73">
        <v>2225.5139140000001</v>
      </c>
      <c r="K73">
        <v>2203.023839</v>
      </c>
      <c r="L73">
        <v>2180.7639549999999</v>
      </c>
      <c r="M73">
        <v>2158.4955650000002</v>
      </c>
      <c r="N73">
        <v>2136.0350469999998</v>
      </c>
      <c r="O73">
        <v>2113.2391520000001</v>
      </c>
      <c r="P73">
        <v>2089.9955719999998</v>
      </c>
      <c r="Q73">
        <v>2066.2166120000002</v>
      </c>
      <c r="R73">
        <v>2041.834726</v>
      </c>
      <c r="S73">
        <v>2016.799209</v>
      </c>
      <c r="T73">
        <v>1991.0736569999999</v>
      </c>
      <c r="U73">
        <v>1964.6339390000001</v>
      </c>
      <c r="V73">
        <v>1937.4665560000001</v>
      </c>
      <c r="W73">
        <v>1909.5672770000001</v>
      </c>
      <c r="X73">
        <v>1880.9399940000001</v>
      </c>
      <c r="Y73">
        <v>1851.595738</v>
      </c>
      <c r="Z73">
        <v>1821.5518219999999</v>
      </c>
      <c r="AA73">
        <v>1790.8310879999999</v>
      </c>
      <c r="AB73">
        <v>1759.4612159999999</v>
      </c>
      <c r="AC73">
        <v>1727.4741120000001</v>
      </c>
      <c r="AD73">
        <v>1694.9053369999999</v>
      </c>
      <c r="AE73">
        <v>1661.7935769999999</v>
      </c>
      <c r="AF73">
        <v>1628.1801620000001</v>
      </c>
      <c r="AG73">
        <v>1594.1086150000001</v>
      </c>
      <c r="AH73">
        <v>1559.624239</v>
      </c>
      <c r="AI73">
        <v>1524.773735</v>
      </c>
      <c r="AJ73">
        <v>1489.604855</v>
      </c>
      <c r="AK73">
        <v>1454.1660850000001</v>
      </c>
    </row>
    <row r="74" spans="1:37" x14ac:dyDescent="0.25">
      <c r="A74" t="s">
        <v>96</v>
      </c>
      <c r="B74">
        <v>1243.6668460000001</v>
      </c>
      <c r="C74">
        <v>1210.6549419999999</v>
      </c>
      <c r="D74">
        <v>1182.747584</v>
      </c>
      <c r="E74">
        <v>1157.3994600000001</v>
      </c>
      <c r="F74">
        <v>1133.082864</v>
      </c>
      <c r="G74">
        <v>1108.924158</v>
      </c>
      <c r="H74">
        <v>1084.4505790000001</v>
      </c>
      <c r="I74">
        <v>1059.4277460000001</v>
      </c>
      <c r="J74">
        <v>1033.760544</v>
      </c>
      <c r="K74">
        <v>1007.434588</v>
      </c>
      <c r="L74">
        <v>980.48231669999996</v>
      </c>
      <c r="M74">
        <v>952.96343330000002</v>
      </c>
      <c r="N74">
        <v>924.95350269999994</v>
      </c>
      <c r="O74">
        <v>896.53710699999999</v>
      </c>
      <c r="P74">
        <v>867.80354409999995</v>
      </c>
      <c r="Q74">
        <v>838.84397420000005</v>
      </c>
      <c r="R74">
        <v>809.74942620000002</v>
      </c>
      <c r="S74">
        <v>780.60934850000001</v>
      </c>
      <c r="T74">
        <v>751.51053019999995</v>
      </c>
      <c r="U74">
        <v>722.53628949999995</v>
      </c>
      <c r="V74">
        <v>693.76586459999999</v>
      </c>
      <c r="W74">
        <v>665.27396150000004</v>
      </c>
      <c r="X74">
        <v>637.13042619999999</v>
      </c>
      <c r="Y74">
        <v>609.40001570000004</v>
      </c>
      <c r="Z74">
        <v>582.14224999999999</v>
      </c>
      <c r="AA74">
        <v>555.41133009999999</v>
      </c>
      <c r="AB74">
        <v>529.25611179999999</v>
      </c>
      <c r="AC74">
        <v>503.72012810000001</v>
      </c>
      <c r="AD74">
        <v>478.8416527</v>
      </c>
      <c r="AE74">
        <v>454.6538008</v>
      </c>
      <c r="AF74">
        <v>431.184662</v>
      </c>
      <c r="AG74">
        <v>408.4574624</v>
      </c>
      <c r="AH74">
        <v>386.49075110000001</v>
      </c>
      <c r="AI74">
        <v>365.2986085</v>
      </c>
      <c r="AJ74">
        <v>344.89087239999998</v>
      </c>
      <c r="AK74">
        <v>325.27337849999998</v>
      </c>
    </row>
    <row r="75" spans="1:37" x14ac:dyDescent="0.25">
      <c r="A75" t="s">
        <v>97</v>
      </c>
      <c r="B75">
        <v>2239.620606</v>
      </c>
      <c r="C75">
        <v>2183.255905</v>
      </c>
      <c r="D75">
        <v>2133.1945719999999</v>
      </c>
      <c r="E75">
        <v>2084.5006480000002</v>
      </c>
      <c r="F75">
        <v>2034.5554790000001</v>
      </c>
      <c r="G75">
        <v>1982.1610049999999</v>
      </c>
      <c r="H75">
        <v>1926.93686</v>
      </c>
      <c r="I75">
        <v>1868.9489080000001</v>
      </c>
      <c r="J75">
        <v>1808.492602</v>
      </c>
      <c r="K75">
        <v>1745.9712300000001</v>
      </c>
      <c r="L75">
        <v>1681.829168</v>
      </c>
      <c r="M75">
        <v>1616.515836</v>
      </c>
      <c r="N75">
        <v>1550.466347</v>
      </c>
      <c r="O75">
        <v>1484.0911450000001</v>
      </c>
      <c r="P75">
        <v>1417.7705080000001</v>
      </c>
      <c r="Q75">
        <v>1351.8517790000001</v>
      </c>
      <c r="R75">
        <v>1286.6482120000001</v>
      </c>
      <c r="S75">
        <v>1222.4388469999999</v>
      </c>
      <c r="T75">
        <v>1159.4690720000001</v>
      </c>
      <c r="U75">
        <v>1097.951673</v>
      </c>
      <c r="V75">
        <v>1038.0682320000001</v>
      </c>
      <c r="W75">
        <v>979.97076800000002</v>
      </c>
      <c r="X75">
        <v>923.78353949999996</v>
      </c>
      <c r="Y75">
        <v>869.6049567</v>
      </c>
      <c r="Z75">
        <v>817.50954709999996</v>
      </c>
      <c r="AA75">
        <v>767.54994399999998</v>
      </c>
      <c r="AB75">
        <v>719.75886479999997</v>
      </c>
      <c r="AC75">
        <v>674.1510591</v>
      </c>
      <c r="AD75">
        <v>630.72520759999998</v>
      </c>
      <c r="AE75">
        <v>589.4657555</v>
      </c>
      <c r="AF75">
        <v>550.34467140000004</v>
      </c>
      <c r="AG75">
        <v>513.32311849999996</v>
      </c>
      <c r="AH75">
        <v>478.3530331</v>
      </c>
      <c r="AI75">
        <v>445.37860369999999</v>
      </c>
      <c r="AJ75">
        <v>414.33764600000001</v>
      </c>
      <c r="AK75">
        <v>385.16287219999998</v>
      </c>
    </row>
    <row r="76" spans="1:37" x14ac:dyDescent="0.25">
      <c r="A76" t="s">
        <v>98</v>
      </c>
      <c r="B76">
        <v>9.8427898650000003</v>
      </c>
      <c r="C76">
        <v>14.99081578</v>
      </c>
      <c r="D76">
        <v>20.42298388</v>
      </c>
      <c r="E76">
        <v>26.012772640000001</v>
      </c>
      <c r="F76">
        <v>31.67694968</v>
      </c>
      <c r="G76">
        <v>37.362607220000001</v>
      </c>
      <c r="H76">
        <v>43.037132409999998</v>
      </c>
      <c r="I76">
        <v>48.681062070000003</v>
      </c>
      <c r="J76">
        <v>54.283284770000002</v>
      </c>
      <c r="K76">
        <v>59.837947139999997</v>
      </c>
      <c r="L76">
        <v>65.342511110000004</v>
      </c>
      <c r="M76">
        <v>70.796552160000005</v>
      </c>
      <c r="N76">
        <v>76.201020200000002</v>
      </c>
      <c r="O76">
        <v>81.557783619999995</v>
      </c>
      <c r="P76">
        <v>86.869346559999997</v>
      </c>
      <c r="Q76">
        <v>92.138671560000006</v>
      </c>
      <c r="R76">
        <v>97.369068650000003</v>
      </c>
      <c r="S76">
        <v>102.5641272</v>
      </c>
      <c r="T76">
        <v>107.7276766</v>
      </c>
      <c r="U76">
        <v>112.8637671</v>
      </c>
      <c r="V76">
        <v>117.9766642</v>
      </c>
      <c r="W76">
        <v>123.0708537</v>
      </c>
      <c r="X76">
        <v>128.1510553</v>
      </c>
      <c r="Y76">
        <v>133.22224080000001</v>
      </c>
      <c r="Z76">
        <v>138.2896585</v>
      </c>
      <c r="AA76">
        <v>143.3588603</v>
      </c>
      <c r="AB76">
        <v>148.43573280000001</v>
      </c>
      <c r="AC76">
        <v>153.52652990000001</v>
      </c>
      <c r="AD76">
        <v>158.63790850000001</v>
      </c>
      <c r="AE76">
        <v>163.7769668</v>
      </c>
      <c r="AF76">
        <v>168.95128389999999</v>
      </c>
      <c r="AG76">
        <v>174.1689633</v>
      </c>
      <c r="AH76">
        <v>179.43867850000001</v>
      </c>
      <c r="AI76">
        <v>184.7697221</v>
      </c>
      <c r="AJ76">
        <v>190.1720593</v>
      </c>
      <c r="AK76">
        <v>195.65638519999999</v>
      </c>
    </row>
    <row r="77" spans="1:37" x14ac:dyDescent="0.25">
      <c r="A77" t="s">
        <v>99</v>
      </c>
      <c r="B77">
        <v>11.44571741</v>
      </c>
      <c r="C77">
        <v>16.302055960000001</v>
      </c>
      <c r="D77">
        <v>21.42389696</v>
      </c>
      <c r="E77">
        <v>26.687145130000001</v>
      </c>
      <c r="F77">
        <v>32.010429279999997</v>
      </c>
      <c r="G77">
        <v>37.342129300000003</v>
      </c>
      <c r="H77">
        <v>42.650406009999998</v>
      </c>
      <c r="I77">
        <v>47.916153549999997</v>
      </c>
      <c r="J77">
        <v>53.128303359999997</v>
      </c>
      <c r="K77">
        <v>58.280818070000002</v>
      </c>
      <c r="L77">
        <v>63.370816159999997</v>
      </c>
      <c r="M77">
        <v>68.397418049999999</v>
      </c>
      <c r="N77">
        <v>73.361038930000007</v>
      </c>
      <c r="O77">
        <v>78.262953139999993</v>
      </c>
      <c r="P77">
        <v>83.105023459999998</v>
      </c>
      <c r="Q77">
        <v>87.889530539999996</v>
      </c>
      <c r="R77">
        <v>92.619065109999994</v>
      </c>
      <c r="S77">
        <v>97.296460890000006</v>
      </c>
      <c r="T77">
        <v>101.9247546</v>
      </c>
      <c r="U77">
        <v>106.507165</v>
      </c>
      <c r="V77">
        <v>111.0470847</v>
      </c>
      <c r="W77">
        <v>115.5480821</v>
      </c>
      <c r="X77">
        <v>120.0139095</v>
      </c>
      <c r="Y77">
        <v>124.4485177</v>
      </c>
      <c r="Z77">
        <v>128.85607329999999</v>
      </c>
      <c r="AA77">
        <v>133.2409796</v>
      </c>
      <c r="AB77">
        <v>137.607899</v>
      </c>
      <c r="AC77">
        <v>141.96177779999999</v>
      </c>
      <c r="AD77">
        <v>146.30787179999999</v>
      </c>
      <c r="AE77">
        <v>150.6517728</v>
      </c>
      <c r="AF77">
        <v>154.999437</v>
      </c>
      <c r="AG77">
        <v>159.35721409999999</v>
      </c>
      <c r="AH77">
        <v>163.7318784</v>
      </c>
      <c r="AI77">
        <v>168.13066079999999</v>
      </c>
      <c r="AJ77">
        <v>172.5612836</v>
      </c>
      <c r="AK77">
        <v>177.03199749999999</v>
      </c>
    </row>
    <row r="78" spans="1:37" x14ac:dyDescent="0.25">
      <c r="A78" t="s">
        <v>100</v>
      </c>
      <c r="B78">
        <v>9.4015406210000005</v>
      </c>
      <c r="C78">
        <v>12.69963972</v>
      </c>
      <c r="D78">
        <v>16.176694980000001</v>
      </c>
      <c r="E78">
        <v>19.745033970000001</v>
      </c>
      <c r="F78">
        <v>23.347366480000002</v>
      </c>
      <c r="G78">
        <v>26.947438290000001</v>
      </c>
      <c r="H78">
        <v>30.522893849999999</v>
      </c>
      <c r="I78">
        <v>34.060268610000001</v>
      </c>
      <c r="J78">
        <v>37.551677079999997</v>
      </c>
      <c r="K78">
        <v>40.992707719999999</v>
      </c>
      <c r="L78">
        <v>44.381118090000001</v>
      </c>
      <c r="M78">
        <v>47.716036359999997</v>
      </c>
      <c r="N78">
        <v>50.997473849999999</v>
      </c>
      <c r="O78">
        <v>54.226025239999998</v>
      </c>
      <c r="P78">
        <v>57.402682130000002</v>
      </c>
      <c r="Q78">
        <v>60.528715060000003</v>
      </c>
      <c r="R78">
        <v>63.605598559999997</v>
      </c>
      <c r="S78">
        <v>66.634963760000005</v>
      </c>
      <c r="T78">
        <v>69.618569719999996</v>
      </c>
      <c r="U78">
        <v>72.558287469999996</v>
      </c>
      <c r="V78">
        <v>75.456092889999994</v>
      </c>
      <c r="W78">
        <v>78.314065979999995</v>
      </c>
      <c r="X78">
        <v>81.13439468</v>
      </c>
      <c r="Y78">
        <v>83.919381950000002</v>
      </c>
      <c r="Z78">
        <v>86.671455140000006</v>
      </c>
      <c r="AA78">
        <v>89.393176929999996</v>
      </c>
      <c r="AB78">
        <v>92.087257199999996</v>
      </c>
      <c r="AC78">
        <v>94.756565589999994</v>
      </c>
      <c r="AD78">
        <v>97.404144360000004</v>
      </c>
      <c r="AE78">
        <v>100.0332216</v>
      </c>
      <c r="AF78">
        <v>102.6472243</v>
      </c>
      <c r="AG78">
        <v>105.2497925</v>
      </c>
      <c r="AH78">
        <v>107.8447925</v>
      </c>
      <c r="AI78">
        <v>110.43633149999999</v>
      </c>
      <c r="AJ78">
        <v>113.0287725</v>
      </c>
      <c r="AK78">
        <v>115.6267496</v>
      </c>
    </row>
    <row r="79" spans="1:37" x14ac:dyDescent="0.25">
      <c r="A79" t="s">
        <v>101</v>
      </c>
      <c r="B79">
        <v>5.770071272</v>
      </c>
      <c r="C79">
        <v>7.5646068240000002</v>
      </c>
      <c r="D79">
        <v>9.4403133399999994</v>
      </c>
      <c r="E79">
        <v>11.343636529999999</v>
      </c>
      <c r="F79">
        <v>13.239824179999999</v>
      </c>
      <c r="G79">
        <v>15.10698481</v>
      </c>
      <c r="H79">
        <v>16.931633550000001</v>
      </c>
      <c r="I79">
        <v>18.70561438</v>
      </c>
      <c r="J79">
        <v>20.42408696</v>
      </c>
      <c r="K79">
        <v>22.084258550000001</v>
      </c>
      <c r="L79">
        <v>23.684604849999999</v>
      </c>
      <c r="M79">
        <v>25.224398170000001</v>
      </c>
      <c r="N79">
        <v>26.703422979999999</v>
      </c>
      <c r="O79">
        <v>28.121803239999998</v>
      </c>
      <c r="P79">
        <v>29.479895930000001</v>
      </c>
      <c r="Q79">
        <v>30.778223629999999</v>
      </c>
      <c r="R79">
        <v>32.017430560000001</v>
      </c>
      <c r="S79">
        <v>33.198253119999997</v>
      </c>
      <c r="T79">
        <v>34.321499789999997</v>
      </c>
      <c r="U79">
        <v>35.388037150000002</v>
      </c>
      <c r="V79">
        <v>36.398780209999998</v>
      </c>
      <c r="W79">
        <v>37.354685549999999</v>
      </c>
      <c r="X79">
        <v>38.256746649999997</v>
      </c>
      <c r="Y79">
        <v>39.105990560000002</v>
      </c>
      <c r="Z79">
        <v>39.903475469999997</v>
      </c>
      <c r="AA79">
        <v>40.650288830000001</v>
      </c>
      <c r="AB79">
        <v>41.347545820000001</v>
      </c>
      <c r="AC79">
        <v>41.996387830000003</v>
      </c>
      <c r="AD79">
        <v>42.597980939999999</v>
      </c>
      <c r="AE79">
        <v>43.153514319999999</v>
      </c>
      <c r="AF79">
        <v>43.664198550000002</v>
      </c>
      <c r="AG79">
        <v>44.13126372</v>
      </c>
      <c r="AH79">
        <v>44.555957579999998</v>
      </c>
      <c r="AI79">
        <v>44.939543489999998</v>
      </c>
      <c r="AJ79">
        <v>45.283298440000003</v>
      </c>
      <c r="AK79">
        <v>45.588511019999999</v>
      </c>
    </row>
    <row r="80" spans="1:37" x14ac:dyDescent="0.25">
      <c r="A80" t="s">
        <v>102</v>
      </c>
      <c r="B80">
        <v>3.4730440960000002</v>
      </c>
      <c r="C80">
        <v>4.5739757470000004</v>
      </c>
      <c r="D80">
        <v>5.7146976629999999</v>
      </c>
      <c r="E80">
        <v>6.8601644190000002</v>
      </c>
      <c r="F80">
        <v>7.9881131219999997</v>
      </c>
      <c r="G80">
        <v>9.0848797099999992</v>
      </c>
      <c r="H80">
        <v>10.142320809999999</v>
      </c>
      <c r="I80">
        <v>11.15573262</v>
      </c>
      <c r="J80">
        <v>12.12251932</v>
      </c>
      <c r="K80">
        <v>13.04137214</v>
      </c>
      <c r="L80">
        <v>13.911774960000001</v>
      </c>
      <c r="M80">
        <v>14.733710289999999</v>
      </c>
      <c r="N80">
        <v>15.507484460000001</v>
      </c>
      <c r="O80">
        <v>16.233622449999999</v>
      </c>
      <c r="P80">
        <v>16.912803</v>
      </c>
      <c r="Q80">
        <v>17.545817230000001</v>
      </c>
      <c r="R80">
        <v>18.133541059999999</v>
      </c>
      <c r="S80">
        <v>18.676916420000001</v>
      </c>
      <c r="T80">
        <v>19.17693775</v>
      </c>
      <c r="U80">
        <v>19.634642320000001</v>
      </c>
      <c r="V80">
        <v>20.05110298</v>
      </c>
      <c r="W80">
        <v>20.427422589999999</v>
      </c>
      <c r="X80">
        <v>20.764729679999999</v>
      </c>
      <c r="Y80">
        <v>21.064174909999998</v>
      </c>
      <c r="Z80">
        <v>21.326927950000002</v>
      </c>
      <c r="AA80">
        <v>21.554174740000001</v>
      </c>
      <c r="AB80">
        <v>21.74711482</v>
      </c>
      <c r="AC80">
        <v>21.90695874</v>
      </c>
      <c r="AD80">
        <v>22.034925470000001</v>
      </c>
      <c r="AE80">
        <v>22.132239760000001</v>
      </c>
      <c r="AF80">
        <v>22.200129520000001</v>
      </c>
      <c r="AG80">
        <v>22.239823130000001</v>
      </c>
      <c r="AH80">
        <v>22.25254687</v>
      </c>
      <c r="AI80">
        <v>22.239522260000001</v>
      </c>
      <c r="AJ80">
        <v>22.201963559999999</v>
      </c>
      <c r="AK80">
        <v>22.141075310000002</v>
      </c>
    </row>
    <row r="81" spans="1:37" x14ac:dyDescent="0.25">
      <c r="A81" t="s">
        <v>103</v>
      </c>
      <c r="B81">
        <v>1.7251505170000001</v>
      </c>
      <c r="C81">
        <v>2.2454555790000001</v>
      </c>
      <c r="D81">
        <v>2.7684617760000001</v>
      </c>
      <c r="E81">
        <v>3.2743104380000001</v>
      </c>
      <c r="F81">
        <v>3.7515155080000002</v>
      </c>
      <c r="G81">
        <v>4.1939767000000003</v>
      </c>
      <c r="H81">
        <v>4.5988845530000004</v>
      </c>
      <c r="I81">
        <v>4.9653764230000004</v>
      </c>
      <c r="J81">
        <v>5.2937201649999999</v>
      </c>
      <c r="K81">
        <v>5.5848351840000001</v>
      </c>
      <c r="L81">
        <v>5.8400167859999996</v>
      </c>
      <c r="M81">
        <v>6.0607780770000002</v>
      </c>
      <c r="N81">
        <v>6.2487579389999999</v>
      </c>
      <c r="O81">
        <v>6.4056655600000001</v>
      </c>
      <c r="P81">
        <v>6.5332451259999997</v>
      </c>
      <c r="Q81">
        <v>6.6332519220000004</v>
      </c>
      <c r="R81">
        <v>6.707435147</v>
      </c>
      <c r="S81">
        <v>6.7575249700000004</v>
      </c>
      <c r="T81">
        <v>6.7852224879999996</v>
      </c>
      <c r="U81">
        <v>6.7921917440000001</v>
      </c>
      <c r="V81">
        <v>6.7800533420000004</v>
      </c>
      <c r="W81">
        <v>6.750379283</v>
      </c>
      <c r="X81">
        <v>6.7046887870000003</v>
      </c>
      <c r="Y81">
        <v>6.6444449319999999</v>
      </c>
      <c r="Z81">
        <v>6.5710519559999998</v>
      </c>
      <c r="AA81">
        <v>6.485853144</v>
      </c>
      <c r="AB81">
        <v>6.3901292239999998</v>
      </c>
      <c r="AC81">
        <v>6.285097232</v>
      </c>
      <c r="AD81">
        <v>6.1719097989999998</v>
      </c>
      <c r="AE81">
        <v>6.0516548429999997</v>
      </c>
      <c r="AF81">
        <v>5.925355637</v>
      </c>
      <c r="AG81">
        <v>5.7939712219999997</v>
      </c>
      <c r="AH81">
        <v>5.6583971609999999</v>
      </c>
      <c r="AI81">
        <v>5.5194665799999996</v>
      </c>
      <c r="AJ81">
        <v>5.3779514920000002</v>
      </c>
      <c r="AK81">
        <v>5.2345643639999997</v>
      </c>
    </row>
    <row r="82" spans="1:37" x14ac:dyDescent="0.25">
      <c r="A82" t="s">
        <v>104</v>
      </c>
      <c r="B82">
        <v>3.1066862139999998</v>
      </c>
      <c r="C82">
        <v>4.0721666550000002</v>
      </c>
      <c r="D82">
        <v>5.0169226489999996</v>
      </c>
      <c r="E82">
        <v>5.9009041160000004</v>
      </c>
      <c r="F82">
        <v>6.7035180270000003</v>
      </c>
      <c r="G82">
        <v>7.4161806490000002</v>
      </c>
      <c r="H82">
        <v>8.0372735639999995</v>
      </c>
      <c r="I82">
        <v>8.5690304140000002</v>
      </c>
      <c r="J82">
        <v>9.0157203080000006</v>
      </c>
      <c r="K82">
        <v>9.3826241629999991</v>
      </c>
      <c r="L82">
        <v>9.6754684019999999</v>
      </c>
      <c r="M82">
        <v>9.9001122630000005</v>
      </c>
      <c r="N82">
        <v>10.062372399999999</v>
      </c>
      <c r="O82">
        <v>10.16792128</v>
      </c>
      <c r="P82">
        <v>10.222225849999999</v>
      </c>
      <c r="Q82">
        <v>10.230509250000001</v>
      </c>
      <c r="R82">
        <v>10.19772671</v>
      </c>
      <c r="S82">
        <v>10.128550779999999</v>
      </c>
      <c r="T82">
        <v>10.027363449999999</v>
      </c>
      <c r="U82">
        <v>9.8982532929999998</v>
      </c>
      <c r="V82">
        <v>9.7450166239999998</v>
      </c>
      <c r="W82">
        <v>9.5711617039999997</v>
      </c>
      <c r="X82">
        <v>9.3799154290000004</v>
      </c>
      <c r="Y82">
        <v>9.1742319200000004</v>
      </c>
      <c r="Z82">
        <v>8.9568026209999996</v>
      </c>
      <c r="AA82">
        <v>8.7300675600000002</v>
      </c>
      <c r="AB82">
        <v>8.4962274789999999</v>
      </c>
      <c r="AC82">
        <v>8.2572566250000001</v>
      </c>
      <c r="AD82">
        <v>8.0149159619999999</v>
      </c>
      <c r="AE82">
        <v>7.7707666499999997</v>
      </c>
      <c r="AF82">
        <v>7.5261836180000001</v>
      </c>
      <c r="AG82">
        <v>7.2823690880000003</v>
      </c>
      <c r="AH82">
        <v>7.0403659259999998</v>
      </c>
      <c r="AI82">
        <v>6.8010707049999999</v>
      </c>
      <c r="AJ82">
        <v>6.5652463799999996</v>
      </c>
      <c r="AK82">
        <v>6.3335344979999997</v>
      </c>
    </row>
    <row r="83" spans="1:37" x14ac:dyDescent="0.25">
      <c r="A83" t="s">
        <v>105</v>
      </c>
      <c r="B83">
        <v>0.42568169729999999</v>
      </c>
      <c r="C83">
        <v>0.44945570270000001</v>
      </c>
      <c r="D83">
        <v>0.47618363180000001</v>
      </c>
      <c r="E83">
        <v>0.50461174259999997</v>
      </c>
      <c r="F83">
        <v>0.53390616749999997</v>
      </c>
      <c r="G83">
        <v>0.56352909380000005</v>
      </c>
      <c r="H83">
        <v>0.59314310530000003</v>
      </c>
      <c r="I83">
        <v>0.62254220360000001</v>
      </c>
      <c r="J83">
        <v>0.65160459059999998</v>
      </c>
      <c r="K83">
        <v>0.68026155590000004</v>
      </c>
      <c r="L83">
        <v>0.70847754080000003</v>
      </c>
      <c r="M83">
        <v>0.73623761710000002</v>
      </c>
      <c r="N83">
        <v>0.76353972240000001</v>
      </c>
      <c r="O83">
        <v>0.79038986950000001</v>
      </c>
      <c r="P83">
        <v>0.81679918529999995</v>
      </c>
      <c r="Q83">
        <v>0.84278205589999999</v>
      </c>
      <c r="R83">
        <v>0.86835494329999996</v>
      </c>
      <c r="S83">
        <v>0.89353561299999995</v>
      </c>
      <c r="T83">
        <v>0.91834261910000003</v>
      </c>
      <c r="U83">
        <v>0.94279495359999999</v>
      </c>
      <c r="V83">
        <v>0.9669118082</v>
      </c>
      <c r="W83">
        <v>0.99071241300000001</v>
      </c>
      <c r="X83">
        <v>1.01421593</v>
      </c>
      <c r="Y83">
        <v>1.0374413819999999</v>
      </c>
      <c r="Z83">
        <v>1.060407619</v>
      </c>
      <c r="AA83">
        <v>1.083133283</v>
      </c>
      <c r="AB83">
        <v>1.1056368050000001</v>
      </c>
      <c r="AC83">
        <v>1.1279363920000001</v>
      </c>
      <c r="AD83">
        <v>1.150050021</v>
      </c>
      <c r="AE83">
        <v>1.1719954340000001</v>
      </c>
      <c r="AF83">
        <v>1.193790127</v>
      </c>
      <c r="AG83">
        <v>1.215451337</v>
      </c>
      <c r="AH83">
        <v>1.236996032</v>
      </c>
      <c r="AI83">
        <v>1.2584408840000001</v>
      </c>
      <c r="AJ83">
        <v>1.2798022600000001</v>
      </c>
      <c r="AK83">
        <v>1.3010961910000001</v>
      </c>
    </row>
    <row r="84" spans="1:37" x14ac:dyDescent="0.25">
      <c r="A84" t="s">
        <v>106</v>
      </c>
      <c r="B84">
        <v>0.49500522540000003</v>
      </c>
      <c r="C84">
        <v>0.51237735269999996</v>
      </c>
      <c r="D84">
        <v>0.53282706970000004</v>
      </c>
      <c r="E84">
        <v>0.55510706389999998</v>
      </c>
      <c r="F84">
        <v>0.57838510870000004</v>
      </c>
      <c r="G84">
        <v>0.60212053229999996</v>
      </c>
      <c r="H84">
        <v>0.6259693207</v>
      </c>
      <c r="I84">
        <v>0.64971611019999997</v>
      </c>
      <c r="J84">
        <v>0.67322789579999998</v>
      </c>
      <c r="K84">
        <v>0.69642367620000001</v>
      </c>
      <c r="L84">
        <v>0.71925508319999998</v>
      </c>
      <c r="M84">
        <v>0.74169425229999997</v>
      </c>
      <c r="N84">
        <v>0.76372631199999996</v>
      </c>
      <c r="O84">
        <v>0.78534474669999998</v>
      </c>
      <c r="P84">
        <v>0.80654852040000002</v>
      </c>
      <c r="Q84">
        <v>0.82734025919999998</v>
      </c>
      <c r="R84">
        <v>0.84772507720000001</v>
      </c>
      <c r="S84">
        <v>0.86770979619999999</v>
      </c>
      <c r="T84">
        <v>0.8873024115</v>
      </c>
      <c r="U84">
        <v>0.90651171779999995</v>
      </c>
      <c r="V84">
        <v>0.92534704339999996</v>
      </c>
      <c r="W84">
        <v>0.94381806079999997</v>
      </c>
      <c r="X84">
        <v>0.96193465069999995</v>
      </c>
      <c r="Y84">
        <v>0.97970680529999998</v>
      </c>
      <c r="Z84">
        <v>0.99714455849999994</v>
      </c>
      <c r="AA84">
        <v>1.014257934</v>
      </c>
      <c r="AB84">
        <v>1.031056907</v>
      </c>
      <c r="AC84">
        <v>1.0475513670000001</v>
      </c>
      <c r="AD84">
        <v>1.0637510910000001</v>
      </c>
      <c r="AE84">
        <v>1.0796657119999999</v>
      </c>
      <c r="AF84">
        <v>1.095304689</v>
      </c>
      <c r="AG84">
        <v>1.110677272</v>
      </c>
      <c r="AH84">
        <v>1.125792473</v>
      </c>
      <c r="AI84">
        <v>1.1406590299999999</v>
      </c>
      <c r="AJ84">
        <v>1.155285369</v>
      </c>
      <c r="AK84">
        <v>1.169679575</v>
      </c>
    </row>
    <row r="85" spans="1:37" x14ac:dyDescent="0.25">
      <c r="A85" t="s">
        <v>107</v>
      </c>
      <c r="B85">
        <v>0.40659851759999999</v>
      </c>
      <c r="C85">
        <v>0.41458692130000002</v>
      </c>
      <c r="D85">
        <v>0.42489005559999998</v>
      </c>
      <c r="E85">
        <v>0.4366138819</v>
      </c>
      <c r="F85">
        <v>0.44916009270000001</v>
      </c>
      <c r="G85">
        <v>0.46213734029999998</v>
      </c>
      <c r="H85">
        <v>0.475293415</v>
      </c>
      <c r="I85">
        <v>0.48846693209999997</v>
      </c>
      <c r="J85">
        <v>0.50155462500000003</v>
      </c>
      <c r="K85">
        <v>0.51449000320000005</v>
      </c>
      <c r="L85">
        <v>0.52722978740000004</v>
      </c>
      <c r="M85">
        <v>0.53974544120000001</v>
      </c>
      <c r="N85">
        <v>0.55201793570000002</v>
      </c>
      <c r="O85">
        <v>0.56403451579999997</v>
      </c>
      <c r="P85">
        <v>0.57578668580000003</v>
      </c>
      <c r="Q85">
        <v>0.58726892829999999</v>
      </c>
      <c r="R85">
        <v>0.59847786550000004</v>
      </c>
      <c r="S85">
        <v>0.60941169319999999</v>
      </c>
      <c r="T85">
        <v>0.62006978459999995</v>
      </c>
      <c r="U85">
        <v>0.63045240629999999</v>
      </c>
      <c r="V85">
        <v>0.64056051030000005</v>
      </c>
      <c r="W85">
        <v>0.65039557940000003</v>
      </c>
      <c r="X85">
        <v>0.65995951269999997</v>
      </c>
      <c r="Y85">
        <v>0.66925453729999995</v>
      </c>
      <c r="Z85">
        <v>0.67828314190000005</v>
      </c>
      <c r="AA85">
        <v>0.6870480229</v>
      </c>
      <c r="AB85">
        <v>0.69555204020000005</v>
      </c>
      <c r="AC85">
        <v>0.70379817879999995</v>
      </c>
      <c r="AD85">
        <v>0.71178951270000002</v>
      </c>
      <c r="AE85">
        <v>0.71952917179999998</v>
      </c>
      <c r="AF85">
        <v>0.72702030870000001</v>
      </c>
      <c r="AG85">
        <v>0.73426606559999996</v>
      </c>
      <c r="AH85">
        <v>0.74126954270000001</v>
      </c>
      <c r="AI85">
        <v>0.74803376580000003</v>
      </c>
      <c r="AJ85">
        <v>0.75456165590000002</v>
      </c>
      <c r="AK85">
        <v>0.76085599989999997</v>
      </c>
    </row>
    <row r="86" spans="1:37" x14ac:dyDescent="0.25">
      <c r="A86" t="s">
        <v>108</v>
      </c>
      <c r="B86">
        <v>0.2495444651</v>
      </c>
      <c r="C86">
        <v>0.25236049780000003</v>
      </c>
      <c r="D86">
        <v>0.25638797930000001</v>
      </c>
      <c r="E86">
        <v>0.26108962549999998</v>
      </c>
      <c r="F86">
        <v>0.26611229930000002</v>
      </c>
      <c r="G86">
        <v>0.27122925679999998</v>
      </c>
      <c r="H86">
        <v>0.2762969924</v>
      </c>
      <c r="I86">
        <v>0.28122528190000001</v>
      </c>
      <c r="J86">
        <v>0.28595741159999999</v>
      </c>
      <c r="K86">
        <v>0.29045758589999998</v>
      </c>
      <c r="L86">
        <v>0.29470310329999999</v>
      </c>
      <c r="M86">
        <v>0.29867957150000002</v>
      </c>
      <c r="N86">
        <v>0.30237800100000001</v>
      </c>
      <c r="O86">
        <v>0.30579303190000001</v>
      </c>
      <c r="P86">
        <v>0.30892183699999998</v>
      </c>
      <c r="Q86">
        <v>0.31176342219999997</v>
      </c>
      <c r="R86">
        <v>0.31431816540000002</v>
      </c>
      <c r="S86">
        <v>0.31658750070000002</v>
      </c>
      <c r="T86">
        <v>0.3185736931</v>
      </c>
      <c r="U86">
        <v>0.32027967509999999</v>
      </c>
      <c r="V86">
        <v>0.32170892429999998</v>
      </c>
      <c r="W86">
        <v>0.32286537100000001</v>
      </c>
      <c r="X86">
        <v>0.3237533279</v>
      </c>
      <c r="Y86">
        <v>0.32437743530000002</v>
      </c>
      <c r="Z86">
        <v>0.32474261780000002</v>
      </c>
      <c r="AA86">
        <v>0.32485404810000001</v>
      </c>
      <c r="AB86">
        <v>0.32471711730000002</v>
      </c>
      <c r="AC86">
        <v>0.32433740820000001</v>
      </c>
      <c r="AD86">
        <v>0.32372067049999997</v>
      </c>
      <c r="AE86">
        <v>0.32287279899999999</v>
      </c>
      <c r="AF86">
        <v>0.32179981210000003</v>
      </c>
      <c r="AG86">
        <v>0.3205078314</v>
      </c>
      <c r="AH86">
        <v>0.31900306379999999</v>
      </c>
      <c r="AI86">
        <v>0.31729178359999999</v>
      </c>
      <c r="AJ86">
        <v>0.31538031640000003</v>
      </c>
      <c r="AK86">
        <v>0.31327502540000002</v>
      </c>
    </row>
    <row r="87" spans="1:37" x14ac:dyDescent="0.25">
      <c r="A87" t="s">
        <v>109</v>
      </c>
      <c r="B87">
        <v>0.15020246549999999</v>
      </c>
      <c r="C87">
        <v>0.15208636</v>
      </c>
      <c r="D87">
        <v>0.15461233529999999</v>
      </c>
      <c r="E87">
        <v>0.1574330914</v>
      </c>
      <c r="F87">
        <v>0.16032595220000001</v>
      </c>
      <c r="G87">
        <v>0.16315238379999999</v>
      </c>
      <c r="H87">
        <v>0.16582827310000001</v>
      </c>
      <c r="I87">
        <v>0.16830371420000001</v>
      </c>
      <c r="J87">
        <v>0.1705499402</v>
      </c>
      <c r="K87">
        <v>0.17255116619999999</v>
      </c>
      <c r="L87">
        <v>0.17429961799999999</v>
      </c>
      <c r="M87">
        <v>0.17579254590000001</v>
      </c>
      <c r="N87">
        <v>0.1770304382</v>
      </c>
      <c r="O87">
        <v>0.17801594400000001</v>
      </c>
      <c r="P87">
        <v>0.1787532097</v>
      </c>
      <c r="Q87">
        <v>0.17924745619999999</v>
      </c>
      <c r="R87">
        <v>0.17950469729999999</v>
      </c>
      <c r="S87">
        <v>0.1795315442</v>
      </c>
      <c r="T87">
        <v>0.17933506499999999</v>
      </c>
      <c r="U87">
        <v>0.17892267889999999</v>
      </c>
      <c r="V87">
        <v>0.17830207689999999</v>
      </c>
      <c r="W87">
        <v>0.1774811597</v>
      </c>
      <c r="X87">
        <v>0.1764679891</v>
      </c>
      <c r="Y87">
        <v>0.1752707479</v>
      </c>
      <c r="Z87">
        <v>0.1738977078</v>
      </c>
      <c r="AA87">
        <v>0.17235720060000001</v>
      </c>
      <c r="AB87">
        <v>0.17065759389999999</v>
      </c>
      <c r="AC87">
        <v>0.16880726770000001</v>
      </c>
      <c r="AD87">
        <v>0.1668145942</v>
      </c>
      <c r="AE87">
        <v>0.16468791720000001</v>
      </c>
      <c r="AF87">
        <v>0.16243553429999999</v>
      </c>
      <c r="AG87">
        <v>0.16006567869999999</v>
      </c>
      <c r="AH87">
        <v>0.15758650330000001</v>
      </c>
      <c r="AI87">
        <v>0.15500606480000001</v>
      </c>
      <c r="AJ87">
        <v>0.1523323103</v>
      </c>
      <c r="AK87">
        <v>0.14957306400000001</v>
      </c>
    </row>
    <row r="88" spans="1:37" x14ac:dyDescent="0.25">
      <c r="A88" t="s">
        <v>110</v>
      </c>
      <c r="B88">
        <v>7.4609436000000001E-2</v>
      </c>
      <c r="C88">
        <v>7.5303854000000003E-2</v>
      </c>
      <c r="D88">
        <v>7.61678831E-2</v>
      </c>
      <c r="E88">
        <v>7.70104608E-2</v>
      </c>
      <c r="F88">
        <v>7.7721315700000002E-2</v>
      </c>
      <c r="G88">
        <v>7.8242029099999999E-2</v>
      </c>
      <c r="H88">
        <v>7.8545799799999996E-2</v>
      </c>
      <c r="I88">
        <v>7.8624437599999999E-2</v>
      </c>
      <c r="J88">
        <v>7.8480431599999997E-2</v>
      </c>
      <c r="K88">
        <v>7.8122275899999996E-2</v>
      </c>
      <c r="L88">
        <v>7.7561773200000003E-2</v>
      </c>
      <c r="M88">
        <v>7.6812491100000005E-2</v>
      </c>
      <c r="N88">
        <v>7.5888872299999993E-2</v>
      </c>
      <c r="O88">
        <v>7.4805708200000001E-2</v>
      </c>
      <c r="P88">
        <v>7.3577815000000005E-2</v>
      </c>
      <c r="Q88">
        <v>7.2219823200000005E-2</v>
      </c>
      <c r="R88">
        <v>7.0746033799999997E-2</v>
      </c>
      <c r="S88">
        <v>6.9170316300000007E-2</v>
      </c>
      <c r="T88">
        <v>6.7506034699999995E-2</v>
      </c>
      <c r="U88">
        <v>6.5765993800000005E-2</v>
      </c>
      <c r="V88">
        <v>6.39623998E-2</v>
      </c>
      <c r="W88">
        <v>6.21068335E-2</v>
      </c>
      <c r="X88">
        <v>6.02102318E-2</v>
      </c>
      <c r="Y88">
        <v>5.8282877400000002E-2</v>
      </c>
      <c r="Z88">
        <v>5.6334393500000003E-2</v>
      </c>
      <c r="AA88">
        <v>5.43737444E-2</v>
      </c>
      <c r="AB88">
        <v>5.2409239099999998E-2</v>
      </c>
      <c r="AC88">
        <v>5.0448539799999997E-2</v>
      </c>
      <c r="AD88">
        <v>4.8498672399999998E-2</v>
      </c>
      <c r="AE88">
        <v>4.6566040699999998E-2</v>
      </c>
      <c r="AF88">
        <v>4.4656442499999997E-2</v>
      </c>
      <c r="AG88">
        <v>4.2775088099999997E-2</v>
      </c>
      <c r="AH88">
        <v>4.0926621500000003E-2</v>
      </c>
      <c r="AI88">
        <v>3.9115141899999997E-2</v>
      </c>
      <c r="AJ88">
        <v>3.7344228100000001E-2</v>
      </c>
      <c r="AK88">
        <v>3.5616963299999999E-2</v>
      </c>
    </row>
    <row r="89" spans="1:37" x14ac:dyDescent="0.25">
      <c r="A89" t="s">
        <v>111</v>
      </c>
      <c r="B89">
        <v>0.13435819299999999</v>
      </c>
      <c r="C89">
        <v>0.13586778920000001</v>
      </c>
      <c r="D89">
        <v>0.1374440854</v>
      </c>
      <c r="E89">
        <v>0.13870944860000001</v>
      </c>
      <c r="F89">
        <v>0.1394722561</v>
      </c>
      <c r="G89">
        <v>0.13965508700000001</v>
      </c>
      <c r="H89">
        <v>0.13924622179999999</v>
      </c>
      <c r="I89">
        <v>0.1382696749</v>
      </c>
      <c r="J89">
        <v>0.1367676786</v>
      </c>
      <c r="K89">
        <v>0.1347908163</v>
      </c>
      <c r="L89">
        <v>0.13239259850000001</v>
      </c>
      <c r="M89">
        <v>0.12962652050000001</v>
      </c>
      <c r="N89">
        <v>0.12654447029999999</v>
      </c>
      <c r="O89">
        <v>0.123195865</v>
      </c>
      <c r="P89">
        <v>0.1196271825</v>
      </c>
      <c r="Q89">
        <v>0.11588171479999999</v>
      </c>
      <c r="R89">
        <v>0.1119994555</v>
      </c>
      <c r="S89">
        <v>0.10801707219999999</v>
      </c>
      <c r="T89">
        <v>0.1039679376</v>
      </c>
      <c r="U89">
        <v>9.9882204399999994E-2</v>
      </c>
      <c r="V89">
        <v>9.57869103E-2</v>
      </c>
      <c r="W89">
        <v>9.1706106499999995E-2</v>
      </c>
      <c r="X89">
        <v>8.7661003000000001E-2</v>
      </c>
      <c r="Y89">
        <v>8.3670124799999995E-2</v>
      </c>
      <c r="Z89">
        <v>7.9749476E-2</v>
      </c>
      <c r="AA89">
        <v>7.5912708600000003E-2</v>
      </c>
      <c r="AB89">
        <v>7.2171291999999998E-2</v>
      </c>
      <c r="AC89">
        <v>6.8534683499999999E-2</v>
      </c>
      <c r="AD89">
        <v>6.5010495500000001E-2</v>
      </c>
      <c r="AE89">
        <v>6.16046601E-2</v>
      </c>
      <c r="AF89">
        <v>5.8321589100000001E-2</v>
      </c>
      <c r="AG89">
        <v>5.5164326999999999E-2</v>
      </c>
      <c r="AH89">
        <v>5.2134699399999998E-2</v>
      </c>
      <c r="AI89">
        <v>4.9233452300000001E-2</v>
      </c>
      <c r="AJ89">
        <v>4.6460385299999997E-2</v>
      </c>
      <c r="AK89">
        <v>4.38144746E-2</v>
      </c>
    </row>
    <row r="90" spans="1:37" x14ac:dyDescent="0.25">
      <c r="A90" t="s">
        <v>1809</v>
      </c>
      <c r="B90">
        <v>528.68436870000005</v>
      </c>
      <c r="C90">
        <v>599.67283199999997</v>
      </c>
      <c r="D90">
        <v>652.52066590000004</v>
      </c>
      <c r="E90">
        <v>692.64252380000005</v>
      </c>
      <c r="F90">
        <v>724.10353659999998</v>
      </c>
      <c r="G90">
        <v>749.80735089999996</v>
      </c>
      <c r="H90">
        <v>771.7392188</v>
      </c>
      <c r="I90">
        <v>791.21241399999997</v>
      </c>
      <c r="J90">
        <v>809.0759372</v>
      </c>
      <c r="K90">
        <v>825.87108920000003</v>
      </c>
      <c r="L90">
        <v>841.94136619999995</v>
      </c>
      <c r="M90">
        <v>857.50588200000004</v>
      </c>
      <c r="N90">
        <v>872.70667600000002</v>
      </c>
      <c r="O90">
        <v>887.63833199999999</v>
      </c>
      <c r="P90">
        <v>902.36620100000005</v>
      </c>
      <c r="Q90">
        <v>916.93735379999998</v>
      </c>
      <c r="R90">
        <v>931.38720209999997</v>
      </c>
      <c r="S90">
        <v>945.74351190000004</v>
      </c>
      <c r="T90">
        <v>960.02888189999999</v>
      </c>
      <c r="U90">
        <v>974.26233200000001</v>
      </c>
      <c r="V90">
        <v>988.46036749999996</v>
      </c>
      <c r="W90">
        <v>1002.6377210000001</v>
      </c>
      <c r="X90">
        <v>1016.8078829999999</v>
      </c>
      <c r="Y90">
        <v>1030.983483</v>
      </c>
      <c r="Z90">
        <v>1045.1765539999999</v>
      </c>
      <c r="AA90">
        <v>1059.398715</v>
      </c>
      <c r="AB90">
        <v>1073.661276</v>
      </c>
      <c r="AC90">
        <v>1087.975293</v>
      </c>
      <c r="AD90">
        <v>1102.351584</v>
      </c>
      <c r="AE90">
        <v>1116.8007110000001</v>
      </c>
      <c r="AF90">
        <v>1131.332952</v>
      </c>
      <c r="AG90">
        <v>1145.9582559999999</v>
      </c>
      <c r="AH90">
        <v>1160.6862000000001</v>
      </c>
      <c r="AI90">
        <v>1175.5259450000001</v>
      </c>
      <c r="AJ90">
        <v>1190.4862009999999</v>
      </c>
      <c r="AK90">
        <v>1205.575198</v>
      </c>
    </row>
    <row r="91" spans="1:37" x14ac:dyDescent="0.25">
      <c r="A91" t="s">
        <v>1810</v>
      </c>
      <c r="B91">
        <v>507.5668948</v>
      </c>
      <c r="C91">
        <v>575.04322830000001</v>
      </c>
      <c r="D91">
        <v>624.60040319999996</v>
      </c>
      <c r="E91">
        <v>661.60013719999995</v>
      </c>
      <c r="F91">
        <v>690.0553453</v>
      </c>
      <c r="G91">
        <v>712.81732480000005</v>
      </c>
      <c r="H91">
        <v>731.82470220000005</v>
      </c>
      <c r="I91">
        <v>748.35290199999997</v>
      </c>
      <c r="J91">
        <v>763.22203139999999</v>
      </c>
      <c r="K91">
        <v>776.95215510000003</v>
      </c>
      <c r="L91">
        <v>789.87145199999998</v>
      </c>
      <c r="M91">
        <v>802.18799460000002</v>
      </c>
      <c r="N91">
        <v>814.03571250000005</v>
      </c>
      <c r="O91">
        <v>825.50300719999996</v>
      </c>
      <c r="P91">
        <v>836.65025249999997</v>
      </c>
      <c r="Q91">
        <v>847.52026899999998</v>
      </c>
      <c r="R91">
        <v>858.14462700000001</v>
      </c>
      <c r="S91">
        <v>868.54745739999998</v>
      </c>
      <c r="T91">
        <v>878.74780350000003</v>
      </c>
      <c r="U91">
        <v>888.76112880000005</v>
      </c>
      <c r="V91">
        <v>898.60032920000003</v>
      </c>
      <c r="W91">
        <v>908.27643880000005</v>
      </c>
      <c r="X91">
        <v>917.79913380000005</v>
      </c>
      <c r="Y91">
        <v>927.17709160000004</v>
      </c>
      <c r="Z91">
        <v>936.41824199999996</v>
      </c>
      <c r="AA91">
        <v>945.52993240000001</v>
      </c>
      <c r="AB91">
        <v>954.51902640000003</v>
      </c>
      <c r="AC91">
        <v>963.39195159999997</v>
      </c>
      <c r="AD91">
        <v>972.15470949999997</v>
      </c>
      <c r="AE91">
        <v>980.81285990000003</v>
      </c>
      <c r="AF91">
        <v>989.37149009999996</v>
      </c>
      <c r="AG91">
        <v>997.83517610000001</v>
      </c>
      <c r="AH91">
        <v>1006.207943</v>
      </c>
      <c r="AI91">
        <v>1014.493229</v>
      </c>
      <c r="AJ91">
        <v>1022.693853</v>
      </c>
      <c r="AK91">
        <v>1030.811993</v>
      </c>
    </row>
    <row r="92" spans="1:37" x14ac:dyDescent="0.25">
      <c r="A92" t="s">
        <v>1811</v>
      </c>
      <c r="B92">
        <v>351.33496400000001</v>
      </c>
      <c r="C92">
        <v>397.57666180000001</v>
      </c>
      <c r="D92">
        <v>431.07234629999999</v>
      </c>
      <c r="E92">
        <v>455.64815199999998</v>
      </c>
      <c r="F92">
        <v>474.15910630000002</v>
      </c>
      <c r="G92">
        <v>488.62358130000001</v>
      </c>
      <c r="H92">
        <v>500.40662400000002</v>
      </c>
      <c r="I92">
        <v>510.40170810000001</v>
      </c>
      <c r="J92">
        <v>519.18056669999999</v>
      </c>
      <c r="K92">
        <v>527.10412640000004</v>
      </c>
      <c r="L92">
        <v>534.39920930000005</v>
      </c>
      <c r="M92">
        <v>541.20910419999996</v>
      </c>
      <c r="N92">
        <v>547.62575330000004</v>
      </c>
      <c r="O92">
        <v>553.70967680000001</v>
      </c>
      <c r="P92">
        <v>559.50208840000005</v>
      </c>
      <c r="Q92">
        <v>565.03211510000006</v>
      </c>
      <c r="R92">
        <v>570.32112389999998</v>
      </c>
      <c r="S92">
        <v>575.38533029999996</v>
      </c>
      <c r="T92">
        <v>580.23740889999999</v>
      </c>
      <c r="U92">
        <v>584.88752699999998</v>
      </c>
      <c r="V92">
        <v>589.34403980000002</v>
      </c>
      <c r="W92">
        <v>593.6139776</v>
      </c>
      <c r="X92">
        <v>597.70339309999997</v>
      </c>
      <c r="Y92">
        <v>601.61760939999999</v>
      </c>
      <c r="Z92">
        <v>605.36139349999996</v>
      </c>
      <c r="AA92">
        <v>608.93907060000004</v>
      </c>
      <c r="AB92">
        <v>612.35459289999994</v>
      </c>
      <c r="AC92">
        <v>615.61157419999995</v>
      </c>
      <c r="AD92">
        <v>618.71329960000003</v>
      </c>
      <c r="AE92">
        <v>621.66271830000005</v>
      </c>
      <c r="AF92">
        <v>624.46242789999997</v>
      </c>
      <c r="AG92">
        <v>627.11465399999997</v>
      </c>
      <c r="AH92">
        <v>629.62122980000004</v>
      </c>
      <c r="AI92">
        <v>631.98357950000002</v>
      </c>
      <c r="AJ92">
        <v>634.20270600000003</v>
      </c>
      <c r="AK92">
        <v>636.27918380000006</v>
      </c>
    </row>
    <row r="93" spans="1:37" x14ac:dyDescent="0.25">
      <c r="A93" t="s">
        <v>1812</v>
      </c>
      <c r="B93">
        <v>194.7292726</v>
      </c>
      <c r="C93">
        <v>219.16847580000001</v>
      </c>
      <c r="D93">
        <v>235.6835853</v>
      </c>
      <c r="E93">
        <v>246.70455079999999</v>
      </c>
      <c r="F93">
        <v>254.02359989999999</v>
      </c>
      <c r="G93">
        <v>258.88249669999999</v>
      </c>
      <c r="H93">
        <v>262.1033602</v>
      </c>
      <c r="I93">
        <v>264.21364740000001</v>
      </c>
      <c r="J93">
        <v>265.54511989999997</v>
      </c>
      <c r="K93">
        <v>266.30457689999997</v>
      </c>
      <c r="L93">
        <v>266.62124929999999</v>
      </c>
      <c r="M93">
        <v>266.57715610000002</v>
      </c>
      <c r="N93">
        <v>266.22589820000002</v>
      </c>
      <c r="O93">
        <v>265.60399560000002</v>
      </c>
      <c r="P93">
        <v>264.73760390000001</v>
      </c>
      <c r="Q93">
        <v>263.64644179999999</v>
      </c>
      <c r="R93">
        <v>262.34610190000001</v>
      </c>
      <c r="S93">
        <v>260.84943399999997</v>
      </c>
      <c r="T93">
        <v>259.16739999999999</v>
      </c>
      <c r="U93">
        <v>257.3096271</v>
      </c>
      <c r="V93">
        <v>255.28478509999999</v>
      </c>
      <c r="W93">
        <v>253.1008515</v>
      </c>
      <c r="X93">
        <v>250.76530170000001</v>
      </c>
      <c r="Y93">
        <v>248.28524379999999</v>
      </c>
      <c r="Z93">
        <v>245.6675114</v>
      </c>
      <c r="AA93">
        <v>242.91872570000001</v>
      </c>
      <c r="AB93">
        <v>240.0453321</v>
      </c>
      <c r="AC93">
        <v>237.0536214</v>
      </c>
      <c r="AD93">
        <v>233.94973820000001</v>
      </c>
      <c r="AE93">
        <v>230.73968339999999</v>
      </c>
      <c r="AF93">
        <v>227.4293132</v>
      </c>
      <c r="AG93">
        <v>224.02433819999999</v>
      </c>
      <c r="AH93">
        <v>220.53032260000001</v>
      </c>
      <c r="AI93">
        <v>216.9526874</v>
      </c>
      <c r="AJ93">
        <v>213.29671450000001</v>
      </c>
      <c r="AK93">
        <v>209.56755469999999</v>
      </c>
    </row>
    <row r="94" spans="1:37" x14ac:dyDescent="0.25">
      <c r="A94" t="s">
        <v>1813</v>
      </c>
      <c r="B94">
        <v>119.7902723</v>
      </c>
      <c r="C94">
        <v>134.1675396</v>
      </c>
      <c r="D94">
        <v>143.21188309999999</v>
      </c>
      <c r="E94">
        <v>148.599919</v>
      </c>
      <c r="F94">
        <v>151.55669750000001</v>
      </c>
      <c r="G94">
        <v>152.91812100000001</v>
      </c>
      <c r="H94">
        <v>153.2289107</v>
      </c>
      <c r="I94">
        <v>152.83366319999999</v>
      </c>
      <c r="J94">
        <v>151.94687450000001</v>
      </c>
      <c r="K94">
        <v>150.7016697</v>
      </c>
      <c r="L94">
        <v>149.1816594</v>
      </c>
      <c r="M94">
        <v>147.4408675</v>
      </c>
      <c r="N94">
        <v>145.51579079999999</v>
      </c>
      <c r="O94">
        <v>143.43251309999999</v>
      </c>
      <c r="P94">
        <v>141.21082860000001</v>
      </c>
      <c r="Q94">
        <v>138.86661000000001</v>
      </c>
      <c r="R94">
        <v>136.41318050000001</v>
      </c>
      <c r="S94">
        <v>133.86212739999999</v>
      </c>
      <c r="T94">
        <v>131.2238026</v>
      </c>
      <c r="U94">
        <v>128.5076483</v>
      </c>
      <c r="V94">
        <v>125.72241750000001</v>
      </c>
      <c r="W94">
        <v>122.87632859999999</v>
      </c>
      <c r="X94">
        <v>119.9771744</v>
      </c>
      <c r="Y94">
        <v>117.032397</v>
      </c>
      <c r="Z94">
        <v>114.0491384</v>
      </c>
      <c r="AA94">
        <v>111.0342708</v>
      </c>
      <c r="AB94">
        <v>107.994415</v>
      </c>
      <c r="AC94">
        <v>104.9359484</v>
      </c>
      <c r="AD94">
        <v>101.8650075</v>
      </c>
      <c r="AE94">
        <v>98.787487870000007</v>
      </c>
      <c r="AF94">
        <v>95.709042499999995</v>
      </c>
      <c r="AG94">
        <v>92.635080930000001</v>
      </c>
      <c r="AH94">
        <v>89.570769299999995</v>
      </c>
      <c r="AI94">
        <v>86.521031890000003</v>
      </c>
      <c r="AJ94">
        <v>83.490554119999999</v>
      </c>
      <c r="AK94">
        <v>80.483786749999993</v>
      </c>
    </row>
    <row r="95" spans="1:37" x14ac:dyDescent="0.25">
      <c r="A95" t="s">
        <v>1814</v>
      </c>
      <c r="B95">
        <v>57.932893</v>
      </c>
      <c r="C95">
        <v>63.771507409999998</v>
      </c>
      <c r="D95">
        <v>66.307034189999996</v>
      </c>
      <c r="E95">
        <v>66.694489480000001</v>
      </c>
      <c r="F95">
        <v>65.753401089999997</v>
      </c>
      <c r="G95">
        <v>64.018948850000001</v>
      </c>
      <c r="H95">
        <v>61.82402055</v>
      </c>
      <c r="I95">
        <v>59.370208980000001</v>
      </c>
      <c r="J95">
        <v>56.778536289999998</v>
      </c>
      <c r="K95">
        <v>54.122335409999998</v>
      </c>
      <c r="L95">
        <v>51.447307709999997</v>
      </c>
      <c r="M95">
        <v>48.783242450000003</v>
      </c>
      <c r="N95">
        <v>46.150647849999999</v>
      </c>
      <c r="O95">
        <v>43.564421629999998</v>
      </c>
      <c r="P95">
        <v>41.035861779999998</v>
      </c>
      <c r="Q95">
        <v>38.573779870000003</v>
      </c>
      <c r="R95">
        <v>36.185138690000002</v>
      </c>
      <c r="S95">
        <v>33.875441850000001</v>
      </c>
      <c r="T95">
        <v>31.64899093</v>
      </c>
      <c r="U95">
        <v>29.509069069999999</v>
      </c>
      <c r="V95">
        <v>27.4580801</v>
      </c>
      <c r="W95">
        <v>25.497658340000001</v>
      </c>
      <c r="X95">
        <v>23.62875738</v>
      </c>
      <c r="Y95">
        <v>21.85172386</v>
      </c>
      <c r="Z95">
        <v>20.16636008</v>
      </c>
      <c r="AA95">
        <v>18.571978900000001</v>
      </c>
      <c r="AB95">
        <v>17.067453319999998</v>
      </c>
      <c r="AC95">
        <v>15.65126236</v>
      </c>
      <c r="AD95">
        <v>14.321534590000001</v>
      </c>
      <c r="AE95">
        <v>13.07608991</v>
      </c>
      <c r="AF95">
        <v>11.912479940000001</v>
      </c>
      <c r="AG95">
        <v>10.82802699</v>
      </c>
      <c r="AH95">
        <v>9.8198616390000009</v>
      </c>
      <c r="AI95">
        <v>8.8849586869999992</v>
      </c>
      <c r="AJ95">
        <v>8.0201712119999993</v>
      </c>
      <c r="AK95">
        <v>7.2222626459999999</v>
      </c>
    </row>
    <row r="96" spans="1:37" x14ac:dyDescent="0.25">
      <c r="A96" t="s">
        <v>1815</v>
      </c>
      <c r="B96">
        <v>108.7643346</v>
      </c>
      <c r="C96">
        <v>117.9248407</v>
      </c>
      <c r="D96">
        <v>119.84184980000001</v>
      </c>
      <c r="E96">
        <v>117.313436</v>
      </c>
      <c r="F96">
        <v>112.2727798</v>
      </c>
      <c r="G96">
        <v>105.9366924</v>
      </c>
      <c r="H96">
        <v>99.029629439999994</v>
      </c>
      <c r="I96">
        <v>91.968223469999998</v>
      </c>
      <c r="J96">
        <v>84.987189270000002</v>
      </c>
      <c r="K96">
        <v>78.217351899999997</v>
      </c>
      <c r="L96">
        <v>71.731185400000001</v>
      </c>
      <c r="M96">
        <v>65.568314740000005</v>
      </c>
      <c r="N96">
        <v>59.74940891</v>
      </c>
      <c r="O96">
        <v>54.283658080000002</v>
      </c>
      <c r="P96">
        <v>49.17283733</v>
      </c>
      <c r="Q96">
        <v>44.413605799999999</v>
      </c>
      <c r="R96">
        <v>39.998906210000001</v>
      </c>
      <c r="S96">
        <v>35.91890059</v>
      </c>
      <c r="T96">
        <v>32.161652500000002</v>
      </c>
      <c r="U96">
        <v>28.713657130000001</v>
      </c>
      <c r="V96">
        <v>25.560269380000001</v>
      </c>
      <c r="W96">
        <v>22.68605595</v>
      </c>
      <c r="X96">
        <v>20.075088130000001</v>
      </c>
      <c r="Y96">
        <v>17.711186730000001</v>
      </c>
      <c r="Z96">
        <v>15.578127950000001</v>
      </c>
      <c r="AA96">
        <v>13.65981689</v>
      </c>
      <c r="AB96">
        <v>11.9404339</v>
      </c>
      <c r="AC96">
        <v>10.404557369999999</v>
      </c>
      <c r="AD96">
        <v>9.0372658829999999</v>
      </c>
      <c r="AE96">
        <v>7.8242217280000004</v>
      </c>
      <c r="AF96">
        <v>6.7517373369999998</v>
      </c>
      <c r="AG96">
        <v>5.8068261330000004</v>
      </c>
      <c r="AH96">
        <v>4.9772389869999998</v>
      </c>
      <c r="AI96">
        <v>4.2514875679999999</v>
      </c>
      <c r="AJ96">
        <v>3.6188558409999998</v>
      </c>
      <c r="AK96">
        <v>3.0694010230000002</v>
      </c>
    </row>
    <row r="97" spans="1:37" x14ac:dyDescent="0.25">
      <c r="A97" t="s">
        <v>1816</v>
      </c>
      <c r="B97">
        <v>4.8854001</v>
      </c>
      <c r="C97">
        <v>5.5417375089999998</v>
      </c>
      <c r="D97">
        <v>6.0318007280000003</v>
      </c>
      <c r="E97">
        <v>6.4067081200000002</v>
      </c>
      <c r="F97">
        <v>6.704687946</v>
      </c>
      <c r="G97">
        <v>6.95273553</v>
      </c>
      <c r="H97">
        <v>7.1690294769999996</v>
      </c>
      <c r="I97">
        <v>7.365414951</v>
      </c>
      <c r="J97">
        <v>7.5494651829999997</v>
      </c>
      <c r="K97">
        <v>7.7259937680000004</v>
      </c>
      <c r="L97">
        <v>7.8980818519999998</v>
      </c>
      <c r="M97">
        <v>8.0677414909999996</v>
      </c>
      <c r="N97">
        <v>8.2363301260000004</v>
      </c>
      <c r="O97">
        <v>8.404804231</v>
      </c>
      <c r="P97">
        <v>8.5738742800000001</v>
      </c>
      <c r="Q97">
        <v>8.744098868</v>
      </c>
      <c r="R97">
        <v>8.9159439500000008</v>
      </c>
      <c r="S97">
        <v>9.0898212899999997</v>
      </c>
      <c r="T97">
        <v>9.2661145440000006</v>
      </c>
      <c r="U97">
        <v>9.4451975600000004</v>
      </c>
      <c r="V97">
        <v>9.6274477199999993</v>
      </c>
      <c r="W97">
        <v>9.8132561319999994</v>
      </c>
      <c r="X97">
        <v>10.0030357</v>
      </c>
      <c r="Y97">
        <v>10.19722771</v>
      </c>
      <c r="Z97">
        <v>10.3963073</v>
      </c>
      <c r="AA97">
        <v>10.60078822</v>
      </c>
      <c r="AB97">
        <v>10.811226899999999</v>
      </c>
      <c r="AC97">
        <v>11.02822636</v>
      </c>
      <c r="AD97">
        <v>11.25243985</v>
      </c>
      <c r="AE97">
        <v>11.484574609999999</v>
      </c>
      <c r="AF97">
        <v>11.72539581</v>
      </c>
      <c r="AG97">
        <v>11.97573077</v>
      </c>
      <c r="AH97">
        <v>12.236473670000001</v>
      </c>
      <c r="AI97">
        <v>12.50859075</v>
      </c>
      <c r="AJ97">
        <v>12.79312612</v>
      </c>
      <c r="AK97">
        <v>13.091208290000001</v>
      </c>
    </row>
    <row r="98" spans="1:37" x14ac:dyDescent="0.25">
      <c r="A98" t="s">
        <v>1817</v>
      </c>
      <c r="B98">
        <v>4.6902603999999997</v>
      </c>
      <c r="C98">
        <v>5.3141672460000002</v>
      </c>
      <c r="D98">
        <v>5.7739232359999999</v>
      </c>
      <c r="E98">
        <v>6.1202040450000004</v>
      </c>
      <c r="F98">
        <v>6.390769959</v>
      </c>
      <c r="G98">
        <v>6.612117188</v>
      </c>
      <c r="H98">
        <v>6.8019618810000004</v>
      </c>
      <c r="I98">
        <v>6.9717637840000002</v>
      </c>
      <c r="J98">
        <v>7.1287959460000003</v>
      </c>
      <c r="K98">
        <v>7.2776468520000002</v>
      </c>
      <c r="L98">
        <v>7.4212308120000001</v>
      </c>
      <c r="M98">
        <v>7.5614345289999996</v>
      </c>
      <c r="N98">
        <v>7.6995176040000004</v>
      </c>
      <c r="O98">
        <v>7.8363557679999998</v>
      </c>
      <c r="P98">
        <v>7.9725884459999996</v>
      </c>
      <c r="Q98">
        <v>8.1087080149999995</v>
      </c>
      <c r="R98">
        <v>8.2451158000000007</v>
      </c>
      <c r="S98">
        <v>8.3821583799999999</v>
      </c>
      <c r="T98">
        <v>8.5201521739999997</v>
      </c>
      <c r="U98">
        <v>8.6594005809999999</v>
      </c>
      <c r="V98">
        <v>8.8002063249999996</v>
      </c>
      <c r="W98">
        <v>8.9428807050000003</v>
      </c>
      <c r="X98">
        <v>9.0877507069999997</v>
      </c>
      <c r="Y98">
        <v>9.2351645930000004</v>
      </c>
      <c r="Z98">
        <v>9.3854963310000006</v>
      </c>
      <c r="AA98">
        <v>9.5391491730000002</v>
      </c>
      <c r="AB98">
        <v>9.6965585920000006</v>
      </c>
      <c r="AC98">
        <v>9.8581948090000004</v>
      </c>
      <c r="AD98">
        <v>10.02456507</v>
      </c>
      <c r="AE98">
        <v>10.19621585</v>
      </c>
      <c r="AF98">
        <v>10.373735099999999</v>
      </c>
      <c r="AG98">
        <v>10.55775465</v>
      </c>
      <c r="AH98">
        <v>10.74895285</v>
      </c>
      <c r="AI98">
        <v>10.948057520000001</v>
      </c>
      <c r="AJ98">
        <v>11.15584928</v>
      </c>
      <c r="AK98">
        <v>11.37316521</v>
      </c>
    </row>
    <row r="99" spans="1:37" x14ac:dyDescent="0.25">
      <c r="A99" t="s">
        <v>1818</v>
      </c>
      <c r="B99">
        <v>3.246572</v>
      </c>
      <c r="C99">
        <v>3.6741607209999998</v>
      </c>
      <c r="D99">
        <v>3.985040852</v>
      </c>
      <c r="E99">
        <v>4.215406786</v>
      </c>
      <c r="F99">
        <v>4.3921338710000004</v>
      </c>
      <c r="G99">
        <v>4.5339664730000004</v>
      </c>
      <c r="H99">
        <v>4.6533530870000002</v>
      </c>
      <c r="I99">
        <v>4.7582905110000002</v>
      </c>
      <c r="J99">
        <v>4.8538192130000004</v>
      </c>
      <c r="K99">
        <v>4.9430977260000004</v>
      </c>
      <c r="L99">
        <v>5.0281186770000001</v>
      </c>
      <c r="M99">
        <v>5.1101629969999998</v>
      </c>
      <c r="N99">
        <v>5.1900789439999997</v>
      </c>
      <c r="O99">
        <v>5.268450348</v>
      </c>
      <c r="P99">
        <v>5.3456978929999996</v>
      </c>
      <c r="Q99">
        <v>5.4221402220000003</v>
      </c>
      <c r="R99">
        <v>5.4980320989999996</v>
      </c>
      <c r="S99">
        <v>5.5735891390000001</v>
      </c>
      <c r="T99">
        <v>5.6490045139999996</v>
      </c>
      <c r="U99">
        <v>5.7244605389999998</v>
      </c>
      <c r="V99">
        <v>5.8001369179999998</v>
      </c>
      <c r="W99">
        <v>5.8762168060000004</v>
      </c>
      <c r="X99">
        <v>5.9528913379999997</v>
      </c>
      <c r="Y99">
        <v>6.0303630559999997</v>
      </c>
      <c r="Z99">
        <v>6.1088484730000001</v>
      </c>
      <c r="AA99">
        <v>6.1885799949999996</v>
      </c>
      <c r="AB99">
        <v>6.2698073489999997</v>
      </c>
      <c r="AC99">
        <v>6.3527986749999998</v>
      </c>
      <c r="AD99">
        <v>6.4378413950000004</v>
      </c>
      <c r="AE99">
        <v>6.5252429709999999</v>
      </c>
      <c r="AF99">
        <v>6.6153316350000004</v>
      </c>
      <c r="AG99">
        <v>6.7084571510000002</v>
      </c>
      <c r="AH99">
        <v>6.8049916709999998</v>
      </c>
      <c r="AI99">
        <v>6.9053307029999997</v>
      </c>
      <c r="AJ99">
        <v>7.0098942400000004</v>
      </c>
      <c r="AK99">
        <v>7.1191280270000004</v>
      </c>
    </row>
    <row r="100" spans="1:37" x14ac:dyDescent="0.25">
      <c r="A100" t="s">
        <v>1819</v>
      </c>
      <c r="B100">
        <v>1.7994298</v>
      </c>
      <c r="C100">
        <v>2.0253384040000002</v>
      </c>
      <c r="D100">
        <v>2.1782907890000001</v>
      </c>
      <c r="E100">
        <v>2.2809357260000001</v>
      </c>
      <c r="F100">
        <v>2.349933112</v>
      </c>
      <c r="G100">
        <v>2.3967535899999999</v>
      </c>
      <c r="H100">
        <v>2.4289281410000001</v>
      </c>
      <c r="I100">
        <v>2.451246169</v>
      </c>
      <c r="J100">
        <v>2.4666971549999999</v>
      </c>
      <c r="K100">
        <v>2.4771350679999999</v>
      </c>
      <c r="L100">
        <v>2.4837166389999998</v>
      </c>
      <c r="M100">
        <v>2.4871775180000002</v>
      </c>
      <c r="N100">
        <v>2.4880007370000001</v>
      </c>
      <c r="O100">
        <v>2.4865171739999998</v>
      </c>
      <c r="P100">
        <v>2.4829648199999999</v>
      </c>
      <c r="Q100">
        <v>2.4775235430000002</v>
      </c>
      <c r="R100">
        <v>2.470335876</v>
      </c>
      <c r="S100">
        <v>2.461519784</v>
      </c>
      <c r="T100">
        <v>2.4511767899999999</v>
      </c>
      <c r="U100">
        <v>2.4393973569999998</v>
      </c>
      <c r="V100">
        <v>2.4262645389999999</v>
      </c>
      <c r="W100">
        <v>2.4118565479999998</v>
      </c>
      <c r="X100">
        <v>2.3962485290000002</v>
      </c>
      <c r="Y100">
        <v>2.3795137770000001</v>
      </c>
      <c r="Z100">
        <v>2.3617245229999999</v>
      </c>
      <c r="AA100">
        <v>2.3429523790000002</v>
      </c>
      <c r="AB100">
        <v>2.3232685449999999</v>
      </c>
      <c r="AC100">
        <v>2.3027438409999998</v>
      </c>
      <c r="AD100">
        <v>2.281448621</v>
      </c>
      <c r="AE100">
        <v>2.2594526250000002</v>
      </c>
      <c r="AF100">
        <v>2.2368247979999998</v>
      </c>
      <c r="AG100">
        <v>2.2136331149999999</v>
      </c>
      <c r="AH100">
        <v>2.1899444039999998</v>
      </c>
      <c r="AI100">
        <v>2.1658242140000001</v>
      </c>
      <c r="AJ100">
        <v>2.1413366960000002</v>
      </c>
      <c r="AK100">
        <v>2.1165445169999999</v>
      </c>
    </row>
    <row r="101" spans="1:37" x14ac:dyDescent="0.25">
      <c r="A101" t="s">
        <v>1820</v>
      </c>
      <c r="B101">
        <v>1.1069429</v>
      </c>
      <c r="C101">
        <v>1.239853415</v>
      </c>
      <c r="D101">
        <v>1.323680945</v>
      </c>
      <c r="E101">
        <v>1.3740546629999999</v>
      </c>
      <c r="F101">
        <v>1.4023552800000001</v>
      </c>
      <c r="G101">
        <v>1.416291113</v>
      </c>
      <c r="H101">
        <v>1.4208362919999999</v>
      </c>
      <c r="I101">
        <v>1.4191046329999999</v>
      </c>
      <c r="J101">
        <v>1.4130160089999999</v>
      </c>
      <c r="K101">
        <v>1.4037535969999999</v>
      </c>
      <c r="L101">
        <v>1.392057707</v>
      </c>
      <c r="M101">
        <v>1.378406325</v>
      </c>
      <c r="N101">
        <v>1.36312258</v>
      </c>
      <c r="O101">
        <v>1.346437366</v>
      </c>
      <c r="P101">
        <v>1.3285254550000001</v>
      </c>
      <c r="Q101">
        <v>1.3095263420000001</v>
      </c>
      <c r="R101">
        <v>1.2895565259999999</v>
      </c>
      <c r="S101">
        <v>1.268716996</v>
      </c>
      <c r="T101">
        <v>1.247097986</v>
      </c>
      <c r="U101">
        <v>1.2247820869999999</v>
      </c>
      <c r="V101">
        <v>1.2018463530000001</v>
      </c>
      <c r="W101">
        <v>1.1783637259999999</v>
      </c>
      <c r="X101">
        <v>1.1544039960000001</v>
      </c>
      <c r="Y101">
        <v>1.130034411</v>
      </c>
      <c r="Z101">
        <v>1.105320036</v>
      </c>
      <c r="AA101">
        <v>1.0803239069999999</v>
      </c>
      <c r="AB101">
        <v>1.05510707</v>
      </c>
      <c r="AC101">
        <v>1.029728516</v>
      </c>
      <c r="AD101">
        <v>1.00424508</v>
      </c>
      <c r="AE101">
        <v>0.97871131050000004</v>
      </c>
      <c r="AF101">
        <v>0.95317934530000004</v>
      </c>
      <c r="AG101">
        <v>0.92769879769999997</v>
      </c>
      <c r="AH101">
        <v>0.90231666529999999</v>
      </c>
      <c r="AI101">
        <v>0.8770772644</v>
      </c>
      <c r="AJ101">
        <v>0.85202218900000004</v>
      </c>
      <c r="AK101">
        <v>0.8271902927</v>
      </c>
    </row>
    <row r="102" spans="1:37" x14ac:dyDescent="0.25">
      <c r="A102" t="s">
        <v>1821</v>
      </c>
      <c r="B102">
        <v>0.53533900000000001</v>
      </c>
      <c r="C102">
        <v>0.5893110828</v>
      </c>
      <c r="D102">
        <v>0.61282441980000002</v>
      </c>
      <c r="E102">
        <v>0.61658713320000003</v>
      </c>
      <c r="F102">
        <v>0.6081774875</v>
      </c>
      <c r="G102">
        <v>0.59252181169999996</v>
      </c>
      <c r="H102">
        <v>0.57266692090000004</v>
      </c>
      <c r="I102">
        <v>0.55044725279999995</v>
      </c>
      <c r="J102">
        <v>0.52695879830000003</v>
      </c>
      <c r="K102">
        <v>0.50286382620000003</v>
      </c>
      <c r="L102">
        <v>0.47857500949999998</v>
      </c>
      <c r="M102">
        <v>0.45436196159999998</v>
      </c>
      <c r="N102">
        <v>0.430410986</v>
      </c>
      <c r="O102">
        <v>0.40685793790000002</v>
      </c>
      <c r="P102">
        <v>0.38380618840000003</v>
      </c>
      <c r="Q102">
        <v>0.36133660169999998</v>
      </c>
      <c r="R102">
        <v>0.3395133011</v>
      </c>
      <c r="S102">
        <v>0.31838722959999999</v>
      </c>
      <c r="T102">
        <v>0.29799851620000001</v>
      </c>
      <c r="U102">
        <v>0.27837815589999998</v>
      </c>
      <c r="V102">
        <v>0.25954926810000001</v>
      </c>
      <c r="W102">
        <v>0.24152807370000001</v>
      </c>
      <c r="X102">
        <v>0.22432467549999999</v>
      </c>
      <c r="Y102">
        <v>0.20794369679999999</v>
      </c>
      <c r="Z102">
        <v>0.19238482160000001</v>
      </c>
      <c r="AA102">
        <v>0.17764326599999999</v>
      </c>
      <c r="AB102">
        <v>0.163710206</v>
      </c>
      <c r="AC102">
        <v>0.15057317680000001</v>
      </c>
      <c r="AD102">
        <v>0.1382164562</v>
      </c>
      <c r="AE102">
        <v>0.1266214363</v>
      </c>
      <c r="AF102">
        <v>0.1157669871</v>
      </c>
      <c r="AG102">
        <v>0.1056298111</v>
      </c>
      <c r="AH102">
        <v>9.6184787899999999E-2</v>
      </c>
      <c r="AI102">
        <v>8.7405305000000003E-2</v>
      </c>
      <c r="AJ102">
        <v>7.9263574899999995E-2</v>
      </c>
      <c r="AK102">
        <v>7.1730932400000003E-2</v>
      </c>
    </row>
    <row r="103" spans="1:37" x14ac:dyDescent="0.25">
      <c r="A103" t="s">
        <v>1822</v>
      </c>
      <c r="B103">
        <v>1.0050558000000001</v>
      </c>
      <c r="C103">
        <v>1.0897478890000001</v>
      </c>
      <c r="D103">
        <v>1.10764266</v>
      </c>
      <c r="E103">
        <v>1.084658374</v>
      </c>
      <c r="F103">
        <v>1.0386500750000001</v>
      </c>
      <c r="G103">
        <v>0.98080334359999999</v>
      </c>
      <c r="H103">
        <v>0.91774014049999997</v>
      </c>
      <c r="I103">
        <v>0.85324779309999998</v>
      </c>
      <c r="J103">
        <v>0.78945111030000004</v>
      </c>
      <c r="K103">
        <v>0.72753266760000002</v>
      </c>
      <c r="L103">
        <v>0.66814920509999998</v>
      </c>
      <c r="M103">
        <v>0.61166259769999998</v>
      </c>
      <c r="N103">
        <v>0.55826463120000003</v>
      </c>
      <c r="O103">
        <v>0.50804377440000004</v>
      </c>
      <c r="P103">
        <v>0.4610214165</v>
      </c>
      <c r="Q103">
        <v>0.41717243970000001</v>
      </c>
      <c r="R103">
        <v>0.37643782679999999</v>
      </c>
      <c r="S103">
        <v>0.33873313820000001</v>
      </c>
      <c r="T103">
        <v>0.3039546984</v>
      </c>
      <c r="U103">
        <v>0.27198438349999998</v>
      </c>
      <c r="V103">
        <v>0.2426934627</v>
      </c>
      <c r="W103">
        <v>0.2159457451</v>
      </c>
      <c r="X103">
        <v>0.19160019289999999</v>
      </c>
      <c r="Y103">
        <v>0.1695131081</v>
      </c>
      <c r="Z103">
        <v>0.14953997860000001</v>
      </c>
      <c r="AA103">
        <v>0.1315370431</v>
      </c>
      <c r="AB103">
        <v>0.1153626219</v>
      </c>
      <c r="AC103">
        <v>0.10087824519999999</v>
      </c>
      <c r="AD103">
        <v>8.7949602000000002E-2</v>
      </c>
      <c r="AE103">
        <v>7.6447326699999998E-2</v>
      </c>
      <c r="AF103">
        <v>6.6247633700000003E-2</v>
      </c>
      <c r="AG103">
        <v>5.7232814399999998E-2</v>
      </c>
      <c r="AH103">
        <v>4.9291601499999997E-2</v>
      </c>
      <c r="AI103">
        <v>4.2319416200000001E-2</v>
      </c>
      <c r="AJ103">
        <v>3.6218503700000002E-2</v>
      </c>
      <c r="AK103">
        <v>3.0897972499999999E-2</v>
      </c>
    </row>
    <row r="104" spans="1:37" x14ac:dyDescent="0.25">
      <c r="A104" t="s">
        <v>1823</v>
      </c>
      <c r="B104">
        <v>4.4415299999999998E-2</v>
      </c>
      <c r="C104">
        <v>5.0379111499999997E-2</v>
      </c>
      <c r="D104">
        <v>5.48189106E-2</v>
      </c>
      <c r="E104">
        <v>5.8189587799999998E-2</v>
      </c>
      <c r="F104">
        <v>6.0832658800000002E-2</v>
      </c>
      <c r="G104">
        <v>6.2992061799999999E-2</v>
      </c>
      <c r="H104">
        <v>6.4834579899999994E-2</v>
      </c>
      <c r="I104">
        <v>6.6470542399999999E-2</v>
      </c>
      <c r="J104">
        <v>6.7971274700000001E-2</v>
      </c>
      <c r="K104">
        <v>6.9382252199999994E-2</v>
      </c>
      <c r="L104">
        <v>7.0732332100000003E-2</v>
      </c>
      <c r="M104">
        <v>7.20399226E-2</v>
      </c>
      <c r="N104">
        <v>7.3316956399999994E-2</v>
      </c>
      <c r="O104">
        <v>7.4571379699999996E-2</v>
      </c>
      <c r="P104">
        <v>7.5808682700000005E-2</v>
      </c>
      <c r="Q104">
        <v>7.7032819700000005E-2</v>
      </c>
      <c r="R104">
        <v>7.8246765800000007E-2</v>
      </c>
      <c r="S104">
        <v>7.9452853700000006E-2</v>
      </c>
      <c r="T104">
        <v>8.0652981900000004E-2</v>
      </c>
      <c r="U104">
        <v>8.1848748200000002E-2</v>
      </c>
      <c r="V104">
        <v>8.3041539299999995E-2</v>
      </c>
      <c r="W104">
        <v>8.4232592800000006E-2</v>
      </c>
      <c r="X104">
        <v>8.5423042300000002E-2</v>
      </c>
      <c r="Y104">
        <v>8.6613948499999996E-2</v>
      </c>
      <c r="Z104">
        <v>8.78063226E-2</v>
      </c>
      <c r="AA104">
        <v>8.9001140500000006E-2</v>
      </c>
      <c r="AB104">
        <v>9.0199352400000002E-2</v>
      </c>
      <c r="AC104">
        <v>9.1401887200000004E-2</v>
      </c>
      <c r="AD104">
        <v>9.2609653700000003E-2</v>
      </c>
      <c r="AE104">
        <v>9.3823539299999995E-2</v>
      </c>
      <c r="AF104">
        <v>9.5044407299999994E-2</v>
      </c>
      <c r="AG104">
        <v>9.6273093700000006E-2</v>
      </c>
      <c r="AH104">
        <v>9.7510402800000007E-2</v>
      </c>
      <c r="AI104">
        <v>9.8757104600000006E-2</v>
      </c>
      <c r="AJ104">
        <v>0.1000139306</v>
      </c>
      <c r="AK104">
        <v>0.1012815723</v>
      </c>
    </row>
    <row r="105" spans="1:37" x14ac:dyDescent="0.25">
      <c r="A105" t="s">
        <v>1824</v>
      </c>
      <c r="B105">
        <v>4.2641199999999997E-2</v>
      </c>
      <c r="C105">
        <v>4.8309953900000001E-2</v>
      </c>
      <c r="D105">
        <v>5.24733015E-2</v>
      </c>
      <c r="E105">
        <v>5.5581685999999998E-2</v>
      </c>
      <c r="F105">
        <v>5.7972236400000002E-2</v>
      </c>
      <c r="G105">
        <v>5.9884492900000003E-2</v>
      </c>
      <c r="H105">
        <v>6.14813216E-2</v>
      </c>
      <c r="I105">
        <v>6.2869872100000002E-2</v>
      </c>
      <c r="J105">
        <v>6.4119042500000001E-2</v>
      </c>
      <c r="K105">
        <v>6.5272523799999996E-2</v>
      </c>
      <c r="L105">
        <v>6.6357886800000002E-2</v>
      </c>
      <c r="M105">
        <v>6.7392611800000002E-2</v>
      </c>
      <c r="N105">
        <v>6.8387950399999994E-2</v>
      </c>
      <c r="O105">
        <v>6.9351329200000006E-2</v>
      </c>
      <c r="P105">
        <v>7.0287820400000006E-2</v>
      </c>
      <c r="Q105">
        <v>7.12010213E-2</v>
      </c>
      <c r="R105">
        <v>7.2093584200000005E-2</v>
      </c>
      <c r="S105">
        <v>7.2967536299999997E-2</v>
      </c>
      <c r="T105">
        <v>7.3824477599999994E-2</v>
      </c>
      <c r="U105">
        <v>7.4665706999999998E-2</v>
      </c>
      <c r="V105">
        <v>7.5492307999999994E-2</v>
      </c>
      <c r="W105">
        <v>7.6305207599999994E-2</v>
      </c>
      <c r="X105">
        <v>7.7105218700000006E-2</v>
      </c>
      <c r="Y105">
        <v>7.7893070300000006E-2</v>
      </c>
      <c r="Z105">
        <v>7.8669428499999999E-2</v>
      </c>
      <c r="AA105">
        <v>7.94349107E-2</v>
      </c>
      <c r="AB105">
        <v>8.0190093399999995E-2</v>
      </c>
      <c r="AC105">
        <v>8.0935516700000001E-2</v>
      </c>
      <c r="AD105">
        <v>8.1671684699999997E-2</v>
      </c>
      <c r="AE105">
        <v>8.2399064499999994E-2</v>
      </c>
      <c r="AF105">
        <v>8.3118083600000003E-2</v>
      </c>
      <c r="AG105">
        <v>8.3829126300000001E-2</v>
      </c>
      <c r="AH105">
        <v>8.4532530800000005E-2</v>
      </c>
      <c r="AI105">
        <v>8.5228585900000001E-2</v>
      </c>
      <c r="AJ105">
        <v>8.5917528399999998E-2</v>
      </c>
      <c r="AK105">
        <v>8.6599541399999994E-2</v>
      </c>
    </row>
    <row r="106" spans="1:37" x14ac:dyDescent="0.25">
      <c r="A106" t="s">
        <v>1825</v>
      </c>
      <c r="B106">
        <v>2.9516000000000001E-2</v>
      </c>
      <c r="C106">
        <v>3.3400811099999997E-2</v>
      </c>
      <c r="D106">
        <v>3.6214816900000002E-2</v>
      </c>
      <c r="E106">
        <v>3.82794547E-2</v>
      </c>
      <c r="F106">
        <v>3.9834578400000001E-2</v>
      </c>
      <c r="G106">
        <v>4.10497534E-2</v>
      </c>
      <c r="H106">
        <v>4.20396585E-2</v>
      </c>
      <c r="I106">
        <v>4.2879355500000001E-2</v>
      </c>
      <c r="J106">
        <v>4.36168761E-2</v>
      </c>
      <c r="K106">
        <v>4.4282542299999998E-2</v>
      </c>
      <c r="L106">
        <v>4.4895409400000003E-2</v>
      </c>
      <c r="M106">
        <v>4.54675155E-2</v>
      </c>
      <c r="N106">
        <v>4.6006584599999997E-2</v>
      </c>
      <c r="O106">
        <v>4.6517701000000002E-2</v>
      </c>
      <c r="P106">
        <v>4.7004327300000003E-2</v>
      </c>
      <c r="Q106">
        <v>4.7468910400000001E-2</v>
      </c>
      <c r="R106">
        <v>4.7913245200000003E-2</v>
      </c>
      <c r="S106">
        <v>4.8338694299999999E-2</v>
      </c>
      <c r="T106">
        <v>4.8746322199999997E-2</v>
      </c>
      <c r="U106">
        <v>4.9136983299999999E-2</v>
      </c>
      <c r="V106">
        <v>4.9511379299999998E-2</v>
      </c>
      <c r="W106">
        <v>4.9870101100000001E-2</v>
      </c>
      <c r="X106">
        <v>5.02136569E-2</v>
      </c>
      <c r="Y106">
        <v>5.0542494100000002E-2</v>
      </c>
      <c r="Z106">
        <v>5.0857013200000002E-2</v>
      </c>
      <c r="AA106">
        <v>5.1157577400000001E-2</v>
      </c>
      <c r="AB106">
        <v>5.1444518799999998E-2</v>
      </c>
      <c r="AC106">
        <v>5.1718141099999997E-2</v>
      </c>
      <c r="AD106">
        <v>5.19787201E-2</v>
      </c>
      <c r="AE106">
        <v>5.2226503700000003E-2</v>
      </c>
      <c r="AF106">
        <v>5.2461710100000003E-2</v>
      </c>
      <c r="AG106">
        <v>5.2684526199999998E-2</v>
      </c>
      <c r="AH106">
        <v>5.28951062E-2</v>
      </c>
      <c r="AI106">
        <v>5.30935695E-2</v>
      </c>
      <c r="AJ106">
        <v>5.3280000500000001E-2</v>
      </c>
      <c r="AK106">
        <v>5.3454447500000002E-2</v>
      </c>
    </row>
    <row r="107" spans="1:37" x14ac:dyDescent="0.25">
      <c r="A107" t="s">
        <v>1826</v>
      </c>
      <c r="B107">
        <v>1.63594E-2</v>
      </c>
      <c r="C107">
        <v>1.8412561800000001E-2</v>
      </c>
      <c r="D107">
        <v>1.98000126E-2</v>
      </c>
      <c r="E107">
        <v>2.07258949E-2</v>
      </c>
      <c r="F107">
        <v>2.1340775499999999E-2</v>
      </c>
      <c r="G107">
        <v>2.1748976199999999E-2</v>
      </c>
      <c r="H107">
        <v>2.2019564200000001E-2</v>
      </c>
      <c r="I107">
        <v>2.21968515E-2</v>
      </c>
      <c r="J107">
        <v>2.23087098E-2</v>
      </c>
      <c r="K107">
        <v>2.23725125E-2</v>
      </c>
      <c r="L107">
        <v>2.23991165E-2</v>
      </c>
      <c r="M107">
        <v>2.2395412199999999E-2</v>
      </c>
      <c r="N107">
        <v>2.2365902699999999E-2</v>
      </c>
      <c r="O107">
        <v>2.2313656000000001E-2</v>
      </c>
      <c r="P107">
        <v>2.2240869600000001E-2</v>
      </c>
      <c r="Q107">
        <v>2.2149200000000001E-2</v>
      </c>
      <c r="R107">
        <v>2.20399571E-2</v>
      </c>
      <c r="S107">
        <v>2.1914220599999999E-2</v>
      </c>
      <c r="T107">
        <v>2.1772911200000002E-2</v>
      </c>
      <c r="U107">
        <v>2.1616837900000001E-2</v>
      </c>
      <c r="V107">
        <v>2.14467289E-2</v>
      </c>
      <c r="W107">
        <v>2.1263254400000001E-2</v>
      </c>
      <c r="X107">
        <v>2.1067042599999999E-2</v>
      </c>
      <c r="Y107">
        <v>2.0858690400000001E-2</v>
      </c>
      <c r="Z107">
        <v>2.0638772100000001E-2</v>
      </c>
      <c r="AA107">
        <v>2.04078439E-2</v>
      </c>
      <c r="AB107">
        <v>2.0166447300000001E-2</v>
      </c>
      <c r="AC107">
        <v>1.9915110699999999E-2</v>
      </c>
      <c r="AD107">
        <v>1.9654350399999999E-2</v>
      </c>
      <c r="AE107">
        <v>1.9384670499999999E-2</v>
      </c>
      <c r="AF107">
        <v>1.9106563E-2</v>
      </c>
      <c r="AG107">
        <v>1.8820507600000001E-2</v>
      </c>
      <c r="AH107">
        <v>1.8526971900000001E-2</v>
      </c>
      <c r="AI107">
        <v>1.8226411200000001E-2</v>
      </c>
      <c r="AJ107">
        <v>1.7919269299999999E-2</v>
      </c>
      <c r="AK107">
        <v>1.7605978800000002E-2</v>
      </c>
    </row>
    <row r="108" spans="1:37" x14ac:dyDescent="0.25">
      <c r="A108" t="s">
        <v>1827</v>
      </c>
      <c r="B108">
        <v>1.00637E-2</v>
      </c>
      <c r="C108">
        <v>1.1271548500000001E-2</v>
      </c>
      <c r="D108">
        <v>1.2031372800000001E-2</v>
      </c>
      <c r="E108">
        <v>1.24840271E-2</v>
      </c>
      <c r="F108">
        <v>1.2732429E-2</v>
      </c>
      <c r="G108">
        <v>1.28468035E-2</v>
      </c>
      <c r="H108">
        <v>1.28729133E-2</v>
      </c>
      <c r="I108">
        <v>1.2839708199999999E-2</v>
      </c>
      <c r="J108">
        <v>1.2765208199999999E-2</v>
      </c>
      <c r="K108">
        <v>1.26605973E-2</v>
      </c>
      <c r="L108">
        <v>1.2532899700000001E-2</v>
      </c>
      <c r="M108">
        <v>1.2386654E-2</v>
      </c>
      <c r="N108">
        <v>1.2224926400000001E-2</v>
      </c>
      <c r="O108">
        <v>1.2049908200000001E-2</v>
      </c>
      <c r="P108">
        <v>1.18632623E-2</v>
      </c>
      <c r="Q108">
        <v>1.1666322099999999E-2</v>
      </c>
      <c r="R108">
        <v>1.14602071E-2</v>
      </c>
      <c r="S108">
        <v>1.1245890499999999E-2</v>
      </c>
      <c r="T108">
        <v>1.1024242300000001E-2</v>
      </c>
      <c r="U108">
        <v>1.0796055400000001E-2</v>
      </c>
      <c r="V108">
        <v>1.0562065400000001E-2</v>
      </c>
      <c r="W108">
        <v>1.03229627E-2</v>
      </c>
      <c r="X108">
        <v>1.00794018E-2</v>
      </c>
      <c r="Y108">
        <v>9.8320081600000008E-3</v>
      </c>
      <c r="Z108">
        <v>9.5813816199999992E-3</v>
      </c>
      <c r="AA108">
        <v>9.3280996000000005E-3</v>
      </c>
      <c r="AB108">
        <v>9.0727182900000002E-3</v>
      </c>
      <c r="AC108">
        <v>8.8157734600000006E-3</v>
      </c>
      <c r="AD108">
        <v>8.55778066E-3</v>
      </c>
      <c r="AE108">
        <v>8.2992351799999996E-3</v>
      </c>
      <c r="AF108">
        <v>8.0406119199999994E-3</v>
      </c>
      <c r="AG108">
        <v>7.7823653499999998E-3</v>
      </c>
      <c r="AH108">
        <v>7.5249294800000003E-3</v>
      </c>
      <c r="AI108">
        <v>7.2687180000000004E-3</v>
      </c>
      <c r="AJ108">
        <v>7.0141245499999996E-3</v>
      </c>
      <c r="AK108">
        <v>6.7615230300000001E-3</v>
      </c>
    </row>
    <row r="109" spans="1:37" x14ac:dyDescent="0.25">
      <c r="A109" t="s">
        <v>1828</v>
      </c>
      <c r="B109">
        <v>4.8669999999999998E-3</v>
      </c>
      <c r="C109">
        <v>5.3575078100000003E-3</v>
      </c>
      <c r="D109">
        <v>5.5705199400000001E-3</v>
      </c>
      <c r="E109">
        <v>5.6030704399999999E-3</v>
      </c>
      <c r="F109">
        <v>5.5240086700000003E-3</v>
      </c>
      <c r="G109">
        <v>5.3782956100000001E-3</v>
      </c>
      <c r="H109">
        <v>5.1938975E-3</v>
      </c>
      <c r="I109">
        <v>4.9877503500000003E-3</v>
      </c>
      <c r="J109">
        <v>4.7700213399999997E-3</v>
      </c>
      <c r="K109">
        <v>4.5468712599999999E-3</v>
      </c>
      <c r="L109">
        <v>4.3221395299999996E-3</v>
      </c>
      <c r="M109">
        <v>4.0983287499999996E-3</v>
      </c>
      <c r="N109">
        <v>3.8771618600000001E-3</v>
      </c>
      <c r="O109">
        <v>3.6598904199999999E-3</v>
      </c>
      <c r="P109">
        <v>3.4474635899999998E-3</v>
      </c>
      <c r="Q109">
        <v>3.24062164E-3</v>
      </c>
      <c r="R109">
        <v>3.0399495200000002E-3</v>
      </c>
      <c r="S109">
        <v>2.84590959E-3</v>
      </c>
      <c r="T109">
        <v>2.65886323E-3</v>
      </c>
      <c r="U109">
        <v>2.47908626E-3</v>
      </c>
      <c r="V109">
        <v>2.3067806400000001E-3</v>
      </c>
      <c r="W109">
        <v>2.1420836499999999E-3</v>
      </c>
      <c r="X109">
        <v>1.9850754199999998E-3</v>
      </c>
      <c r="Y109">
        <v>1.8357850700000001E-3</v>
      </c>
      <c r="Z109">
        <v>1.6941959800000001E-3</v>
      </c>
      <c r="AA109">
        <v>1.56025043E-3</v>
      </c>
      <c r="AB109">
        <v>1.43385374E-3</v>
      </c>
      <c r="AC109">
        <v>1.3148781299999999E-3</v>
      </c>
      <c r="AD109">
        <v>1.2031663699999999E-3</v>
      </c>
      <c r="AE109">
        <v>1.0985353300000001E-3</v>
      </c>
      <c r="AF109">
        <v>1.0007792999999999E-3</v>
      </c>
      <c r="AG109">
        <v>9.0967332399999996E-4</v>
      </c>
      <c r="AH109">
        <v>8.2497634999999995E-4</v>
      </c>
      <c r="AI109">
        <v>7.4643422200000001E-4</v>
      </c>
      <c r="AJ109">
        <v>6.7378256599999996E-4</v>
      </c>
      <c r="AK109">
        <v>6.0674947300000002E-4</v>
      </c>
    </row>
    <row r="110" spans="1:37" x14ac:dyDescent="0.25">
      <c r="A110" t="s">
        <v>1829</v>
      </c>
      <c r="B110">
        <v>9.1374000000000004E-3</v>
      </c>
      <c r="C110">
        <v>9.9069832299999994E-3</v>
      </c>
      <c r="D110">
        <v>1.00680331E-2</v>
      </c>
      <c r="E110">
        <v>9.8556185199999997E-3</v>
      </c>
      <c r="F110">
        <v>9.4321479799999997E-3</v>
      </c>
      <c r="G110">
        <v>8.8998469600000008E-3</v>
      </c>
      <c r="H110">
        <v>8.3195777299999996E-3</v>
      </c>
      <c r="I110">
        <v>7.7263419899999998E-3</v>
      </c>
      <c r="J110">
        <v>7.1398583600000001E-3</v>
      </c>
      <c r="K110">
        <v>6.5711175799999999E-3</v>
      </c>
      <c r="L110">
        <v>6.0262082799999997E-3</v>
      </c>
      <c r="M110">
        <v>5.5084593799999996E-3</v>
      </c>
      <c r="N110">
        <v>5.0196073100000002E-3</v>
      </c>
      <c r="O110">
        <v>4.5604241399999999E-3</v>
      </c>
      <c r="P110">
        <v>4.1310590000000003E-3</v>
      </c>
      <c r="Q110">
        <v>3.7312312300000002E-3</v>
      </c>
      <c r="R110">
        <v>3.3603479199999999E-3</v>
      </c>
      <c r="S110">
        <v>3.0175825899999998E-3</v>
      </c>
      <c r="T110">
        <v>2.7019324400000002E-3</v>
      </c>
      <c r="U110">
        <v>2.4122629099999999E-3</v>
      </c>
      <c r="V110">
        <v>2.1473436699999998E-3</v>
      </c>
      <c r="W110">
        <v>1.90587814E-3</v>
      </c>
      <c r="X110">
        <v>1.68652813E-3</v>
      </c>
      <c r="Y110">
        <v>1.4879344200000001E-3</v>
      </c>
      <c r="Z110">
        <v>1.3087340300000001E-3</v>
      </c>
      <c r="AA110">
        <v>1.14757481E-3</v>
      </c>
      <c r="AB110">
        <v>1.00312774E-3</v>
      </c>
      <c r="AC110">
        <v>8.7409721999999999E-4</v>
      </c>
      <c r="AD110">
        <v>7.5922970099999995E-4</v>
      </c>
      <c r="AE110">
        <v>6.5732065499999996E-4</v>
      </c>
      <c r="AF110">
        <v>5.6722017399999996E-4</v>
      </c>
      <c r="AG110">
        <v>4.8783724299999998E-4</v>
      </c>
      <c r="AH110">
        <v>4.1814280099999998E-4</v>
      </c>
      <c r="AI110">
        <v>3.57171702E-4</v>
      </c>
      <c r="AJ110">
        <v>3.0402368099999999E-4</v>
      </c>
      <c r="AK110">
        <v>2.5786343499999999E-4</v>
      </c>
    </row>
    <row r="111" spans="1:37" x14ac:dyDescent="0.25">
      <c r="A111" t="s">
        <v>1830</v>
      </c>
      <c r="B111">
        <v>2457.4699179999998</v>
      </c>
      <c r="C111">
        <v>2463.613593</v>
      </c>
      <c r="D111">
        <v>2469.7726269999998</v>
      </c>
      <c r="E111">
        <v>2475.9470590000001</v>
      </c>
      <c r="F111">
        <v>2482.1369260000001</v>
      </c>
      <c r="G111">
        <v>2488.3422690000002</v>
      </c>
      <c r="H111">
        <v>2494.5631239999998</v>
      </c>
      <c r="I111">
        <v>2500.799532</v>
      </c>
      <c r="J111">
        <v>2507.0515310000001</v>
      </c>
      <c r="K111">
        <v>2513.31916</v>
      </c>
      <c r="L111">
        <v>2519.6024579999998</v>
      </c>
      <c r="M111">
        <v>2525.901464</v>
      </c>
      <c r="N111">
        <v>2532.2162170000001</v>
      </c>
      <c r="O111">
        <v>2538.546758</v>
      </c>
      <c r="P111">
        <v>2544.8931250000001</v>
      </c>
      <c r="Q111">
        <v>2551.2553579999999</v>
      </c>
      <c r="R111">
        <v>2557.6334959999999</v>
      </c>
      <c r="S111">
        <v>2564.0275799999999</v>
      </c>
      <c r="T111">
        <v>2570.437649</v>
      </c>
      <c r="U111">
        <v>2576.8637429999999</v>
      </c>
      <c r="V111">
        <v>2583.3059020000001</v>
      </c>
      <c r="W111">
        <v>2589.7641669999998</v>
      </c>
      <c r="X111">
        <v>2596.2385770000001</v>
      </c>
      <c r="Y111">
        <v>2602.7291740000001</v>
      </c>
      <c r="Z111">
        <v>2609.2359970000002</v>
      </c>
      <c r="AA111">
        <v>2615.7590869999999</v>
      </c>
      <c r="AB111">
        <v>2622.2984839999999</v>
      </c>
      <c r="AC111">
        <v>2628.8542309999998</v>
      </c>
      <c r="AD111">
        <v>2635.4263660000001</v>
      </c>
      <c r="AE111">
        <v>2642.014932</v>
      </c>
      <c r="AF111">
        <v>2648.6199700000002</v>
      </c>
      <c r="AG111">
        <v>2655.2415190000002</v>
      </c>
      <c r="AH111">
        <v>2661.8796229999998</v>
      </c>
      <c r="AI111">
        <v>2668.534322</v>
      </c>
      <c r="AJ111">
        <v>2675.2056579999999</v>
      </c>
      <c r="AK111">
        <v>2681.8936720000002</v>
      </c>
    </row>
    <row r="112" spans="1:37" x14ac:dyDescent="0.25">
      <c r="A112" t="s">
        <v>1831</v>
      </c>
      <c r="B112">
        <v>3.476542051</v>
      </c>
      <c r="C112">
        <v>5.5995510140000002</v>
      </c>
      <c r="D112">
        <v>7.7036304580000001</v>
      </c>
      <c r="E112">
        <v>9.7889277490000008</v>
      </c>
      <c r="F112">
        <v>11.855592209999999</v>
      </c>
      <c r="G112">
        <v>13.903781560000001</v>
      </c>
      <c r="H112">
        <v>15.93366241</v>
      </c>
      <c r="I112">
        <v>17.945406779999999</v>
      </c>
      <c r="J112">
        <v>19.9391876</v>
      </c>
      <c r="K112">
        <v>21.915175250000001</v>
      </c>
      <c r="L112">
        <v>23.873535950000001</v>
      </c>
      <c r="M112">
        <v>25.814431509999999</v>
      </c>
      <c r="N112">
        <v>27.738020110000001</v>
      </c>
      <c r="O112">
        <v>29.644457370000001</v>
      </c>
      <c r="P112">
        <v>31.533898010000001</v>
      </c>
      <c r="Q112">
        <v>33.406496990000001</v>
      </c>
      <c r="R112">
        <v>35.26240859</v>
      </c>
      <c r="S112">
        <v>37.101786199999999</v>
      </c>
      <c r="T112">
        <v>38.924782499999999</v>
      </c>
      <c r="U112">
        <v>40.731549020000003</v>
      </c>
      <c r="V112">
        <v>42.522235340000002</v>
      </c>
      <c r="W112">
        <v>44.296988949999999</v>
      </c>
      <c r="X112">
        <v>46.055955099999998</v>
      </c>
      <c r="Y112">
        <v>47.799276929999998</v>
      </c>
      <c r="Z112">
        <v>49.52709548</v>
      </c>
      <c r="AA112">
        <v>51.239549889999999</v>
      </c>
      <c r="AB112">
        <v>52.93677752</v>
      </c>
      <c r="AC112">
        <v>54.61891404</v>
      </c>
      <c r="AD112">
        <v>56.286093610000002</v>
      </c>
      <c r="AE112">
        <v>57.938448979999997</v>
      </c>
      <c r="AF112">
        <v>59.57611146</v>
      </c>
      <c r="AG112">
        <v>61.199210839999999</v>
      </c>
      <c r="AH112">
        <v>62.807875680000002</v>
      </c>
      <c r="AI112">
        <v>64.402233449999997</v>
      </c>
      <c r="AJ112">
        <v>65.982410700000003</v>
      </c>
      <c r="AK112">
        <v>67.548533039999995</v>
      </c>
    </row>
    <row r="113" spans="1:37" x14ac:dyDescent="0.25">
      <c r="A113" t="s">
        <v>1832</v>
      </c>
      <c r="B113">
        <v>68.80476281</v>
      </c>
      <c r="C113">
        <v>76.772546509999998</v>
      </c>
      <c r="D113">
        <v>84.684486320000005</v>
      </c>
      <c r="E113">
        <v>92.541697170000006</v>
      </c>
      <c r="F113">
        <v>100.3450521</v>
      </c>
      <c r="G113">
        <v>108.09510280000001</v>
      </c>
      <c r="H113">
        <v>115.7921578</v>
      </c>
      <c r="I113">
        <v>123.4364073</v>
      </c>
      <c r="J113">
        <v>131.02802560000001</v>
      </c>
      <c r="K113">
        <v>138.5672289</v>
      </c>
      <c r="L113">
        <v>146.0542963</v>
      </c>
      <c r="M113">
        <v>153.48956680000001</v>
      </c>
      <c r="N113">
        <v>160.87342670000001</v>
      </c>
      <c r="O113">
        <v>168.20629550000001</v>
      </c>
      <c r="P113">
        <v>175.48861400000001</v>
      </c>
      <c r="Q113">
        <v>182.72083570000001</v>
      </c>
      <c r="R113">
        <v>189.90342269999999</v>
      </c>
      <c r="S113">
        <v>197.0368454</v>
      </c>
      <c r="T113">
        <v>204.1215871</v>
      </c>
      <c r="U113">
        <v>211.1581401</v>
      </c>
      <c r="V113">
        <v>218.14699970000001</v>
      </c>
      <c r="W113">
        <v>225.08866190000001</v>
      </c>
      <c r="X113">
        <v>231.9836214</v>
      </c>
      <c r="Y113">
        <v>238.83237120000001</v>
      </c>
      <c r="Z113">
        <v>245.63540169999999</v>
      </c>
      <c r="AA113">
        <v>252.39320029999999</v>
      </c>
      <c r="AB113">
        <v>259.10625149999998</v>
      </c>
      <c r="AC113">
        <v>265.775036</v>
      </c>
      <c r="AD113">
        <v>272.40003080000002</v>
      </c>
      <c r="AE113">
        <v>278.98170900000002</v>
      </c>
      <c r="AF113">
        <v>285.5205388</v>
      </c>
      <c r="AG113">
        <v>292.01698290000002</v>
      </c>
      <c r="AH113">
        <v>298.47149880000001</v>
      </c>
      <c r="AI113">
        <v>304.8845397</v>
      </c>
      <c r="AJ113">
        <v>311.25655410000002</v>
      </c>
      <c r="AK113">
        <v>317.58798589999998</v>
      </c>
    </row>
    <row r="114" spans="1:37" x14ac:dyDescent="0.25">
      <c r="A114" t="s">
        <v>1833</v>
      </c>
      <c r="B114">
        <v>408.28039699999999</v>
      </c>
      <c r="C114">
        <v>424.0771919</v>
      </c>
      <c r="D114">
        <v>439.76150250000001</v>
      </c>
      <c r="E114">
        <v>455.33442889999998</v>
      </c>
      <c r="F114">
        <v>470.79706290000001</v>
      </c>
      <c r="G114">
        <v>486.15058540000001</v>
      </c>
      <c r="H114">
        <v>501.39630249999999</v>
      </c>
      <c r="I114">
        <v>516.53563210000004</v>
      </c>
      <c r="J114">
        <v>531.57006420000005</v>
      </c>
      <c r="K114">
        <v>546.5011174</v>
      </c>
      <c r="L114">
        <v>561.33030229999997</v>
      </c>
      <c r="M114">
        <v>576.05909640000004</v>
      </c>
      <c r="N114">
        <v>590.68893000000003</v>
      </c>
      <c r="O114">
        <v>605.22118149999994</v>
      </c>
      <c r="P114">
        <v>619.65717710000001</v>
      </c>
      <c r="Q114">
        <v>633.99819590000004</v>
      </c>
      <c r="R114">
        <v>648.24547680000001</v>
      </c>
      <c r="S114">
        <v>662.40022380000005</v>
      </c>
      <c r="T114">
        <v>676.46360470000002</v>
      </c>
      <c r="U114">
        <v>690.43676049999999</v>
      </c>
      <c r="V114">
        <v>704.32081589999996</v>
      </c>
      <c r="W114">
        <v>718.11688260000005</v>
      </c>
      <c r="X114">
        <v>731.82606129999999</v>
      </c>
      <c r="Y114">
        <v>745.4494426</v>
      </c>
      <c r="Z114">
        <v>758.98810730000002</v>
      </c>
      <c r="AA114">
        <v>772.44312639999998</v>
      </c>
      <c r="AB114">
        <v>785.815561</v>
      </c>
      <c r="AC114">
        <v>799.10646199999996</v>
      </c>
      <c r="AD114">
        <v>812.31687030000001</v>
      </c>
      <c r="AE114">
        <v>825.44781650000004</v>
      </c>
      <c r="AF114">
        <v>838.50032099999999</v>
      </c>
      <c r="AG114">
        <v>851.47539549999999</v>
      </c>
      <c r="AH114">
        <v>864.37404149999998</v>
      </c>
      <c r="AI114">
        <v>877.19725010000002</v>
      </c>
      <c r="AJ114">
        <v>889.94600209999999</v>
      </c>
      <c r="AK114">
        <v>902.62126769999998</v>
      </c>
    </row>
    <row r="115" spans="1:37" x14ac:dyDescent="0.25">
      <c r="A115" t="s">
        <v>1834</v>
      </c>
      <c r="B115">
        <v>954.38155940000001</v>
      </c>
      <c r="C115">
        <v>947.51768939999999</v>
      </c>
      <c r="D115">
        <v>940.69002</v>
      </c>
      <c r="E115">
        <v>933.89841869999998</v>
      </c>
      <c r="F115">
        <v>927.14297429999999</v>
      </c>
      <c r="G115">
        <v>920.42396410000003</v>
      </c>
      <c r="H115">
        <v>913.74173489999998</v>
      </c>
      <c r="I115">
        <v>907.09659669999996</v>
      </c>
      <c r="J115">
        <v>900.48876670000004</v>
      </c>
      <c r="K115">
        <v>893.91836279999995</v>
      </c>
      <c r="L115">
        <v>887.38542459999996</v>
      </c>
      <c r="M115">
        <v>880.88994439999999</v>
      </c>
      <c r="N115">
        <v>874.43189410000002</v>
      </c>
      <c r="O115">
        <v>868.01124470000002</v>
      </c>
      <c r="P115">
        <v>861.62797569999998</v>
      </c>
      <c r="Q115">
        <v>855.28207850000001</v>
      </c>
      <c r="R115">
        <v>848.97355319999997</v>
      </c>
      <c r="S115">
        <v>842.70240520000004</v>
      </c>
      <c r="T115">
        <v>836.46864100000005</v>
      </c>
      <c r="U115">
        <v>830.27226359999997</v>
      </c>
      <c r="V115">
        <v>824.11326819999999</v>
      </c>
      <c r="W115">
        <v>817.99164189999999</v>
      </c>
      <c r="X115">
        <v>811.90736370000002</v>
      </c>
      <c r="Y115">
        <v>805.8604047</v>
      </c>
      <c r="Z115">
        <v>799.85072809999997</v>
      </c>
      <c r="AA115">
        <v>793.87829050000005</v>
      </c>
      <c r="AB115">
        <v>787.94304190000003</v>
      </c>
      <c r="AC115">
        <v>782.04492660000005</v>
      </c>
      <c r="AD115">
        <v>776.18388370000002</v>
      </c>
      <c r="AE115">
        <v>770.35984770000005</v>
      </c>
      <c r="AF115">
        <v>764.57274889999997</v>
      </c>
      <c r="AG115">
        <v>758.82251399999996</v>
      </c>
      <c r="AH115">
        <v>753.10906660000001</v>
      </c>
      <c r="AI115">
        <v>747.43232669999998</v>
      </c>
      <c r="AJ115">
        <v>741.79221129999996</v>
      </c>
      <c r="AK115">
        <v>736.18863480000005</v>
      </c>
    </row>
    <row r="116" spans="1:37" x14ac:dyDescent="0.25">
      <c r="A116" t="s">
        <v>1835</v>
      </c>
      <c r="B116">
        <v>878.79999729999997</v>
      </c>
      <c r="C116">
        <v>867.96700399999997</v>
      </c>
      <c r="D116">
        <v>857.26984870000001</v>
      </c>
      <c r="E116">
        <v>846.70684649999998</v>
      </c>
      <c r="F116">
        <v>836.27633149999997</v>
      </c>
      <c r="G116">
        <v>825.97666589999994</v>
      </c>
      <c r="H116">
        <v>815.80624269999998</v>
      </c>
      <c r="I116">
        <v>805.76348440000004</v>
      </c>
      <c r="J116">
        <v>795.84683889999997</v>
      </c>
      <c r="K116">
        <v>786.05477559999997</v>
      </c>
      <c r="L116">
        <v>776.38578150000001</v>
      </c>
      <c r="M116">
        <v>766.83835950000002</v>
      </c>
      <c r="N116">
        <v>757.41102720000004</v>
      </c>
      <c r="O116">
        <v>748.10231620000002</v>
      </c>
      <c r="P116">
        <v>738.91077310000003</v>
      </c>
      <c r="Q116">
        <v>729.83495949999997</v>
      </c>
      <c r="R116">
        <v>720.87345200000004</v>
      </c>
      <c r="S116">
        <v>712.02484279999999</v>
      </c>
      <c r="T116">
        <v>703.2877393</v>
      </c>
      <c r="U116">
        <v>694.66076459999999</v>
      </c>
      <c r="V116">
        <v>686.14255760000003</v>
      </c>
      <c r="W116">
        <v>677.73177350000003</v>
      </c>
      <c r="X116">
        <v>669.42708300000004</v>
      </c>
      <c r="Y116">
        <v>661.22717290000003</v>
      </c>
      <c r="Z116">
        <v>653.13074559999995</v>
      </c>
      <c r="AA116">
        <v>645.13651900000002</v>
      </c>
      <c r="AB116">
        <v>637.24322640000003</v>
      </c>
      <c r="AC116">
        <v>629.44961650000005</v>
      </c>
      <c r="AD116">
        <v>621.75445279999997</v>
      </c>
      <c r="AE116">
        <v>614.15651409999998</v>
      </c>
      <c r="AF116">
        <v>606.65459369999996</v>
      </c>
      <c r="AG116">
        <v>599.24749970000005</v>
      </c>
      <c r="AH116">
        <v>591.93405440000004</v>
      </c>
      <c r="AI116">
        <v>584.71309480000002</v>
      </c>
      <c r="AJ116">
        <v>577.58347170000002</v>
      </c>
      <c r="AK116">
        <v>570.54405020000002</v>
      </c>
    </row>
    <row r="117" spans="1:37" x14ac:dyDescent="0.25">
      <c r="A117" t="s">
        <v>1836</v>
      </c>
      <c r="B117">
        <v>139.85209269999999</v>
      </c>
      <c r="C117">
        <v>137.9553396</v>
      </c>
      <c r="D117">
        <v>136.08298189999999</v>
      </c>
      <c r="E117">
        <v>134.2347728</v>
      </c>
      <c r="F117">
        <v>132.4104624</v>
      </c>
      <c r="G117">
        <v>130.6097977</v>
      </c>
      <c r="H117">
        <v>128.83252429999999</v>
      </c>
      <c r="I117">
        <v>127.07838700000001</v>
      </c>
      <c r="J117">
        <v>125.34713170000001</v>
      </c>
      <c r="K117">
        <v>123.6385052</v>
      </c>
      <c r="L117">
        <v>121.9522559</v>
      </c>
      <c r="M117">
        <v>120.28813340000001</v>
      </c>
      <c r="N117">
        <v>118.64588860000001</v>
      </c>
      <c r="O117">
        <v>117.0252735</v>
      </c>
      <c r="P117">
        <v>115.426041</v>
      </c>
      <c r="Q117">
        <v>113.84794530000001</v>
      </c>
      <c r="R117">
        <v>112.2907416</v>
      </c>
      <c r="S117">
        <v>110.7541866</v>
      </c>
      <c r="T117">
        <v>109.238038</v>
      </c>
      <c r="U117">
        <v>107.7420552</v>
      </c>
      <c r="V117">
        <v>106.26599899999999</v>
      </c>
      <c r="W117">
        <v>104.80963180000001</v>
      </c>
      <c r="X117">
        <v>103.3727176</v>
      </c>
      <c r="Y117">
        <v>101.95502190000001</v>
      </c>
      <c r="Z117">
        <v>100.55631200000001</v>
      </c>
      <c r="AA117">
        <v>99.176356949999999</v>
      </c>
      <c r="AB117">
        <v>97.814927499999996</v>
      </c>
      <c r="AC117">
        <v>96.471796229999995</v>
      </c>
      <c r="AD117">
        <v>95.146737509999994</v>
      </c>
      <c r="AE117">
        <v>93.839527610000005</v>
      </c>
      <c r="AF117">
        <v>92.54994465</v>
      </c>
      <c r="AG117">
        <v>91.277768699999996</v>
      </c>
      <c r="AH117">
        <v>90.022781739999999</v>
      </c>
      <c r="AI117">
        <v>88.784767689999995</v>
      </c>
      <c r="AJ117">
        <v>87.56351248</v>
      </c>
      <c r="AK117">
        <v>86.35880401</v>
      </c>
    </row>
    <row r="118" spans="1:37" x14ac:dyDescent="0.25">
      <c r="A118" t="s">
        <v>1837</v>
      </c>
      <c r="B118">
        <v>3.874567114</v>
      </c>
      <c r="C118">
        <v>3.7242706779999999</v>
      </c>
      <c r="D118">
        <v>3.5801571349999999</v>
      </c>
      <c r="E118">
        <v>3.4419667710000001</v>
      </c>
      <c r="F118">
        <v>3.3094508579999999</v>
      </c>
      <c r="G118">
        <v>3.1823711889999999</v>
      </c>
      <c r="H118">
        <v>3.060499632</v>
      </c>
      <c r="I118">
        <v>2.9436177020000001</v>
      </c>
      <c r="J118">
        <v>2.8315161519999998</v>
      </c>
      <c r="K118">
        <v>2.723994582</v>
      </c>
      <c r="L118">
        <v>2.6208610640000001</v>
      </c>
      <c r="M118">
        <v>2.5219317819999998</v>
      </c>
      <c r="N118">
        <v>2.427030689</v>
      </c>
      <c r="O118">
        <v>2.3359891780000002</v>
      </c>
      <c r="P118">
        <v>2.2486457660000001</v>
      </c>
      <c r="Q118">
        <v>2.1648457909999999</v>
      </c>
      <c r="R118">
        <v>2.0844411250000001</v>
      </c>
      <c r="S118">
        <v>2.0072898960000001</v>
      </c>
      <c r="T118">
        <v>1.933256224</v>
      </c>
      <c r="U118">
        <v>1.8622099649999999</v>
      </c>
      <c r="V118">
        <v>1.794026468</v>
      </c>
      <c r="W118">
        <v>1.728586347</v>
      </c>
      <c r="X118">
        <v>1.665775249</v>
      </c>
      <c r="Y118">
        <v>1.6054836509999999</v>
      </c>
      <c r="Z118">
        <v>1.5476066470000001</v>
      </c>
      <c r="AA118">
        <v>1.4920437559999999</v>
      </c>
      <c r="AB118">
        <v>1.4386987369999999</v>
      </c>
      <c r="AC118">
        <v>1.387479404</v>
      </c>
      <c r="AD118">
        <v>1.3382974569999999</v>
      </c>
      <c r="AE118">
        <v>1.291068318</v>
      </c>
      <c r="AF118">
        <v>1.2457109749999999</v>
      </c>
      <c r="AG118">
        <v>1.2021478240000001</v>
      </c>
      <c r="AH118">
        <v>1.1603045329999999</v>
      </c>
      <c r="AI118">
        <v>1.120109899</v>
      </c>
      <c r="AJ118">
        <v>1.0814957160000001</v>
      </c>
      <c r="AK118">
        <v>1.0443966490000001</v>
      </c>
    </row>
    <row r="119" spans="1:37" x14ac:dyDescent="0.25">
      <c r="A119" t="s">
        <v>1838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0.11251556631557413</v>
      </c>
      <c r="C5" s="12">
        <f>Macro!I3</f>
        <v>0.15121566866254099</v>
      </c>
      <c r="D5" s="12">
        <f>Macro!J3</f>
        <v>0.19244796452977386</v>
      </c>
      <c r="E5" s="12">
        <f>Macro!L3</f>
        <v>0.27910298405513512</v>
      </c>
      <c r="F5" s="12">
        <f>Macro!Q3</f>
        <v>0.58194624165135433</v>
      </c>
      <c r="G5" s="13">
        <f>Macro!AK3</f>
        <v>2.8569809500042398</v>
      </c>
      <c r="H5" s="10"/>
      <c r="I5" s="10"/>
      <c r="J5" s="10"/>
    </row>
    <row r="6" spans="1:10" x14ac:dyDescent="0.25">
      <c r="A6" s="5" t="s">
        <v>3</v>
      </c>
      <c r="B6" s="11">
        <f>Macro!H4</f>
        <v>-5.9365516176024258E-2</v>
      </c>
      <c r="C6" s="12">
        <f>Macro!I4</f>
        <v>-7.5529889180436793E-2</v>
      </c>
      <c r="D6" s="12">
        <f>Macro!J4</f>
        <v>-9.1710764186325733E-2</v>
      </c>
      <c r="E6" s="12">
        <f>Macro!L4</f>
        <v>-0.12569350278309743</v>
      </c>
      <c r="F6" s="12">
        <f>Macro!Q4</f>
        <v>-0.24634602124126159</v>
      </c>
      <c r="G6" s="13">
        <f>Macro!AK4</f>
        <v>-1.153091425806807</v>
      </c>
      <c r="H6" s="10"/>
      <c r="I6" s="10"/>
      <c r="J6" s="10"/>
    </row>
    <row r="7" spans="1:10" x14ac:dyDescent="0.25">
      <c r="A7" s="5" t="s">
        <v>4</v>
      </c>
      <c r="B7" s="11">
        <f>Macro!H5</f>
        <v>-8.4743656817842794E-2</v>
      </c>
      <c r="C7" s="12">
        <f>Macro!I5</f>
        <v>-0.12011475921420711</v>
      </c>
      <c r="D7" s="12">
        <f>Macro!J5</f>
        <v>-0.16133862827192313</v>
      </c>
      <c r="E7" s="12">
        <f>Macro!L5</f>
        <v>-0.25968196953497502</v>
      </c>
      <c r="F7" s="12">
        <f>Macro!Q5</f>
        <v>-0.62273485779784643</v>
      </c>
      <c r="G7" s="13">
        <f>Macro!AK5</f>
        <v>-4.3575532745635641</v>
      </c>
      <c r="H7" s="10"/>
      <c r="I7" s="10"/>
      <c r="J7" s="10"/>
    </row>
    <row r="8" spans="1:10" x14ac:dyDescent="0.25">
      <c r="A8" s="5" t="s">
        <v>5</v>
      </c>
      <c r="B8" s="11">
        <f>Macro!H6</f>
        <v>-8.1006384895143668E-2</v>
      </c>
      <c r="C8" s="12">
        <f>Macro!I6</f>
        <v>-9.3915886507911495E-2</v>
      </c>
      <c r="D8" s="12">
        <f>Macro!J6</f>
        <v>-0.10310887444271444</v>
      </c>
      <c r="E8" s="12">
        <f>Macro!L6</f>
        <v>-0.11740134376440059</v>
      </c>
      <c r="F8" s="12">
        <f>Macro!Q6</f>
        <v>-0.18982160993969988</v>
      </c>
      <c r="G8" s="13">
        <f>Macro!AK6</f>
        <v>-0.25427953200130027</v>
      </c>
      <c r="H8" s="10"/>
      <c r="I8" s="10"/>
      <c r="J8" s="10"/>
    </row>
    <row r="9" spans="1:10" x14ac:dyDescent="0.25">
      <c r="A9" s="5" t="s">
        <v>60</v>
      </c>
      <c r="B9" s="11">
        <f>Macro!H7</f>
        <v>0.12157521038389518</v>
      </c>
      <c r="C9" s="12">
        <f>Macro!I7</f>
        <v>0.1601725494615458</v>
      </c>
      <c r="D9" s="12">
        <f>Macro!J7</f>
        <v>0.20029739158338167</v>
      </c>
      <c r="E9" s="12">
        <f>Macro!L7</f>
        <v>0.28453423812833112</v>
      </c>
      <c r="F9" s="12">
        <f>Macro!Q7</f>
        <v>0.59324440983614668</v>
      </c>
      <c r="G9" s="13">
        <f>Macro!AK7</f>
        <v>2.8463130574759354</v>
      </c>
      <c r="H9" s="10"/>
      <c r="I9" s="10"/>
      <c r="J9" s="10"/>
    </row>
    <row r="10" spans="1:10" x14ac:dyDescent="0.25">
      <c r="A10" s="5" t="s">
        <v>58</v>
      </c>
      <c r="B10" s="11">
        <f>Macro!H8</f>
        <v>8.0213899999986848E-3</v>
      </c>
      <c r="C10" s="12">
        <f>Macro!I8</f>
        <v>7.9267299999991048E-3</v>
      </c>
      <c r="D10" s="12">
        <f>Macro!J8</f>
        <v>6.943469999999563E-3</v>
      </c>
      <c r="E10" s="12">
        <f>Macro!L8</f>
        <v>4.8000399999997834E-3</v>
      </c>
      <c r="F10" s="12">
        <f>Macro!Q8</f>
        <v>9.9548000000004855E-3</v>
      </c>
      <c r="G10" s="13">
        <f>Macro!AK8</f>
        <v>-9.1944900000001661E-3</v>
      </c>
      <c r="H10" s="10"/>
      <c r="I10" s="10"/>
      <c r="J10" s="10"/>
    </row>
    <row r="11" spans="1:10" x14ac:dyDescent="0.25">
      <c r="A11" s="5" t="s">
        <v>6</v>
      </c>
      <c r="B11" s="11">
        <f>Macro!H9</f>
        <v>0.36952058289894119</v>
      </c>
      <c r="C11" s="12">
        <f>Macro!I9</f>
        <v>0.47010293291394056</v>
      </c>
      <c r="D11" s="12">
        <f>Macro!J9</f>
        <v>0.57633973261892457</v>
      </c>
      <c r="E11" s="12">
        <f>Macro!L9</f>
        <v>0.81690358037678212</v>
      </c>
      <c r="F11" s="12">
        <f>Macro!Q9</f>
        <v>1.7507386540959402</v>
      </c>
      <c r="G11" s="13">
        <f>Macro!AK9</f>
        <v>9.4772122696094705</v>
      </c>
      <c r="H11" s="10"/>
      <c r="I11" s="10"/>
      <c r="J11" s="10"/>
    </row>
    <row r="12" spans="1:10" x14ac:dyDescent="0.25">
      <c r="A12" s="5" t="s">
        <v>35</v>
      </c>
      <c r="B12" s="11">
        <f>Macro!H10</f>
        <v>0.16101627796076823</v>
      </c>
      <c r="C12" s="12">
        <f>Macro!I10</f>
        <v>0.22699330874180745</v>
      </c>
      <c r="D12" s="12">
        <f>Macro!J10</f>
        <v>0.30376118517134731</v>
      </c>
      <c r="E12" s="12">
        <f>Macro!L10</f>
        <v>0.48622175052746019</v>
      </c>
      <c r="F12" s="12">
        <f>Macro!Q10</f>
        <v>1.1478252411117884</v>
      </c>
      <c r="G12" s="13">
        <f>Macro!AK10</f>
        <v>7.9308716263475576</v>
      </c>
      <c r="H12" s="10"/>
      <c r="I12" s="10"/>
      <c r="J12" s="10"/>
    </row>
    <row r="13" spans="1:10" x14ac:dyDescent="0.25">
      <c r="A13" s="5" t="s">
        <v>33</v>
      </c>
      <c r="B13" s="11">
        <f>Macro!H11</f>
        <v>-0.11409150719374761</v>
      </c>
      <c r="C13" s="12">
        <f>Macro!I11</f>
        <v>-9.9489263249596949E-2</v>
      </c>
      <c r="D13" s="12">
        <f>Macro!J11</f>
        <v>-6.8390501972404039E-2</v>
      </c>
      <c r="E13" s="12">
        <f>Macro!L11</f>
        <v>2.1294043303221599E-2</v>
      </c>
      <c r="F13" s="12">
        <f>Macro!Q11</f>
        <v>0.2469707851670222</v>
      </c>
      <c r="G13" s="13">
        <f>Macro!AK11</f>
        <v>4.4747757301231816</v>
      </c>
      <c r="H13" s="10"/>
      <c r="I13" s="10"/>
      <c r="J13" s="10"/>
    </row>
    <row r="14" spans="1:10" x14ac:dyDescent="0.25">
      <c r="A14" s="5" t="s">
        <v>34</v>
      </c>
      <c r="B14" s="11">
        <f>Macro!H12</f>
        <v>0.44768826858940791</v>
      </c>
      <c r="C14" s="12">
        <f>Macro!I12</f>
        <v>0.56728174365983097</v>
      </c>
      <c r="D14" s="12">
        <f>Macro!J12</f>
        <v>0.69175234595819646</v>
      </c>
      <c r="E14" s="12">
        <f>Macro!L12</f>
        <v>0.97122731949939034</v>
      </c>
      <c r="F14" s="12">
        <f>Macro!Q12</f>
        <v>2.0898956190398499</v>
      </c>
      <c r="G14" s="13">
        <f>Macro!AK12</f>
        <v>11.613077506346903</v>
      </c>
      <c r="H14" s="10"/>
      <c r="I14" s="10"/>
      <c r="J14" s="10"/>
    </row>
    <row r="15" spans="1:10" x14ac:dyDescent="0.25">
      <c r="A15" s="5" t="s">
        <v>7</v>
      </c>
      <c r="B15" s="11">
        <f>Macro!H13</f>
        <v>0.25431324482032558</v>
      </c>
      <c r="C15" s="12">
        <f>Macro!I13</f>
        <v>0.33938229040177958</v>
      </c>
      <c r="D15" s="12">
        <f>Macro!J13</f>
        <v>0.4316857719868894</v>
      </c>
      <c r="E15" s="12">
        <f>Macro!L13</f>
        <v>0.63899438838832534</v>
      </c>
      <c r="F15" s="12">
        <f>Macro!Q13</f>
        <v>1.4145330871613515</v>
      </c>
      <c r="G15" s="13">
        <f>Macro!AK13</f>
        <v>8.7682090831969752</v>
      </c>
      <c r="H15" s="10"/>
      <c r="I15" s="10"/>
      <c r="J15" s="10"/>
    </row>
    <row r="16" spans="1:10" x14ac:dyDescent="0.2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0.18858050410446303</v>
      </c>
      <c r="C17" s="12">
        <f>Macro!I15</f>
        <v>0.27285209051604031</v>
      </c>
      <c r="D17" s="12">
        <f>Macro!J15</f>
        <v>0.37044544246807032</v>
      </c>
      <c r="E17" s="12">
        <f>Macro!L15</f>
        <v>0.595315274699737</v>
      </c>
      <c r="F17" s="12">
        <f>Macro!Q15</f>
        <v>1.3715251531530415</v>
      </c>
      <c r="G17" s="13">
        <f>Macro!AK15</f>
        <v>9.1274191390819492</v>
      </c>
      <c r="H17" s="10"/>
      <c r="I17" s="10"/>
      <c r="J17" s="10"/>
    </row>
    <row r="18" spans="1:10" x14ac:dyDescent="0.25">
      <c r="A18" s="5" t="s">
        <v>10</v>
      </c>
      <c r="B18" s="11">
        <f>Macro!H16</f>
        <v>0.30301773065501969</v>
      </c>
      <c r="C18" s="12">
        <f>Macro!I16</f>
        <v>0.37271217410255186</v>
      </c>
      <c r="D18" s="12">
        <f>Macro!J16</f>
        <v>0.43913626518283788</v>
      </c>
      <c r="E18" s="12">
        <f>Macro!L16</f>
        <v>0.57389903546454235</v>
      </c>
      <c r="F18" s="12">
        <f>Macro!Q16</f>
        <v>1.1217838924006296</v>
      </c>
      <c r="G18" s="13">
        <f>Macro!AK16</f>
        <v>4.453365260608666</v>
      </c>
      <c r="H18" s="10"/>
      <c r="I18" s="10"/>
      <c r="J18" s="10"/>
    </row>
    <row r="19" spans="1:10" x14ac:dyDescent="0.25">
      <c r="A19" s="5" t="s">
        <v>11</v>
      </c>
      <c r="B19" s="11">
        <f>Macro!H17</f>
        <v>26.986350000002858</v>
      </c>
      <c r="C19" s="12">
        <f>Macro!I17</f>
        <v>34.739529999998922</v>
      </c>
      <c r="D19" s="12">
        <f>Macro!J17</f>
        <v>42.163759999999456</v>
      </c>
      <c r="E19" s="12">
        <f>Macro!L17</f>
        <v>55.362229999998817</v>
      </c>
      <c r="F19" s="12">
        <f>Macro!Q17</f>
        <v>98.335049999997864</v>
      </c>
      <c r="G19" s="13">
        <f>Macro!AK17</f>
        <v>344.19142000000284</v>
      </c>
      <c r="H19" s="10"/>
      <c r="I19" s="10"/>
      <c r="J19" s="10"/>
    </row>
    <row r="20" spans="1:10" x14ac:dyDescent="0.25">
      <c r="A20" s="5" t="s">
        <v>38</v>
      </c>
      <c r="B20" s="11">
        <f>Macro!H18</f>
        <v>-6.5679769999998916E-2</v>
      </c>
      <c r="C20" s="12">
        <f>Macro!I18</f>
        <v>-8.3592529999998444E-2</v>
      </c>
      <c r="D20" s="12">
        <f>Macro!J18</f>
        <v>-0.1003292299999986</v>
      </c>
      <c r="E20" s="12">
        <f>Macro!L18</f>
        <v>-0.12927664999999866</v>
      </c>
      <c r="F20" s="12">
        <f>Macro!Q18</f>
        <v>-0.22590734000000057</v>
      </c>
      <c r="G20" s="13">
        <f>Macro!AK18</f>
        <v>-0.73289311999999995</v>
      </c>
      <c r="H20" s="10"/>
      <c r="I20" s="10"/>
      <c r="J20" s="10"/>
    </row>
    <row r="21" spans="1:10" x14ac:dyDescent="0.25">
      <c r="A21" s="5" t="s">
        <v>12</v>
      </c>
      <c r="B21" s="11">
        <f>Macro!H19</f>
        <v>7.7560869999999948E-2</v>
      </c>
      <c r="C21" s="12">
        <f>Macro!I19</f>
        <v>9.7017180000000092E-2</v>
      </c>
      <c r="D21" s="12">
        <f>Macro!J19</f>
        <v>0.11577688999999999</v>
      </c>
      <c r="E21" s="12">
        <f>Macro!L19</f>
        <v>0.15406328000000002</v>
      </c>
      <c r="F21" s="12">
        <f>Macro!Q19</f>
        <v>0.30085051800000007</v>
      </c>
      <c r="G21" s="13">
        <f>Macro!AK19</f>
        <v>1.2166336099999999</v>
      </c>
      <c r="H21" s="10"/>
      <c r="I21" s="10"/>
      <c r="J21" s="10"/>
    </row>
    <row r="22" spans="1:10" x14ac:dyDescent="0.25">
      <c r="A22" s="5" t="s">
        <v>36</v>
      </c>
      <c r="B22" s="11">
        <f>Macro!H20</f>
        <v>4.8717009999999991E-2</v>
      </c>
      <c r="C22" s="12">
        <f>Macro!I20</f>
        <v>6.5151400000000054E-2</v>
      </c>
      <c r="D22" s="12">
        <f>Macro!J20</f>
        <v>8.122626000000005E-2</v>
      </c>
      <c r="E22" s="12">
        <f>Macro!L20</f>
        <v>0.11100171999999989</v>
      </c>
      <c r="F22" s="12">
        <f>Macro!Q20</f>
        <v>0.21785925700000003</v>
      </c>
      <c r="G22" s="13">
        <f>Macro!AK20</f>
        <v>0.98712456700000006</v>
      </c>
      <c r="H22" s="10"/>
      <c r="I22" s="10"/>
      <c r="J22" s="10"/>
    </row>
    <row r="23" spans="1:10" x14ac:dyDescent="0.25">
      <c r="A23" s="5" t="s">
        <v>31</v>
      </c>
      <c r="B23" s="11">
        <f>Macro!H21</f>
        <v>-0.3830715900000059</v>
      </c>
      <c r="C23" s="12">
        <f>Macro!I21</f>
        <v>-0.51876303999999207</v>
      </c>
      <c r="D23" s="12">
        <f>Macro!J21</f>
        <v>-0.67357828999999869</v>
      </c>
      <c r="E23" s="12">
        <f>Macro!L21</f>
        <v>-1.0411177599999988</v>
      </c>
      <c r="F23" s="12">
        <f>Macro!Q21</f>
        <v>-2.4580048500000062</v>
      </c>
      <c r="G23" s="13">
        <f>Macro!AK21</f>
        <v>-17.787567559999996</v>
      </c>
      <c r="H23" s="10"/>
      <c r="I23" s="10"/>
      <c r="J23" s="10"/>
    </row>
    <row r="24" spans="1:10" x14ac:dyDescent="0.25">
      <c r="A24" s="5" t="s">
        <v>40</v>
      </c>
      <c r="B24" s="11">
        <f>Macro!H22</f>
        <v>-1.7612059724864237</v>
      </c>
      <c r="C24" s="12">
        <f>Macro!I22</f>
        <v>-2.2324390846755526</v>
      </c>
      <c r="D24" s="12">
        <f>Macro!J22</f>
        <v>-2.6954211860647836</v>
      </c>
      <c r="E24" s="12">
        <f>Macro!L22</f>
        <v>-3.6119939361743181</v>
      </c>
      <c r="F24" s="12">
        <f>Macro!Q22</f>
        <v>-6.6014015570079465</v>
      </c>
      <c r="G24" s="13">
        <f>Macro!AK22</f>
        <v>-22.746640781263704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0.11251556631557413</v>
      </c>
      <c r="C30" s="12">
        <f t="shared" si="1"/>
        <v>0.15121566866254099</v>
      </c>
      <c r="D30" s="12">
        <f t="shared" si="1"/>
        <v>0.19244796452977386</v>
      </c>
      <c r="E30" s="12">
        <f t="shared" si="1"/>
        <v>0.27910298405513512</v>
      </c>
      <c r="F30" s="12">
        <f t="shared" si="1"/>
        <v>0.58194624165135433</v>
      </c>
      <c r="G30" s="13">
        <f t="shared" si="1"/>
        <v>2.8569809500042398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-5.9365516176024258E-2</v>
      </c>
      <c r="C31" s="12">
        <f t="shared" si="2"/>
        <v>-7.5529889180436793E-2</v>
      </c>
      <c r="D31" s="12">
        <f t="shared" si="2"/>
        <v>-9.1710764186325733E-2</v>
      </c>
      <c r="E31" s="12">
        <f t="shared" si="2"/>
        <v>-0.12569350278309743</v>
      </c>
      <c r="F31" s="12">
        <f t="shared" si="2"/>
        <v>-0.24634602124126159</v>
      </c>
      <c r="G31" s="13">
        <f t="shared" si="2"/>
        <v>-1.153091425806807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-8.4743656817842794E-2</v>
      </c>
      <c r="C32" s="12">
        <f t="shared" si="3"/>
        <v>-0.12011475921420711</v>
      </c>
      <c r="D32" s="12">
        <f t="shared" si="3"/>
        <v>-0.16133862827192313</v>
      </c>
      <c r="E32" s="12">
        <f t="shared" si="3"/>
        <v>-0.25968196953497502</v>
      </c>
      <c r="F32" s="12">
        <f t="shared" si="3"/>
        <v>-0.62273485779784643</v>
      </c>
      <c r="G32" s="13">
        <f t="shared" si="3"/>
        <v>-4.3575532745635641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-8.1006384895143668E-2</v>
      </c>
      <c r="C33" s="12">
        <f t="shared" si="4"/>
        <v>-9.3915886507911495E-2</v>
      </c>
      <c r="D33" s="12">
        <f t="shared" si="4"/>
        <v>-0.10310887444271444</v>
      </c>
      <c r="E33" s="12">
        <f t="shared" si="4"/>
        <v>-0.11740134376440059</v>
      </c>
      <c r="F33" s="12">
        <f t="shared" si="4"/>
        <v>-0.18982160993969988</v>
      </c>
      <c r="G33" s="13">
        <f t="shared" si="4"/>
        <v>-0.25427953200130027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0.12157521038389518</v>
      </c>
      <c r="C34" s="12">
        <f t="shared" si="5"/>
        <v>0.1601725494615458</v>
      </c>
      <c r="D34" s="12">
        <f t="shared" si="5"/>
        <v>0.20029739158338167</v>
      </c>
      <c r="E34" s="12">
        <f t="shared" si="5"/>
        <v>0.28453423812833112</v>
      </c>
      <c r="F34" s="12">
        <f t="shared" si="5"/>
        <v>0.59324440983614668</v>
      </c>
      <c r="G34" s="13">
        <f t="shared" si="5"/>
        <v>2.8463130574759354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8.0213899999986848E-3</v>
      </c>
      <c r="C35" s="12">
        <f t="shared" si="6"/>
        <v>7.9267299999991048E-3</v>
      </c>
      <c r="D35" s="12">
        <f t="shared" si="6"/>
        <v>6.943469999999563E-3</v>
      </c>
      <c r="E35" s="12">
        <f t="shared" si="6"/>
        <v>4.8000399999997834E-3</v>
      </c>
      <c r="F35" s="12">
        <f t="shared" si="6"/>
        <v>9.9548000000004855E-3</v>
      </c>
      <c r="G35" s="13">
        <f t="shared" si="6"/>
        <v>-9.1944900000001661E-3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0.36952058289894119</v>
      </c>
      <c r="C36" s="12">
        <f t="shared" si="7"/>
        <v>0.47010293291394056</v>
      </c>
      <c r="D36" s="12">
        <f t="shared" si="7"/>
        <v>0.57633973261892457</v>
      </c>
      <c r="E36" s="12">
        <f t="shared" si="7"/>
        <v>0.81690358037678212</v>
      </c>
      <c r="F36" s="12">
        <f t="shared" si="7"/>
        <v>1.7507386540959402</v>
      </c>
      <c r="G36" s="13">
        <f t="shared" si="7"/>
        <v>9.4772122696094705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0.16101627796076823</v>
      </c>
      <c r="C37" s="12">
        <f t="shared" si="8"/>
        <v>0.22699330874180745</v>
      </c>
      <c r="D37" s="12">
        <f t="shared" si="8"/>
        <v>0.30376118517134731</v>
      </c>
      <c r="E37" s="12">
        <f t="shared" si="8"/>
        <v>0.48622175052746019</v>
      </c>
      <c r="F37" s="12">
        <f t="shared" si="8"/>
        <v>1.1478252411117884</v>
      </c>
      <c r="G37" s="13">
        <f t="shared" si="8"/>
        <v>7.9308716263475576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-0.11409150719374761</v>
      </c>
      <c r="C38" s="12">
        <f t="shared" si="9"/>
        <v>-9.9489263249596949E-2</v>
      </c>
      <c r="D38" s="12">
        <f t="shared" si="9"/>
        <v>-6.8390501972404039E-2</v>
      </c>
      <c r="E38" s="12">
        <f t="shared" si="9"/>
        <v>2.1294043303221599E-2</v>
      </c>
      <c r="F38" s="12">
        <f t="shared" si="9"/>
        <v>0.2469707851670222</v>
      </c>
      <c r="G38" s="13">
        <f t="shared" si="9"/>
        <v>4.4747757301231816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0.44768826858940791</v>
      </c>
      <c r="C39" s="12">
        <f t="shared" si="10"/>
        <v>0.56728174365983097</v>
      </c>
      <c r="D39" s="12">
        <f t="shared" si="10"/>
        <v>0.69175234595819646</v>
      </c>
      <c r="E39" s="12">
        <f t="shared" si="10"/>
        <v>0.97122731949939034</v>
      </c>
      <c r="F39" s="12">
        <f t="shared" si="10"/>
        <v>2.0898956190398499</v>
      </c>
      <c r="G39" s="13">
        <f t="shared" si="10"/>
        <v>11.613077506346903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0.25431324482032558</v>
      </c>
      <c r="C40" s="12">
        <f t="shared" si="11"/>
        <v>0.33938229040177958</v>
      </c>
      <c r="D40" s="12">
        <f t="shared" si="11"/>
        <v>0.4316857719868894</v>
      </c>
      <c r="E40" s="12">
        <f t="shared" si="11"/>
        <v>0.63899438838832534</v>
      </c>
      <c r="F40" s="12">
        <f t="shared" si="11"/>
        <v>1.4145330871613515</v>
      </c>
      <c r="G40" s="13">
        <f t="shared" si="11"/>
        <v>8.7682090831969752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0.18858050410446303</v>
      </c>
      <c r="C42" s="12">
        <f t="shared" si="13"/>
        <v>0.27285209051604031</v>
      </c>
      <c r="D42" s="12">
        <f t="shared" si="13"/>
        <v>0.37044544246807032</v>
      </c>
      <c r="E42" s="12">
        <f t="shared" si="13"/>
        <v>0.595315274699737</v>
      </c>
      <c r="F42" s="12">
        <f t="shared" si="13"/>
        <v>1.3715251531530415</v>
      </c>
      <c r="G42" s="13">
        <f t="shared" si="13"/>
        <v>9.1274191390819492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0.30301773065501969</v>
      </c>
      <c r="C43" s="12">
        <f t="shared" si="14"/>
        <v>0.37271217410255186</v>
      </c>
      <c r="D43" s="12">
        <f t="shared" si="14"/>
        <v>0.43913626518283788</v>
      </c>
      <c r="E43" s="12">
        <f t="shared" si="14"/>
        <v>0.57389903546454235</v>
      </c>
      <c r="F43" s="12">
        <f t="shared" si="14"/>
        <v>1.1217838924006296</v>
      </c>
      <c r="G43" s="13">
        <f t="shared" si="14"/>
        <v>4.453365260608666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26.986350000002858</v>
      </c>
      <c r="C44" s="12">
        <f t="shared" si="15"/>
        <v>34.739529999998922</v>
      </c>
      <c r="D44" s="12">
        <f t="shared" si="15"/>
        <v>42.163759999999456</v>
      </c>
      <c r="E44" s="12">
        <f t="shared" si="15"/>
        <v>55.362229999998817</v>
      </c>
      <c r="F44" s="12">
        <f t="shared" si="15"/>
        <v>98.335049999997864</v>
      </c>
      <c r="G44" s="13">
        <f t="shared" si="15"/>
        <v>344.19142000000284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-6.5679769999998916E-2</v>
      </c>
      <c r="C45" s="12">
        <f t="shared" si="16"/>
        <v>-8.3592529999998444E-2</v>
      </c>
      <c r="D45" s="12">
        <f t="shared" si="16"/>
        <v>-0.1003292299999986</v>
      </c>
      <c r="E45" s="12">
        <f t="shared" si="16"/>
        <v>-0.12927664999999866</v>
      </c>
      <c r="F45" s="12">
        <f t="shared" si="16"/>
        <v>-0.22590734000000057</v>
      </c>
      <c r="G45" s="13">
        <f t="shared" si="16"/>
        <v>-0.73289311999999995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7.7560869999999948E-2</v>
      </c>
      <c r="C46" s="12">
        <f t="shared" si="17"/>
        <v>9.7017180000000092E-2</v>
      </c>
      <c r="D46" s="12">
        <f t="shared" si="17"/>
        <v>0.11577688999999999</v>
      </c>
      <c r="E46" s="12">
        <f t="shared" si="17"/>
        <v>0.15406328000000002</v>
      </c>
      <c r="F46" s="12">
        <f t="shared" si="17"/>
        <v>0.30085051800000007</v>
      </c>
      <c r="G46" s="13">
        <f t="shared" si="17"/>
        <v>1.2166336099999999</v>
      </c>
      <c r="H46" s="10"/>
      <c r="I46" s="10"/>
      <c r="J46" s="10"/>
    </row>
    <row r="47" spans="1:10" ht="30" x14ac:dyDescent="0.25">
      <c r="A47" s="6" t="s">
        <v>30</v>
      </c>
      <c r="B47" s="11">
        <f t="shared" ref="B47:G49" si="18">B22</f>
        <v>4.8717009999999991E-2</v>
      </c>
      <c r="C47" s="12">
        <f t="shared" si="18"/>
        <v>6.5151400000000054E-2</v>
      </c>
      <c r="D47" s="12">
        <f t="shared" si="18"/>
        <v>8.122626000000005E-2</v>
      </c>
      <c r="E47" s="12">
        <f t="shared" si="18"/>
        <v>0.11100171999999989</v>
      </c>
      <c r="F47" s="12">
        <f t="shared" si="18"/>
        <v>0.21785925700000003</v>
      </c>
      <c r="G47" s="13">
        <f t="shared" si="18"/>
        <v>0.98712456700000006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-0.3830715900000059</v>
      </c>
      <c r="C48" s="12">
        <f t="shared" si="18"/>
        <v>-0.51876303999999207</v>
      </c>
      <c r="D48" s="12">
        <f t="shared" si="18"/>
        <v>-0.67357828999999869</v>
      </c>
      <c r="E48" s="12">
        <f t="shared" si="18"/>
        <v>-1.0411177599999988</v>
      </c>
      <c r="F48" s="12">
        <f t="shared" si="18"/>
        <v>-2.4580048500000062</v>
      </c>
      <c r="G48" s="13">
        <f t="shared" si="18"/>
        <v>-17.787567559999996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-1.7612059724864237</v>
      </c>
      <c r="C49" s="12">
        <f t="shared" si="18"/>
        <v>-2.2324390846755526</v>
      </c>
      <c r="D49" s="12">
        <f t="shared" si="18"/>
        <v>-2.6954211860647836</v>
      </c>
      <c r="E49" s="12">
        <f t="shared" si="18"/>
        <v>-3.6119939361743181</v>
      </c>
      <c r="F49" s="12">
        <f t="shared" si="18"/>
        <v>-6.6014015570079465</v>
      </c>
      <c r="G49" s="13">
        <f t="shared" si="18"/>
        <v>-22.746640781263704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113</v>
      </c>
      <c r="B3">
        <v>0</v>
      </c>
      <c r="C3">
        <v>4.0055392577897919E-3</v>
      </c>
      <c r="D3">
        <v>1.3727548382114207E-2</v>
      </c>
      <c r="E3">
        <v>2.9358830272774306E-2</v>
      </c>
      <c r="F3">
        <v>5.0742052921504133E-2</v>
      </c>
      <c r="G3">
        <v>7.8457722130753638E-2</v>
      </c>
      <c r="H3">
        <v>0.11251556631557413</v>
      </c>
      <c r="I3">
        <v>0.15121566866254099</v>
      </c>
      <c r="J3">
        <v>0.19244796452977386</v>
      </c>
      <c r="K3">
        <v>0.23501692141201236</v>
      </c>
      <c r="L3">
        <v>0.27910298405513512</v>
      </c>
      <c r="M3">
        <v>0.32599045153041128</v>
      </c>
      <c r="N3">
        <v>0.37759554731375822</v>
      </c>
      <c r="O3">
        <v>0.43606675607372747</v>
      </c>
      <c r="P3">
        <v>0.50352805569837678</v>
      </c>
      <c r="Q3">
        <v>0.58194624165135433</v>
      </c>
      <c r="R3">
        <v>0.67185041528592393</v>
      </c>
      <c r="S3">
        <v>0.77157128575227052</v>
      </c>
      <c r="T3">
        <v>0.87851096397639772</v>
      </c>
      <c r="U3">
        <v>0.99028321912326689</v>
      </c>
      <c r="V3">
        <v>1.10523647917673</v>
      </c>
      <c r="W3">
        <v>1.2224211707336563</v>
      </c>
      <c r="X3">
        <v>1.3413526472340287</v>
      </c>
      <c r="Y3">
        <v>1.461767286362825</v>
      </c>
      <c r="Z3">
        <v>1.5834437545064528</v>
      </c>
      <c r="AA3">
        <v>1.7060965799519767</v>
      </c>
      <c r="AB3">
        <v>1.8293273655509701</v>
      </c>
      <c r="AC3">
        <v>1.9526152289849108</v>
      </c>
      <c r="AD3">
        <v>2.0753324063535805</v>
      </c>
      <c r="AE3">
        <v>2.196772555877069</v>
      </c>
      <c r="AF3">
        <v>2.3161832912837799</v>
      </c>
      <c r="AG3">
        <v>2.4327994142356646</v>
      </c>
      <c r="AH3">
        <v>2.5458709371255273</v>
      </c>
      <c r="AI3">
        <v>2.6546857633344745</v>
      </c>
      <c r="AJ3">
        <v>2.7585865444856639</v>
      </c>
      <c r="AK3">
        <v>2.8569809500042398</v>
      </c>
    </row>
    <row r="4" spans="1:37" x14ac:dyDescent="0.25">
      <c r="A4" t="s">
        <v>114</v>
      </c>
      <c r="B4">
        <v>0</v>
      </c>
      <c r="C4">
        <v>-4.6338231390774531E-3</v>
      </c>
      <c r="D4">
        <v>-1.1432338218120286E-2</v>
      </c>
      <c r="E4">
        <v>-1.9738649162925892E-2</v>
      </c>
      <c r="F4">
        <v>-3.0099289925600292E-2</v>
      </c>
      <c r="G4">
        <v>-4.3591278743360107E-2</v>
      </c>
      <c r="H4">
        <v>-5.9365516176024258E-2</v>
      </c>
      <c r="I4">
        <v>-7.5529889180436793E-2</v>
      </c>
      <c r="J4">
        <v>-9.1710764186325733E-2</v>
      </c>
      <c r="K4">
        <v>-0.1082526553606189</v>
      </c>
      <c r="L4">
        <v>-0.12569350278309743</v>
      </c>
      <c r="M4">
        <v>-0.14456916272882481</v>
      </c>
      <c r="N4">
        <v>-0.16541451695339937</v>
      </c>
      <c r="O4">
        <v>-0.18882793431833633</v>
      </c>
      <c r="P4">
        <v>-0.21552383094205485</v>
      </c>
      <c r="Q4">
        <v>-0.24634602124126159</v>
      </c>
      <c r="R4">
        <v>-0.28087374221729133</v>
      </c>
      <c r="S4">
        <v>-0.31788339104479313</v>
      </c>
      <c r="T4">
        <v>-0.35702665098213959</v>
      </c>
      <c r="U4">
        <v>-0.39828610098511241</v>
      </c>
      <c r="V4">
        <v>-0.44160759310606368</v>
      </c>
      <c r="W4">
        <v>-0.48676437698925712</v>
      </c>
      <c r="X4">
        <v>-0.53337375017448174</v>
      </c>
      <c r="Y4">
        <v>-0.58097564111110334</v>
      </c>
      <c r="Z4">
        <v>-0.629115377651146</v>
      </c>
      <c r="AA4">
        <v>-0.67740527239373849</v>
      </c>
      <c r="AB4">
        <v>-0.72555932896060105</v>
      </c>
      <c r="AC4">
        <v>-0.77340525642467517</v>
      </c>
      <c r="AD4">
        <v>-0.82088032963462121</v>
      </c>
      <c r="AE4">
        <v>-0.86801770131952338</v>
      </c>
      <c r="AF4">
        <v>-0.91492806052884124</v>
      </c>
      <c r="AG4">
        <v>-0.96178028429029228</v>
      </c>
      <c r="AH4">
        <v>-1.0087835254926292</v>
      </c>
      <c r="AI4">
        <v>-1.0561716562439316</v>
      </c>
      <c r="AJ4">
        <v>-1.1041910350297668</v>
      </c>
      <c r="AK4">
        <v>-1.153091425806807</v>
      </c>
    </row>
    <row r="5" spans="1:37" x14ac:dyDescent="0.25">
      <c r="A5" t="s">
        <v>115</v>
      </c>
      <c r="B5">
        <v>0</v>
      </c>
      <c r="C5">
        <v>-2.5491856302295446E-3</v>
      </c>
      <c r="D5">
        <v>-8.5910816649659161E-3</v>
      </c>
      <c r="E5">
        <v>-1.8818883106908046E-2</v>
      </c>
      <c r="F5">
        <v>-3.4155167018723454E-2</v>
      </c>
      <c r="G5">
        <v>-5.5920622417393595E-2</v>
      </c>
      <c r="H5">
        <v>-8.4743656817842794E-2</v>
      </c>
      <c r="I5">
        <v>-0.12011475921420711</v>
      </c>
      <c r="J5">
        <v>-0.16133862827192313</v>
      </c>
      <c r="K5">
        <v>-0.20791035179900108</v>
      </c>
      <c r="L5">
        <v>-0.25968196953497502</v>
      </c>
      <c r="M5">
        <v>-0.31694183765166306</v>
      </c>
      <c r="N5">
        <v>-0.38044514976971477</v>
      </c>
      <c r="O5">
        <v>-0.45141088649005567</v>
      </c>
      <c r="P5">
        <v>-0.53149316996680129</v>
      </c>
      <c r="Q5">
        <v>-0.62273485779784643</v>
      </c>
      <c r="R5">
        <v>-0.72664833176684374</v>
      </c>
      <c r="S5">
        <v>-0.84365631243028538</v>
      </c>
      <c r="T5">
        <v>-0.97362659854567379</v>
      </c>
      <c r="U5">
        <v>-1.116090505123446</v>
      </c>
      <c r="V5">
        <v>-1.2703568867630022</v>
      </c>
      <c r="W5">
        <v>-1.4355883316849671</v>
      </c>
      <c r="X5">
        <v>-1.6108573804437754</v>
      </c>
      <c r="Y5">
        <v>-1.7951870531409009</v>
      </c>
      <c r="Z5">
        <v>-1.9875783680686654</v>
      </c>
      <c r="AA5">
        <v>-2.1870276704960889</v>
      </c>
      <c r="AB5">
        <v>-2.3925368006765591</v>
      </c>
      <c r="AC5">
        <v>-2.6031189380972375</v>
      </c>
      <c r="AD5">
        <v>-2.8178016998180677</v>
      </c>
      <c r="AE5">
        <v>-3.0356291911333377</v>
      </c>
      <c r="AF5">
        <v>-3.255663481902149</v>
      </c>
      <c r="AG5">
        <v>-3.4769860226307459</v>
      </c>
      <c r="AH5">
        <v>-3.6986991698695681</v>
      </c>
      <c r="AI5">
        <v>-3.9199277359178497</v>
      </c>
      <c r="AJ5">
        <v>-4.1398207354947587</v>
      </c>
      <c r="AK5">
        <v>-4.3575532745635641</v>
      </c>
    </row>
    <row r="6" spans="1:37" x14ac:dyDescent="0.25">
      <c r="A6" t="s">
        <v>116</v>
      </c>
      <c r="B6">
        <v>0</v>
      </c>
      <c r="C6">
        <v>-9.7074529827434475E-3</v>
      </c>
      <c r="D6">
        <v>-2.1687179759621866E-2</v>
      </c>
      <c r="E6">
        <v>-3.4010922366944918E-2</v>
      </c>
      <c r="F6">
        <v>-4.7603819238506428E-2</v>
      </c>
      <c r="G6">
        <v>-6.4181484608138994E-2</v>
      </c>
      <c r="H6">
        <v>-8.1006384895143668E-2</v>
      </c>
      <c r="I6">
        <v>-9.3915886507911495E-2</v>
      </c>
      <c r="J6">
        <v>-0.10310887444271444</v>
      </c>
      <c r="K6">
        <v>-0.11033069662231831</v>
      </c>
      <c r="L6">
        <v>-0.11740134376440059</v>
      </c>
      <c r="M6">
        <v>-0.12577706943327494</v>
      </c>
      <c r="N6">
        <v>-0.13653471307765175</v>
      </c>
      <c r="O6">
        <v>-0.1504568711977905</v>
      </c>
      <c r="P6">
        <v>-0.16809946355931249</v>
      </c>
      <c r="Q6">
        <v>-0.18982160993969988</v>
      </c>
      <c r="R6">
        <v>-0.2127070505132389</v>
      </c>
      <c r="S6">
        <v>-0.23262718864660581</v>
      </c>
      <c r="T6">
        <v>-0.24862889259933407</v>
      </c>
      <c r="U6">
        <v>-0.26100229766630179</v>
      </c>
      <c r="V6">
        <v>-0.27025332345886888</v>
      </c>
      <c r="W6">
        <v>-0.27677430952776083</v>
      </c>
      <c r="X6">
        <v>-0.28082104880805536</v>
      </c>
      <c r="Y6">
        <v>-0.28258265608067656</v>
      </c>
      <c r="Z6">
        <v>-0.28225407517774581</v>
      </c>
      <c r="AA6">
        <v>-0.280084202406361</v>
      </c>
      <c r="AB6">
        <v>-0.27639747199564857</v>
      </c>
      <c r="AC6">
        <v>-0.27159551047148955</v>
      </c>
      <c r="AD6">
        <v>-0.26614580748079986</v>
      </c>
      <c r="AE6">
        <v>-0.26056376299383732</v>
      </c>
      <c r="AF6">
        <v>-0.25539199689675884</v>
      </c>
      <c r="AG6">
        <v>-0.25118047443831726</v>
      </c>
      <c r="AH6">
        <v>-0.24846850734993042</v>
      </c>
      <c r="AI6">
        <v>-0.24777016434299748</v>
      </c>
      <c r="AJ6">
        <v>-0.24956290490996125</v>
      </c>
      <c r="AK6">
        <v>-0.25427953200130027</v>
      </c>
    </row>
    <row r="7" spans="1:37" x14ac:dyDescent="0.25">
      <c r="A7" t="s">
        <v>117</v>
      </c>
      <c r="B7">
        <v>0</v>
      </c>
      <c r="C7">
        <v>5.3999496521850432E-3</v>
      </c>
      <c r="D7">
        <v>1.7255271085070412E-2</v>
      </c>
      <c r="E7">
        <v>3.4772077307776428E-2</v>
      </c>
      <c r="F7">
        <v>5.7523275998683232E-2</v>
      </c>
      <c r="G7">
        <v>8.6540381838062785E-2</v>
      </c>
      <c r="H7">
        <v>0.12157521038389518</v>
      </c>
      <c r="I7">
        <v>0.1601725494615458</v>
      </c>
      <c r="J7">
        <v>0.20029739158338167</v>
      </c>
      <c r="K7">
        <v>0.24145167875371243</v>
      </c>
      <c r="L7">
        <v>0.28453423812833112</v>
      </c>
      <c r="M7">
        <v>0.33122177928950336</v>
      </c>
      <c r="N7">
        <v>0.3834925694551572</v>
      </c>
      <c r="O7">
        <v>0.44335079979340719</v>
      </c>
      <c r="P7">
        <v>0.51269018637158936</v>
      </c>
      <c r="Q7">
        <v>0.59324440983614668</v>
      </c>
      <c r="R7">
        <v>0.68488719160502143</v>
      </c>
      <c r="S7">
        <v>0.78515264278795627</v>
      </c>
      <c r="T7">
        <v>0.89132880535132131</v>
      </c>
      <c r="U7">
        <v>1.0014621991219608</v>
      </c>
      <c r="V7">
        <v>1.1144572086887683</v>
      </c>
      <c r="W7">
        <v>1.2297586349639955</v>
      </c>
      <c r="X7">
        <v>1.3470635547808696</v>
      </c>
      <c r="Y7">
        <v>1.4661315748039083</v>
      </c>
      <c r="Z7">
        <v>1.5866780652403767</v>
      </c>
      <c r="AA7">
        <v>1.708323147136559</v>
      </c>
      <c r="AB7">
        <v>1.8305774431431443</v>
      </c>
      <c r="AC7">
        <v>1.9528497673490186</v>
      </c>
      <c r="AD7">
        <v>2.0744675332022622</v>
      </c>
      <c r="AE7">
        <v>2.1947049490877335</v>
      </c>
      <c r="AF7">
        <v>2.3128105708708713</v>
      </c>
      <c r="AG7">
        <v>2.4280346767987959</v>
      </c>
      <c r="AH7">
        <v>2.5396518677200497</v>
      </c>
      <c r="AI7">
        <v>2.646979012414219</v>
      </c>
      <c r="AJ7">
        <v>2.7493878676470906</v>
      </c>
      <c r="AK7">
        <v>2.8463130574759354</v>
      </c>
    </row>
    <row r="8" spans="1:37" x14ac:dyDescent="0.25">
      <c r="A8" t="s">
        <v>118</v>
      </c>
      <c r="B8">
        <v>0</v>
      </c>
      <c r="C8">
        <v>1.2359800000000254E-3</v>
      </c>
      <c r="D8">
        <v>3.1267899999992688E-3</v>
      </c>
      <c r="E8">
        <v>4.7976499999990985E-3</v>
      </c>
      <c r="F8">
        <v>6.0086799999997664E-3</v>
      </c>
      <c r="G8">
        <v>7.1594399999999614E-3</v>
      </c>
      <c r="H8">
        <v>8.0213899999986848E-3</v>
      </c>
      <c r="I8">
        <v>7.9267299999991048E-3</v>
      </c>
      <c r="J8">
        <v>6.943469999999563E-3</v>
      </c>
      <c r="K8">
        <v>5.6894800000012458E-3</v>
      </c>
      <c r="L8">
        <v>4.8000399999997834E-3</v>
      </c>
      <c r="M8">
        <v>4.6210800000001662E-3</v>
      </c>
      <c r="N8">
        <v>5.2065499999989773E-3</v>
      </c>
      <c r="O8">
        <v>6.4273000000003577E-3</v>
      </c>
      <c r="P8">
        <v>8.0790600000005264E-3</v>
      </c>
      <c r="Q8">
        <v>9.9548000000004855E-3</v>
      </c>
      <c r="R8">
        <v>1.147633000000009E-2</v>
      </c>
      <c r="S8">
        <v>1.1943920000000163E-2</v>
      </c>
      <c r="T8">
        <v>1.1260750000000042E-2</v>
      </c>
      <c r="U8">
        <v>9.8103799999998964E-3</v>
      </c>
      <c r="V8">
        <v>8.0829300000001547E-3</v>
      </c>
      <c r="W8">
        <v>6.4247300000000451E-3</v>
      </c>
      <c r="X8">
        <v>4.9947200000011183E-3</v>
      </c>
      <c r="Y8">
        <v>3.8125700000002372E-3</v>
      </c>
      <c r="Z8">
        <v>2.8221199999997615E-3</v>
      </c>
      <c r="AA8">
        <v>1.9405099999994513E-3</v>
      </c>
      <c r="AB8">
        <v>1.0882199999992515E-3</v>
      </c>
      <c r="AC8">
        <v>2.0386999999982836E-4</v>
      </c>
      <c r="AD8">
        <v>-7.5109000000073145E-4</v>
      </c>
      <c r="AE8">
        <v>-1.7933900000002834E-3</v>
      </c>
      <c r="AF8">
        <v>-2.9220800000007152E-3</v>
      </c>
      <c r="AG8">
        <v>-4.1234800000011784E-3</v>
      </c>
      <c r="AH8">
        <v>-5.3761600000007403E-3</v>
      </c>
      <c r="AI8">
        <v>-6.6552400000002843E-3</v>
      </c>
      <c r="AJ8">
        <v>-7.935679999999945E-3</v>
      </c>
      <c r="AK8">
        <v>-9.1944900000001661E-3</v>
      </c>
    </row>
    <row r="9" spans="1:37" x14ac:dyDescent="0.25">
      <c r="A9" t="s">
        <v>119</v>
      </c>
      <c r="B9">
        <v>0</v>
      </c>
      <c r="C9">
        <v>3.564481337581249E-2</v>
      </c>
      <c r="D9">
        <v>7.451175331247839E-2</v>
      </c>
      <c r="E9">
        <v>0.12266123394637507</v>
      </c>
      <c r="F9">
        <v>0.18626678847324385</v>
      </c>
      <c r="G9">
        <v>0.27150892751710565</v>
      </c>
      <c r="H9">
        <v>0.36952058289894119</v>
      </c>
      <c r="I9">
        <v>0.47010293291394056</v>
      </c>
      <c r="J9">
        <v>0.57633973261892457</v>
      </c>
      <c r="K9">
        <v>0.69099153762575138</v>
      </c>
      <c r="L9">
        <v>0.81690358037678212</v>
      </c>
      <c r="M9">
        <v>0.95734259160793478</v>
      </c>
      <c r="N9">
        <v>1.1161684575277109</v>
      </c>
      <c r="O9">
        <v>1.2978717164908726</v>
      </c>
      <c r="P9">
        <v>1.5075321986219858</v>
      </c>
      <c r="Q9">
        <v>1.7507386540959402</v>
      </c>
      <c r="R9">
        <v>2.0224970828861322</v>
      </c>
      <c r="S9">
        <v>2.3147610092684845</v>
      </c>
      <c r="T9">
        <v>2.6276678092947758</v>
      </c>
      <c r="U9">
        <v>2.9604915588276048</v>
      </c>
      <c r="V9">
        <v>3.3118777342181271</v>
      </c>
      <c r="W9">
        <v>3.6800960276071049</v>
      </c>
      <c r="X9">
        <v>4.0632206324088704</v>
      </c>
      <c r="Y9">
        <v>4.4592380756246719</v>
      </c>
      <c r="Z9">
        <v>4.8661038621982566</v>
      </c>
      <c r="AA9">
        <v>5.2817690514169513</v>
      </c>
      <c r="AB9">
        <v>5.7041901518308125</v>
      </c>
      <c r="AC9">
        <v>6.131331944069851</v>
      </c>
      <c r="AD9">
        <v>6.5611674203596149</v>
      </c>
      <c r="AE9">
        <v>6.9916764942540954</v>
      </c>
      <c r="AF9">
        <v>7.420847354032345</v>
      </c>
      <c r="AG9">
        <v>7.8466779912979234</v>
      </c>
      <c r="AH9">
        <v>8.2671806452786925</v>
      </c>
      <c r="AI9">
        <v>8.6803884117280905</v>
      </c>
      <c r="AJ9">
        <v>9.0843642352254506</v>
      </c>
      <c r="AK9">
        <v>9.4772122696094705</v>
      </c>
    </row>
    <row r="10" spans="1:37" x14ac:dyDescent="0.25">
      <c r="A10" t="s">
        <v>120</v>
      </c>
      <c r="B10">
        <v>0</v>
      </c>
      <c r="C10">
        <v>5.8105778391714935E-3</v>
      </c>
      <c r="D10">
        <v>1.7409199864637515E-2</v>
      </c>
      <c r="E10">
        <v>3.660132915010994E-2</v>
      </c>
      <c r="F10">
        <v>6.5554012837920617E-2</v>
      </c>
      <c r="G10">
        <v>0.10680856174265507</v>
      </c>
      <c r="H10">
        <v>0.16101627796076823</v>
      </c>
      <c r="I10">
        <v>0.22699330874180745</v>
      </c>
      <c r="J10">
        <v>0.30376118517134731</v>
      </c>
      <c r="K10">
        <v>0.39035096581423456</v>
      </c>
      <c r="L10">
        <v>0.48622175052746019</v>
      </c>
      <c r="M10">
        <v>0.59162577386466797</v>
      </c>
      <c r="N10">
        <v>0.70778923165957242</v>
      </c>
      <c r="O10">
        <v>0.83694583479712037</v>
      </c>
      <c r="P10">
        <v>0.98227978411451478</v>
      </c>
      <c r="Q10">
        <v>1.1478252411117884</v>
      </c>
      <c r="R10">
        <v>1.3364189955936467</v>
      </c>
      <c r="S10">
        <v>1.549013912075714</v>
      </c>
      <c r="T10">
        <v>1.785831894099621</v>
      </c>
      <c r="U10">
        <v>2.0461511823092415</v>
      </c>
      <c r="V10">
        <v>2.3285825191145637</v>
      </c>
      <c r="W10">
        <v>2.6313651799968252</v>
      </c>
      <c r="X10">
        <v>2.9525727863084494</v>
      </c>
      <c r="Y10">
        <v>3.2902295563524975</v>
      </c>
      <c r="Z10">
        <v>3.6423653098894837</v>
      </c>
      <c r="AA10">
        <v>4.0070350899589213</v>
      </c>
      <c r="AB10">
        <v>4.3823223347437157</v>
      </c>
      <c r="AC10">
        <v>4.7663351336242998</v>
      </c>
      <c r="AD10">
        <v>5.157200851833732</v>
      </c>
      <c r="AE10">
        <v>5.5530621125526425</v>
      </c>
      <c r="AF10">
        <v>5.952074587052536</v>
      </c>
      <c r="AG10">
        <v>6.3524064604046249</v>
      </c>
      <c r="AH10">
        <v>6.7522403940404097</v>
      </c>
      <c r="AI10">
        <v>7.1497764352109749</v>
      </c>
      <c r="AJ10">
        <v>7.5432367594374217</v>
      </c>
      <c r="AK10">
        <v>7.9308716263475576</v>
      </c>
    </row>
    <row r="11" spans="1:37" x14ac:dyDescent="0.25">
      <c r="A11" t="s">
        <v>121</v>
      </c>
      <c r="B11">
        <v>0</v>
      </c>
      <c r="C11">
        <v>-2.9375200939951718E-2</v>
      </c>
      <c r="D11">
        <v>-5.2075455450384389E-2</v>
      </c>
      <c r="E11">
        <v>-7.0848407248513823E-2</v>
      </c>
      <c r="F11">
        <v>-8.8333192952916306E-2</v>
      </c>
      <c r="G11">
        <v>-0.10681034013843016</v>
      </c>
      <c r="H11">
        <v>-0.11409150719374761</v>
      </c>
      <c r="I11">
        <v>-9.9489263249596949E-2</v>
      </c>
      <c r="J11">
        <v>-6.8390501972404039E-2</v>
      </c>
      <c r="K11">
        <v>-2.6412005098519487E-2</v>
      </c>
      <c r="L11">
        <v>2.1294043303221599E-2</v>
      </c>
      <c r="M11">
        <v>7.0585526076749616E-2</v>
      </c>
      <c r="N11">
        <v>0.1186125655856296</v>
      </c>
      <c r="O11">
        <v>0.16390129990759839</v>
      </c>
      <c r="P11">
        <v>0.20631749775792407</v>
      </c>
      <c r="Q11">
        <v>0.2469707851670222</v>
      </c>
      <c r="R11">
        <v>0.29877484660507658</v>
      </c>
      <c r="S11">
        <v>0.3752590705079939</v>
      </c>
      <c r="T11">
        <v>0.47735263485053636</v>
      </c>
      <c r="U11">
        <v>0.60458245639061214</v>
      </c>
      <c r="V11">
        <v>0.75553242550963073</v>
      </c>
      <c r="W11">
        <v>0.92828093383134913</v>
      </c>
      <c r="X11">
        <v>1.1206933783675765</v>
      </c>
      <c r="Y11">
        <v>1.3305873607489138</v>
      </c>
      <c r="Z11">
        <v>1.5558079195669539</v>
      </c>
      <c r="AA11">
        <v>1.7942545325374537</v>
      </c>
      <c r="AB11">
        <v>2.0438828671723419</v>
      </c>
      <c r="AC11">
        <v>2.3026965937011701</v>
      </c>
      <c r="AD11">
        <v>2.5687382163808836</v>
      </c>
      <c r="AE11">
        <v>2.8400808032867486</v>
      </c>
      <c r="AF11">
        <v>3.1148234040219602</v>
      </c>
      <c r="AG11">
        <v>3.3910888796235827</v>
      </c>
      <c r="AH11">
        <v>3.6670247320037541</v>
      </c>
      <c r="AI11">
        <v>3.9408061784461434</v>
      </c>
      <c r="AJ11">
        <v>4.2106409724884886</v>
      </c>
      <c r="AK11">
        <v>4.4747757301231816</v>
      </c>
    </row>
    <row r="12" spans="1:37" x14ac:dyDescent="0.25">
      <c r="A12" t="s">
        <v>122</v>
      </c>
      <c r="B12">
        <v>0</v>
      </c>
      <c r="C12">
        <v>4.2458743292561607E-2</v>
      </c>
      <c r="D12">
        <v>8.9778680120566889E-2</v>
      </c>
      <c r="E12">
        <v>0.14851579448025287</v>
      </c>
      <c r="F12">
        <v>0.22585094105325165</v>
      </c>
      <c r="G12">
        <v>0.32935998796101984</v>
      </c>
      <c r="H12">
        <v>0.44768826858940791</v>
      </c>
      <c r="I12">
        <v>0.56728174365983097</v>
      </c>
      <c r="J12">
        <v>0.69175234595819646</v>
      </c>
      <c r="K12">
        <v>0.82497563832155674</v>
      </c>
      <c r="L12">
        <v>0.97122731949939034</v>
      </c>
      <c r="M12">
        <v>1.1353592844286498</v>
      </c>
      <c r="N12">
        <v>1.3228774359171691</v>
      </c>
      <c r="O12">
        <v>1.539925427602995</v>
      </c>
      <c r="P12">
        <v>1.7932093238278712</v>
      </c>
      <c r="Q12">
        <v>2.0898956190398499</v>
      </c>
      <c r="R12">
        <v>2.4223555811371034</v>
      </c>
      <c r="S12">
        <v>2.7784096673563408</v>
      </c>
      <c r="T12">
        <v>3.1575394722442196</v>
      </c>
      <c r="U12">
        <v>3.5587583892700891</v>
      </c>
      <c r="V12">
        <v>3.9806983843974075</v>
      </c>
      <c r="W12">
        <v>4.4217609004915781</v>
      </c>
      <c r="X12">
        <v>4.8802303309745332</v>
      </c>
      <c r="Y12">
        <v>5.3543406018937922</v>
      </c>
      <c r="Z12">
        <v>5.8423078741301593</v>
      </c>
      <c r="AA12">
        <v>6.3423439638034873</v>
      </c>
      <c r="AB12">
        <v>6.8526602255797542</v>
      </c>
      <c r="AC12">
        <v>7.3714681701257057</v>
      </c>
      <c r="AD12">
        <v>7.8969784921267827</v>
      </c>
      <c r="AE12">
        <v>8.4274013498988545</v>
      </c>
      <c r="AF12">
        <v>8.9609464598652711</v>
      </c>
      <c r="AG12">
        <v>9.4958245215484673</v>
      </c>
      <c r="AH12">
        <v>10.030249799236636</v>
      </c>
      <c r="AI12">
        <v>10.562443013556155</v>
      </c>
      <c r="AJ12">
        <v>11.090636168201273</v>
      </c>
      <c r="AK12">
        <v>11.613077506346903</v>
      </c>
    </row>
    <row r="13" spans="1:37" x14ac:dyDescent="0.25">
      <c r="A13" t="s">
        <v>123</v>
      </c>
      <c r="B13">
        <v>0</v>
      </c>
      <c r="C13">
        <v>1.4166794160597185E-2</v>
      </c>
      <c r="D13">
        <v>3.7844698782163455E-2</v>
      </c>
      <c r="E13">
        <v>7.1235258308255389E-2</v>
      </c>
      <c r="F13">
        <v>0.11680205840070013</v>
      </c>
      <c r="G13">
        <v>0.17835931550487238</v>
      </c>
      <c r="H13">
        <v>0.25431324482032558</v>
      </c>
      <c r="I13">
        <v>0.33938229040177958</v>
      </c>
      <c r="J13">
        <v>0.4316857719868894</v>
      </c>
      <c r="K13">
        <v>0.53115289606366911</v>
      </c>
      <c r="L13">
        <v>0.63899438838832534</v>
      </c>
      <c r="M13">
        <v>0.75749896013792561</v>
      </c>
      <c r="N13">
        <v>0.88990517344422759</v>
      </c>
      <c r="O13">
        <v>1.0402760915505294</v>
      </c>
      <c r="P13">
        <v>1.2133729336131216</v>
      </c>
      <c r="Q13">
        <v>1.4145330871613515</v>
      </c>
      <c r="R13">
        <v>1.6445182286069837</v>
      </c>
      <c r="S13">
        <v>1.8998964734671775</v>
      </c>
      <c r="T13">
        <v>2.1784281472318368</v>
      </c>
      <c r="U13">
        <v>2.4781825831838855</v>
      </c>
      <c r="V13">
        <v>2.7973098004947738</v>
      </c>
      <c r="W13">
        <v>3.1340103518742835</v>
      </c>
      <c r="X13">
        <v>3.4865403773429726</v>
      </c>
      <c r="Y13">
        <v>3.8532107292365225</v>
      </c>
      <c r="Z13">
        <v>4.2323755683345787</v>
      </c>
      <c r="AA13">
        <v>4.6224172293187982</v>
      </c>
      <c r="AB13">
        <v>5.0217317333273392</v>
      </c>
      <c r="AC13">
        <v>5.4287191452327521</v>
      </c>
      <c r="AD13">
        <v>5.8417771170086841</v>
      </c>
      <c r="AE13">
        <v>6.259299353490988</v>
      </c>
      <c r="AF13">
        <v>6.679675898885562</v>
      </c>
      <c r="AG13">
        <v>7.1012959905422335</v>
      </c>
      <c r="AH13">
        <v>7.5225518293691396</v>
      </c>
      <c r="AI13">
        <v>7.9418435845699742</v>
      </c>
      <c r="AJ13">
        <v>8.3575848186848702</v>
      </c>
      <c r="AK13">
        <v>8.7682090831969752</v>
      </c>
    </row>
    <row r="14" spans="1:37" x14ac:dyDescent="0.25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125</v>
      </c>
      <c r="B15">
        <v>0</v>
      </c>
      <c r="C15">
        <v>6.0117937170645064E-4</v>
      </c>
      <c r="D15">
        <v>1.2267696218115631E-2</v>
      </c>
      <c r="E15">
        <v>3.5864523555328987E-2</v>
      </c>
      <c r="F15">
        <v>7.1671214529689387E-2</v>
      </c>
      <c r="G15">
        <v>0.12149582221829824</v>
      </c>
      <c r="H15">
        <v>0.18858050410446303</v>
      </c>
      <c r="I15">
        <v>0.27285209051604031</v>
      </c>
      <c r="J15">
        <v>0.37044544246807032</v>
      </c>
      <c r="K15">
        <v>0.47836434897368107</v>
      </c>
      <c r="L15">
        <v>0.595315274699737</v>
      </c>
      <c r="M15">
        <v>0.72162009701715046</v>
      </c>
      <c r="N15">
        <v>0.85899338485386778</v>
      </c>
      <c r="O15">
        <v>1.0103419216497933</v>
      </c>
      <c r="P15">
        <v>1.1795910700872714</v>
      </c>
      <c r="Q15">
        <v>1.3715251531530415</v>
      </c>
      <c r="R15">
        <v>1.591447600326279</v>
      </c>
      <c r="S15">
        <v>1.8417563770623424</v>
      </c>
      <c r="T15">
        <v>2.1210270619247629</v>
      </c>
      <c r="U15">
        <v>2.4270691177683101</v>
      </c>
      <c r="V15">
        <v>2.7576065808719186</v>
      </c>
      <c r="W15">
        <v>3.1103672572253327</v>
      </c>
      <c r="X15">
        <v>3.4830756706548005</v>
      </c>
      <c r="Y15">
        <v>3.8734527941521213</v>
      </c>
      <c r="Z15">
        <v>4.2792260523359493</v>
      </c>
      <c r="AA15">
        <v>4.698139689993619</v>
      </c>
      <c r="AB15">
        <v>5.1279600167020378</v>
      </c>
      <c r="AC15">
        <v>5.566475372437818</v>
      </c>
      <c r="AD15">
        <v>6.0114929601477352</v>
      </c>
      <c r="AE15">
        <v>6.4608350444962381</v>
      </c>
      <c r="AF15">
        <v>6.9123363757949141</v>
      </c>
      <c r="AG15">
        <v>7.3638430422306778</v>
      </c>
      <c r="AH15">
        <v>7.8132149200365486</v>
      </c>
      <c r="AI15">
        <v>8.2583290009827781</v>
      </c>
      <c r="AJ15">
        <v>8.6970861152653178</v>
      </c>
      <c r="AK15">
        <v>9.1274191390819492</v>
      </c>
    </row>
    <row r="16" spans="1:37" x14ac:dyDescent="0.25">
      <c r="A16" t="s">
        <v>126</v>
      </c>
      <c r="B16">
        <v>0</v>
      </c>
      <c r="C16">
        <v>2.9985186784320383E-2</v>
      </c>
      <c r="D16">
        <v>6.4376672268484647E-2</v>
      </c>
      <c r="E16">
        <v>0.10678858192383345</v>
      </c>
      <c r="F16">
        <v>0.16014588160320198</v>
      </c>
      <c r="G16">
        <v>0.22855027718549081</v>
      </c>
      <c r="H16">
        <v>0.30301773065501969</v>
      </c>
      <c r="I16">
        <v>0.37271217410255186</v>
      </c>
      <c r="J16">
        <v>0.43913626518283788</v>
      </c>
      <c r="K16">
        <v>0.5049096950506371</v>
      </c>
      <c r="L16">
        <v>0.57389903546454235</v>
      </c>
      <c r="M16">
        <v>0.65057536494024237</v>
      </c>
      <c r="N16">
        <v>0.73950368268824729</v>
      </c>
      <c r="O16">
        <v>0.84505558162579764</v>
      </c>
      <c r="P16">
        <v>0.97126966490712618</v>
      </c>
      <c r="Q16">
        <v>1.1217838924006296</v>
      </c>
      <c r="R16">
        <v>1.2888220716192444</v>
      </c>
      <c r="S16">
        <v>1.4610147277477559</v>
      </c>
      <c r="T16">
        <v>1.6358655718960335</v>
      </c>
      <c r="U16">
        <v>1.8115344516346221</v>
      </c>
      <c r="V16">
        <v>1.987061268486956</v>
      </c>
      <c r="W16">
        <v>2.1620167251650946</v>
      </c>
      <c r="X16">
        <v>2.3362006067054519</v>
      </c>
      <c r="Y16">
        <v>2.5094746591787898</v>
      </c>
      <c r="Z16">
        <v>2.6816960544890023</v>
      </c>
      <c r="AA16">
        <v>2.852700482137549</v>
      </c>
      <c r="AB16">
        <v>3.0223047021361582</v>
      </c>
      <c r="AC16">
        <v>3.1903154774315379</v>
      </c>
      <c r="AD16">
        <v>3.3565341293535278</v>
      </c>
      <c r="AE16">
        <v>3.520761781539794</v>
      </c>
      <c r="AF16">
        <v>3.6828001995304227</v>
      </c>
      <c r="AG16">
        <v>3.8424531538209905</v>
      </c>
      <c r="AH16">
        <v>3.9995265225987175</v>
      </c>
      <c r="AI16">
        <v>4.1538284719610186</v>
      </c>
      <c r="AJ16">
        <v>4.3051699125945309</v>
      </c>
      <c r="AK16">
        <v>4.453365260608666</v>
      </c>
    </row>
    <row r="17" spans="1:37" x14ac:dyDescent="0.25">
      <c r="A17" t="s">
        <v>127</v>
      </c>
      <c r="B17">
        <v>0</v>
      </c>
      <c r="C17">
        <v>1.3115900000011607</v>
      </c>
      <c r="D17">
        <v>4.027620000000752</v>
      </c>
      <c r="E17">
        <v>7.9804599999988568</v>
      </c>
      <c r="F17">
        <v>13.099419999998645</v>
      </c>
      <c r="G17">
        <v>19.518749999999272</v>
      </c>
      <c r="H17">
        <v>26.986350000002858</v>
      </c>
      <c r="I17">
        <v>34.739529999998922</v>
      </c>
      <c r="J17">
        <v>42.163759999999456</v>
      </c>
      <c r="K17">
        <v>49.001090000001568</v>
      </c>
      <c r="L17">
        <v>55.362229999998817</v>
      </c>
      <c r="M17">
        <v>61.648409999997966</v>
      </c>
      <c r="N17">
        <v>68.441899999997986</v>
      </c>
      <c r="O17">
        <v>76.399939999999333</v>
      </c>
      <c r="P17">
        <v>86.170450000001438</v>
      </c>
      <c r="Q17">
        <v>98.335049999997864</v>
      </c>
      <c r="R17">
        <v>112.90267999999924</v>
      </c>
      <c r="S17">
        <v>129.16825000000244</v>
      </c>
      <c r="T17">
        <v>146.27600000000166</v>
      </c>
      <c r="U17">
        <v>163.4736899999989</v>
      </c>
      <c r="V17">
        <v>180.21169999999984</v>
      </c>
      <c r="W17">
        <v>196.15566000000035</v>
      </c>
      <c r="X17">
        <v>211.15298999999868</v>
      </c>
      <c r="Y17">
        <v>225.18197000000146</v>
      </c>
      <c r="Z17">
        <v>238.3009200000015</v>
      </c>
      <c r="AA17">
        <v>250.60637000000133</v>
      </c>
      <c r="AB17">
        <v>262.20332000000053</v>
      </c>
      <c r="AC17">
        <v>273.18675999999687</v>
      </c>
      <c r="AD17">
        <v>283.63241999999809</v>
      </c>
      <c r="AE17">
        <v>293.59414000000106</v>
      </c>
      <c r="AF17">
        <v>303.10543999999936</v>
      </c>
      <c r="AG17">
        <v>312.18340000000171</v>
      </c>
      <c r="AH17">
        <v>320.83351000000039</v>
      </c>
      <c r="AI17">
        <v>329.05432999999903</v>
      </c>
      <c r="AJ17">
        <v>336.84159999999974</v>
      </c>
      <c r="AK17">
        <v>344.19142000000284</v>
      </c>
    </row>
    <row r="18" spans="1:37" x14ac:dyDescent="0.25">
      <c r="A18" t="s">
        <v>128</v>
      </c>
      <c r="B18">
        <v>0</v>
      </c>
      <c r="C18">
        <v>-3.4888499999996547E-3</v>
      </c>
      <c r="D18">
        <v>-1.042947999999877E-2</v>
      </c>
      <c r="E18">
        <v>-2.0226100000000913E-2</v>
      </c>
      <c r="F18">
        <v>-3.2649889999999959E-2</v>
      </c>
      <c r="G18">
        <v>-4.8038379999998382E-2</v>
      </c>
      <c r="H18">
        <v>-6.5679769999998916E-2</v>
      </c>
      <c r="I18">
        <v>-8.3592529999998444E-2</v>
      </c>
      <c r="J18">
        <v>-0.1003292299999986</v>
      </c>
      <c r="K18">
        <v>-0.11541371000000078</v>
      </c>
      <c r="L18">
        <v>-0.12927664999999866</v>
      </c>
      <c r="M18">
        <v>-0.14300297000000017</v>
      </c>
      <c r="N18">
        <v>-0.15803775999999881</v>
      </c>
      <c r="O18">
        <v>-0.17592809000000209</v>
      </c>
      <c r="P18">
        <v>-0.1981331599999997</v>
      </c>
      <c r="Q18">
        <v>-0.22590734000000057</v>
      </c>
      <c r="R18">
        <v>-0.25902955000000061</v>
      </c>
      <c r="S18">
        <v>-0.29556917000000127</v>
      </c>
      <c r="T18">
        <v>-0.33341608999999939</v>
      </c>
      <c r="U18">
        <v>-0.37085292999999853</v>
      </c>
      <c r="V18">
        <v>-0.40672053999999958</v>
      </c>
      <c r="W18">
        <v>-0.4403887199999984</v>
      </c>
      <c r="X18">
        <v>-0.47164000000000095</v>
      </c>
      <c r="Y18">
        <v>-0.50053154000000155</v>
      </c>
      <c r="Z18">
        <v>-0.5272716599999977</v>
      </c>
      <c r="AA18">
        <v>-0.55212634000000038</v>
      </c>
      <c r="AB18">
        <v>-0.57535733999999894</v>
      </c>
      <c r="AC18">
        <v>-0.59718773999999919</v>
      </c>
      <c r="AD18">
        <v>-0.61778763000000236</v>
      </c>
      <c r="AE18">
        <v>-0.6372735200000007</v>
      </c>
      <c r="AF18">
        <v>-0.65571570000000079</v>
      </c>
      <c r="AG18">
        <v>-0.67314919999999778</v>
      </c>
      <c r="AH18">
        <v>-0.68958574000000106</v>
      </c>
      <c r="AI18">
        <v>-0.70502446999999857</v>
      </c>
      <c r="AJ18">
        <v>-0.71946084999999771</v>
      </c>
      <c r="AK18">
        <v>-0.73289311999999995</v>
      </c>
    </row>
    <row r="19" spans="1:37" x14ac:dyDescent="0.25">
      <c r="A19" t="s">
        <v>129</v>
      </c>
      <c r="B19">
        <v>0</v>
      </c>
      <c r="C19">
        <v>6.5387899999999957E-3</v>
      </c>
      <c r="D19">
        <v>1.5627129999999829E-2</v>
      </c>
      <c r="E19">
        <v>2.6593549999999987E-2</v>
      </c>
      <c r="F19">
        <v>4.019623999999989E-2</v>
      </c>
      <c r="G19">
        <v>5.7704959999999896E-2</v>
      </c>
      <c r="H19">
        <v>7.7560869999999948E-2</v>
      </c>
      <c r="I19">
        <v>9.7017180000000092E-2</v>
      </c>
      <c r="J19">
        <v>0.11577688999999999</v>
      </c>
      <c r="K19">
        <v>0.1344808500000001</v>
      </c>
      <c r="L19">
        <v>0.15406328000000002</v>
      </c>
      <c r="M19">
        <v>0.17553528000000002</v>
      </c>
      <c r="N19">
        <v>0.19992763</v>
      </c>
      <c r="O19">
        <v>0.22827308000000004</v>
      </c>
      <c r="P19">
        <v>0.26158842999999993</v>
      </c>
      <c r="Q19">
        <v>0.30085051800000007</v>
      </c>
      <c r="R19">
        <v>0.34482179399999996</v>
      </c>
      <c r="S19">
        <v>0.3910156580000001</v>
      </c>
      <c r="T19">
        <v>0.43843659600000007</v>
      </c>
      <c r="U19">
        <v>0.48664226999999993</v>
      </c>
      <c r="V19">
        <v>0.53534705900000001</v>
      </c>
      <c r="W19">
        <v>0.58429876300000005</v>
      </c>
      <c r="X19">
        <v>0.63325968899999996</v>
      </c>
      <c r="Y19">
        <v>0.68201603099999997</v>
      </c>
      <c r="Z19">
        <v>0.73038805200000001</v>
      </c>
      <c r="AA19">
        <v>0.77823450199999999</v>
      </c>
      <c r="AB19">
        <v>0.82545167699999999</v>
      </c>
      <c r="AC19">
        <v>0.87196914500000011</v>
      </c>
      <c r="AD19">
        <v>0.9177436149999999</v>
      </c>
      <c r="AE19">
        <v>0.96275240200000001</v>
      </c>
      <c r="AF19">
        <v>1.006987152</v>
      </c>
      <c r="AG19">
        <v>1.0504481643000001</v>
      </c>
      <c r="AH19">
        <v>1.0931398014</v>
      </c>
      <c r="AI19">
        <v>1.1350668248700002</v>
      </c>
      <c r="AJ19">
        <v>1.1762318341</v>
      </c>
      <c r="AK19">
        <v>1.2166336099999999</v>
      </c>
    </row>
    <row r="20" spans="1:37" x14ac:dyDescent="0.25">
      <c r="A20" t="s">
        <v>130</v>
      </c>
      <c r="B20">
        <v>0</v>
      </c>
      <c r="C20">
        <v>-6.1921999999943467E-5</v>
      </c>
      <c r="D20">
        <v>4.814832000000005E-3</v>
      </c>
      <c r="E20">
        <v>1.2596930000000062E-2</v>
      </c>
      <c r="F20">
        <v>2.2305480000000058E-2</v>
      </c>
      <c r="G20">
        <v>3.4082960000000016E-2</v>
      </c>
      <c r="H20">
        <v>4.8717009999999991E-2</v>
      </c>
      <c r="I20">
        <v>6.5151400000000054E-2</v>
      </c>
      <c r="J20">
        <v>8.122626000000005E-2</v>
      </c>
      <c r="K20">
        <v>9.6342760000000041E-2</v>
      </c>
      <c r="L20">
        <v>0.11100171999999989</v>
      </c>
      <c r="M20">
        <v>0.12627738999999999</v>
      </c>
      <c r="N20">
        <v>0.14343962000000002</v>
      </c>
      <c r="O20">
        <v>0.16372731399999993</v>
      </c>
      <c r="P20">
        <v>0.18823304900000004</v>
      </c>
      <c r="Q20">
        <v>0.21785925700000003</v>
      </c>
      <c r="R20">
        <v>0.25311527199999989</v>
      </c>
      <c r="S20">
        <v>0.29269831899999993</v>
      </c>
      <c r="T20">
        <v>0.33419094199999988</v>
      </c>
      <c r="U20">
        <v>0.37607814700000003</v>
      </c>
      <c r="V20">
        <v>0.41761501600000012</v>
      </c>
      <c r="W20">
        <v>0.45855980200000007</v>
      </c>
      <c r="X20">
        <v>0.49894471200000007</v>
      </c>
      <c r="Y20">
        <v>0.5389140790000001</v>
      </c>
      <c r="Z20">
        <v>0.57862221599999997</v>
      </c>
      <c r="AA20">
        <v>0.61817667199999993</v>
      </c>
      <c r="AB20">
        <v>0.65761354900000013</v>
      </c>
      <c r="AC20">
        <v>0.69689416299999996</v>
      </c>
      <c r="AD20">
        <v>0.73591467099999996</v>
      </c>
      <c r="AE20">
        <v>0.77452244999999997</v>
      </c>
      <c r="AF20">
        <v>0.81253462359999995</v>
      </c>
      <c r="AG20">
        <v>0.84975578289999998</v>
      </c>
      <c r="AH20">
        <v>0.88599303371000004</v>
      </c>
      <c r="AI20">
        <v>0.9210674578000001</v>
      </c>
      <c r="AJ20">
        <v>0.95482178870000012</v>
      </c>
      <c r="AK20">
        <v>0.98712456700000006</v>
      </c>
    </row>
    <row r="21" spans="1:37" x14ac:dyDescent="0.25">
      <c r="A21" t="s">
        <v>131</v>
      </c>
      <c r="B21">
        <v>0</v>
      </c>
      <c r="C21">
        <v>-2.4781200000001391E-2</v>
      </c>
      <c r="D21">
        <v>-5.6029579999994361E-2</v>
      </c>
      <c r="E21">
        <v>-0.10247763999999826</v>
      </c>
      <c r="F21">
        <v>-0.1702542900000048</v>
      </c>
      <c r="G21">
        <v>-0.26509135000000184</v>
      </c>
      <c r="H21">
        <v>-0.3830715900000059</v>
      </c>
      <c r="I21">
        <v>-0.51876303999999207</v>
      </c>
      <c r="J21">
        <v>-0.67357828999999869</v>
      </c>
      <c r="K21">
        <v>-0.84745628999999267</v>
      </c>
      <c r="L21">
        <v>-1.0411177599999988</v>
      </c>
      <c r="M21">
        <v>-1.2570876700000011</v>
      </c>
      <c r="N21">
        <v>-1.4998753600000025</v>
      </c>
      <c r="O21">
        <v>-1.7757328099999969</v>
      </c>
      <c r="P21">
        <v>-2.0922605900000057</v>
      </c>
      <c r="Q21">
        <v>-2.4580048500000062</v>
      </c>
      <c r="R21">
        <v>-2.8742685799999945</v>
      </c>
      <c r="S21">
        <v>-3.3388587500000066</v>
      </c>
      <c r="T21">
        <v>-3.8524406399999989</v>
      </c>
      <c r="U21">
        <v>-4.4130114699999945</v>
      </c>
      <c r="V21">
        <v>-5.0175449199999944</v>
      </c>
      <c r="W21">
        <v>-5.6629382400000043</v>
      </c>
      <c r="X21">
        <v>-6.3464114300000096</v>
      </c>
      <c r="Y21">
        <v>-7.0655892600000048</v>
      </c>
      <c r="Z21">
        <v>-7.818432629999994</v>
      </c>
      <c r="AA21">
        <v>-8.6031178099999934</v>
      </c>
      <c r="AB21">
        <v>-9.4179148699999988</v>
      </c>
      <c r="AC21">
        <v>-10.261088579999999</v>
      </c>
      <c r="AD21">
        <v>-11.13082971</v>
      </c>
      <c r="AE21">
        <v>-12.025216399999994</v>
      </c>
      <c r="AF21">
        <v>-12.942201370000006</v>
      </c>
      <c r="AG21">
        <v>-13.879619160000001</v>
      </c>
      <c r="AH21">
        <v>-14.835207519999994</v>
      </c>
      <c r="AI21">
        <v>-15.806637040000005</v>
      </c>
      <c r="AJ21">
        <v>-16.791544720000008</v>
      </c>
      <c r="AK21">
        <v>-17.787567559999996</v>
      </c>
    </row>
    <row r="22" spans="1:37" x14ac:dyDescent="0.25">
      <c r="A22" t="s">
        <v>132</v>
      </c>
      <c r="B22">
        <v>0</v>
      </c>
      <c r="C22">
        <v>-0.1212422627225096</v>
      </c>
      <c r="D22">
        <v>-0.31745265344894635</v>
      </c>
      <c r="E22">
        <v>-0.57356653760012311</v>
      </c>
      <c r="F22">
        <v>-0.89534443723829904</v>
      </c>
      <c r="G22">
        <v>-1.2994357164767045</v>
      </c>
      <c r="H22">
        <v>-1.7612059724864237</v>
      </c>
      <c r="I22">
        <v>-2.2324390846755526</v>
      </c>
      <c r="J22">
        <v>-2.6954211860647836</v>
      </c>
      <c r="K22">
        <v>-3.1513473496157629</v>
      </c>
      <c r="L22">
        <v>-3.6119939361743181</v>
      </c>
      <c r="M22">
        <v>-4.094415954684294</v>
      </c>
      <c r="N22">
        <v>-4.6174949122913418</v>
      </c>
      <c r="O22">
        <v>-5.1995490228767931</v>
      </c>
      <c r="P22">
        <v>-5.8566231188115658</v>
      </c>
      <c r="Q22">
        <v>-6.6014015570079465</v>
      </c>
      <c r="R22">
        <v>-7.4194710113869906</v>
      </c>
      <c r="S22">
        <v>-8.2777056500303985</v>
      </c>
      <c r="T22">
        <v>-9.1540120262801334</v>
      </c>
      <c r="U22">
        <v>-10.034458835737203</v>
      </c>
      <c r="V22">
        <v>-10.910528944058473</v>
      </c>
      <c r="W22">
        <v>-11.777204758282245</v>
      </c>
      <c r="X22">
        <v>-12.631733003522283</v>
      </c>
      <c r="Y22">
        <v>-13.472836398216092</v>
      </c>
      <c r="Z22">
        <v>-14.300206989976916</v>
      </c>
      <c r="AA22">
        <v>-15.114174645059887</v>
      </c>
      <c r="AB22">
        <v>-15.915485574569576</v>
      </c>
      <c r="AC22">
        <v>-16.705150764984911</v>
      </c>
      <c r="AD22">
        <v>-17.484338415407851</v>
      </c>
      <c r="AE22">
        <v>-18.254295059975366</v>
      </c>
      <c r="AF22">
        <v>-19.016284320756917</v>
      </c>
      <c r="AG22">
        <v>-19.771539191583564</v>
      </c>
      <c r="AH22">
        <v>-20.521220807955643</v>
      </c>
      <c r="AI22">
        <v>-21.266382982636365</v>
      </c>
      <c r="AJ22">
        <v>-22.007940450205908</v>
      </c>
      <c r="AK22">
        <v>-22.746640781263704</v>
      </c>
    </row>
    <row r="23" spans="1:37" x14ac:dyDescent="0.25">
      <c r="A23" t="s">
        <v>133</v>
      </c>
      <c r="B23">
        <v>0</v>
      </c>
      <c r="C23">
        <v>2.1929801292393551E-3</v>
      </c>
      <c r="D23">
        <v>7.5184546232559641E-3</v>
      </c>
      <c r="E23">
        <v>1.6082426605880946E-2</v>
      </c>
      <c r="F23">
        <v>2.7795420576632132E-2</v>
      </c>
      <c r="G23">
        <v>4.2970976653510254E-2</v>
      </c>
      <c r="H23">
        <v>6.1611112926349514E-2</v>
      </c>
      <c r="I23">
        <v>8.2784009888317148E-2</v>
      </c>
      <c r="J23">
        <v>0.10533604742285728</v>
      </c>
      <c r="K23">
        <v>0.12861588418264308</v>
      </c>
      <c r="L23">
        <v>0.15272544968730833</v>
      </c>
      <c r="M23">
        <v>0.17837011329577626</v>
      </c>
      <c r="N23">
        <v>0.2066003486214317</v>
      </c>
      <c r="O23">
        <v>0.23859338027939864</v>
      </c>
      <c r="P23">
        <v>0.27551308756454418</v>
      </c>
      <c r="Q23">
        <v>0.31843770756627204</v>
      </c>
      <c r="R23">
        <v>0.36765925482625389</v>
      </c>
      <c r="S23">
        <v>0.422266946577388</v>
      </c>
      <c r="T23">
        <v>0.48084151497358008</v>
      </c>
      <c r="U23">
        <v>0.54207887069117044</v>
      </c>
      <c r="V23">
        <v>0.60507626449336727</v>
      </c>
      <c r="W23">
        <v>0.66931450264481518</v>
      </c>
      <c r="X23">
        <v>0.73452829882734683</v>
      </c>
      <c r="Y23">
        <v>0.80057284992927424</v>
      </c>
      <c r="Z23">
        <v>0.86732603850979939</v>
      </c>
      <c r="AA23">
        <v>0.93463019624378585</v>
      </c>
      <c r="AB23">
        <v>1.0022654131686775</v>
      </c>
      <c r="AC23">
        <v>1.0699443439920739</v>
      </c>
      <c r="AD23">
        <v>1.1373208059818991</v>
      </c>
      <c r="AE23">
        <v>1.2040053514960891</v>
      </c>
      <c r="AF23">
        <v>1.2695831772577657</v>
      </c>
      <c r="AG23">
        <v>1.3336324167502562</v>
      </c>
      <c r="AH23">
        <v>1.3957395880125727</v>
      </c>
      <c r="AI23">
        <v>1.4555121056877469</v>
      </c>
      <c r="AJ23">
        <v>1.5125875871955801</v>
      </c>
      <c r="AK23">
        <v>1.5666395386702705</v>
      </c>
    </row>
    <row r="24" spans="1:37" x14ac:dyDescent="0.25">
      <c r="A24" t="s">
        <v>134</v>
      </c>
      <c r="B24">
        <v>0</v>
      </c>
      <c r="C24">
        <v>-9.9763864684440759E-4</v>
      </c>
      <c r="D24">
        <v>-2.462690351238916E-3</v>
      </c>
      <c r="E24">
        <v>-4.2537118431673158E-3</v>
      </c>
      <c r="F24">
        <v>-6.4880603463437153E-3</v>
      </c>
      <c r="G24">
        <v>-9.39750066284494E-3</v>
      </c>
      <c r="H24">
        <v>-1.2798618492635741E-2</v>
      </c>
      <c r="I24">
        <v>-1.6283173430287231E-2</v>
      </c>
      <c r="J24">
        <v>-1.9770476254849643E-2</v>
      </c>
      <c r="K24">
        <v>-2.3334814080219347E-2</v>
      </c>
      <c r="L24">
        <v>-2.709223314837261E-2</v>
      </c>
      <c r="M24">
        <v>-3.1158342958253107E-2</v>
      </c>
      <c r="N24">
        <v>-3.5648542828729861E-2</v>
      </c>
      <c r="O24">
        <v>-4.0691918324186324E-2</v>
      </c>
      <c r="P24">
        <v>-4.644257746437265E-2</v>
      </c>
      <c r="Q24">
        <v>-5.3082542528644465E-2</v>
      </c>
      <c r="R24">
        <v>-6.0521403437572591E-2</v>
      </c>
      <c r="S24">
        <v>-6.8495843217574431E-2</v>
      </c>
      <c r="T24">
        <v>-7.6931207019790351E-2</v>
      </c>
      <c r="U24">
        <v>-8.5824172437211521E-2</v>
      </c>
      <c r="V24">
        <v>-9.516352380878422E-2</v>
      </c>
      <c r="W24">
        <v>-0.10490085705417057</v>
      </c>
      <c r="X24">
        <v>-0.11495414160961029</v>
      </c>
      <c r="Y24">
        <v>-0.12522462561397507</v>
      </c>
      <c r="Z24">
        <v>-0.13561464815759339</v>
      </c>
      <c r="AA24">
        <v>-0.1460408968902312</v>
      </c>
      <c r="AB24">
        <v>-0.15644188361829028</v>
      </c>
      <c r="AC24">
        <v>-0.16678053866974724</v>
      </c>
      <c r="AD24">
        <v>-0.17704333043301432</v>
      </c>
      <c r="AE24">
        <v>-0.18723732920923136</v>
      </c>
      <c r="AF24">
        <v>-0.19738626947088458</v>
      </c>
      <c r="AG24">
        <v>-0.20752639330270237</v>
      </c>
      <c r="AH24">
        <v>-0.21770260073032716</v>
      </c>
      <c r="AI24">
        <v>-0.22796510530214692</v>
      </c>
      <c r="AJ24">
        <v>-0.23836680321383855</v>
      </c>
      <c r="AK24">
        <v>-0.24896131887889866</v>
      </c>
    </row>
    <row r="25" spans="1:37" x14ac:dyDescent="0.25">
      <c r="A25" t="s">
        <v>135</v>
      </c>
      <c r="B25">
        <v>0</v>
      </c>
      <c r="C25">
        <v>2.1687683099262615E-3</v>
      </c>
      <c r="D25">
        <v>4.0265624211144341E-3</v>
      </c>
      <c r="E25">
        <v>4.7914325929475097E-3</v>
      </c>
      <c r="F25">
        <v>4.4664594628584754E-3</v>
      </c>
      <c r="G25">
        <v>3.1807951710291975E-3</v>
      </c>
      <c r="H25">
        <v>-7.3934973113505697E-5</v>
      </c>
      <c r="I25">
        <v>-6.4049606547935288E-3</v>
      </c>
      <c r="J25">
        <v>-1.5550476883721626E-2</v>
      </c>
      <c r="K25">
        <v>-2.6836641379988889E-2</v>
      </c>
      <c r="L25">
        <v>-3.9670208796402769E-2</v>
      </c>
      <c r="M25">
        <v>-5.3693895298208796E-2</v>
      </c>
      <c r="N25">
        <v>-6.8799803706163162E-2</v>
      </c>
      <c r="O25">
        <v>-8.5102599029611009E-2</v>
      </c>
      <c r="P25">
        <v>-0.10291054797933855</v>
      </c>
      <c r="Q25">
        <v>-0.12270277248028133</v>
      </c>
      <c r="R25">
        <v>-0.14578785975824202</v>
      </c>
      <c r="S25">
        <v>-0.17352223980913228</v>
      </c>
      <c r="T25">
        <v>-0.20614789749233189</v>
      </c>
      <c r="U25">
        <v>-0.2434364972575899</v>
      </c>
      <c r="V25">
        <v>-0.28503111511704249</v>
      </c>
      <c r="W25">
        <v>-0.33056725651768409</v>
      </c>
      <c r="X25">
        <v>-0.37969609261439285</v>
      </c>
      <c r="Y25">
        <v>-0.4320753005105552</v>
      </c>
      <c r="Z25">
        <v>-0.48735534654494833</v>
      </c>
      <c r="AA25">
        <v>-0.54517012206335902</v>
      </c>
      <c r="AB25">
        <v>-0.60513344321984563</v>
      </c>
      <c r="AC25">
        <v>-0.66684024693399435</v>
      </c>
      <c r="AD25">
        <v>-0.72987085788497541</v>
      </c>
      <c r="AE25">
        <v>-0.79379690823635118</v>
      </c>
      <c r="AF25">
        <v>-0.85818789360515157</v>
      </c>
      <c r="AG25">
        <v>-0.92261744959165826</v>
      </c>
      <c r="AH25">
        <v>-0.98666908570501266</v>
      </c>
      <c r="AI25">
        <v>-1.049940901887737</v>
      </c>
      <c r="AJ25">
        <v>-1.112049392579292</v>
      </c>
      <c r="AK25">
        <v>-1.1726322991952836</v>
      </c>
    </row>
    <row r="26" spans="1:37" x14ac:dyDescent="0.25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137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138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139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140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141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142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143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144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145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146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147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148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149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150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151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152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153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154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155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156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21" t="s">
        <v>160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1615</v>
      </c>
      <c r="N1" s="425"/>
      <c r="O1" s="425"/>
      <c r="P1" s="425"/>
      <c r="Q1" s="426"/>
    </row>
    <row r="2" spans="2:17" ht="18.75" x14ac:dyDescent="0.3">
      <c r="B2" s="196" t="s">
        <v>1616</v>
      </c>
      <c r="C2" s="197" t="s">
        <v>1617</v>
      </c>
      <c r="D2" s="197"/>
      <c r="E2" s="197" t="s">
        <v>1618</v>
      </c>
      <c r="F2" s="198"/>
      <c r="G2" s="197" t="s">
        <v>1619</v>
      </c>
      <c r="H2" s="197" t="s">
        <v>1617</v>
      </c>
      <c r="I2" s="197" t="s">
        <v>1618</v>
      </c>
      <c r="J2" s="197"/>
      <c r="K2" s="199" t="s">
        <v>1620</v>
      </c>
      <c r="M2" s="200" t="s">
        <v>1621</v>
      </c>
      <c r="N2" s="201"/>
      <c r="O2" s="202"/>
      <c r="P2" s="203" t="s">
        <v>1622</v>
      </c>
      <c r="Q2" s="204"/>
    </row>
    <row r="3" spans="2:17" ht="15" customHeight="1" x14ac:dyDescent="0.25">
      <c r="B3" s="205" t="s">
        <v>624</v>
      </c>
      <c r="C3" s="74" t="s">
        <v>1623</v>
      </c>
      <c r="D3" s="74"/>
      <c r="E3" s="206">
        <v>1</v>
      </c>
      <c r="F3" s="207"/>
      <c r="G3" s="74" t="s">
        <v>758</v>
      </c>
      <c r="H3" s="74" t="s">
        <v>1624</v>
      </c>
      <c r="I3" s="208">
        <v>1</v>
      </c>
      <c r="J3" s="206"/>
      <c r="K3" s="209"/>
      <c r="M3" s="210" t="s">
        <v>1625</v>
      </c>
      <c r="N3" s="75">
        <v>1</v>
      </c>
      <c r="O3" s="207"/>
      <c r="P3" s="211" t="s">
        <v>1626</v>
      </c>
      <c r="Q3" s="212">
        <v>1</v>
      </c>
    </row>
    <row r="4" spans="2:17" ht="15" customHeight="1" x14ac:dyDescent="0.25">
      <c r="B4" s="205" t="s">
        <v>625</v>
      </c>
      <c r="C4" s="74" t="s">
        <v>1627</v>
      </c>
      <c r="D4" s="74"/>
      <c r="E4" s="213"/>
      <c r="F4" s="207"/>
      <c r="G4" s="74" t="s">
        <v>759</v>
      </c>
      <c r="H4" s="74" t="s">
        <v>1628</v>
      </c>
      <c r="I4" s="214"/>
      <c r="J4" s="214"/>
      <c r="K4" s="209"/>
      <c r="M4" s="210" t="s">
        <v>1629</v>
      </c>
      <c r="N4" s="75">
        <v>2</v>
      </c>
      <c r="O4" s="207"/>
      <c r="P4" s="211" t="s">
        <v>1630</v>
      </c>
      <c r="Q4" s="212">
        <v>2</v>
      </c>
    </row>
    <row r="5" spans="2:17" ht="15" customHeight="1" x14ac:dyDescent="0.25">
      <c r="B5" s="205" t="s">
        <v>626</v>
      </c>
      <c r="C5" s="74" t="s">
        <v>1631</v>
      </c>
      <c r="D5" s="74"/>
      <c r="E5" s="206">
        <v>2</v>
      </c>
      <c r="F5" s="207"/>
      <c r="G5" s="74" t="s">
        <v>760</v>
      </c>
      <c r="H5" s="74" t="s">
        <v>1632</v>
      </c>
      <c r="I5" s="206">
        <v>2</v>
      </c>
      <c r="J5" s="206"/>
      <c r="K5" s="215"/>
      <c r="M5" s="216" t="s">
        <v>1633</v>
      </c>
      <c r="N5" s="75">
        <v>3</v>
      </c>
      <c r="O5" s="207"/>
      <c r="P5" s="211" t="s">
        <v>1633</v>
      </c>
      <c r="Q5" s="212">
        <v>3</v>
      </c>
    </row>
    <row r="6" spans="2:17" ht="15" customHeight="1" x14ac:dyDescent="0.25">
      <c r="B6" s="205" t="s">
        <v>627</v>
      </c>
      <c r="C6" s="74" t="s">
        <v>1634</v>
      </c>
      <c r="D6" s="74"/>
      <c r="E6" s="206">
        <v>3</v>
      </c>
      <c r="F6" s="207"/>
      <c r="G6" s="74" t="s">
        <v>761</v>
      </c>
      <c r="H6" s="74" t="s">
        <v>1635</v>
      </c>
      <c r="I6" s="206">
        <v>3</v>
      </c>
      <c r="J6" s="206"/>
      <c r="K6" s="209"/>
      <c r="M6" s="216" t="s">
        <v>1636</v>
      </c>
      <c r="N6" s="75">
        <v>4</v>
      </c>
      <c r="O6" s="207"/>
      <c r="P6" s="211" t="s">
        <v>1636</v>
      </c>
      <c r="Q6" s="212">
        <v>4</v>
      </c>
    </row>
    <row r="7" spans="2:17" ht="15" customHeight="1" x14ac:dyDescent="0.25">
      <c r="B7" s="205" t="s">
        <v>628</v>
      </c>
      <c r="C7" s="74" t="s">
        <v>1637</v>
      </c>
      <c r="D7" s="74"/>
      <c r="E7" s="75" t="s">
        <v>1638</v>
      </c>
      <c r="F7" s="207"/>
      <c r="G7" s="74" t="s">
        <v>762</v>
      </c>
      <c r="H7" s="74" t="s">
        <v>1639</v>
      </c>
      <c r="I7" s="217" t="s">
        <v>1640</v>
      </c>
      <c r="J7" s="206"/>
      <c r="K7" s="215" t="s">
        <v>1641</v>
      </c>
      <c r="M7" s="216" t="s">
        <v>1642</v>
      </c>
      <c r="N7" s="75">
        <v>5</v>
      </c>
      <c r="O7" s="207"/>
      <c r="P7" s="211" t="s">
        <v>1642</v>
      </c>
      <c r="Q7" s="212">
        <v>5</v>
      </c>
    </row>
    <row r="8" spans="2:17" ht="15" customHeight="1" x14ac:dyDescent="0.25">
      <c r="B8" s="205" t="s">
        <v>629</v>
      </c>
      <c r="C8" s="74" t="s">
        <v>1643</v>
      </c>
      <c r="D8" s="74"/>
      <c r="E8" s="206">
        <v>6</v>
      </c>
      <c r="F8" s="207"/>
      <c r="G8" s="74" t="s">
        <v>763</v>
      </c>
      <c r="H8" s="74" t="s">
        <v>1644</v>
      </c>
      <c r="I8" s="206">
        <v>6</v>
      </c>
      <c r="J8" s="206"/>
      <c r="K8" s="215" t="s">
        <v>1641</v>
      </c>
      <c r="M8" s="216" t="s">
        <v>1645</v>
      </c>
      <c r="N8" s="75">
        <v>6</v>
      </c>
      <c r="O8" s="207"/>
      <c r="P8" s="211" t="s">
        <v>1645</v>
      </c>
      <c r="Q8" s="212">
        <v>6</v>
      </c>
    </row>
    <row r="9" spans="2:17" ht="15" customHeight="1" x14ac:dyDescent="0.25">
      <c r="B9" s="205" t="s">
        <v>630</v>
      </c>
      <c r="C9" s="74" t="s">
        <v>1646</v>
      </c>
      <c r="D9" s="74"/>
      <c r="E9" s="206" t="s">
        <v>1647</v>
      </c>
      <c r="F9" s="207"/>
      <c r="G9" s="74" t="s">
        <v>764</v>
      </c>
      <c r="H9" s="74" t="s">
        <v>1648</v>
      </c>
      <c r="I9" s="206" t="s">
        <v>1647</v>
      </c>
      <c r="J9" s="206"/>
      <c r="K9" s="215" t="s">
        <v>1641</v>
      </c>
      <c r="M9" s="216" t="s">
        <v>1649</v>
      </c>
      <c r="N9" s="75">
        <v>7</v>
      </c>
      <c r="O9" s="207"/>
      <c r="P9" s="211" t="s">
        <v>1649</v>
      </c>
      <c r="Q9" s="212">
        <v>7</v>
      </c>
    </row>
    <row r="10" spans="2:17" ht="15" customHeight="1" x14ac:dyDescent="0.25">
      <c r="B10" s="205" t="s">
        <v>631</v>
      </c>
      <c r="C10" s="74" t="s">
        <v>1650</v>
      </c>
      <c r="D10" s="74"/>
      <c r="E10" s="206">
        <v>9</v>
      </c>
      <c r="F10" s="207"/>
      <c r="G10" s="74" t="s">
        <v>765</v>
      </c>
      <c r="H10" s="74" t="s">
        <v>1651</v>
      </c>
      <c r="I10" s="206">
        <v>9</v>
      </c>
      <c r="J10" s="206"/>
      <c r="K10" s="215" t="s">
        <v>1641</v>
      </c>
      <c r="M10" s="216" t="s">
        <v>1652</v>
      </c>
      <c r="N10" s="75">
        <v>8</v>
      </c>
      <c r="O10" s="207"/>
      <c r="P10" s="211" t="s">
        <v>1652</v>
      </c>
      <c r="Q10" s="212">
        <v>8</v>
      </c>
    </row>
    <row r="11" spans="2:17" ht="15" customHeight="1" x14ac:dyDescent="0.25">
      <c r="B11" s="205" t="s">
        <v>632</v>
      </c>
      <c r="C11" s="74" t="s">
        <v>1653</v>
      </c>
      <c r="D11" s="74"/>
      <c r="E11" s="206" t="s">
        <v>1654</v>
      </c>
      <c r="F11" s="207"/>
      <c r="G11" s="74" t="s">
        <v>766</v>
      </c>
      <c r="H11" s="74" t="s">
        <v>1655</v>
      </c>
      <c r="I11" s="206" t="s">
        <v>1654</v>
      </c>
      <c r="J11" s="206"/>
      <c r="K11" s="215" t="s">
        <v>1641</v>
      </c>
      <c r="M11" s="216" t="s">
        <v>1656</v>
      </c>
      <c r="N11" s="75">
        <v>9</v>
      </c>
      <c r="O11" s="207"/>
      <c r="P11" s="211" t="s">
        <v>1656</v>
      </c>
      <c r="Q11" s="212">
        <v>9</v>
      </c>
    </row>
    <row r="12" spans="2:17" ht="15" customHeight="1" x14ac:dyDescent="0.25">
      <c r="B12" s="205" t="s">
        <v>633</v>
      </c>
      <c r="C12" s="74" t="s">
        <v>1657</v>
      </c>
      <c r="D12" s="74"/>
      <c r="E12" s="206">
        <v>12</v>
      </c>
      <c r="F12" s="207"/>
      <c r="G12" s="74" t="s">
        <v>767</v>
      </c>
      <c r="H12" s="74" t="s">
        <v>1658</v>
      </c>
      <c r="I12" s="206">
        <v>12</v>
      </c>
      <c r="J12" s="206"/>
      <c r="K12" s="209"/>
      <c r="M12" s="216" t="s">
        <v>1659</v>
      </c>
      <c r="N12" s="75">
        <v>10</v>
      </c>
      <c r="O12" s="207"/>
      <c r="P12" s="211" t="s">
        <v>1659</v>
      </c>
      <c r="Q12" s="212">
        <v>10</v>
      </c>
    </row>
    <row r="13" spans="2:17" ht="15" customHeight="1" x14ac:dyDescent="0.25">
      <c r="B13" s="205" t="s">
        <v>634</v>
      </c>
      <c r="C13" s="74" t="s">
        <v>1660</v>
      </c>
      <c r="D13" s="74"/>
      <c r="E13" s="206">
        <v>12</v>
      </c>
      <c r="F13" s="207"/>
      <c r="G13" s="74" t="s">
        <v>768</v>
      </c>
      <c r="H13" s="74" t="s">
        <v>1661</v>
      </c>
      <c r="I13" s="206">
        <v>12</v>
      </c>
      <c r="J13" s="206"/>
      <c r="K13" s="209"/>
      <c r="M13" s="216" t="s">
        <v>1662</v>
      </c>
      <c r="N13" s="75">
        <v>11</v>
      </c>
      <c r="O13" s="207"/>
      <c r="P13" s="211" t="s">
        <v>1662</v>
      </c>
      <c r="Q13" s="212">
        <v>11</v>
      </c>
    </row>
    <row r="14" spans="2:17" ht="15" customHeight="1" x14ac:dyDescent="0.25">
      <c r="B14" s="205" t="s">
        <v>635</v>
      </c>
      <c r="C14" s="74" t="s">
        <v>1663</v>
      </c>
      <c r="D14" s="74"/>
      <c r="E14" s="206">
        <v>13</v>
      </c>
      <c r="F14" s="207"/>
      <c r="G14" s="74" t="s">
        <v>769</v>
      </c>
      <c r="H14" s="74" t="s">
        <v>1664</v>
      </c>
      <c r="I14" s="206">
        <v>13</v>
      </c>
      <c r="J14" s="206"/>
      <c r="K14" s="209"/>
      <c r="M14" s="216" t="s">
        <v>1665</v>
      </c>
      <c r="N14" s="75">
        <v>12</v>
      </c>
      <c r="O14" s="207"/>
      <c r="P14" s="211" t="s">
        <v>1665</v>
      </c>
      <c r="Q14" s="212">
        <v>12</v>
      </c>
    </row>
    <row r="15" spans="2:17" ht="15" customHeight="1" x14ac:dyDescent="0.25">
      <c r="B15" s="205" t="s">
        <v>636</v>
      </c>
      <c r="C15" s="74" t="s">
        <v>1666</v>
      </c>
      <c r="D15" s="74"/>
      <c r="E15" s="206">
        <v>14</v>
      </c>
      <c r="F15" s="207"/>
      <c r="G15" s="74" t="s">
        <v>636</v>
      </c>
      <c r="H15" s="74" t="s">
        <v>1667</v>
      </c>
      <c r="I15" s="206">
        <v>14</v>
      </c>
      <c r="J15" s="206"/>
      <c r="K15" s="209"/>
      <c r="M15" s="216" t="s">
        <v>1668</v>
      </c>
      <c r="N15" s="75">
        <v>13</v>
      </c>
      <c r="O15" s="207"/>
      <c r="P15" s="211" t="s">
        <v>1668</v>
      </c>
      <c r="Q15" s="212">
        <v>13</v>
      </c>
    </row>
    <row r="16" spans="2:17" ht="15" customHeight="1" x14ac:dyDescent="0.25">
      <c r="B16" s="205" t="s">
        <v>637</v>
      </c>
      <c r="C16" s="74" t="s">
        <v>1669</v>
      </c>
      <c r="D16" s="74"/>
      <c r="E16" s="208" t="s">
        <v>1670</v>
      </c>
      <c r="F16" s="207"/>
      <c r="G16" s="74" t="s">
        <v>637</v>
      </c>
      <c r="H16" s="74" t="s">
        <v>1671</v>
      </c>
      <c r="I16" s="208" t="s">
        <v>1670</v>
      </c>
      <c r="J16" s="206"/>
      <c r="K16" s="209"/>
      <c r="M16" s="218" t="s">
        <v>1672</v>
      </c>
      <c r="N16" s="75">
        <v>14</v>
      </c>
      <c r="O16" s="207"/>
      <c r="P16" s="211" t="s">
        <v>1672</v>
      </c>
      <c r="Q16" s="212">
        <v>14</v>
      </c>
    </row>
    <row r="17" spans="2:17" ht="15" customHeight="1" x14ac:dyDescent="0.25">
      <c r="B17" s="205" t="s">
        <v>638</v>
      </c>
      <c r="C17" s="74" t="s">
        <v>1673</v>
      </c>
      <c r="D17" s="74"/>
      <c r="E17" s="206">
        <v>17</v>
      </c>
      <c r="F17" s="207"/>
      <c r="G17" s="74" t="s">
        <v>638</v>
      </c>
      <c r="H17" s="74" t="s">
        <v>1674</v>
      </c>
      <c r="I17" s="206">
        <v>17</v>
      </c>
      <c r="J17" s="206"/>
      <c r="K17" s="209"/>
      <c r="M17" s="218" t="s">
        <v>1675</v>
      </c>
      <c r="N17" s="75">
        <v>15</v>
      </c>
      <c r="O17" s="207"/>
      <c r="P17" s="211" t="s">
        <v>1675</v>
      </c>
      <c r="Q17" s="212">
        <v>15</v>
      </c>
    </row>
    <row r="18" spans="2:17" ht="15" customHeight="1" x14ac:dyDescent="0.25">
      <c r="B18" s="205" t="s">
        <v>639</v>
      </c>
      <c r="C18" s="74" t="s">
        <v>1676</v>
      </c>
      <c r="D18" s="74"/>
      <c r="E18" s="206">
        <v>18</v>
      </c>
      <c r="F18" s="207"/>
      <c r="G18" s="74" t="s">
        <v>639</v>
      </c>
      <c r="H18" s="74" t="s">
        <v>1677</v>
      </c>
      <c r="I18" s="206">
        <v>18</v>
      </c>
      <c r="J18" s="206"/>
      <c r="K18" s="215" t="s">
        <v>1641</v>
      </c>
      <c r="M18" s="218" t="s">
        <v>1678</v>
      </c>
      <c r="N18" s="75">
        <v>16</v>
      </c>
      <c r="O18" s="207"/>
      <c r="P18" s="211" t="s">
        <v>1678</v>
      </c>
      <c r="Q18" s="212">
        <v>16</v>
      </c>
    </row>
    <row r="19" spans="2:17" ht="15" customHeight="1" x14ac:dyDescent="0.25">
      <c r="B19" s="205" t="s">
        <v>640</v>
      </c>
      <c r="C19" s="74" t="s">
        <v>1679</v>
      </c>
      <c r="D19" s="74"/>
      <c r="E19" s="206">
        <v>19</v>
      </c>
      <c r="F19" s="207"/>
      <c r="G19" s="74" t="s">
        <v>640</v>
      </c>
      <c r="H19" s="74" t="s">
        <v>1680</v>
      </c>
      <c r="I19" s="206">
        <v>19</v>
      </c>
      <c r="J19" s="206"/>
      <c r="K19" s="209"/>
      <c r="M19" s="218" t="s">
        <v>1681</v>
      </c>
      <c r="N19" s="75">
        <v>17</v>
      </c>
      <c r="O19" s="207"/>
      <c r="P19" s="211" t="s">
        <v>1681</v>
      </c>
      <c r="Q19" s="212">
        <v>17</v>
      </c>
    </row>
    <row r="20" spans="2:17" ht="15" customHeight="1" x14ac:dyDescent="0.25">
      <c r="B20" s="205" t="s">
        <v>641</v>
      </c>
      <c r="C20" s="74" t="s">
        <v>1682</v>
      </c>
      <c r="D20" s="74"/>
      <c r="E20" s="206">
        <v>20</v>
      </c>
      <c r="F20" s="207"/>
      <c r="G20" s="74" t="s">
        <v>641</v>
      </c>
      <c r="H20" s="74" t="s">
        <v>1683</v>
      </c>
      <c r="I20" s="206">
        <v>20</v>
      </c>
      <c r="J20" s="206"/>
      <c r="K20" s="209"/>
      <c r="M20" s="218" t="s">
        <v>1684</v>
      </c>
      <c r="N20" s="75">
        <v>18</v>
      </c>
      <c r="O20" s="207"/>
      <c r="P20" s="211" t="s">
        <v>1684</v>
      </c>
      <c r="Q20" s="212">
        <v>18</v>
      </c>
    </row>
    <row r="21" spans="2:17" ht="15" customHeight="1" x14ac:dyDescent="0.25">
      <c r="B21" s="205" t="s">
        <v>642</v>
      </c>
      <c r="C21" s="74" t="s">
        <v>1685</v>
      </c>
      <c r="D21" s="74"/>
      <c r="F21" s="207"/>
      <c r="G21" s="74" t="s">
        <v>770</v>
      </c>
      <c r="H21" s="74" t="s">
        <v>1686</v>
      </c>
      <c r="I21" s="217">
        <v>21</v>
      </c>
      <c r="J21" s="217"/>
      <c r="K21" s="215" t="s">
        <v>1641</v>
      </c>
      <c r="M21" s="216" t="s">
        <v>1687</v>
      </c>
      <c r="N21" s="75">
        <v>19</v>
      </c>
      <c r="O21" s="207"/>
      <c r="P21" s="211" t="s">
        <v>1687</v>
      </c>
      <c r="Q21" s="212">
        <v>19</v>
      </c>
    </row>
    <row r="22" spans="2:17" ht="15" customHeight="1" x14ac:dyDescent="0.25">
      <c r="B22" s="205" t="s">
        <v>530</v>
      </c>
      <c r="C22" s="74" t="s">
        <v>1688</v>
      </c>
      <c r="D22" s="74"/>
      <c r="E22" s="217">
        <v>21</v>
      </c>
      <c r="F22" s="207"/>
      <c r="G22" s="219" t="s">
        <v>486</v>
      </c>
      <c r="H22" s="219" t="s">
        <v>1689</v>
      </c>
      <c r="I22" s="220" t="s">
        <v>1690</v>
      </c>
      <c r="J22" s="220" t="s">
        <v>1691</v>
      </c>
      <c r="K22" s="215" t="s">
        <v>1641</v>
      </c>
      <c r="M22" s="216" t="s">
        <v>1692</v>
      </c>
      <c r="N22" s="75">
        <v>20</v>
      </c>
      <c r="O22" s="207"/>
      <c r="P22" s="211" t="s">
        <v>1692</v>
      </c>
      <c r="Q22" s="212">
        <v>20</v>
      </c>
    </row>
    <row r="23" spans="2:17" ht="15" customHeight="1" x14ac:dyDescent="0.25">
      <c r="B23" s="221" t="s">
        <v>531</v>
      </c>
      <c r="C23" s="222" t="s">
        <v>1693</v>
      </c>
      <c r="D23" s="222" t="s">
        <v>162</v>
      </c>
      <c r="E23" s="217">
        <v>22</v>
      </c>
      <c r="F23" s="207"/>
      <c r="G23" s="219" t="s">
        <v>487</v>
      </c>
      <c r="H23" s="219" t="s">
        <v>1694</v>
      </c>
      <c r="I23" s="220" t="s">
        <v>1695</v>
      </c>
      <c r="J23" s="220" t="s">
        <v>1691</v>
      </c>
      <c r="K23" s="215" t="s">
        <v>1641</v>
      </c>
      <c r="M23" s="216" t="s">
        <v>1696</v>
      </c>
      <c r="N23" s="75">
        <v>21</v>
      </c>
      <c r="O23" s="207"/>
      <c r="P23" s="223" t="s">
        <v>1697</v>
      </c>
      <c r="Q23" s="224">
        <v>21</v>
      </c>
    </row>
    <row r="24" spans="2:17" ht="15" customHeight="1" x14ac:dyDescent="0.25">
      <c r="B24" s="221" t="s">
        <v>532</v>
      </c>
      <c r="C24" s="222" t="s">
        <v>1698</v>
      </c>
      <c r="D24" s="222" t="s">
        <v>162</v>
      </c>
      <c r="E24" s="217">
        <v>22</v>
      </c>
      <c r="F24" s="207"/>
      <c r="G24" s="219" t="s">
        <v>490</v>
      </c>
      <c r="H24" s="219" t="s">
        <v>1699</v>
      </c>
      <c r="I24" s="220" t="s">
        <v>1700</v>
      </c>
      <c r="J24" s="220" t="s">
        <v>1691</v>
      </c>
      <c r="K24" s="215" t="s">
        <v>1641</v>
      </c>
      <c r="M24" s="216" t="s">
        <v>1701</v>
      </c>
      <c r="N24" s="75">
        <v>22</v>
      </c>
      <c r="O24" s="207"/>
      <c r="P24" s="225" t="s">
        <v>170</v>
      </c>
      <c r="Q24" s="226" t="s">
        <v>1690</v>
      </c>
    </row>
    <row r="25" spans="2:17" ht="15" customHeight="1" x14ac:dyDescent="0.25">
      <c r="B25" s="221" t="s">
        <v>533</v>
      </c>
      <c r="C25" s="222" t="s">
        <v>1702</v>
      </c>
      <c r="D25" s="222" t="s">
        <v>162</v>
      </c>
      <c r="E25" s="217">
        <v>22</v>
      </c>
      <c r="F25" s="207"/>
      <c r="G25" s="219" t="s">
        <v>491</v>
      </c>
      <c r="H25" s="219" t="s">
        <v>1703</v>
      </c>
      <c r="I25" s="220" t="s">
        <v>1704</v>
      </c>
      <c r="J25" s="220" t="s">
        <v>1691</v>
      </c>
      <c r="K25" s="215" t="s">
        <v>1641</v>
      </c>
      <c r="M25" s="216" t="s">
        <v>1705</v>
      </c>
      <c r="N25" s="75">
        <v>23</v>
      </c>
      <c r="O25" s="207"/>
      <c r="P25" s="225" t="s">
        <v>1706</v>
      </c>
      <c r="Q25" s="226" t="s">
        <v>1695</v>
      </c>
    </row>
    <row r="26" spans="2:17" ht="15" customHeight="1" x14ac:dyDescent="0.25">
      <c r="B26" s="300" t="s">
        <v>534</v>
      </c>
      <c r="C26" s="227" t="s">
        <v>1707</v>
      </c>
      <c r="D26" s="227" t="s">
        <v>164</v>
      </c>
      <c r="E26" s="217">
        <v>24</v>
      </c>
      <c r="F26" s="207"/>
      <c r="G26" s="228" t="s">
        <v>494</v>
      </c>
      <c r="H26" s="228" t="s">
        <v>1708</v>
      </c>
      <c r="I26" s="229" t="s">
        <v>1709</v>
      </c>
      <c r="J26" s="229" t="s">
        <v>1710</v>
      </c>
      <c r="K26" s="215" t="s">
        <v>1641</v>
      </c>
      <c r="M26" s="216" t="s">
        <v>1711</v>
      </c>
      <c r="N26" s="75">
        <v>24</v>
      </c>
      <c r="O26" s="207"/>
      <c r="P26" s="230" t="s">
        <v>1712</v>
      </c>
      <c r="Q26" s="231" t="s">
        <v>1709</v>
      </c>
    </row>
    <row r="27" spans="2:17" ht="15" customHeight="1" x14ac:dyDescent="0.25">
      <c r="B27" s="232" t="s">
        <v>535</v>
      </c>
      <c r="C27" s="233" t="s">
        <v>1713</v>
      </c>
      <c r="D27" s="233" t="s">
        <v>1714</v>
      </c>
      <c r="E27" s="217">
        <v>23</v>
      </c>
      <c r="F27" s="207"/>
      <c r="G27" s="228" t="s">
        <v>495</v>
      </c>
      <c r="H27" s="228" t="s">
        <v>1715</v>
      </c>
      <c r="I27" s="229" t="s">
        <v>1716</v>
      </c>
      <c r="J27" s="229" t="s">
        <v>1710</v>
      </c>
      <c r="K27" s="215" t="s">
        <v>1641</v>
      </c>
      <c r="M27" s="234"/>
      <c r="N27" s="75"/>
      <c r="O27" s="207"/>
      <c r="P27" s="230" t="s">
        <v>1717</v>
      </c>
      <c r="Q27" s="231" t="s">
        <v>1716</v>
      </c>
    </row>
    <row r="28" spans="2:17" ht="15" customHeight="1" x14ac:dyDescent="0.25">
      <c r="B28" s="205" t="s">
        <v>536</v>
      </c>
      <c r="C28" s="74" t="s">
        <v>1718</v>
      </c>
      <c r="D28" s="74"/>
      <c r="E28" s="235"/>
      <c r="F28" s="207"/>
      <c r="G28" s="228" t="s">
        <v>496</v>
      </c>
      <c r="H28" s="228" t="s">
        <v>1719</v>
      </c>
      <c r="I28" s="229" t="s">
        <v>1720</v>
      </c>
      <c r="J28" s="229" t="s">
        <v>1710</v>
      </c>
      <c r="K28" s="215" t="s">
        <v>1641</v>
      </c>
      <c r="M28" s="234"/>
      <c r="N28" s="75"/>
      <c r="O28" s="207"/>
      <c r="P28" s="230" t="s">
        <v>1721</v>
      </c>
      <c r="Q28" s="231" t="s">
        <v>1720</v>
      </c>
    </row>
    <row r="29" spans="2:17" ht="15" customHeight="1" x14ac:dyDescent="0.25">
      <c r="B29" s="205" t="s">
        <v>537</v>
      </c>
      <c r="C29" s="74" t="s">
        <v>1722</v>
      </c>
      <c r="D29" s="74"/>
      <c r="E29" s="235"/>
      <c r="F29" s="207"/>
      <c r="G29" s="228" t="s">
        <v>497</v>
      </c>
      <c r="H29" s="228" t="s">
        <v>1723</v>
      </c>
      <c r="I29" s="229" t="s">
        <v>1724</v>
      </c>
      <c r="J29" s="229" t="s">
        <v>1710</v>
      </c>
      <c r="K29" s="215" t="s">
        <v>1641</v>
      </c>
      <c r="M29" s="234"/>
      <c r="N29" s="75"/>
      <c r="O29" s="207"/>
      <c r="P29" s="230" t="s">
        <v>1725</v>
      </c>
      <c r="Q29" s="231" t="s">
        <v>1724</v>
      </c>
    </row>
    <row r="30" spans="2:17" ht="15" customHeight="1" x14ac:dyDescent="0.25">
      <c r="B30" s="205" t="s">
        <v>538</v>
      </c>
      <c r="C30" s="74" t="s">
        <v>1726</v>
      </c>
      <c r="D30" s="74"/>
      <c r="E30" s="235"/>
      <c r="F30" s="207"/>
      <c r="G30" s="228" t="s">
        <v>498</v>
      </c>
      <c r="H30" s="228" t="s">
        <v>1727</v>
      </c>
      <c r="I30" s="229" t="s">
        <v>1728</v>
      </c>
      <c r="J30" s="229" t="s">
        <v>1710</v>
      </c>
      <c r="K30" s="215" t="s">
        <v>1641</v>
      </c>
      <c r="M30" s="234"/>
      <c r="N30" s="75"/>
      <c r="O30" s="207"/>
      <c r="P30" s="230" t="s">
        <v>1729</v>
      </c>
      <c r="Q30" s="231" t="s">
        <v>1728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499</v>
      </c>
      <c r="H31" s="228" t="s">
        <v>1730</v>
      </c>
      <c r="I31" s="229" t="s">
        <v>1731</v>
      </c>
      <c r="J31" s="229" t="s">
        <v>1710</v>
      </c>
      <c r="K31" s="215" t="s">
        <v>1641</v>
      </c>
      <c r="M31" s="234"/>
      <c r="N31" s="75"/>
      <c r="O31" s="207"/>
      <c r="P31" s="230" t="s">
        <v>1732</v>
      </c>
      <c r="Q31" s="231" t="s">
        <v>1731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500</v>
      </c>
      <c r="H32" s="228" t="s">
        <v>1733</v>
      </c>
      <c r="I32" s="229" t="s">
        <v>1734</v>
      </c>
      <c r="J32" s="229" t="s">
        <v>1710</v>
      </c>
      <c r="K32" s="215" t="s">
        <v>1641</v>
      </c>
      <c r="M32" s="234"/>
      <c r="N32" s="75"/>
      <c r="O32" s="207"/>
      <c r="P32" s="230" t="s">
        <v>1735</v>
      </c>
      <c r="Q32" s="231" t="s">
        <v>1734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501</v>
      </c>
      <c r="H33" s="228" t="s">
        <v>1736</v>
      </c>
      <c r="I33" s="236" t="s">
        <v>1737</v>
      </c>
      <c r="J33" s="229" t="s">
        <v>1710</v>
      </c>
      <c r="K33" s="215" t="s">
        <v>1641</v>
      </c>
      <c r="M33" s="234"/>
      <c r="N33" s="75"/>
      <c r="O33" s="207"/>
      <c r="P33" s="230" t="s">
        <v>1738</v>
      </c>
      <c r="Q33" s="231" t="s">
        <v>1739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502</v>
      </c>
      <c r="H34" s="240" t="s">
        <v>1740</v>
      </c>
      <c r="I34" s="241"/>
      <c r="J34" s="242" t="s">
        <v>1710</v>
      </c>
      <c r="K34" s="243" t="s">
        <v>1641</v>
      </c>
      <c r="M34" s="234"/>
      <c r="N34" s="75"/>
      <c r="O34" s="207"/>
      <c r="P34" s="244" t="s">
        <v>1741</v>
      </c>
      <c r="Q34" s="245" t="s">
        <v>1700</v>
      </c>
    </row>
    <row r="35" spans="2:17" ht="15" customHeight="1" x14ac:dyDescent="0.25">
      <c r="M35" s="234"/>
      <c r="N35" s="75"/>
      <c r="O35" s="207"/>
      <c r="P35" s="246" t="s">
        <v>1742</v>
      </c>
      <c r="Q35" s="247" t="s">
        <v>1743</v>
      </c>
    </row>
    <row r="36" spans="2:17" ht="15" customHeight="1" x14ac:dyDescent="0.25">
      <c r="M36" s="234"/>
      <c r="N36" s="75"/>
      <c r="O36" s="207"/>
      <c r="P36" s="244" t="s">
        <v>1744</v>
      </c>
      <c r="Q36" s="245" t="s">
        <v>1704</v>
      </c>
    </row>
    <row r="37" spans="2:17" ht="15" customHeight="1" x14ac:dyDescent="0.25">
      <c r="M37" s="234"/>
      <c r="N37" s="75"/>
      <c r="O37" s="207"/>
      <c r="P37" s="244" t="s">
        <v>1745</v>
      </c>
      <c r="Q37" s="245" t="s">
        <v>1746</v>
      </c>
    </row>
    <row r="38" spans="2:17" ht="15" customHeight="1" x14ac:dyDescent="0.25">
      <c r="M38" s="234"/>
      <c r="N38" s="75"/>
      <c r="O38" s="207"/>
      <c r="P38" s="244" t="s">
        <v>1747</v>
      </c>
      <c r="Q38" s="245" t="s">
        <v>1748</v>
      </c>
    </row>
    <row r="39" spans="2:17" ht="15" customHeight="1" x14ac:dyDescent="0.25">
      <c r="M39" s="237"/>
      <c r="N39" s="238"/>
      <c r="O39" s="239"/>
      <c r="P39" s="248" t="s">
        <v>1738</v>
      </c>
      <c r="Q39" s="249" t="s">
        <v>1749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1750</v>
      </c>
      <c r="C1" s="251" t="s">
        <v>1751</v>
      </c>
      <c r="D1" s="252" t="s">
        <v>1752</v>
      </c>
      <c r="E1" s="253" t="str">
        <f>C1</f>
        <v>Acronym</v>
      </c>
    </row>
    <row r="2" spans="2:5" x14ac:dyDescent="0.25">
      <c r="B2" s="254" t="s">
        <v>758</v>
      </c>
      <c r="C2" s="255" t="s">
        <v>1624</v>
      </c>
      <c r="D2" s="256" t="s">
        <v>624</v>
      </c>
      <c r="E2" s="257" t="s">
        <v>1623</v>
      </c>
    </row>
    <row r="3" spans="2:5" x14ac:dyDescent="0.25">
      <c r="B3" s="258"/>
      <c r="C3" s="259"/>
      <c r="D3" s="260" t="s">
        <v>1753</v>
      </c>
      <c r="E3" s="261" t="s">
        <v>1722</v>
      </c>
    </row>
    <row r="4" spans="2:5" x14ac:dyDescent="0.25">
      <c r="B4" s="262" t="s">
        <v>759</v>
      </c>
      <c r="C4" s="263" t="s">
        <v>1628</v>
      </c>
      <c r="D4" s="264" t="s">
        <v>625</v>
      </c>
      <c r="E4" s="265" t="s">
        <v>1627</v>
      </c>
    </row>
    <row r="5" spans="2:5" x14ac:dyDescent="0.25">
      <c r="B5" s="262" t="s">
        <v>760</v>
      </c>
      <c r="C5" s="263" t="s">
        <v>1632</v>
      </c>
      <c r="D5" s="264" t="s">
        <v>626</v>
      </c>
      <c r="E5" s="265" t="s">
        <v>1631</v>
      </c>
    </row>
    <row r="6" spans="2:5" x14ac:dyDescent="0.25">
      <c r="B6" s="262" t="s">
        <v>761</v>
      </c>
      <c r="C6" s="263" t="s">
        <v>1635</v>
      </c>
      <c r="D6" s="264" t="s">
        <v>627</v>
      </c>
      <c r="E6" s="265" t="s">
        <v>1634</v>
      </c>
    </row>
    <row r="7" spans="2:5" x14ac:dyDescent="0.25">
      <c r="B7" s="262" t="s">
        <v>762</v>
      </c>
      <c r="C7" s="263" t="s">
        <v>1639</v>
      </c>
      <c r="D7" s="264" t="s">
        <v>628</v>
      </c>
      <c r="E7" s="265" t="s">
        <v>1637</v>
      </c>
    </row>
    <row r="8" spans="2:5" x14ac:dyDescent="0.25">
      <c r="B8" s="262" t="s">
        <v>763</v>
      </c>
      <c r="C8" s="263" t="s">
        <v>1644</v>
      </c>
      <c r="D8" s="264" t="s">
        <v>629</v>
      </c>
      <c r="E8" s="265" t="s">
        <v>1643</v>
      </c>
    </row>
    <row r="9" spans="2:5" x14ac:dyDescent="0.25">
      <c r="B9" s="262" t="s">
        <v>764</v>
      </c>
      <c r="C9" s="263" t="s">
        <v>1648</v>
      </c>
      <c r="D9" s="264" t="s">
        <v>630</v>
      </c>
      <c r="E9" s="265" t="s">
        <v>1646</v>
      </c>
    </row>
    <row r="10" spans="2:5" x14ac:dyDescent="0.25">
      <c r="B10" s="262" t="s">
        <v>765</v>
      </c>
      <c r="C10" s="263" t="s">
        <v>1651</v>
      </c>
      <c r="D10" s="264" t="s">
        <v>631</v>
      </c>
      <c r="E10" s="265" t="s">
        <v>1650</v>
      </c>
    </row>
    <row r="11" spans="2:5" x14ac:dyDescent="0.25">
      <c r="B11" s="262" t="s">
        <v>766</v>
      </c>
      <c r="C11" s="263" t="s">
        <v>1655</v>
      </c>
      <c r="D11" s="264" t="s">
        <v>632</v>
      </c>
      <c r="E11" s="265" t="s">
        <v>1653</v>
      </c>
    </row>
    <row r="12" spans="2:5" x14ac:dyDescent="0.25">
      <c r="B12" s="262" t="s">
        <v>767</v>
      </c>
      <c r="C12" s="263" t="s">
        <v>1658</v>
      </c>
      <c r="D12" s="264" t="s">
        <v>633</v>
      </c>
      <c r="E12" s="265" t="s">
        <v>1657</v>
      </c>
    </row>
    <row r="13" spans="2:5" x14ac:dyDescent="0.25">
      <c r="B13" s="262" t="s">
        <v>768</v>
      </c>
      <c r="C13" s="263" t="s">
        <v>1661</v>
      </c>
      <c r="D13" s="264" t="s">
        <v>634</v>
      </c>
      <c r="E13" s="265" t="s">
        <v>1660</v>
      </c>
    </row>
    <row r="14" spans="2:5" ht="15.75" thickBot="1" x14ac:dyDescent="0.3">
      <c r="B14" s="258" t="s">
        <v>769</v>
      </c>
      <c r="C14" s="259" t="s">
        <v>1664</v>
      </c>
      <c r="D14" s="260" t="s">
        <v>635</v>
      </c>
      <c r="E14" s="266" t="s">
        <v>1663</v>
      </c>
    </row>
    <row r="15" spans="2:5" x14ac:dyDescent="0.25">
      <c r="B15" s="267" t="s">
        <v>636</v>
      </c>
      <c r="C15" s="268" t="s">
        <v>1667</v>
      </c>
      <c r="D15" s="269" t="s">
        <v>636</v>
      </c>
      <c r="E15" s="270" t="s">
        <v>1666</v>
      </c>
    </row>
    <row r="16" spans="2:5" x14ac:dyDescent="0.25">
      <c r="B16" s="271" t="s">
        <v>637</v>
      </c>
      <c r="C16" s="263" t="s">
        <v>1671</v>
      </c>
      <c r="D16" s="264" t="s">
        <v>637</v>
      </c>
      <c r="E16" s="272" t="s">
        <v>1669</v>
      </c>
    </row>
    <row r="17" spans="1:5" x14ac:dyDescent="0.25">
      <c r="B17" s="271" t="s">
        <v>638</v>
      </c>
      <c r="C17" s="263" t="s">
        <v>1674</v>
      </c>
      <c r="D17" s="264" t="s">
        <v>638</v>
      </c>
      <c r="E17" s="272" t="s">
        <v>1673</v>
      </c>
    </row>
    <row r="18" spans="1:5" ht="15.75" thickBot="1" x14ac:dyDescent="0.3">
      <c r="B18" s="273" t="s">
        <v>639</v>
      </c>
      <c r="C18" s="274" t="s">
        <v>1677</v>
      </c>
      <c r="D18" s="275" t="s">
        <v>639</v>
      </c>
      <c r="E18" s="276" t="s">
        <v>1676</v>
      </c>
    </row>
    <row r="19" spans="1:5" x14ac:dyDescent="0.25">
      <c r="B19" s="258" t="s">
        <v>640</v>
      </c>
      <c r="C19" s="259" t="s">
        <v>1680</v>
      </c>
      <c r="D19" s="260" t="s">
        <v>640</v>
      </c>
      <c r="E19" s="266" t="s">
        <v>1679</v>
      </c>
    </row>
    <row r="20" spans="1:5" ht="15.75" thickBot="1" x14ac:dyDescent="0.3">
      <c r="B20" s="277" t="s">
        <v>641</v>
      </c>
      <c r="C20" s="278" t="s">
        <v>1683</v>
      </c>
      <c r="D20" s="279" t="s">
        <v>641</v>
      </c>
      <c r="E20" s="280" t="s">
        <v>1682</v>
      </c>
    </row>
    <row r="21" spans="1:5" x14ac:dyDescent="0.25">
      <c r="B21" s="281" t="s">
        <v>770</v>
      </c>
      <c r="C21" s="282" t="s">
        <v>1686</v>
      </c>
      <c r="D21" s="283" t="s">
        <v>642</v>
      </c>
      <c r="E21" s="284" t="s">
        <v>1685</v>
      </c>
    </row>
    <row r="22" spans="1:5" x14ac:dyDescent="0.25">
      <c r="B22" s="285"/>
      <c r="C22" s="259"/>
      <c r="D22" s="260" t="s">
        <v>530</v>
      </c>
      <c r="E22" s="286" t="s">
        <v>1688</v>
      </c>
    </row>
    <row r="23" spans="1:5" x14ac:dyDescent="0.25">
      <c r="B23" s="285"/>
      <c r="C23" s="259"/>
      <c r="D23" s="260" t="s">
        <v>1754</v>
      </c>
      <c r="E23" s="286" t="s">
        <v>1755</v>
      </c>
    </row>
    <row r="24" spans="1:5" x14ac:dyDescent="0.25">
      <c r="B24" s="285"/>
      <c r="C24" s="259"/>
      <c r="D24" s="260" t="s">
        <v>531</v>
      </c>
      <c r="E24" s="286" t="s">
        <v>1693</v>
      </c>
    </row>
    <row r="25" spans="1:5" x14ac:dyDescent="0.25">
      <c r="B25" s="285"/>
      <c r="C25" s="259"/>
      <c r="D25" s="287" t="s">
        <v>1756</v>
      </c>
      <c r="E25" s="288" t="s">
        <v>1757</v>
      </c>
    </row>
    <row r="26" spans="1:5" x14ac:dyDescent="0.25">
      <c r="A26" s="427" t="s">
        <v>1758</v>
      </c>
      <c r="B26" s="289" t="s">
        <v>486</v>
      </c>
      <c r="C26" s="278" t="s">
        <v>1689</v>
      </c>
      <c r="D26" s="279" t="s">
        <v>532</v>
      </c>
      <c r="E26" s="290" t="s">
        <v>1698</v>
      </c>
    </row>
    <row r="27" spans="1:5" x14ac:dyDescent="0.25">
      <c r="A27" s="427"/>
      <c r="B27" s="285" t="s">
        <v>487</v>
      </c>
      <c r="C27" s="291" t="s">
        <v>1694</v>
      </c>
      <c r="D27" s="260" t="s">
        <v>533</v>
      </c>
      <c r="E27" s="286" t="s">
        <v>1702</v>
      </c>
    </row>
    <row r="28" spans="1:5" x14ac:dyDescent="0.25">
      <c r="A28" s="427"/>
      <c r="B28" s="292"/>
      <c r="C28" s="293"/>
      <c r="D28" s="294" t="s">
        <v>1759</v>
      </c>
      <c r="E28" s="295" t="s">
        <v>1760</v>
      </c>
    </row>
    <row r="29" spans="1:5" x14ac:dyDescent="0.25">
      <c r="A29" s="427"/>
      <c r="B29" s="285" t="s">
        <v>490</v>
      </c>
      <c r="C29" s="259" t="s">
        <v>1699</v>
      </c>
      <c r="D29" s="287" t="s">
        <v>534</v>
      </c>
      <c r="E29" s="288" t="s">
        <v>1707</v>
      </c>
    </row>
    <row r="30" spans="1:5" x14ac:dyDescent="0.25">
      <c r="A30" s="427"/>
      <c r="B30" s="285" t="s">
        <v>491</v>
      </c>
      <c r="C30" s="259" t="s">
        <v>1703</v>
      </c>
      <c r="D30" s="260" t="s">
        <v>1761</v>
      </c>
      <c r="E30" s="286" t="s">
        <v>1762</v>
      </c>
    </row>
    <row r="31" spans="1:5" x14ac:dyDescent="0.25">
      <c r="A31" s="428" t="s">
        <v>1763</v>
      </c>
      <c r="B31" s="289" t="s">
        <v>1764</v>
      </c>
      <c r="C31" s="278" t="s">
        <v>1765</v>
      </c>
      <c r="D31" s="279"/>
      <c r="E31" s="290"/>
    </row>
    <row r="32" spans="1:5" x14ac:dyDescent="0.25">
      <c r="A32" s="428"/>
      <c r="B32" s="285" t="s">
        <v>494</v>
      </c>
      <c r="C32" s="259" t="s">
        <v>1708</v>
      </c>
      <c r="D32" s="260"/>
      <c r="E32" s="286"/>
    </row>
    <row r="33" spans="1:5" x14ac:dyDescent="0.25">
      <c r="A33" s="428"/>
      <c r="B33" s="285" t="s">
        <v>495</v>
      </c>
      <c r="C33" s="259" t="s">
        <v>1715</v>
      </c>
      <c r="D33" s="260"/>
      <c r="E33" s="286"/>
    </row>
    <row r="34" spans="1:5" x14ac:dyDescent="0.25">
      <c r="A34" s="428"/>
      <c r="B34" s="285" t="s">
        <v>496</v>
      </c>
      <c r="C34" s="259" t="s">
        <v>1719</v>
      </c>
      <c r="D34" s="260" t="s">
        <v>535</v>
      </c>
      <c r="E34" s="286" t="s">
        <v>1713</v>
      </c>
    </row>
    <row r="35" spans="1:5" x14ac:dyDescent="0.25">
      <c r="A35" s="428"/>
      <c r="B35" s="285" t="s">
        <v>497</v>
      </c>
      <c r="C35" s="259" t="s">
        <v>1723</v>
      </c>
      <c r="D35" s="260"/>
      <c r="E35" s="286"/>
    </row>
    <row r="36" spans="1:5" x14ac:dyDescent="0.25">
      <c r="A36" s="428"/>
      <c r="B36" s="285" t="s">
        <v>498</v>
      </c>
      <c r="C36" s="259" t="s">
        <v>1727</v>
      </c>
      <c r="D36" s="260"/>
      <c r="E36" s="286"/>
    </row>
    <row r="37" spans="1:5" x14ac:dyDescent="0.25">
      <c r="A37" s="428"/>
      <c r="B37" s="285" t="s">
        <v>499</v>
      </c>
      <c r="C37" s="259" t="s">
        <v>1730</v>
      </c>
      <c r="D37" s="260"/>
      <c r="E37" s="286"/>
    </row>
    <row r="38" spans="1:5" x14ac:dyDescent="0.25">
      <c r="A38" s="428"/>
      <c r="B38" s="285" t="s">
        <v>500</v>
      </c>
      <c r="C38" s="259" t="s">
        <v>1733</v>
      </c>
      <c r="D38" s="260" t="s">
        <v>536</v>
      </c>
      <c r="E38" s="286" t="s">
        <v>1718</v>
      </c>
    </row>
    <row r="39" spans="1:5" x14ac:dyDescent="0.25">
      <c r="A39" s="428"/>
      <c r="B39" s="285" t="s">
        <v>501</v>
      </c>
      <c r="C39" s="259" t="s">
        <v>1736</v>
      </c>
      <c r="D39" s="260"/>
      <c r="E39" s="286"/>
    </row>
    <row r="40" spans="1:5" ht="15.75" thickBot="1" x14ac:dyDescent="0.3">
      <c r="A40" s="428"/>
      <c r="B40" s="296" t="s">
        <v>502</v>
      </c>
      <c r="C40" s="297" t="s">
        <v>1740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Results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2021-07-20T14:28:56Z</dcterms:modified>
</cp:coreProperties>
</file>