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deline.gueret\Documents\GITHUB\THREEME_V3\results\"/>
    </mc:Choice>
  </mc:AlternateContent>
  <bookViews>
    <workbookView xWindow="480" yWindow="480" windowWidth="19410" windowHeight="11010" tabRatio="701" firstSheet="1" activeTab="7"/>
  </bookViews>
  <sheets>
    <sheet name="ResultsEXR10" sheetId="7" r:id="rId1"/>
    <sheet name="ResultsEXPG1" sheetId="13" r:id="rId2"/>
    <sheet name="ResultsRSSC1" sheetId="18" r:id="rId3"/>
    <sheet name="ResultsVAT1" sheetId="26" r:id="rId4"/>
    <sheet name="ResultsINCT1" sheetId="27" r:id="rId5"/>
    <sheet name="ResultsWD1" sheetId="30" r:id="rId6"/>
    <sheet name="ResultsFF10" sheetId="31" r:id="rId7"/>
    <sheet name="ResultsCT1" sheetId="34" r:id="rId8"/>
    <sheet name="CT1" sheetId="35" state="hidden" r:id="rId9"/>
    <sheet name="WD1" sheetId="32" state="hidden" r:id="rId10"/>
    <sheet name="FF10" sheetId="33" state="hidden" r:id="rId11"/>
    <sheet name="VAT1" sheetId="28" state="hidden" r:id="rId12"/>
    <sheet name="INCT1" sheetId="29" state="hidden" r:id="rId13"/>
    <sheet name="EXPG1" sheetId="25" state="hidden" r:id="rId14"/>
    <sheet name="CSE" sheetId="19" state="hidden" r:id="rId15"/>
    <sheet name="ELEC" sheetId="20" state="hidden" r:id="rId16"/>
    <sheet name="EXR10" sheetId="12" state="hidden" r:id="rId17"/>
    <sheet name="RSSC1" sheetId="15" state="hidden" r:id="rId18"/>
    <sheet name="ResultsCSE" sheetId="16" state="hidden" r:id="rId19"/>
    <sheet name="ResultsELEC" sheetId="17" state="hidden" r:id="rId20"/>
    <sheet name="VAT" sheetId="22" state="hidden" r:id="rId21"/>
    <sheet name="IAPU" sheetId="23" state="hidden" r:id="rId22"/>
    <sheet name="ResultsVAT" sheetId="21" state="hidden" r:id="rId23"/>
    <sheet name="ResultsIAPU" sheetId="24" state="hidden" r:id="rId24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9" i="7" l="1" a="1"/>
  <c r="F47" i="7" s="1"/>
  <c r="B29" i="13" a="1"/>
  <c r="E47" i="13" s="1"/>
  <c r="D41" i="18"/>
  <c r="E40" i="18"/>
  <c r="F39" i="18"/>
  <c r="F38" i="18"/>
  <c r="G37" i="18"/>
  <c r="B37" i="18"/>
  <c r="B36" i="18"/>
  <c r="C35" i="18"/>
  <c r="D34" i="18"/>
  <c r="D33" i="18"/>
  <c r="E32" i="18"/>
  <c r="F31" i="18"/>
  <c r="F30" i="18"/>
  <c r="G29" i="18"/>
  <c r="B29" i="18"/>
  <c r="B29" i="18" a="1"/>
  <c r="E47" i="18" s="1"/>
  <c r="G47" i="26"/>
  <c r="F47" i="26"/>
  <c r="C47" i="26"/>
  <c r="B47" i="26"/>
  <c r="F46" i="26"/>
  <c r="D46" i="26"/>
  <c r="B46" i="26"/>
  <c r="G45" i="26"/>
  <c r="D45" i="26"/>
  <c r="C45" i="26"/>
  <c r="B45" i="26"/>
  <c r="E44" i="26"/>
  <c r="D44" i="26"/>
  <c r="B44" i="26"/>
  <c r="F43" i="26"/>
  <c r="D43" i="26"/>
  <c r="C43" i="26"/>
  <c r="F42" i="26"/>
  <c r="E42" i="26"/>
  <c r="D42" i="26"/>
  <c r="G41" i="26"/>
  <c r="F41" i="26"/>
  <c r="D41" i="26"/>
  <c r="B41" i="26"/>
  <c r="F40" i="26"/>
  <c r="E40" i="26"/>
  <c r="B40" i="26"/>
  <c r="G39" i="26"/>
  <c r="F39" i="26"/>
  <c r="C39" i="26"/>
  <c r="B39" i="26"/>
  <c r="F38" i="26"/>
  <c r="D38" i="26"/>
  <c r="B38" i="26"/>
  <c r="G37" i="26"/>
  <c r="D37" i="26"/>
  <c r="C37" i="26"/>
  <c r="B37" i="26"/>
  <c r="E36" i="26"/>
  <c r="D36" i="26"/>
  <c r="B36" i="26"/>
  <c r="F35" i="26"/>
  <c r="D35" i="26"/>
  <c r="C35" i="26"/>
  <c r="F34" i="26"/>
  <c r="E34" i="26"/>
  <c r="D34" i="26"/>
  <c r="G33" i="26"/>
  <c r="F33" i="26"/>
  <c r="D33" i="26"/>
  <c r="B33" i="26"/>
  <c r="F32" i="26"/>
  <c r="E32" i="26"/>
  <c r="B32" i="26"/>
  <c r="G31" i="26"/>
  <c r="F31" i="26"/>
  <c r="C31" i="26"/>
  <c r="B31" i="26"/>
  <c r="F30" i="26"/>
  <c r="D30" i="26"/>
  <c r="B30" i="26"/>
  <c r="G29" i="26"/>
  <c r="D29" i="26"/>
  <c r="C29" i="26"/>
  <c r="B29" i="26"/>
  <c r="B29" i="26" a="1"/>
  <c r="E47" i="26" s="1"/>
  <c r="B29" i="27" a="1"/>
  <c r="G47" i="27" s="1"/>
  <c r="B29" i="30" a="1"/>
  <c r="B29" i="31" a="1"/>
  <c r="G47" i="31" s="1"/>
  <c r="B29" i="34" a="1"/>
  <c r="G47" i="34" s="1"/>
  <c r="E47" i="30" l="1"/>
  <c r="C47" i="30"/>
  <c r="D46" i="30"/>
  <c r="D45" i="30"/>
  <c r="E44" i="30"/>
  <c r="F43" i="30"/>
  <c r="F42" i="30"/>
  <c r="G41" i="30"/>
  <c r="B41" i="30"/>
  <c r="B40" i="30"/>
  <c r="C39" i="30"/>
  <c r="D38" i="30"/>
  <c r="D37" i="30"/>
  <c r="E36" i="30"/>
  <c r="F35" i="30"/>
  <c r="F34" i="30"/>
  <c r="G33" i="30"/>
  <c r="B33" i="30"/>
  <c r="B32" i="30"/>
  <c r="C31" i="30"/>
  <c r="D30" i="30"/>
  <c r="D29" i="30"/>
  <c r="G47" i="30"/>
  <c r="B47" i="30"/>
  <c r="B46" i="30"/>
  <c r="C45" i="30"/>
  <c r="D44" i="30"/>
  <c r="D43" i="30"/>
  <c r="E42" i="30"/>
  <c r="F41" i="30"/>
  <c r="F40" i="30"/>
  <c r="G39" i="30"/>
  <c r="B39" i="30"/>
  <c r="B38" i="30"/>
  <c r="C37" i="30"/>
  <c r="D36" i="30"/>
  <c r="D35" i="30"/>
  <c r="E34" i="30"/>
  <c r="F33" i="30"/>
  <c r="F32" i="30"/>
  <c r="G31" i="30"/>
  <c r="B31" i="30"/>
  <c r="B30" i="30"/>
  <c r="C29" i="30"/>
  <c r="F47" i="30"/>
  <c r="F46" i="30"/>
  <c r="G45" i="30"/>
  <c r="B45" i="30"/>
  <c r="B44" i="30"/>
  <c r="C43" i="30"/>
  <c r="D42" i="30"/>
  <c r="D41" i="30"/>
  <c r="E40" i="30"/>
  <c r="F39" i="30"/>
  <c r="F38" i="30"/>
  <c r="G37" i="30"/>
  <c r="B37" i="30"/>
  <c r="B36" i="30"/>
  <c r="C35" i="30"/>
  <c r="D34" i="30"/>
  <c r="D33" i="30"/>
  <c r="E32" i="30"/>
  <c r="F31" i="30"/>
  <c r="F30" i="30"/>
  <c r="G29" i="30"/>
  <c r="B29" i="30"/>
  <c r="D47" i="30"/>
  <c r="E46" i="30"/>
  <c r="F45" i="30"/>
  <c r="F44" i="30"/>
  <c r="G43" i="30"/>
  <c r="B43" i="30"/>
  <c r="B42" i="30"/>
  <c r="C41" i="30"/>
  <c r="D40" i="30"/>
  <c r="D39" i="30"/>
  <c r="E38" i="30"/>
  <c r="F37" i="30"/>
  <c r="F36" i="30"/>
  <c r="G35" i="30"/>
  <c r="B35" i="30"/>
  <c r="B34" i="30"/>
  <c r="C33" i="30"/>
  <c r="D32" i="30"/>
  <c r="D31" i="30"/>
  <c r="E30" i="30"/>
  <c r="F29" i="30"/>
  <c r="F29" i="26"/>
  <c r="E30" i="26"/>
  <c r="D31" i="26"/>
  <c r="D32" i="26"/>
  <c r="C33" i="26"/>
  <c r="B34" i="26"/>
  <c r="B35" i="26"/>
  <c r="G35" i="26"/>
  <c r="F36" i="26"/>
  <c r="F37" i="26"/>
  <c r="E38" i="26"/>
  <c r="D39" i="26"/>
  <c r="D40" i="26"/>
  <c r="C41" i="26"/>
  <c r="B42" i="26"/>
  <c r="B43" i="26"/>
  <c r="G43" i="26"/>
  <c r="F44" i="26"/>
  <c r="F45" i="26"/>
  <c r="E46" i="26"/>
  <c r="D47" i="26"/>
  <c r="D42" i="18"/>
  <c r="C43" i="18"/>
  <c r="B44" i="18"/>
  <c r="B45" i="18"/>
  <c r="G45" i="18"/>
  <c r="F46" i="18"/>
  <c r="F47" i="18"/>
  <c r="C29" i="18"/>
  <c r="B30" i="18"/>
  <c r="B31" i="18"/>
  <c r="G31" i="18"/>
  <c r="F32" i="18"/>
  <c r="F33" i="18"/>
  <c r="E34" i="18"/>
  <c r="D35" i="18"/>
  <c r="D36" i="18"/>
  <c r="C37" i="18"/>
  <c r="B38" i="18"/>
  <c r="B39" i="18"/>
  <c r="G39" i="18"/>
  <c r="F40" i="18"/>
  <c r="F41" i="18"/>
  <c r="E42" i="18"/>
  <c r="D43" i="18"/>
  <c r="D44" i="18"/>
  <c r="C45" i="18"/>
  <c r="B46" i="18"/>
  <c r="B47" i="18"/>
  <c r="G47" i="18"/>
  <c r="D29" i="18"/>
  <c r="D30" i="18"/>
  <c r="C31" i="18"/>
  <c r="B32" i="18"/>
  <c r="B33" i="18"/>
  <c r="G33" i="18"/>
  <c r="F34" i="18"/>
  <c r="F35" i="18"/>
  <c r="E36" i="18"/>
  <c r="D37" i="18"/>
  <c r="D38" i="18"/>
  <c r="C39" i="18"/>
  <c r="B40" i="18"/>
  <c r="B41" i="18"/>
  <c r="G41" i="18"/>
  <c r="F42" i="18"/>
  <c r="F43" i="18"/>
  <c r="E44" i="18"/>
  <c r="D45" i="18"/>
  <c r="D46" i="18"/>
  <c r="C47" i="18"/>
  <c r="F29" i="18"/>
  <c r="E30" i="18"/>
  <c r="D31" i="18"/>
  <c r="D32" i="18"/>
  <c r="C33" i="18"/>
  <c r="B34" i="18"/>
  <c r="B35" i="18"/>
  <c r="G35" i="18"/>
  <c r="F36" i="18"/>
  <c r="F37" i="18"/>
  <c r="E38" i="18"/>
  <c r="D39" i="18"/>
  <c r="D40" i="18"/>
  <c r="C41" i="18"/>
  <c r="B42" i="18"/>
  <c r="B43" i="18"/>
  <c r="G43" i="18"/>
  <c r="F44" i="18"/>
  <c r="F45" i="18"/>
  <c r="E46" i="18"/>
  <c r="D47" i="18"/>
  <c r="F29" i="7"/>
  <c r="E30" i="7"/>
  <c r="D31" i="7"/>
  <c r="D32" i="7"/>
  <c r="C33" i="7"/>
  <c r="B34" i="7"/>
  <c r="B35" i="7"/>
  <c r="G35" i="7"/>
  <c r="F36" i="7"/>
  <c r="F37" i="7"/>
  <c r="E38" i="7"/>
  <c r="D39" i="7"/>
  <c r="D40" i="7"/>
  <c r="C41" i="7"/>
  <c r="B42" i="7"/>
  <c r="B43" i="7"/>
  <c r="G43" i="7"/>
  <c r="F44" i="7"/>
  <c r="F45" i="7"/>
  <c r="F46" i="7"/>
  <c r="B29" i="7"/>
  <c r="G29" i="7"/>
  <c r="F30" i="7"/>
  <c r="F31" i="7"/>
  <c r="E32" i="7"/>
  <c r="D33" i="7"/>
  <c r="D34" i="7"/>
  <c r="C35" i="7"/>
  <c r="B36" i="7"/>
  <c r="B37" i="7"/>
  <c r="G37" i="7"/>
  <c r="F38" i="7"/>
  <c r="F39" i="7"/>
  <c r="E40" i="7"/>
  <c r="D41" i="7"/>
  <c r="D42" i="7"/>
  <c r="C43" i="7"/>
  <c r="B44" i="7"/>
  <c r="B45" i="7"/>
  <c r="G45" i="7"/>
  <c r="C47" i="7"/>
  <c r="C29" i="7"/>
  <c r="B30" i="7"/>
  <c r="B31" i="7"/>
  <c r="G31" i="7"/>
  <c r="F32" i="7"/>
  <c r="F33" i="7"/>
  <c r="E34" i="7"/>
  <c r="D35" i="7"/>
  <c r="D36" i="7"/>
  <c r="C37" i="7"/>
  <c r="B38" i="7"/>
  <c r="B39" i="7"/>
  <c r="G39" i="7"/>
  <c r="F40" i="7"/>
  <c r="F41" i="7"/>
  <c r="E42" i="7"/>
  <c r="D43" i="7"/>
  <c r="D44" i="7"/>
  <c r="C45" i="7"/>
  <c r="B46" i="7"/>
  <c r="D47" i="7"/>
  <c r="D29" i="7"/>
  <c r="D30" i="7"/>
  <c r="C31" i="7"/>
  <c r="B32" i="7"/>
  <c r="B33" i="7"/>
  <c r="G33" i="7"/>
  <c r="F34" i="7"/>
  <c r="F35" i="7"/>
  <c r="E36" i="7"/>
  <c r="D37" i="7"/>
  <c r="D38" i="7"/>
  <c r="C39" i="7"/>
  <c r="B40" i="7"/>
  <c r="B41" i="7"/>
  <c r="G41" i="7"/>
  <c r="F42" i="7"/>
  <c r="F43" i="7"/>
  <c r="E44" i="7"/>
  <c r="D45" i="7"/>
  <c r="E46" i="7"/>
  <c r="G47" i="7"/>
  <c r="D29" i="13"/>
  <c r="D30" i="13"/>
  <c r="C31" i="13"/>
  <c r="B32" i="13"/>
  <c r="B33" i="13"/>
  <c r="G33" i="13"/>
  <c r="F34" i="13"/>
  <c r="F35" i="13"/>
  <c r="E36" i="13"/>
  <c r="D37" i="13"/>
  <c r="D38" i="13"/>
  <c r="C39" i="13"/>
  <c r="B40" i="13"/>
  <c r="B41" i="13"/>
  <c r="G41" i="13"/>
  <c r="F42" i="13"/>
  <c r="F43" i="13"/>
  <c r="E44" i="13"/>
  <c r="D45" i="13"/>
  <c r="D46" i="13"/>
  <c r="C47" i="13"/>
  <c r="F29" i="13"/>
  <c r="D31" i="13"/>
  <c r="C33" i="13"/>
  <c r="B35" i="13"/>
  <c r="F36" i="13"/>
  <c r="E38" i="13"/>
  <c r="D40" i="13"/>
  <c r="B42" i="13"/>
  <c r="G43" i="13"/>
  <c r="F44" i="13"/>
  <c r="E46" i="13"/>
  <c r="B29" i="13"/>
  <c r="G29" i="13"/>
  <c r="F30" i="13"/>
  <c r="F31" i="13"/>
  <c r="E32" i="13"/>
  <c r="D33" i="13"/>
  <c r="D34" i="13"/>
  <c r="C35" i="13"/>
  <c r="B36" i="13"/>
  <c r="B37" i="13"/>
  <c r="G37" i="13"/>
  <c r="F38" i="13"/>
  <c r="F39" i="13"/>
  <c r="E40" i="13"/>
  <c r="D41" i="13"/>
  <c r="D42" i="13"/>
  <c r="C43" i="13"/>
  <c r="B44" i="13"/>
  <c r="B45" i="13"/>
  <c r="G45" i="13"/>
  <c r="F46" i="13"/>
  <c r="F47" i="13"/>
  <c r="E30" i="13"/>
  <c r="D32" i="13"/>
  <c r="B34" i="13"/>
  <c r="G35" i="13"/>
  <c r="F37" i="13"/>
  <c r="D39" i="13"/>
  <c r="C41" i="13"/>
  <c r="B43" i="13"/>
  <c r="F45" i="13"/>
  <c r="D47" i="13"/>
  <c r="C29" i="13"/>
  <c r="B30" i="13"/>
  <c r="B31" i="13"/>
  <c r="G31" i="13"/>
  <c r="F32" i="13"/>
  <c r="F33" i="13"/>
  <c r="E34" i="13"/>
  <c r="D35" i="13"/>
  <c r="D36" i="13"/>
  <c r="C37" i="13"/>
  <c r="B38" i="13"/>
  <c r="B39" i="13"/>
  <c r="G39" i="13"/>
  <c r="F40" i="13"/>
  <c r="F41" i="13"/>
  <c r="E42" i="13"/>
  <c r="D43" i="13"/>
  <c r="D44" i="13"/>
  <c r="C45" i="13"/>
  <c r="B46" i="13"/>
  <c r="B47" i="13"/>
  <c r="G47" i="13"/>
  <c r="D29" i="34"/>
  <c r="E29" i="7"/>
  <c r="C30" i="7"/>
  <c r="G30" i="7"/>
  <c r="E31" i="7"/>
  <c r="C32" i="7"/>
  <c r="G32" i="7"/>
  <c r="E33" i="7"/>
  <c r="C34" i="7"/>
  <c r="G34" i="7"/>
  <c r="E35" i="7"/>
  <c r="C36" i="7"/>
  <c r="G36" i="7"/>
  <c r="E37" i="7"/>
  <c r="C38" i="7"/>
  <c r="G38" i="7"/>
  <c r="E39" i="7"/>
  <c r="C40" i="7"/>
  <c r="G40" i="7"/>
  <c r="E41" i="7"/>
  <c r="C42" i="7"/>
  <c r="G42" i="7"/>
  <c r="E43" i="7"/>
  <c r="C44" i="7"/>
  <c r="G44" i="7"/>
  <c r="E45" i="7"/>
  <c r="C46" i="7"/>
  <c r="G46" i="7"/>
  <c r="E47" i="7"/>
  <c r="D46" i="7"/>
  <c r="B47" i="7"/>
  <c r="E29" i="13"/>
  <c r="C30" i="13"/>
  <c r="G30" i="13"/>
  <c r="E31" i="13"/>
  <c r="C32" i="13"/>
  <c r="G32" i="13"/>
  <c r="E33" i="13"/>
  <c r="C34" i="13"/>
  <c r="G34" i="13"/>
  <c r="E35" i="13"/>
  <c r="C36" i="13"/>
  <c r="G36" i="13"/>
  <c r="E37" i="13"/>
  <c r="C38" i="13"/>
  <c r="G38" i="13"/>
  <c r="E39" i="13"/>
  <c r="C40" i="13"/>
  <c r="G40" i="13"/>
  <c r="E41" i="13"/>
  <c r="C42" i="13"/>
  <c r="G42" i="13"/>
  <c r="E43" i="13"/>
  <c r="C44" i="13"/>
  <c r="G44" i="13"/>
  <c r="E45" i="13"/>
  <c r="C46" i="13"/>
  <c r="G46" i="13"/>
  <c r="E29" i="18"/>
  <c r="C30" i="18"/>
  <c r="G30" i="18"/>
  <c r="E31" i="18"/>
  <c r="C32" i="18"/>
  <c r="G32" i="18"/>
  <c r="E33" i="18"/>
  <c r="C34" i="18"/>
  <c r="G34" i="18"/>
  <c r="E35" i="18"/>
  <c r="C36" i="18"/>
  <c r="G36" i="18"/>
  <c r="E37" i="18"/>
  <c r="C38" i="18"/>
  <c r="G38" i="18"/>
  <c r="E39" i="18"/>
  <c r="C40" i="18"/>
  <c r="G40" i="18"/>
  <c r="E41" i="18"/>
  <c r="C42" i="18"/>
  <c r="G42" i="18"/>
  <c r="E43" i="18"/>
  <c r="C44" i="18"/>
  <c r="G44" i="18"/>
  <c r="E45" i="18"/>
  <c r="C46" i="18"/>
  <c r="G46" i="18"/>
  <c r="E29" i="26"/>
  <c r="C30" i="26"/>
  <c r="G30" i="26"/>
  <c r="E31" i="26"/>
  <c r="C32" i="26"/>
  <c r="G32" i="26"/>
  <c r="E33" i="26"/>
  <c r="C34" i="26"/>
  <c r="G34" i="26"/>
  <c r="E35" i="26"/>
  <c r="C36" i="26"/>
  <c r="G36" i="26"/>
  <c r="E37" i="26"/>
  <c r="C38" i="26"/>
  <c r="G38" i="26"/>
  <c r="E39" i="26"/>
  <c r="C40" i="26"/>
  <c r="G40" i="26"/>
  <c r="E41" i="26"/>
  <c r="C42" i="26"/>
  <c r="G42" i="26"/>
  <c r="E43" i="26"/>
  <c r="C44" i="26"/>
  <c r="G44" i="26"/>
  <c r="E45" i="26"/>
  <c r="C46" i="26"/>
  <c r="G46" i="26"/>
  <c r="E29" i="27"/>
  <c r="C30" i="27"/>
  <c r="G30" i="27"/>
  <c r="E31" i="27"/>
  <c r="C32" i="27"/>
  <c r="G32" i="27"/>
  <c r="E33" i="27"/>
  <c r="C34" i="27"/>
  <c r="G34" i="27"/>
  <c r="E35" i="27"/>
  <c r="C36" i="27"/>
  <c r="G36" i="27"/>
  <c r="E37" i="27"/>
  <c r="C38" i="27"/>
  <c r="G38" i="27"/>
  <c r="E39" i="27"/>
  <c r="C40" i="27"/>
  <c r="G40" i="27"/>
  <c r="E41" i="27"/>
  <c r="C42" i="27"/>
  <c r="G42" i="27"/>
  <c r="E43" i="27"/>
  <c r="C44" i="27"/>
  <c r="G44" i="27"/>
  <c r="E45" i="27"/>
  <c r="C46" i="27"/>
  <c r="G46" i="27"/>
  <c r="E47" i="27"/>
  <c r="G29" i="27"/>
  <c r="E30" i="27"/>
  <c r="G31" i="27"/>
  <c r="E32" i="27"/>
  <c r="C33" i="27"/>
  <c r="E34" i="27"/>
  <c r="C35" i="27"/>
  <c r="E36" i="27"/>
  <c r="C37" i="27"/>
  <c r="C39" i="27"/>
  <c r="D29" i="27"/>
  <c r="B30" i="27"/>
  <c r="F30" i="27"/>
  <c r="D31" i="27"/>
  <c r="B32" i="27"/>
  <c r="F32" i="27"/>
  <c r="D33" i="27"/>
  <c r="B34" i="27"/>
  <c r="F34" i="27"/>
  <c r="D35" i="27"/>
  <c r="B36" i="27"/>
  <c r="F36" i="27"/>
  <c r="D37" i="27"/>
  <c r="B38" i="27"/>
  <c r="F38" i="27"/>
  <c r="D39" i="27"/>
  <c r="B40" i="27"/>
  <c r="F40" i="27"/>
  <c r="D41" i="27"/>
  <c r="B42" i="27"/>
  <c r="F42" i="27"/>
  <c r="D43" i="27"/>
  <c r="B44" i="27"/>
  <c r="F44" i="27"/>
  <c r="D45" i="27"/>
  <c r="B46" i="27"/>
  <c r="F46" i="27"/>
  <c r="D47" i="27"/>
  <c r="B29" i="27"/>
  <c r="F29" i="27"/>
  <c r="D30" i="27"/>
  <c r="B31" i="27"/>
  <c r="F31" i="27"/>
  <c r="D32" i="27"/>
  <c r="B33" i="27"/>
  <c r="F33" i="27"/>
  <c r="D34" i="27"/>
  <c r="B35" i="27"/>
  <c r="F35" i="27"/>
  <c r="D36" i="27"/>
  <c r="B37" i="27"/>
  <c r="F37" i="27"/>
  <c r="D38" i="27"/>
  <c r="B39" i="27"/>
  <c r="F39" i="27"/>
  <c r="D40" i="27"/>
  <c r="B41" i="27"/>
  <c r="F41" i="27"/>
  <c r="D42" i="27"/>
  <c r="B43" i="27"/>
  <c r="F43" i="27"/>
  <c r="D44" i="27"/>
  <c r="B45" i="27"/>
  <c r="F45" i="27"/>
  <c r="D46" i="27"/>
  <c r="B47" i="27"/>
  <c r="F47" i="27"/>
  <c r="C29" i="27"/>
  <c r="C31" i="27"/>
  <c r="G33" i="27"/>
  <c r="G35" i="27"/>
  <c r="G37" i="27"/>
  <c r="E38" i="27"/>
  <c r="G39" i="27"/>
  <c r="E40" i="27"/>
  <c r="C41" i="27"/>
  <c r="G41" i="27"/>
  <c r="E42" i="27"/>
  <c r="C43" i="27"/>
  <c r="G43" i="27"/>
  <c r="E44" i="27"/>
  <c r="C45" i="27"/>
  <c r="G45" i="27"/>
  <c r="E46" i="27"/>
  <c r="C47" i="27"/>
  <c r="E29" i="30"/>
  <c r="C30" i="30"/>
  <c r="G30" i="30"/>
  <c r="E31" i="30"/>
  <c r="C32" i="30"/>
  <c r="G32" i="30"/>
  <c r="E33" i="30"/>
  <c r="C34" i="30"/>
  <c r="G34" i="30"/>
  <c r="E35" i="30"/>
  <c r="C36" i="30"/>
  <c r="G36" i="30"/>
  <c r="E37" i="30"/>
  <c r="C38" i="30"/>
  <c r="G38" i="30"/>
  <c r="E39" i="30"/>
  <c r="C40" i="30"/>
  <c r="G40" i="30"/>
  <c r="E41" i="30"/>
  <c r="C42" i="30"/>
  <c r="G42" i="30"/>
  <c r="E43" i="30"/>
  <c r="C44" i="30"/>
  <c r="G44" i="30"/>
  <c r="E45" i="30"/>
  <c r="C46" i="30"/>
  <c r="G46" i="30"/>
  <c r="G30" i="31"/>
  <c r="D29" i="31"/>
  <c r="B30" i="31"/>
  <c r="F30" i="31"/>
  <c r="D31" i="31"/>
  <c r="B32" i="31"/>
  <c r="F32" i="31"/>
  <c r="D33" i="31"/>
  <c r="B34" i="31"/>
  <c r="F34" i="31"/>
  <c r="D35" i="31"/>
  <c r="B36" i="31"/>
  <c r="F36" i="31"/>
  <c r="D37" i="31"/>
  <c r="B38" i="31"/>
  <c r="F38" i="31"/>
  <c r="D39" i="31"/>
  <c r="B40" i="31"/>
  <c r="F40" i="31"/>
  <c r="D41" i="31"/>
  <c r="B42" i="31"/>
  <c r="F42" i="31"/>
  <c r="D43" i="31"/>
  <c r="B44" i="31"/>
  <c r="F44" i="31"/>
  <c r="D45" i="31"/>
  <c r="B46" i="31"/>
  <c r="F46" i="31"/>
  <c r="D47" i="31"/>
  <c r="E29" i="31"/>
  <c r="C30" i="31"/>
  <c r="E31" i="31"/>
  <c r="C32" i="31"/>
  <c r="G32" i="31"/>
  <c r="E33" i="31"/>
  <c r="C34" i="31"/>
  <c r="G34" i="31"/>
  <c r="E35" i="31"/>
  <c r="C36" i="31"/>
  <c r="G36" i="31"/>
  <c r="E37" i="31"/>
  <c r="C38" i="31"/>
  <c r="G38" i="31"/>
  <c r="E39" i="31"/>
  <c r="C40" i="31"/>
  <c r="G40" i="31"/>
  <c r="E41" i="31"/>
  <c r="C42" i="31"/>
  <c r="G42" i="31"/>
  <c r="E43" i="31"/>
  <c r="C44" i="31"/>
  <c r="G44" i="31"/>
  <c r="E45" i="31"/>
  <c r="C46" i="31"/>
  <c r="G46" i="31"/>
  <c r="E47" i="31"/>
  <c r="B29" i="31"/>
  <c r="F29" i="31"/>
  <c r="D30" i="31"/>
  <c r="B31" i="31"/>
  <c r="F31" i="31"/>
  <c r="D32" i="31"/>
  <c r="B33" i="31"/>
  <c r="F33" i="31"/>
  <c r="D34" i="31"/>
  <c r="B35" i="31"/>
  <c r="F35" i="31"/>
  <c r="D36" i="31"/>
  <c r="B37" i="31"/>
  <c r="F37" i="31"/>
  <c r="D38" i="31"/>
  <c r="B39" i="31"/>
  <c r="F39" i="31"/>
  <c r="D40" i="31"/>
  <c r="B41" i="31"/>
  <c r="F41" i="31"/>
  <c r="D42" i="31"/>
  <c r="B43" i="31"/>
  <c r="F43" i="31"/>
  <c r="D44" i="31"/>
  <c r="B45" i="31"/>
  <c r="F45" i="31"/>
  <c r="D46" i="31"/>
  <c r="B47" i="31"/>
  <c r="F47" i="31"/>
  <c r="C29" i="31"/>
  <c r="G29" i="31"/>
  <c r="E30" i="31"/>
  <c r="C31" i="31"/>
  <c r="G31" i="31"/>
  <c r="E32" i="31"/>
  <c r="C33" i="31"/>
  <c r="G33" i="31"/>
  <c r="E34" i="31"/>
  <c r="C35" i="31"/>
  <c r="G35" i="31"/>
  <c r="E36" i="31"/>
  <c r="C37" i="31"/>
  <c r="G37" i="31"/>
  <c r="E38" i="31"/>
  <c r="C39" i="31"/>
  <c r="G39" i="31"/>
  <c r="E40" i="31"/>
  <c r="C41" i="31"/>
  <c r="G41" i="31"/>
  <c r="E42" i="31"/>
  <c r="C43" i="31"/>
  <c r="G43" i="31"/>
  <c r="E44" i="31"/>
  <c r="C45" i="31"/>
  <c r="G45" i="31"/>
  <c r="E46" i="31"/>
  <c r="C47" i="31"/>
  <c r="E29" i="34"/>
  <c r="C30" i="34"/>
  <c r="G30" i="34"/>
  <c r="E31" i="34"/>
  <c r="C32" i="34"/>
  <c r="G32" i="34"/>
  <c r="E33" i="34"/>
  <c r="C34" i="34"/>
  <c r="G34" i="34"/>
  <c r="E35" i="34"/>
  <c r="C36" i="34"/>
  <c r="G36" i="34"/>
  <c r="E37" i="34"/>
  <c r="C38" i="34"/>
  <c r="G38" i="34"/>
  <c r="E39" i="34"/>
  <c r="C40" i="34"/>
  <c r="G40" i="34"/>
  <c r="E41" i="34"/>
  <c r="C42" i="34"/>
  <c r="G42" i="34"/>
  <c r="E43" i="34"/>
  <c r="C44" i="34"/>
  <c r="G44" i="34"/>
  <c r="E45" i="34"/>
  <c r="C46" i="34"/>
  <c r="G46" i="34"/>
  <c r="E47" i="34"/>
  <c r="B30" i="34"/>
  <c r="F30" i="34"/>
  <c r="D31" i="34"/>
  <c r="B32" i="34"/>
  <c r="F32" i="34"/>
  <c r="D33" i="34"/>
  <c r="B34" i="34"/>
  <c r="F34" i="34"/>
  <c r="D35" i="34"/>
  <c r="B36" i="34"/>
  <c r="F36" i="34"/>
  <c r="D37" i="34"/>
  <c r="B38" i="34"/>
  <c r="F38" i="34"/>
  <c r="D39" i="34"/>
  <c r="B40" i="34"/>
  <c r="F40" i="34"/>
  <c r="D41" i="34"/>
  <c r="B42" i="34"/>
  <c r="F42" i="34"/>
  <c r="D43" i="34"/>
  <c r="B44" i="34"/>
  <c r="F44" i="34"/>
  <c r="D45" i="34"/>
  <c r="B46" i="34"/>
  <c r="F46" i="34"/>
  <c r="D47" i="34"/>
  <c r="B29" i="34"/>
  <c r="F29" i="34"/>
  <c r="D30" i="34"/>
  <c r="B31" i="34"/>
  <c r="F31" i="34"/>
  <c r="D32" i="34"/>
  <c r="B33" i="34"/>
  <c r="F33" i="34"/>
  <c r="D34" i="34"/>
  <c r="B35" i="34"/>
  <c r="F35" i="34"/>
  <c r="D36" i="34"/>
  <c r="B37" i="34"/>
  <c r="F37" i="34"/>
  <c r="D38" i="34"/>
  <c r="B39" i="34"/>
  <c r="F39" i="34"/>
  <c r="D40" i="34"/>
  <c r="B41" i="34"/>
  <c r="F41" i="34"/>
  <c r="D42" i="34"/>
  <c r="B43" i="34"/>
  <c r="F43" i="34"/>
  <c r="D44" i="34"/>
  <c r="B45" i="34"/>
  <c r="F45" i="34"/>
  <c r="D46" i="34"/>
  <c r="B47" i="34"/>
  <c r="F47" i="34"/>
  <c r="C29" i="34"/>
  <c r="G29" i="34"/>
  <c r="E30" i="34"/>
  <c r="C31" i="34"/>
  <c r="G31" i="34"/>
  <c r="E32" i="34"/>
  <c r="C33" i="34"/>
  <c r="G33" i="34"/>
  <c r="E34" i="34"/>
  <c r="C35" i="34"/>
  <c r="G35" i="34"/>
  <c r="E36" i="34"/>
  <c r="C37" i="34"/>
  <c r="G37" i="34"/>
  <c r="E38" i="34"/>
  <c r="C39" i="34"/>
  <c r="G39" i="34"/>
  <c r="E40" i="34"/>
  <c r="C41" i="34"/>
  <c r="G41" i="34"/>
  <c r="E42" i="34"/>
  <c r="C43" i="34"/>
  <c r="G43" i="34"/>
  <c r="E44" i="34"/>
  <c r="C45" i="34"/>
  <c r="G45" i="34"/>
  <c r="E46" i="34"/>
  <c r="C47" i="34"/>
  <c r="B4" i="34" a="1"/>
  <c r="E4" i="34" s="1"/>
  <c r="D22" i="34" l="1"/>
  <c r="F21" i="34"/>
  <c r="B21" i="34"/>
  <c r="D20" i="34"/>
  <c r="F19" i="34"/>
  <c r="B19" i="34"/>
  <c r="D18" i="34"/>
  <c r="F17" i="34"/>
  <c r="B17" i="34"/>
  <c r="D16" i="34"/>
  <c r="F15" i="34"/>
  <c r="B15" i="34"/>
  <c r="D14" i="34"/>
  <c r="F13" i="34"/>
  <c r="B13" i="34"/>
  <c r="D12" i="34"/>
  <c r="F11" i="34"/>
  <c r="B11" i="34"/>
  <c r="D10" i="34"/>
  <c r="F9" i="34"/>
  <c r="B9" i="34"/>
  <c r="D8" i="34"/>
  <c r="F7" i="34"/>
  <c r="B7" i="34"/>
  <c r="D6" i="34"/>
  <c r="F5" i="34"/>
  <c r="B5" i="34"/>
  <c r="D4" i="34"/>
  <c r="G22" i="34"/>
  <c r="C22" i="34"/>
  <c r="E21" i="34"/>
  <c r="G20" i="34"/>
  <c r="C20" i="34"/>
  <c r="E19" i="34"/>
  <c r="G18" i="34"/>
  <c r="C18" i="34"/>
  <c r="E17" i="34"/>
  <c r="G16" i="34"/>
  <c r="C16" i="34"/>
  <c r="E15" i="34"/>
  <c r="G14" i="34"/>
  <c r="C14" i="34"/>
  <c r="E13" i="34"/>
  <c r="G12" i="34"/>
  <c r="C12" i="34"/>
  <c r="E11" i="34"/>
  <c r="G10" i="34"/>
  <c r="C10" i="34"/>
  <c r="E9" i="34"/>
  <c r="G8" i="34"/>
  <c r="C8" i="34"/>
  <c r="E7" i="34"/>
  <c r="G6" i="34"/>
  <c r="C6" i="34"/>
  <c r="E5" i="34"/>
  <c r="G4" i="34"/>
  <c r="C4" i="34"/>
  <c r="G21" i="34"/>
  <c r="C21" i="34"/>
  <c r="G19" i="34"/>
  <c r="C19" i="34"/>
  <c r="G17" i="34"/>
  <c r="F22" i="34"/>
  <c r="B22" i="34"/>
  <c r="D21" i="34"/>
  <c r="F20" i="34"/>
  <c r="B20" i="34"/>
  <c r="D19" i="34"/>
  <c r="F18" i="34"/>
  <c r="B18" i="34"/>
  <c r="D17" i="34"/>
  <c r="F16" i="34"/>
  <c r="B16" i="34"/>
  <c r="D15" i="34"/>
  <c r="F14" i="34"/>
  <c r="B14" i="34"/>
  <c r="D13" i="34"/>
  <c r="F12" i="34"/>
  <c r="B12" i="34"/>
  <c r="D11" i="34"/>
  <c r="F10" i="34"/>
  <c r="B10" i="34"/>
  <c r="D9" i="34"/>
  <c r="F8" i="34"/>
  <c r="B8" i="34"/>
  <c r="D7" i="34"/>
  <c r="F6" i="34"/>
  <c r="B6" i="34"/>
  <c r="D5" i="34"/>
  <c r="F4" i="34"/>
  <c r="B4" i="34"/>
  <c r="E22" i="34"/>
  <c r="E20" i="34"/>
  <c r="E18" i="34"/>
  <c r="C17" i="34"/>
  <c r="E16" i="34"/>
  <c r="G15" i="34"/>
  <c r="C15" i="34"/>
  <c r="E14" i="34"/>
  <c r="G13" i="34"/>
  <c r="C13" i="34"/>
  <c r="E12" i="34"/>
  <c r="G11" i="34"/>
  <c r="C11" i="34"/>
  <c r="E10" i="34"/>
  <c r="G9" i="34"/>
  <c r="C9" i="34"/>
  <c r="E8" i="34"/>
  <c r="G7" i="34"/>
  <c r="C7" i="34"/>
  <c r="E6" i="34"/>
  <c r="G5" i="34"/>
  <c r="C5" i="34"/>
  <c r="B4" i="31" a="1"/>
  <c r="D4" i="31" s="1"/>
  <c r="B4" i="31"/>
  <c r="C4" i="31"/>
  <c r="E4" i="31"/>
  <c r="F4" i="31"/>
  <c r="G4" i="31"/>
  <c r="C5" i="31"/>
  <c r="D5" i="31"/>
  <c r="E5" i="31"/>
  <c r="G5" i="31"/>
  <c r="B6" i="31"/>
  <c r="C6" i="31"/>
  <c r="E6" i="31"/>
  <c r="F6" i="31"/>
  <c r="G6" i="31"/>
  <c r="C7" i="31"/>
  <c r="D7" i="31"/>
  <c r="E7" i="31"/>
  <c r="G7" i="31"/>
  <c r="B8" i="31"/>
  <c r="C8" i="31"/>
  <c r="E8" i="31"/>
  <c r="F8" i="31"/>
  <c r="G8" i="31"/>
  <c r="C9" i="31"/>
  <c r="D9" i="31"/>
  <c r="E9" i="31"/>
  <c r="G9" i="31"/>
  <c r="B10" i="31"/>
  <c r="C10" i="31"/>
  <c r="E10" i="31"/>
  <c r="F10" i="31"/>
  <c r="G10" i="31"/>
  <c r="C11" i="31"/>
  <c r="D11" i="31"/>
  <c r="E11" i="31"/>
  <c r="G11" i="31"/>
  <c r="B12" i="31"/>
  <c r="C12" i="31"/>
  <c r="E12" i="31"/>
  <c r="F12" i="31"/>
  <c r="G12" i="31"/>
  <c r="C13" i="31"/>
  <c r="D13" i="31"/>
  <c r="E13" i="31"/>
  <c r="G13" i="31"/>
  <c r="B14" i="31"/>
  <c r="C14" i="31"/>
  <c r="E14" i="31"/>
  <c r="F14" i="31"/>
  <c r="G14" i="31"/>
  <c r="C15" i="31"/>
  <c r="D15" i="31"/>
  <c r="E15" i="31"/>
  <c r="G15" i="31"/>
  <c r="B16" i="31"/>
  <c r="C16" i="31"/>
  <c r="E16" i="31"/>
  <c r="F16" i="31"/>
  <c r="G16" i="31"/>
  <c r="C17" i="31"/>
  <c r="D17" i="31"/>
  <c r="E17" i="31"/>
  <c r="G17" i="31"/>
  <c r="B18" i="31"/>
  <c r="C18" i="31"/>
  <c r="E18" i="31"/>
  <c r="F18" i="31"/>
  <c r="G18" i="31"/>
  <c r="C19" i="31"/>
  <c r="D19" i="31"/>
  <c r="E19" i="31"/>
  <c r="G19" i="31"/>
  <c r="B20" i="31"/>
  <c r="C20" i="31"/>
  <c r="E20" i="31"/>
  <c r="F20" i="31"/>
  <c r="G20" i="31"/>
  <c r="C21" i="31"/>
  <c r="D21" i="31"/>
  <c r="E21" i="31"/>
  <c r="G21" i="31"/>
  <c r="B22" i="31"/>
  <c r="C22" i="31"/>
  <c r="E22" i="31"/>
  <c r="F22" i="31"/>
  <c r="G22" i="31"/>
  <c r="D22" i="31" l="1"/>
  <c r="F21" i="31"/>
  <c r="B21" i="31"/>
  <c r="D20" i="31"/>
  <c r="F19" i="31"/>
  <c r="B19" i="31"/>
  <c r="D18" i="31"/>
  <c r="F17" i="31"/>
  <c r="B17" i="31"/>
  <c r="D16" i="31"/>
  <c r="F15" i="31"/>
  <c r="B15" i="31"/>
  <c r="D14" i="31"/>
  <c r="F13" i="31"/>
  <c r="B13" i="31"/>
  <c r="D12" i="31"/>
  <c r="F11" i="31"/>
  <c r="B11" i="31"/>
  <c r="D10" i="31"/>
  <c r="F9" i="31"/>
  <c r="B9" i="31"/>
  <c r="D8" i="31"/>
  <c r="F7" i="31"/>
  <c r="B7" i="31"/>
  <c r="D6" i="31"/>
  <c r="F5" i="31"/>
  <c r="B5" i="31"/>
  <c r="B4" i="30" a="1"/>
  <c r="B4" i="30" s="1"/>
  <c r="E22" i="30" l="1"/>
  <c r="G21" i="30"/>
  <c r="C21" i="30"/>
  <c r="E20" i="30"/>
  <c r="G19" i="30"/>
  <c r="C19" i="30"/>
  <c r="E18" i="30"/>
  <c r="G17" i="30"/>
  <c r="C17" i="30"/>
  <c r="E16" i="30"/>
  <c r="G15" i="30"/>
  <c r="C15" i="30"/>
  <c r="E14" i="30"/>
  <c r="G13" i="30"/>
  <c r="C13" i="30"/>
  <c r="E12" i="30"/>
  <c r="G11" i="30"/>
  <c r="C11" i="30"/>
  <c r="E10" i="30"/>
  <c r="G9" i="30"/>
  <c r="C9" i="30"/>
  <c r="E8" i="30"/>
  <c r="G7" i="30"/>
  <c r="C7" i="30"/>
  <c r="E6" i="30"/>
  <c r="G5" i="30"/>
  <c r="C5" i="30"/>
  <c r="E4" i="30"/>
  <c r="D22" i="30"/>
  <c r="B21" i="30"/>
  <c r="F19" i="30"/>
  <c r="D18" i="30"/>
  <c r="B17" i="30"/>
  <c r="F15" i="30"/>
  <c r="D14" i="30"/>
  <c r="B13" i="30"/>
  <c r="F11" i="30"/>
  <c r="D10" i="30"/>
  <c r="B9" i="30"/>
  <c r="F7" i="30"/>
  <c r="D6" i="30"/>
  <c r="B5" i="30"/>
  <c r="G22" i="30"/>
  <c r="C22" i="30"/>
  <c r="E21" i="30"/>
  <c r="G20" i="30"/>
  <c r="C20" i="30"/>
  <c r="E19" i="30"/>
  <c r="G18" i="30"/>
  <c r="C18" i="30"/>
  <c r="E17" i="30"/>
  <c r="G16" i="30"/>
  <c r="C16" i="30"/>
  <c r="E15" i="30"/>
  <c r="G14" i="30"/>
  <c r="C14" i="30"/>
  <c r="E13" i="30"/>
  <c r="G12" i="30"/>
  <c r="C12" i="30"/>
  <c r="E11" i="30"/>
  <c r="G10" i="30"/>
  <c r="C10" i="30"/>
  <c r="E9" i="30"/>
  <c r="G8" i="30"/>
  <c r="C8" i="30"/>
  <c r="E7" i="30"/>
  <c r="G6" i="30"/>
  <c r="C6" i="30"/>
  <c r="E5" i="30"/>
  <c r="G4" i="30"/>
  <c r="C4" i="30"/>
  <c r="F21" i="30"/>
  <c r="D20" i="30"/>
  <c r="B19" i="30"/>
  <c r="F17" i="30"/>
  <c r="D16" i="30"/>
  <c r="B15" i="30"/>
  <c r="F13" i="30"/>
  <c r="D12" i="30"/>
  <c r="B11" i="30"/>
  <c r="F9" i="30"/>
  <c r="D8" i="30"/>
  <c r="B7" i="30"/>
  <c r="F5" i="30"/>
  <c r="D4" i="30"/>
  <c r="F22" i="30"/>
  <c r="B22" i="30"/>
  <c r="D21" i="30"/>
  <c r="F20" i="30"/>
  <c r="B20" i="30"/>
  <c r="D19" i="30"/>
  <c r="F18" i="30"/>
  <c r="B18" i="30"/>
  <c r="D17" i="30"/>
  <c r="F16" i="30"/>
  <c r="B16" i="30"/>
  <c r="D15" i="30"/>
  <c r="F14" i="30"/>
  <c r="B14" i="30"/>
  <c r="D13" i="30"/>
  <c r="F12" i="30"/>
  <c r="B12" i="30"/>
  <c r="D11" i="30"/>
  <c r="F10" i="30"/>
  <c r="B10" i="30"/>
  <c r="D9" i="30"/>
  <c r="F8" i="30"/>
  <c r="B8" i="30"/>
  <c r="D7" i="30"/>
  <c r="F6" i="30"/>
  <c r="B6" i="30"/>
  <c r="D5" i="30"/>
  <c r="F4" i="30"/>
  <c r="B4" i="27" a="1"/>
  <c r="B4" i="27" s="1"/>
  <c r="B4" i="26" a="1"/>
  <c r="E10" i="26" s="1"/>
  <c r="G21" i="27" l="1"/>
  <c r="C21" i="27"/>
  <c r="G19" i="27"/>
  <c r="E18" i="27"/>
  <c r="C17" i="27"/>
  <c r="G15" i="27"/>
  <c r="E14" i="27"/>
  <c r="C13" i="27"/>
  <c r="G11" i="27"/>
  <c r="E10" i="27"/>
  <c r="C9" i="27"/>
  <c r="E8" i="27"/>
  <c r="C7" i="27"/>
  <c r="E6" i="27"/>
  <c r="C5" i="27"/>
  <c r="E4" i="27"/>
  <c r="D22" i="27"/>
  <c r="B21" i="27"/>
  <c r="F19" i="27"/>
  <c r="B19" i="27"/>
  <c r="F17" i="27"/>
  <c r="D16" i="27"/>
  <c r="B15" i="27"/>
  <c r="F13" i="27"/>
  <c r="D12" i="27"/>
  <c r="B11" i="27"/>
  <c r="F9" i="27"/>
  <c r="D8" i="27"/>
  <c r="B5" i="27"/>
  <c r="G22" i="27"/>
  <c r="C20" i="27"/>
  <c r="C18" i="27"/>
  <c r="C16" i="27"/>
  <c r="E13" i="27"/>
  <c r="C12" i="27"/>
  <c r="G10" i="27"/>
  <c r="C8" i="27"/>
  <c r="C4" i="27"/>
  <c r="E22" i="27"/>
  <c r="E20" i="27"/>
  <c r="C19" i="27"/>
  <c r="G17" i="27"/>
  <c r="E16" i="27"/>
  <c r="C15" i="27"/>
  <c r="G13" i="27"/>
  <c r="E12" i="27"/>
  <c r="C11" i="27"/>
  <c r="G9" i="27"/>
  <c r="G7" i="27"/>
  <c r="G5" i="27"/>
  <c r="F21" i="27"/>
  <c r="D20" i="27"/>
  <c r="D18" i="27"/>
  <c r="B17" i="27"/>
  <c r="F15" i="27"/>
  <c r="D14" i="27"/>
  <c r="B13" i="27"/>
  <c r="F11" i="27"/>
  <c r="D10" i="27"/>
  <c r="B9" i="27"/>
  <c r="F7" i="27"/>
  <c r="B7" i="27"/>
  <c r="D6" i="27"/>
  <c r="F5" i="27"/>
  <c r="D4" i="27"/>
  <c r="C22" i="27"/>
  <c r="E21" i="27"/>
  <c r="G20" i="27"/>
  <c r="E19" i="27"/>
  <c r="G18" i="27"/>
  <c r="E17" i="27"/>
  <c r="G16" i="27"/>
  <c r="E15" i="27"/>
  <c r="G14" i="27"/>
  <c r="C14" i="27"/>
  <c r="G12" i="27"/>
  <c r="E11" i="27"/>
  <c r="C10" i="27"/>
  <c r="E9" i="27"/>
  <c r="G8" i="27"/>
  <c r="E7" i="27"/>
  <c r="G6" i="27"/>
  <c r="C6" i="27"/>
  <c r="E5" i="27"/>
  <c r="G4" i="27"/>
  <c r="F22" i="27"/>
  <c r="B22" i="27"/>
  <c r="D21" i="27"/>
  <c r="F20" i="27"/>
  <c r="B20" i="27"/>
  <c r="D19" i="27"/>
  <c r="F18" i="27"/>
  <c r="B18" i="27"/>
  <c r="D17" i="27"/>
  <c r="F16" i="27"/>
  <c r="B16" i="27"/>
  <c r="D15" i="27"/>
  <c r="F14" i="27"/>
  <c r="B14" i="27"/>
  <c r="D13" i="27"/>
  <c r="F12" i="27"/>
  <c r="B12" i="27"/>
  <c r="D11" i="27"/>
  <c r="F10" i="27"/>
  <c r="B10" i="27"/>
  <c r="D9" i="27"/>
  <c r="F8" i="27"/>
  <c r="B8" i="27"/>
  <c r="D7" i="27"/>
  <c r="F6" i="27"/>
  <c r="B6" i="27"/>
  <c r="D5" i="27"/>
  <c r="F4" i="27"/>
  <c r="D22" i="26"/>
  <c r="B21" i="26"/>
  <c r="F19" i="26"/>
  <c r="D18" i="26"/>
  <c r="B17" i="26"/>
  <c r="F15" i="26"/>
  <c r="D14" i="26"/>
  <c r="F13" i="26"/>
  <c r="D12" i="26"/>
  <c r="B11" i="26"/>
  <c r="F9" i="26"/>
  <c r="D8" i="26"/>
  <c r="F5" i="26"/>
  <c r="G22" i="26"/>
  <c r="E21" i="26"/>
  <c r="G20" i="26"/>
  <c r="C20" i="26"/>
  <c r="E19" i="26"/>
  <c r="G18" i="26"/>
  <c r="C18" i="26"/>
  <c r="E17" i="26"/>
  <c r="G16" i="26"/>
  <c r="C16" i="26"/>
  <c r="E15" i="26"/>
  <c r="G14" i="26"/>
  <c r="C14" i="26"/>
  <c r="E13" i="26"/>
  <c r="G12" i="26"/>
  <c r="C12" i="26"/>
  <c r="E11" i="26"/>
  <c r="G10" i="26"/>
  <c r="C10" i="26"/>
  <c r="E9" i="26"/>
  <c r="G8" i="26"/>
  <c r="C8" i="26"/>
  <c r="E7" i="26"/>
  <c r="G6" i="26"/>
  <c r="C6" i="26"/>
  <c r="E5" i="26"/>
  <c r="G4" i="26"/>
  <c r="C4" i="26"/>
  <c r="E22" i="26"/>
  <c r="G21" i="26"/>
  <c r="C21" i="26"/>
  <c r="E20" i="26"/>
  <c r="G19" i="26"/>
  <c r="E18" i="26"/>
  <c r="G17" i="26"/>
  <c r="C17" i="26"/>
  <c r="E16" i="26"/>
  <c r="G15" i="26"/>
  <c r="C15" i="26"/>
  <c r="E14" i="26"/>
  <c r="G13" i="26"/>
  <c r="C13" i="26"/>
  <c r="E12" i="26"/>
  <c r="G11" i="26"/>
  <c r="C11" i="26"/>
  <c r="G9" i="26"/>
  <c r="C9" i="26"/>
  <c r="E8" i="26"/>
  <c r="G7" i="26"/>
  <c r="C7" i="26"/>
  <c r="E6" i="26"/>
  <c r="G5" i="26"/>
  <c r="C5" i="26"/>
  <c r="E4" i="26"/>
  <c r="F21" i="26"/>
  <c r="D20" i="26"/>
  <c r="B19" i="26"/>
  <c r="F17" i="26"/>
  <c r="D16" i="26"/>
  <c r="B15" i="26"/>
  <c r="B13" i="26"/>
  <c r="F11" i="26"/>
  <c r="D10" i="26"/>
  <c r="B9" i="26"/>
  <c r="F7" i="26"/>
  <c r="B7" i="26"/>
  <c r="D6" i="26"/>
  <c r="B5" i="26"/>
  <c r="D4" i="26"/>
  <c r="C22" i="26"/>
  <c r="F22" i="26"/>
  <c r="B22" i="26"/>
  <c r="D21" i="26"/>
  <c r="F20" i="26"/>
  <c r="B20" i="26"/>
  <c r="D19" i="26"/>
  <c r="F18" i="26"/>
  <c r="B18" i="26"/>
  <c r="D17" i="26"/>
  <c r="F16" i="26"/>
  <c r="B16" i="26"/>
  <c r="D15" i="26"/>
  <c r="F14" i="26"/>
  <c r="B14" i="26"/>
  <c r="D13" i="26"/>
  <c r="F12" i="26"/>
  <c r="B12" i="26"/>
  <c r="D11" i="26"/>
  <c r="F10" i="26"/>
  <c r="B10" i="26"/>
  <c r="D9" i="26"/>
  <c r="F8" i="26"/>
  <c r="B8" i="26"/>
  <c r="D7" i="26"/>
  <c r="F6" i="26"/>
  <c r="B6" i="26"/>
  <c r="D5" i="26"/>
  <c r="F4" i="26"/>
  <c r="B4" i="26"/>
  <c r="C19" i="26"/>
  <c r="B4" i="13" a="1"/>
  <c r="C4" i="13" s="1"/>
  <c r="C21" i="13" l="1"/>
  <c r="E18" i="13"/>
  <c r="G15" i="13"/>
  <c r="C13" i="13"/>
  <c r="E10" i="13"/>
  <c r="G7" i="13"/>
  <c r="E6" i="13"/>
  <c r="B22" i="13"/>
  <c r="D19" i="13"/>
  <c r="F16" i="13"/>
  <c r="B14" i="13"/>
  <c r="D11" i="13"/>
  <c r="B10" i="13"/>
  <c r="D7" i="13"/>
  <c r="F4" i="13"/>
  <c r="G21" i="13"/>
  <c r="E20" i="13"/>
  <c r="C19" i="13"/>
  <c r="G17" i="13"/>
  <c r="E16" i="13"/>
  <c r="C15" i="13"/>
  <c r="G13" i="13"/>
  <c r="E12" i="13"/>
  <c r="C11" i="13"/>
  <c r="G9" i="13"/>
  <c r="E8" i="13"/>
  <c r="C7" i="13"/>
  <c r="G5" i="13"/>
  <c r="E4" i="13"/>
  <c r="E22" i="13"/>
  <c r="G19" i="13"/>
  <c r="C17" i="13"/>
  <c r="E14" i="13"/>
  <c r="G11" i="13"/>
  <c r="C9" i="13"/>
  <c r="C5" i="13"/>
  <c r="F20" i="13"/>
  <c r="B18" i="13"/>
  <c r="D15" i="13"/>
  <c r="F12" i="13"/>
  <c r="F8" i="13"/>
  <c r="B6" i="13"/>
  <c r="F22" i="13"/>
  <c r="D21" i="13"/>
  <c r="B20" i="13"/>
  <c r="F18" i="13"/>
  <c r="D17" i="13"/>
  <c r="B16" i="13"/>
  <c r="F14" i="13"/>
  <c r="D13" i="13"/>
  <c r="B12" i="13"/>
  <c r="F10" i="13"/>
  <c r="D9" i="13"/>
  <c r="B8" i="13"/>
  <c r="F6" i="13"/>
  <c r="D5" i="13"/>
  <c r="B4" i="13"/>
  <c r="D22" i="13"/>
  <c r="F21" i="13"/>
  <c r="B21" i="13"/>
  <c r="D20" i="13"/>
  <c r="F19" i="13"/>
  <c r="B19" i="13"/>
  <c r="D18" i="13"/>
  <c r="F17" i="13"/>
  <c r="B17" i="13"/>
  <c r="D16" i="13"/>
  <c r="F15" i="13"/>
  <c r="B15" i="13"/>
  <c r="D14" i="13"/>
  <c r="F13" i="13"/>
  <c r="B13" i="13"/>
  <c r="D12" i="13"/>
  <c r="F11" i="13"/>
  <c r="B11" i="13"/>
  <c r="D10" i="13"/>
  <c r="F9" i="13"/>
  <c r="B9" i="13"/>
  <c r="D8" i="13"/>
  <c r="F7" i="13"/>
  <c r="B7" i="13"/>
  <c r="D6" i="13"/>
  <c r="F5" i="13"/>
  <c r="B5" i="13"/>
  <c r="D4" i="13"/>
  <c r="G22" i="13"/>
  <c r="C22" i="13"/>
  <c r="E21" i="13"/>
  <c r="G20" i="13"/>
  <c r="C20" i="13"/>
  <c r="E19" i="13"/>
  <c r="G18" i="13"/>
  <c r="C18" i="13"/>
  <c r="E17" i="13"/>
  <c r="G16" i="13"/>
  <c r="C16" i="13"/>
  <c r="E15" i="13"/>
  <c r="G14" i="13"/>
  <c r="C14" i="13"/>
  <c r="E13" i="13"/>
  <c r="G12" i="13"/>
  <c r="C12" i="13"/>
  <c r="E11" i="13"/>
  <c r="G10" i="13"/>
  <c r="C10" i="13"/>
  <c r="E9" i="13"/>
  <c r="G8" i="13"/>
  <c r="C8" i="13"/>
  <c r="E7" i="13"/>
  <c r="G6" i="13"/>
  <c r="C6" i="13"/>
  <c r="E5" i="13"/>
  <c r="G4" i="13"/>
  <c r="B2" i="23" a="1"/>
  <c r="B3" i="23" s="1"/>
  <c r="B2" i="22" a="1"/>
  <c r="B3" i="22" s="1"/>
  <c r="F20" i="23" l="1"/>
  <c r="D19" i="23"/>
  <c r="B18" i="23"/>
  <c r="F16" i="23"/>
  <c r="D15" i="23"/>
  <c r="B14" i="23"/>
  <c r="F12" i="23"/>
  <c r="D11" i="23"/>
  <c r="B10" i="23"/>
  <c r="F8" i="23"/>
  <c r="D7" i="23"/>
  <c r="B6" i="23"/>
  <c r="F4" i="23"/>
  <c r="D3" i="23"/>
  <c r="B2" i="23"/>
  <c r="C19" i="23"/>
  <c r="E16" i="23"/>
  <c r="G13" i="23"/>
  <c r="C11" i="23"/>
  <c r="E8" i="23"/>
  <c r="G5" i="23"/>
  <c r="C3" i="23"/>
  <c r="C18" i="23"/>
  <c r="E15" i="23"/>
  <c r="G12" i="23"/>
  <c r="C10" i="23"/>
  <c r="C6" i="23"/>
  <c r="E3" i="23"/>
  <c r="D18" i="23"/>
  <c r="D14" i="23"/>
  <c r="F11" i="23"/>
  <c r="B9" i="23"/>
  <c r="B5" i="23"/>
  <c r="D2" i="23"/>
  <c r="E18" i="23"/>
  <c r="G15" i="23"/>
  <c r="C13" i="23"/>
  <c r="E10" i="23"/>
  <c r="G7" i="23"/>
  <c r="C5" i="23"/>
  <c r="G3" i="23"/>
  <c r="B20" i="23"/>
  <c r="D17" i="23"/>
  <c r="D13" i="23"/>
  <c r="F10" i="23"/>
  <c r="B8" i="23"/>
  <c r="B4" i="23"/>
  <c r="C20" i="23"/>
  <c r="G18" i="23"/>
  <c r="E17" i="23"/>
  <c r="C16" i="23"/>
  <c r="G14" i="23"/>
  <c r="E13" i="23"/>
  <c r="C12" i="23"/>
  <c r="G10" i="23"/>
  <c r="E9" i="23"/>
  <c r="C8" i="23"/>
  <c r="G6" i="23"/>
  <c r="E5" i="23"/>
  <c r="C4" i="23"/>
  <c r="G2" i="23"/>
  <c r="E20" i="23"/>
  <c r="G17" i="23"/>
  <c r="C15" i="23"/>
  <c r="E12" i="23"/>
  <c r="G9" i="23"/>
  <c r="C7" i="23"/>
  <c r="E4" i="23"/>
  <c r="G20" i="23"/>
  <c r="E19" i="23"/>
  <c r="G16" i="23"/>
  <c r="C14" i="23"/>
  <c r="E11" i="23"/>
  <c r="G8" i="23"/>
  <c r="E7" i="23"/>
  <c r="G4" i="23"/>
  <c r="C2" i="23"/>
  <c r="F19" i="23"/>
  <c r="B17" i="23"/>
  <c r="F15" i="23"/>
  <c r="B13" i="23"/>
  <c r="D10" i="23"/>
  <c r="F7" i="23"/>
  <c r="D6" i="23"/>
  <c r="F3" i="23"/>
  <c r="G19" i="23"/>
  <c r="C17" i="23"/>
  <c r="E14" i="23"/>
  <c r="G11" i="23"/>
  <c r="C9" i="23"/>
  <c r="E6" i="23"/>
  <c r="E2" i="23"/>
  <c r="F18" i="23"/>
  <c r="B16" i="23"/>
  <c r="F14" i="23"/>
  <c r="B12" i="23"/>
  <c r="D9" i="23"/>
  <c r="F6" i="23"/>
  <c r="D5" i="23"/>
  <c r="F2" i="23"/>
  <c r="D20" i="23"/>
  <c r="B19" i="23"/>
  <c r="F17" i="23"/>
  <c r="D16" i="23"/>
  <c r="B15" i="23"/>
  <c r="F13" i="23"/>
  <c r="D12" i="23"/>
  <c r="B11" i="23"/>
  <c r="F9" i="23"/>
  <c r="D8" i="23"/>
  <c r="B7" i="23"/>
  <c r="F5" i="23"/>
  <c r="D4" i="23"/>
  <c r="E20" i="22"/>
  <c r="E16" i="22"/>
  <c r="E12" i="22"/>
  <c r="E8" i="22"/>
  <c r="E4" i="22"/>
  <c r="D19" i="22"/>
  <c r="C18" i="22"/>
  <c r="C2" i="22"/>
  <c r="C19" i="22"/>
  <c r="G13" i="22"/>
  <c r="G9" i="22"/>
  <c r="G5" i="22"/>
  <c r="F20" i="22"/>
  <c r="D15" i="22"/>
  <c r="D11" i="22"/>
  <c r="D7" i="22"/>
  <c r="D3" i="22"/>
  <c r="E19" i="22"/>
  <c r="C14" i="22"/>
  <c r="C10" i="22"/>
  <c r="G4" i="22"/>
  <c r="D18" i="22"/>
  <c r="B13" i="22"/>
  <c r="B9" i="22"/>
  <c r="B5" i="22"/>
  <c r="G19" i="22"/>
  <c r="E14" i="22"/>
  <c r="E10" i="22"/>
  <c r="C5" i="22"/>
  <c r="B20" i="22"/>
  <c r="D17" i="22"/>
  <c r="B16" i="22"/>
  <c r="F14" i="22"/>
  <c r="D13" i="22"/>
  <c r="B12" i="22"/>
  <c r="F10" i="22"/>
  <c r="D9" i="22"/>
  <c r="B8" i="22"/>
  <c r="F6" i="22"/>
  <c r="D5" i="22"/>
  <c r="B4" i="22"/>
  <c r="F2" i="22"/>
  <c r="G17" i="22"/>
  <c r="C15" i="22"/>
  <c r="C11" i="22"/>
  <c r="C7" i="22"/>
  <c r="C3" i="22"/>
  <c r="B18" i="22"/>
  <c r="B14" i="22"/>
  <c r="B10" i="22"/>
  <c r="B6" i="22"/>
  <c r="B2" i="22"/>
  <c r="G16" i="22"/>
  <c r="G12" i="22"/>
  <c r="G8" i="22"/>
  <c r="C6" i="22"/>
  <c r="F19" i="22"/>
  <c r="F15" i="22"/>
  <c r="F11" i="22"/>
  <c r="F7" i="22"/>
  <c r="D2" i="22"/>
  <c r="C17" i="22"/>
  <c r="C13" i="22"/>
  <c r="C9" i="22"/>
  <c r="E6" i="22"/>
  <c r="E2" i="22"/>
  <c r="C20" i="22"/>
  <c r="G18" i="22"/>
  <c r="E17" i="22"/>
  <c r="C16" i="22"/>
  <c r="G14" i="22"/>
  <c r="E13" i="22"/>
  <c r="C12" i="22"/>
  <c r="G10" i="22"/>
  <c r="E9" i="22"/>
  <c r="C8" i="22"/>
  <c r="G6" i="22"/>
  <c r="E5" i="22"/>
  <c r="C4" i="22"/>
  <c r="G2" i="22"/>
  <c r="F16" i="22"/>
  <c r="F12" i="22"/>
  <c r="F8" i="22"/>
  <c r="F4" i="22"/>
  <c r="G20" i="22"/>
  <c r="E15" i="22"/>
  <c r="E11" i="22"/>
  <c r="E7" i="22"/>
  <c r="E3" i="22"/>
  <c r="B17" i="22"/>
  <c r="D14" i="22"/>
  <c r="D10" i="22"/>
  <c r="D6" i="22"/>
  <c r="F3" i="22"/>
  <c r="E18" i="22"/>
  <c r="G15" i="22"/>
  <c r="G11" i="22"/>
  <c r="G7" i="22"/>
  <c r="G3" i="22"/>
  <c r="F18" i="22"/>
  <c r="D20" i="22"/>
  <c r="B19" i="22"/>
  <c r="F17" i="22"/>
  <c r="D16" i="22"/>
  <c r="B15" i="22"/>
  <c r="F13" i="22"/>
  <c r="D12" i="22"/>
  <c r="B11" i="22"/>
  <c r="F9" i="22"/>
  <c r="D8" i="22"/>
  <c r="B7" i="22"/>
  <c r="F5" i="22"/>
  <c r="D4" i="22"/>
  <c r="B2" i="20" a="1"/>
  <c r="B2" i="20" s="1"/>
  <c r="B2" i="19" a="1"/>
  <c r="D2" i="19" s="1"/>
  <c r="B4" i="18" a="1"/>
  <c r="D4" i="18" s="1"/>
  <c r="B4" i="7" a="1"/>
  <c r="B4" i="7" s="1"/>
  <c r="E20" i="20" l="1"/>
  <c r="C2" i="19"/>
  <c r="E22" i="18"/>
  <c r="F20" i="18"/>
  <c r="G18" i="18"/>
  <c r="C17" i="18"/>
  <c r="D15" i="18"/>
  <c r="E13" i="18"/>
  <c r="G11" i="18"/>
  <c r="B10" i="18"/>
  <c r="C8" i="18"/>
  <c r="E6" i="18"/>
  <c r="F4" i="18"/>
  <c r="C18" i="19"/>
  <c r="C10" i="19"/>
  <c r="G4" i="19"/>
  <c r="G21" i="18"/>
  <c r="B20" i="18"/>
  <c r="C18" i="18"/>
  <c r="E16" i="18"/>
  <c r="F14" i="18"/>
  <c r="G12" i="18"/>
  <c r="C11" i="18"/>
  <c r="D9" i="18"/>
  <c r="E7" i="18"/>
  <c r="G5" i="18"/>
  <c r="B4" i="18"/>
  <c r="E15" i="19"/>
  <c r="E9" i="19"/>
  <c r="C4" i="19"/>
  <c r="G12" i="19"/>
  <c r="E7" i="19"/>
  <c r="E21" i="18"/>
  <c r="G19" i="18"/>
  <c r="B18" i="18"/>
  <c r="C16" i="18"/>
  <c r="E14" i="18"/>
  <c r="F12" i="18"/>
  <c r="G10" i="18"/>
  <c r="C9" i="18"/>
  <c r="D7" i="18"/>
  <c r="E5" i="18"/>
  <c r="F22" i="18"/>
  <c r="G20" i="18"/>
  <c r="C19" i="18"/>
  <c r="D17" i="18"/>
  <c r="E15" i="18"/>
  <c r="G13" i="18"/>
  <c r="B12" i="18"/>
  <c r="C10" i="18"/>
  <c r="E8" i="18"/>
  <c r="F6" i="18"/>
  <c r="G4" i="18"/>
  <c r="G20" i="19"/>
  <c r="C12" i="19"/>
  <c r="G6" i="19"/>
  <c r="D20" i="20"/>
  <c r="F19" i="20"/>
  <c r="B19" i="20"/>
  <c r="D18" i="20"/>
  <c r="F17" i="20"/>
  <c r="B17" i="20"/>
  <c r="D16" i="20"/>
  <c r="F15" i="20"/>
  <c r="B15" i="20"/>
  <c r="D14" i="20"/>
  <c r="F13" i="20"/>
  <c r="B13" i="20"/>
  <c r="D12" i="20"/>
  <c r="F11" i="20"/>
  <c r="B11" i="20"/>
  <c r="D10" i="20"/>
  <c r="F9" i="20"/>
  <c r="B9" i="20"/>
  <c r="D8" i="20"/>
  <c r="F7" i="20"/>
  <c r="B7" i="20"/>
  <c r="D6" i="20"/>
  <c r="F5" i="20"/>
  <c r="B5" i="20"/>
  <c r="D4" i="20"/>
  <c r="F3" i="20"/>
  <c r="B3" i="20"/>
  <c r="D2" i="20"/>
  <c r="G19" i="20"/>
  <c r="C19" i="20"/>
  <c r="E18" i="20"/>
  <c r="G17" i="20"/>
  <c r="C17" i="20"/>
  <c r="E16" i="20"/>
  <c r="G15" i="20"/>
  <c r="C15" i="20"/>
  <c r="E14" i="20"/>
  <c r="G13" i="20"/>
  <c r="C13" i="20"/>
  <c r="E12" i="20"/>
  <c r="G11" i="20"/>
  <c r="C11" i="20"/>
  <c r="E10" i="20"/>
  <c r="G9" i="20"/>
  <c r="C9" i="20"/>
  <c r="E8" i="20"/>
  <c r="G7" i="20"/>
  <c r="C7" i="20"/>
  <c r="E6" i="20"/>
  <c r="G5" i="20"/>
  <c r="C5" i="20"/>
  <c r="E4" i="20"/>
  <c r="G3" i="20"/>
  <c r="C3" i="20"/>
  <c r="E2" i="20"/>
  <c r="G20" i="20"/>
  <c r="C20" i="20"/>
  <c r="E19" i="20"/>
  <c r="G18" i="20"/>
  <c r="C18" i="20"/>
  <c r="E17" i="20"/>
  <c r="G16" i="20"/>
  <c r="C16" i="20"/>
  <c r="E15" i="20"/>
  <c r="G14" i="20"/>
  <c r="C14" i="20"/>
  <c r="E13" i="20"/>
  <c r="G12" i="20"/>
  <c r="C12" i="20"/>
  <c r="E11" i="20"/>
  <c r="G10" i="20"/>
  <c r="C10" i="20"/>
  <c r="E9" i="20"/>
  <c r="G8" i="20"/>
  <c r="C8" i="20"/>
  <c r="E7" i="20"/>
  <c r="G6" i="20"/>
  <c r="C6" i="20"/>
  <c r="E5" i="20"/>
  <c r="G4" i="20"/>
  <c r="C4" i="20"/>
  <c r="E3" i="20"/>
  <c r="G2" i="20"/>
  <c r="C2" i="20"/>
  <c r="F20" i="20"/>
  <c r="B20" i="20"/>
  <c r="D19" i="20"/>
  <c r="F18" i="20"/>
  <c r="B18" i="20"/>
  <c r="D17" i="20"/>
  <c r="F16" i="20"/>
  <c r="B16" i="20"/>
  <c r="D15" i="20"/>
  <c r="F14" i="20"/>
  <c r="B14" i="20"/>
  <c r="D13" i="20"/>
  <c r="F12" i="20"/>
  <c r="B12" i="20"/>
  <c r="D11" i="20"/>
  <c r="F10" i="20"/>
  <c r="B10" i="20"/>
  <c r="D9" i="20"/>
  <c r="F8" i="20"/>
  <c r="B8" i="20"/>
  <c r="D7" i="20"/>
  <c r="F6" i="20"/>
  <c r="B6" i="20"/>
  <c r="D5" i="20"/>
  <c r="F4" i="20"/>
  <c r="B4" i="20"/>
  <c r="D3" i="20"/>
  <c r="F2" i="20"/>
  <c r="E19" i="19"/>
  <c r="G16" i="19"/>
  <c r="C14" i="19"/>
  <c r="E11" i="19"/>
  <c r="G8" i="19"/>
  <c r="C6" i="19"/>
  <c r="E3" i="19"/>
  <c r="G18" i="19"/>
  <c r="C16" i="19"/>
  <c r="E13" i="19"/>
  <c r="G10" i="19"/>
  <c r="C8" i="19"/>
  <c r="E5" i="19"/>
  <c r="G2" i="19"/>
  <c r="C20" i="19"/>
  <c r="E17" i="19"/>
  <c r="G14" i="19"/>
  <c r="F20" i="19"/>
  <c r="B20" i="19"/>
  <c r="D19" i="19"/>
  <c r="F18" i="19"/>
  <c r="B18" i="19"/>
  <c r="D17" i="19"/>
  <c r="F16" i="19"/>
  <c r="B16" i="19"/>
  <c r="D15" i="19"/>
  <c r="F14" i="19"/>
  <c r="B14" i="19"/>
  <c r="D13" i="19"/>
  <c r="F12" i="19"/>
  <c r="B12" i="19"/>
  <c r="D11" i="19"/>
  <c r="F10" i="19"/>
  <c r="B10" i="19"/>
  <c r="D9" i="19"/>
  <c r="F8" i="19"/>
  <c r="B8" i="19"/>
  <c r="D7" i="19"/>
  <c r="F6" i="19"/>
  <c r="B6" i="19"/>
  <c r="D5" i="19"/>
  <c r="F4" i="19"/>
  <c r="B4" i="19"/>
  <c r="D3" i="19"/>
  <c r="F2" i="19"/>
  <c r="B2" i="19"/>
  <c r="E20" i="19"/>
  <c r="G19" i="19"/>
  <c r="C19" i="19"/>
  <c r="E18" i="19"/>
  <c r="G17" i="19"/>
  <c r="C17" i="19"/>
  <c r="E16" i="19"/>
  <c r="G15" i="19"/>
  <c r="C15" i="19"/>
  <c r="E14" i="19"/>
  <c r="G13" i="19"/>
  <c r="C13" i="19"/>
  <c r="E12" i="19"/>
  <c r="G11" i="19"/>
  <c r="C11" i="19"/>
  <c r="E10" i="19"/>
  <c r="G9" i="19"/>
  <c r="C9" i="19"/>
  <c r="E8" i="19"/>
  <c r="G7" i="19"/>
  <c r="C7" i="19"/>
  <c r="E6" i="19"/>
  <c r="G5" i="19"/>
  <c r="C5" i="19"/>
  <c r="E4" i="19"/>
  <c r="G3" i="19"/>
  <c r="C3" i="19"/>
  <c r="E2" i="19"/>
  <c r="D20" i="19"/>
  <c r="F19" i="19"/>
  <c r="B19" i="19"/>
  <c r="D18" i="19"/>
  <c r="F17" i="19"/>
  <c r="B17" i="19"/>
  <c r="D16" i="19"/>
  <c r="F15" i="19"/>
  <c r="B15" i="19"/>
  <c r="D14" i="19"/>
  <c r="F13" i="19"/>
  <c r="B13" i="19"/>
  <c r="D12" i="19"/>
  <c r="F11" i="19"/>
  <c r="B11" i="19"/>
  <c r="D10" i="19"/>
  <c r="F9" i="19"/>
  <c r="B9" i="19"/>
  <c r="D8" i="19"/>
  <c r="F7" i="19"/>
  <c r="B7" i="19"/>
  <c r="D6" i="19"/>
  <c r="F5" i="19"/>
  <c r="B5" i="19"/>
  <c r="D4" i="19"/>
  <c r="F3" i="19"/>
  <c r="B3" i="19"/>
  <c r="C22" i="18"/>
  <c r="D21" i="18"/>
  <c r="E20" i="18"/>
  <c r="E19" i="18"/>
  <c r="F18" i="18"/>
  <c r="G17" i="18"/>
  <c r="G16" i="18"/>
  <c r="B16" i="18"/>
  <c r="C15" i="18"/>
  <c r="C14" i="18"/>
  <c r="D13" i="18"/>
  <c r="E12" i="18"/>
  <c r="E11" i="18"/>
  <c r="F10" i="18"/>
  <c r="G9" i="18"/>
  <c r="G8" i="18"/>
  <c r="B8" i="18"/>
  <c r="C7" i="18"/>
  <c r="C6" i="18"/>
  <c r="D5" i="18"/>
  <c r="E4" i="18"/>
  <c r="G22" i="18"/>
  <c r="B22" i="18"/>
  <c r="C21" i="18"/>
  <c r="C20" i="18"/>
  <c r="D19" i="18"/>
  <c r="E18" i="18"/>
  <c r="E17" i="18"/>
  <c r="F16" i="18"/>
  <c r="G15" i="18"/>
  <c r="G14" i="18"/>
  <c r="B14" i="18"/>
  <c r="C13" i="18"/>
  <c r="C12" i="18"/>
  <c r="D11" i="18"/>
  <c r="E10" i="18"/>
  <c r="E9" i="18"/>
  <c r="F8" i="18"/>
  <c r="G7" i="18"/>
  <c r="G6" i="18"/>
  <c r="B6" i="18"/>
  <c r="C5" i="18"/>
  <c r="C4" i="18"/>
  <c r="D22" i="18"/>
  <c r="F21" i="18"/>
  <c r="B21" i="18"/>
  <c r="D20" i="18"/>
  <c r="F19" i="18"/>
  <c r="B19" i="18"/>
  <c r="D18" i="18"/>
  <c r="F17" i="18"/>
  <c r="B17" i="18"/>
  <c r="D16" i="18"/>
  <c r="F15" i="18"/>
  <c r="B15" i="18"/>
  <c r="D14" i="18"/>
  <c r="F13" i="18"/>
  <c r="B13" i="18"/>
  <c r="D12" i="18"/>
  <c r="F11" i="18"/>
  <c r="B11" i="18"/>
  <c r="D10" i="18"/>
  <c r="F9" i="18"/>
  <c r="B9" i="18"/>
  <c r="D8" i="18"/>
  <c r="F7" i="18"/>
  <c r="B7" i="18"/>
  <c r="D6" i="18"/>
  <c r="F5" i="18"/>
  <c r="B5" i="18"/>
  <c r="E22" i="7"/>
  <c r="D22" i="7"/>
  <c r="F21" i="7"/>
  <c r="B21" i="7"/>
  <c r="D20" i="7"/>
  <c r="F19" i="7"/>
  <c r="B19" i="7"/>
  <c r="D18" i="7"/>
  <c r="F17" i="7"/>
  <c r="B17" i="7"/>
  <c r="D16" i="7"/>
  <c r="F15" i="7"/>
  <c r="B15" i="7"/>
  <c r="D14" i="7"/>
  <c r="F13" i="7"/>
  <c r="B13" i="7"/>
  <c r="D12" i="7"/>
  <c r="F11" i="7"/>
  <c r="B11" i="7"/>
  <c r="D10" i="7"/>
  <c r="F9" i="7"/>
  <c r="B9" i="7"/>
  <c r="D8" i="7"/>
  <c r="F7" i="7"/>
  <c r="B7" i="7"/>
  <c r="D6" i="7"/>
  <c r="F5" i="7"/>
  <c r="B5" i="7"/>
  <c r="D4" i="7"/>
  <c r="G21" i="7"/>
  <c r="C21" i="7"/>
  <c r="E20" i="7"/>
  <c r="G19" i="7"/>
  <c r="C19" i="7"/>
  <c r="E18" i="7"/>
  <c r="G17" i="7"/>
  <c r="C17" i="7"/>
  <c r="E16" i="7"/>
  <c r="G15" i="7"/>
  <c r="C15" i="7"/>
  <c r="E14" i="7"/>
  <c r="G13" i="7"/>
  <c r="C13" i="7"/>
  <c r="E12" i="7"/>
  <c r="G11" i="7"/>
  <c r="C11" i="7"/>
  <c r="E10" i="7"/>
  <c r="G9" i="7"/>
  <c r="C9" i="7"/>
  <c r="E8" i="7"/>
  <c r="G7" i="7"/>
  <c r="C7" i="7"/>
  <c r="E6" i="7"/>
  <c r="G5" i="7"/>
  <c r="C5" i="7"/>
  <c r="E4" i="7"/>
  <c r="G22" i="7"/>
  <c r="C22" i="7"/>
  <c r="E21" i="7"/>
  <c r="G20" i="7"/>
  <c r="C20" i="7"/>
  <c r="E19" i="7"/>
  <c r="G18" i="7"/>
  <c r="C18" i="7"/>
  <c r="E17" i="7"/>
  <c r="G16" i="7"/>
  <c r="C16" i="7"/>
  <c r="E15" i="7"/>
  <c r="G14" i="7"/>
  <c r="C14" i="7"/>
  <c r="E13" i="7"/>
  <c r="G12" i="7"/>
  <c r="C12" i="7"/>
  <c r="E11" i="7"/>
  <c r="G10" i="7"/>
  <c r="C10" i="7"/>
  <c r="E9" i="7"/>
  <c r="G8" i="7"/>
  <c r="C8" i="7"/>
  <c r="E7" i="7"/>
  <c r="G6" i="7"/>
  <c r="C6" i="7"/>
  <c r="E5" i="7"/>
  <c r="G4" i="7"/>
  <c r="C4" i="7"/>
  <c r="F22" i="7"/>
  <c r="B22" i="7"/>
  <c r="D21" i="7"/>
  <c r="F20" i="7"/>
  <c r="B20" i="7"/>
  <c r="D19" i="7"/>
  <c r="F18" i="7"/>
  <c r="B18" i="7"/>
  <c r="D17" i="7"/>
  <c r="F16" i="7"/>
  <c r="B16" i="7"/>
  <c r="D15" i="7"/>
  <c r="F14" i="7"/>
  <c r="B14" i="7"/>
  <c r="D13" i="7"/>
  <c r="F12" i="7"/>
  <c r="B12" i="7"/>
  <c r="D11" i="7"/>
  <c r="F10" i="7"/>
  <c r="B10" i="7"/>
  <c r="D9" i="7"/>
  <c r="F8" i="7"/>
  <c r="B8" i="7"/>
  <c r="D7" i="7"/>
  <c r="F6" i="7"/>
  <c r="B6" i="7"/>
  <c r="D5" i="7"/>
  <c r="F4" i="7"/>
</calcChain>
</file>

<file path=xl/sharedStrings.xml><?xml version="1.0" encoding="utf-8"?>
<sst xmlns="http://schemas.openxmlformats.org/spreadsheetml/2006/main" count="816" uniqueCount="242">
  <si>
    <t>1 an</t>
  </si>
  <si>
    <t>2 ans</t>
  </si>
  <si>
    <t>3 ans</t>
  </si>
  <si>
    <t>5 ans</t>
  </si>
  <si>
    <t>10 ans</t>
  </si>
  <si>
    <t>35 ans</t>
  </si>
  <si>
    <t>PIB en volume</t>
  </si>
  <si>
    <t>VA du secteur marchand</t>
  </si>
  <si>
    <t>Consommation des ménages</t>
  </si>
  <si>
    <t>Investissement</t>
  </si>
  <si>
    <t>Investissement des SNF et SI</t>
  </si>
  <si>
    <t>Exportations</t>
  </si>
  <si>
    <t>Importations</t>
  </si>
  <si>
    <t>Prix à la consommation des ménages</t>
  </si>
  <si>
    <t>Prix de production marchande</t>
  </si>
  <si>
    <t>Salaire réel net</t>
  </si>
  <si>
    <t>Coût réel du travail</t>
  </si>
  <si>
    <t>Emploi salarié en milliers</t>
  </si>
  <si>
    <t>Taux de chômage (en points)</t>
  </si>
  <si>
    <t>Balance commerciale (en points de PIB)</t>
  </si>
  <si>
    <t>Emissions de CO2</t>
  </si>
  <si>
    <t>Energie finale</t>
  </si>
  <si>
    <t>Electricité finale</t>
  </si>
  <si>
    <t>Produits pétroliers (en Mtep ep)</t>
  </si>
  <si>
    <t>Gaz naturel (en Mtep ep)</t>
  </si>
  <si>
    <t>Hausse permanente de 1% de PIB en valeur de la taxe sur l'électricité</t>
  </si>
  <si>
    <t>Hausse permanente de 1% de PIB en valeur de la TVA</t>
  </si>
  <si>
    <t>Baisse permanente de 1% de PIB en valeur des cotisations employeurs</t>
  </si>
  <si>
    <t>Hausse permanente de 1% de PIB en volume des IAPU</t>
  </si>
  <si>
    <t xml:space="preserve">Dépréciation permanente de 10% de l'euro </t>
  </si>
  <si>
    <t>Hausse de la dépense publique d'un montant de 1 point de PIB</t>
  </si>
  <si>
    <t xml:space="preserve">Baisse des cotisations sociales employeurs de 1% du PIB ex ante </t>
  </si>
  <si>
    <t>Revenu disponible des ménages</t>
  </si>
  <si>
    <t>Taux d'épargne</t>
  </si>
  <si>
    <t>Prix de la consommation des ménages</t>
  </si>
  <si>
    <t xml:space="preserve">Prix de production </t>
  </si>
  <si>
    <t xml:space="preserve">Prix de VA </t>
  </si>
  <si>
    <t>Prix de CI</t>
  </si>
  <si>
    <t>Prix des exportations</t>
  </si>
  <si>
    <t>Prix des importations</t>
  </si>
  <si>
    <t xml:space="preserve">Salaire nominal brut </t>
  </si>
  <si>
    <t>Emploi salarié (en milliers)</t>
  </si>
  <si>
    <t>Taux de chômage</t>
  </si>
  <si>
    <t>Balance commerciale (en pts de PIB)</t>
  </si>
  <si>
    <t>Solde primaire des APU  (en pts de PIB)</t>
  </si>
  <si>
    <t xml:space="preserve">ThreeME </t>
  </si>
  <si>
    <t>Mesange</t>
  </si>
  <si>
    <t>ThreeME</t>
  </si>
  <si>
    <t>Baisse de l'impôt sur le revenu des ménages de 1% du PIB ex ante</t>
  </si>
  <si>
    <t>Hausse de la TVA de 1% du PIB ex ante</t>
  </si>
  <si>
    <t>Hausse permanente de 1% de la demande mondiale adressée à la France</t>
  </si>
  <si>
    <t xml:space="preserve">Hausse de 10% du prix des énergies fossiles </t>
  </si>
  <si>
    <t>Hausse de la taxe carbone de 1 point de PIB</t>
  </si>
  <si>
    <t>GDP in value</t>
  </si>
  <si>
    <t>Investment</t>
  </si>
  <si>
    <t>Exports</t>
  </si>
  <si>
    <t>Imports</t>
  </si>
  <si>
    <t>Household consumption</t>
  </si>
  <si>
    <t xml:space="preserve">Household disposable income </t>
  </si>
  <si>
    <t>Saving rate</t>
  </si>
  <si>
    <t>1 year</t>
  </si>
  <si>
    <t>2 years</t>
  </si>
  <si>
    <t>3 years</t>
  </si>
  <si>
    <t>5 years</t>
  </si>
  <si>
    <t>10 years</t>
  </si>
  <si>
    <t>35 years</t>
  </si>
  <si>
    <t xml:space="preserve">3 years </t>
  </si>
  <si>
    <t>Increase of the carbon tax by 1% of GDP</t>
  </si>
  <si>
    <t>Export price index</t>
  </si>
  <si>
    <t>Import price index</t>
  </si>
  <si>
    <t>Household consumption price index</t>
  </si>
  <si>
    <t>Production price index</t>
  </si>
  <si>
    <t>Added value price index</t>
  </si>
  <si>
    <t>Gross nominal wage</t>
  </si>
  <si>
    <t>Real cost of labor</t>
  </si>
  <si>
    <t>Unemployment rate</t>
  </si>
  <si>
    <t>Intermediate consumption price index</t>
  </si>
  <si>
    <t>Wage employment (in thousands)</t>
  </si>
  <si>
    <t>Trade balance (in points of GDP)</t>
  </si>
  <si>
    <t>Public budget balance (in points of GDP)</t>
  </si>
  <si>
    <t>10% permanent devaluation of the euro</t>
  </si>
  <si>
    <t xml:space="preserve">1 point of GDP increase of public spending </t>
  </si>
  <si>
    <t xml:space="preserve">Decrease of Social Employer Contributions by 1% of the ex ante GDP </t>
  </si>
  <si>
    <t>1% of ex ante GDP increase of the VAT</t>
  </si>
  <si>
    <t>Decrease of the household income tax by 1% of the ex ante GDP</t>
  </si>
  <si>
    <t xml:space="preserve">1% permanent increase of the world demand to France </t>
  </si>
  <si>
    <t>10% increase of fossil fuel prices</t>
  </si>
  <si>
    <t>% en écart au compte central</t>
  </si>
  <si>
    <t xml:space="preserve">% en écart au compte central </t>
  </si>
  <si>
    <t xml:space="preserve">% deviation from baseline </t>
  </si>
  <si>
    <t>100*(GDP_8/GDP_0-1)</t>
  </si>
  <si>
    <t>100*(CH_8/CH_0-1)</t>
  </si>
  <si>
    <t>100*(I_8/I_0-1)</t>
  </si>
  <si>
    <t>100*(X_8/X_0-1)</t>
  </si>
  <si>
    <t>100*(M_8/M_0-1)</t>
  </si>
  <si>
    <t>100*((DISPINC_AT_VAL_8/PCH_8)/(DISPINC_AT_VAL_0/PCH_0)-1)</t>
  </si>
  <si>
    <t>100*(RSAV_H_VAL_8-RSAV_H_VAL_0)</t>
  </si>
  <si>
    <t>100*(PCH_8/PCH_0-1)</t>
  </si>
  <si>
    <t>100*(PY_8/PY_0-1)</t>
  </si>
  <si>
    <t>100*(PVA_8/PVA_0-1)</t>
  </si>
  <si>
    <t>100*(PCI_8/PCI_0-1)</t>
  </si>
  <si>
    <t>100*(PX_8/PCI_0-1)</t>
  </si>
  <si>
    <t>100*(PM_8/PCI_0-1)</t>
  </si>
  <si>
    <t>100*(W_8/W_0-1)</t>
  </si>
  <si>
    <t>100*((C_L_8/PVA_8)/(C_L_0/PVA_0)-1)</t>
  </si>
  <si>
    <t>F_L_8-F_L_0</t>
  </si>
  <si>
    <t>100*(UNR_8-UNR_0)</t>
  </si>
  <si>
    <t>100*(RBAL_TRADE_VAL_8-RBAL_TRADE_VAL_0)</t>
  </si>
  <si>
    <t>100*(RBAL_G_PRIM_VAL_8-RBAL_G_PRIM_VAL_0)</t>
  </si>
  <si>
    <t>100*(GDP_2/GDP_0-1)</t>
  </si>
  <si>
    <t>100*(CH_2/CH_0-1)</t>
  </si>
  <si>
    <t>100*(I_2/I_0-1)</t>
  </si>
  <si>
    <t>100*(X_2/X_0-1)</t>
  </si>
  <si>
    <t>100*(M_2/M_0-1)</t>
  </si>
  <si>
    <t>100*((DISPINC_AT_VAL_2/PCH_2)/(DISPINC_AT_VAL_0/PCH_0)-1)</t>
  </si>
  <si>
    <t>100*(RSAV_H_VAL_2-RSAV_H_VAL_0)</t>
  </si>
  <si>
    <t>100*(PCH_2/PCH_0-1)</t>
  </si>
  <si>
    <t>100*(PY_2/PY_0-1)</t>
  </si>
  <si>
    <t>100*(PVA_2/PVA_0-1)</t>
  </si>
  <si>
    <t>100*(PCI_2/PCI_0-1)</t>
  </si>
  <si>
    <t>100*(PX_2/PCI_0-1)</t>
  </si>
  <si>
    <t>100*(PM_2/PCI_0-1)</t>
  </si>
  <si>
    <t>100*(W_2/W_0-1)</t>
  </si>
  <si>
    <t>100*((C_L_2/PVA_2)/(C_L_0/PVA_0)-1)</t>
  </si>
  <si>
    <t>F_L_2-F_L_0</t>
  </si>
  <si>
    <t>100*(UNR_2-UNR_0)</t>
  </si>
  <si>
    <t>100*(RBAL_TRADE_VAL_2-RBAL_TRADE_VAL_0)</t>
  </si>
  <si>
    <t>100*(RBAL_G_PRIM_VAL_2-RBAL_G_PRIM_VAL_0)</t>
  </si>
  <si>
    <t>100*(GDP_1/GDP_0-1)</t>
  </si>
  <si>
    <t>100*(CH_1/CH_0-1)</t>
  </si>
  <si>
    <t>100*(I_1/I_0-1)</t>
  </si>
  <si>
    <t>100*(X_1/X_0-1)</t>
  </si>
  <si>
    <t>100*(M_1/M_0-1)</t>
  </si>
  <si>
    <t>100*((DISPINC_AT_VAL_1/PCH_1)/(DISPINC_AT_VAL_0/PCH_0)-1)</t>
  </si>
  <si>
    <t>100*(RSAV_H_VAL_1-RSAV_H_VAL_0)</t>
  </si>
  <si>
    <t>100*(PCH_1/PCH_0-1)</t>
  </si>
  <si>
    <t>100*(PY_1/PY_0-1)</t>
  </si>
  <si>
    <t>100*(PVA_1/PVA_0-1)</t>
  </si>
  <si>
    <t>100*(PCI_1/PCI_0-1)</t>
  </si>
  <si>
    <t>100*(PX_1/PCI_0-1)</t>
  </si>
  <si>
    <t>100*(PM_1/PCI_0-1)</t>
  </si>
  <si>
    <t>100*(W_1/W_0-1)</t>
  </si>
  <si>
    <t>100*((C_L_1/PVA_1)/(C_L_0/PVA_0)-1)</t>
  </si>
  <si>
    <t>F_L_1-F_L_0</t>
  </si>
  <si>
    <t>100*(UNR_1-UNR_0)</t>
  </si>
  <si>
    <t>100*(RBAL_TRADE_VAL_1-RBAL_TRADE_VAL_0)</t>
  </si>
  <si>
    <t>100*(RBAL_G_PRIM_VAL_1-RBAL_G_PRIM_VAL_0)</t>
  </si>
  <si>
    <t>100*(GDP_7/GDP_0-1)</t>
  </si>
  <si>
    <t>100*(CH_7/CH_0-1)</t>
  </si>
  <si>
    <t>100*(I_7/I_0-1)</t>
  </si>
  <si>
    <t>100*(X_7/X_0-1)</t>
  </si>
  <si>
    <t>100*(M_7/M_0-1)</t>
  </si>
  <si>
    <t>100*((DISPINC_AT_VAL_7/PCH_7)/(DISPINC_AT_VAL_0/PCH_0)-1)</t>
  </si>
  <si>
    <t>100*(RSAV_H_VAL_7-RSAV_H_VAL_0)</t>
  </si>
  <si>
    <t>100*(PCH_7/PCH_0-1)</t>
  </si>
  <si>
    <t>100*(PY_7/PY_0-1)</t>
  </si>
  <si>
    <t>100*(PVA_7/PVA_0-1)</t>
  </si>
  <si>
    <t>100*(PCI_7/PCI_0-1)</t>
  </si>
  <si>
    <t>100*(PX_7/PCI_0-1)</t>
  </si>
  <si>
    <t>100*(PM_7/PCI_0-1)</t>
  </si>
  <si>
    <t>100*(W_7/W_0-1)</t>
  </si>
  <si>
    <t>100*((C_L_7/PVA_7)/(C_L_0/PVA_0)-1)</t>
  </si>
  <si>
    <t>F_L_7-F_L_0</t>
  </si>
  <si>
    <t>100*(UNR_7-UNR_0)</t>
  </si>
  <si>
    <t>100*(RBAL_TRADE_VAL_7-RBAL_TRADE_VAL_0)</t>
  </si>
  <si>
    <t>100*(RBAL_G_PRIM_VAL_7-RBAL_G_PRIM_VAL_0)</t>
  </si>
  <si>
    <t>100*(GDP_4/GDP_0-1)</t>
  </si>
  <si>
    <t>100*(CH_4/CH_0-1)</t>
  </si>
  <si>
    <t>100*(I_4/I_0-1)</t>
  </si>
  <si>
    <t>100*(X_4/X_0-1)</t>
  </si>
  <si>
    <t>100*(M_4/M_0-1)</t>
  </si>
  <si>
    <t>100*((DISPINC_AT_VAL_4/PCH_4)/(DISPINC_AT_VAL_0/PCH_0)-1)</t>
  </si>
  <si>
    <t>100*(RSAV_H_VAL_4-RSAV_H_VAL_0)</t>
  </si>
  <si>
    <t>100*(PCH_4/PCH_0-1)</t>
  </si>
  <si>
    <t>100*(PY_4/PY_0-1)</t>
  </si>
  <si>
    <t>100*(PVA_4/PVA_0-1)</t>
  </si>
  <si>
    <t>100*(PCI_4/PCI_0-1)</t>
  </si>
  <si>
    <t>100*(PX_4/PCI_0-1)</t>
  </si>
  <si>
    <t>100*(PM_4/PCI_0-1)</t>
  </si>
  <si>
    <t>100*(W_4/W_0-1)</t>
  </si>
  <si>
    <t>100*((C_L_4/PVA_4)/(C_L_0/PVA_0)-1)</t>
  </si>
  <si>
    <t>F_L_4-F_L_0</t>
  </si>
  <si>
    <t>100*(UNR_4-UNR_0)</t>
  </si>
  <si>
    <t>100*(RBAL_TRADE_VAL_4-RBAL_TRADE_VAL_0)</t>
  </si>
  <si>
    <t>100*(RBAL_G_PRIM_VAL_4-RBAL_G_PRIM_VAL_0)</t>
  </si>
  <si>
    <t>100*(GDP_3/GDP_0-1)</t>
  </si>
  <si>
    <t>100*(CH_3/CH_0-1)</t>
  </si>
  <si>
    <t>100*(I_3/I_0-1)</t>
  </si>
  <si>
    <t>100*(X_3/X_0-1)</t>
  </si>
  <si>
    <t>100*(M_3/M_0-1)</t>
  </si>
  <si>
    <t>100*((DISPINC_AT_VAL_3/PCH_3)/(DISPINC_AT_VAL_0/PCH_0)-1)</t>
  </si>
  <si>
    <t>100*(RSAV_H_VAL_3-RSAV_H_VAL_0)</t>
  </si>
  <si>
    <t>100*(PCH_3/PCH_0-1)</t>
  </si>
  <si>
    <t>100*(PY_3/PY_0-1)</t>
  </si>
  <si>
    <t>100*(PVA_3/PVA_0-1)</t>
  </si>
  <si>
    <t>100*(PCI_3/PCI_0-1)</t>
  </si>
  <si>
    <t>100*(PX_3/PCI_0-1)</t>
  </si>
  <si>
    <t>100*(PM_3/PCI_0-1)</t>
  </si>
  <si>
    <t>100*(W_3/W_0-1)</t>
  </si>
  <si>
    <t>100*((C_L_3/PVA_3)/(C_L_0/PVA_0)-1)</t>
  </si>
  <si>
    <t>F_L_3-F_L_0</t>
  </si>
  <si>
    <t>100*(UNR_3-UNR_0)</t>
  </si>
  <si>
    <t>100*(RBAL_TRADE_VAL_3-RBAL_TRADE_VAL_0)</t>
  </si>
  <si>
    <t>100*(RBAL_G_PRIM_VAL_3-RBAL_G_PRIM_VAL_0)</t>
  </si>
  <si>
    <t>100*(GDP_5/GDP_0-1)</t>
  </si>
  <si>
    <t>100*(CH_5/CH_0-1)</t>
  </si>
  <si>
    <t>100*(I_5/I_0-1)</t>
  </si>
  <si>
    <t>100*(X_5/X_0-1)</t>
  </si>
  <si>
    <t>100*(M_5/M_0-1)</t>
  </si>
  <si>
    <t>100*((DISPINC_AT_VAL_5/PCH_5)/(DISPINC_AT_VAL_0/PCH_0)-1)</t>
  </si>
  <si>
    <t>100*(RSAV_H_VAL_5-RSAV_H_VAL_0)</t>
  </si>
  <si>
    <t>100*(PCH_5/PCH_0-1)</t>
  </si>
  <si>
    <t>100*(PY_5/PY_0-1)</t>
  </si>
  <si>
    <t>100*(PVA_5/PVA_0-1)</t>
  </si>
  <si>
    <t>100*(PCI_5/PCI_0-1)</t>
  </si>
  <si>
    <t>100*(PX_5/PCI_0-1)</t>
  </si>
  <si>
    <t>100*(PM_5/PCI_0-1)</t>
  </si>
  <si>
    <t>100*(W_5/W_0-1)</t>
  </si>
  <si>
    <t>100*((C_L_5/PVA_5)/(C_L_0/PVA_0)-1)</t>
  </si>
  <si>
    <t>F_L_5-F_L_0</t>
  </si>
  <si>
    <t>100*(UNR_5-UNR_0)</t>
  </si>
  <si>
    <t>100*(RBAL_TRADE_VAL_5-RBAL_TRADE_VAL_0)</t>
  </si>
  <si>
    <t>100*(RBAL_G_PRIM_VAL_5-RBAL_G_PRIM_VAL_0)</t>
  </si>
  <si>
    <t>100*(GDP_6/GDP_0-1)</t>
  </si>
  <si>
    <t>100*(CH_6/CH_0-1)</t>
  </si>
  <si>
    <t>100*(I_6/I_0-1)</t>
  </si>
  <si>
    <t>100*(X_6/X_0-1)</t>
  </si>
  <si>
    <t>100*(M_6/M_0-1)</t>
  </si>
  <si>
    <t>100*((DISPINC_AT_VAL_6/PCH_6)/(DISPINC_AT_VAL_0/PCH_0)-1)</t>
  </si>
  <si>
    <t>100*(RSAV_H_VAL_6-RSAV_H_VAL_0)</t>
  </si>
  <si>
    <t>100*(PCH_6/PCH_0-1)</t>
  </si>
  <si>
    <t>100*(PY_6/PY_0-1)</t>
  </si>
  <si>
    <t>100*(PVA_6/PVA_0-1)</t>
  </si>
  <si>
    <t>100*(PCI_6/PCI_0-1)</t>
  </si>
  <si>
    <t>100*(PX_6/PCI_0-1)</t>
  </si>
  <si>
    <t>100*(PM_6/PCI_0-1)</t>
  </si>
  <si>
    <t>100*(W_6/W_0-1)</t>
  </si>
  <si>
    <t>100*((C_L_6/PVA_6)/(C_L_0/PVA_0)-1)</t>
  </si>
  <si>
    <t>F_L_6-F_L_0</t>
  </si>
  <si>
    <t>100*(UNR_6-UNR_0)</t>
  </si>
  <si>
    <t>100*(RBAL_TRADE_VAL_6-RBAL_TRADE_VAL_0)</t>
  </si>
  <si>
    <t>100*(RBAL_G_PRIM_VAL_6-RBAL_G_PRIM_VAL_0)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</si>
</sst>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* #,##0.00_);_(* \(#,##0.00\);_(* &quot;-&quot;??_);_(@_)"/>
  </numFmts>
  <fonts count="1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7">
    <xf numFmtId="0" fontId="0" fillId="0" borderId="0" xfId="0"/>
    <xf numFmtId="2" fontId="0" fillId="0" borderId="2" xfId="0" applyNumberFormat="1" applyBorder="1"/>
    <xf numFmtId="2" fontId="0" fillId="0" borderId="3" xfId="0" applyNumberFormat="1" applyBorder="1"/>
    <xf numFmtId="2" fontId="0" fillId="0" borderId="4" xfId="0" applyNumberFormat="1" applyBorder="1"/>
    <xf numFmtId="0" fontId="4" fillId="2" borderId="1" xfId="0" applyFont="1" applyFill="1" applyBorder="1" applyAlignment="1">
      <alignment wrapText="1"/>
    </xf>
    <xf numFmtId="0" fontId="4" fillId="2" borderId="1" xfId="0" applyFont="1" applyFill="1" applyBorder="1" applyAlignment="1">
      <alignment horizontal="center"/>
    </xf>
    <xf numFmtId="164" fontId="0" fillId="0" borderId="3" xfId="0" applyNumberFormat="1" applyBorder="1"/>
    <xf numFmtId="164" fontId="0" fillId="0" borderId="4" xfId="0" applyNumberFormat="1" applyBorder="1"/>
    <xf numFmtId="0" fontId="0" fillId="0" borderId="0" xfId="0" applyBorder="1"/>
    <xf numFmtId="0" fontId="5" fillId="3" borderId="5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2" fontId="7" fillId="0" borderId="0" xfId="0" applyNumberFormat="1" applyFont="1" applyBorder="1" applyAlignment="1">
      <alignment horizontal="center" vertical="center"/>
    </xf>
    <xf numFmtId="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2" fontId="5" fillId="0" borderId="7" xfId="0" applyNumberFormat="1" applyFont="1" applyBorder="1"/>
    <xf numFmtId="2" fontId="8" fillId="0" borderId="0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8" fillId="0" borderId="7" xfId="0" applyNumberFormat="1" applyFont="1" applyBorder="1" applyAlignment="1">
      <alignment horizontal="center" vertical="center"/>
    </xf>
    <xf numFmtId="0" fontId="5" fillId="4" borderId="6" xfId="0" applyFont="1" applyFill="1" applyBorder="1" applyAlignment="1">
      <alignment wrapText="1"/>
    </xf>
    <xf numFmtId="0" fontId="5" fillId="3" borderId="9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2" fillId="0" borderId="0" xfId="0" applyFont="1"/>
    <xf numFmtId="0" fontId="2" fillId="4" borderId="0" xfId="0" applyFont="1" applyFill="1" applyBorder="1"/>
    <xf numFmtId="0" fontId="2" fillId="4" borderId="7" xfId="0" applyFont="1" applyFill="1" applyBorder="1"/>
    <xf numFmtId="2" fontId="7" fillId="4" borderId="0" xfId="0" applyNumberFormat="1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2" fontId="5" fillId="4" borderId="7" xfId="0" applyNumberFormat="1" applyFont="1" applyFill="1" applyBorder="1"/>
    <xf numFmtId="0" fontId="6" fillId="4" borderId="7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9" fillId="4" borderId="0" xfId="0" applyFont="1" applyFill="1" applyBorder="1" applyAlignment="1">
      <alignment horizontal="left" vertical="center" wrapText="1"/>
    </xf>
    <xf numFmtId="0" fontId="9" fillId="0" borderId="0" xfId="0" applyFont="1" applyBorder="1" applyAlignment="1">
      <alignment vertical="center" wrapText="1"/>
    </xf>
    <xf numFmtId="0" fontId="6" fillId="4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4" borderId="7" xfId="0" applyFill="1" applyBorder="1"/>
    <xf numFmtId="0" fontId="0" fillId="4" borderId="6" xfId="0" applyFill="1" applyBorder="1"/>
    <xf numFmtId="0" fontId="0" fillId="4" borderId="0" xfId="0" applyFill="1" applyBorder="1"/>
    <xf numFmtId="0" fontId="1" fillId="4" borderId="7" xfId="0" applyFont="1" applyFill="1" applyBorder="1"/>
    <xf numFmtId="0" fontId="10" fillId="6" borderId="8" xfId="0" applyFont="1" applyFill="1" applyBorder="1" applyAlignment="1">
      <alignment horizontal="center" vertical="center" wrapText="1"/>
    </xf>
    <xf numFmtId="0" fontId="10" fillId="6" borderId="0" xfId="0" applyFont="1" applyFill="1" applyBorder="1" applyAlignment="1">
      <alignment horizontal="center" vertical="center" wrapText="1"/>
    </xf>
    <xf numFmtId="0" fontId="10" fillId="6" borderId="7" xfId="0" applyFont="1" applyFill="1" applyBorder="1" applyAlignment="1">
      <alignment horizontal="center" vertical="center" wrapText="1"/>
    </xf>
    <xf numFmtId="2" fontId="5" fillId="4" borderId="7" xfId="0" applyNumberFormat="1" applyFont="1" applyFill="1" applyBorder="1" applyAlignment="1">
      <alignment wrapText="1"/>
    </xf>
    <xf numFmtId="0" fontId="4" fillId="3" borderId="0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5" borderId="8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0" fontId="11" fillId="0" borderId="0" xfId="0" applyFont="1" applyAlignment="1">
      <alignment horizontal="right"/>
    </xf>
    <xf numFmtId="0" fontId="4" fillId="3" borderId="8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"/>
    </xf>
    <xf numFmtId="0" fontId="12" fillId="0" borderId="0" xfId="0" applyFont="1" applyBorder="1" applyAlignment="1">
      <alignment horizontal="right"/>
    </xf>
    <xf numFmtId="0" fontId="11" fillId="0" borderId="0" xfId="0" applyFont="1" applyBorder="1" applyAlignment="1">
      <alignment horizontal="right"/>
    </xf>
    <xf numFmtId="0" fontId="5" fillId="3" borderId="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11" fillId="4" borderId="0" xfId="0" applyFont="1" applyFill="1" applyAlignment="1">
      <alignment horizontal="right"/>
    </xf>
    <xf numFmtId="0" fontId="12" fillId="4" borderId="0" xfId="0" applyFont="1" applyFill="1" applyAlignment="1">
      <alignment horizontal="right"/>
    </xf>
  </cellXfs>
  <cellStyles count="2"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47"/>
  <sheetViews>
    <sheetView showGridLines="0" workbookViewId="0">
      <selection activeCell="N26" sqref="N26"/>
    </sheetView>
  </sheetViews>
  <sheetFormatPr baseColWidth="10" defaultColWidth="11" defaultRowHeight="15.75" x14ac:dyDescent="0.25"/>
  <cols>
    <col min="1" max="1" width="37.125" customWidth="1"/>
  </cols>
  <sheetData>
    <row r="1" spans="1:13" ht="30" customHeight="1" x14ac:dyDescent="0.25">
      <c r="A1" s="34" t="s">
        <v>29</v>
      </c>
      <c r="B1" s="51" t="s">
        <v>87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</row>
    <row r="2" spans="1:13" ht="29.25" customHeight="1" x14ac:dyDescent="0.25">
      <c r="A2" s="16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17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14">
        <f t="array" ref="B4:G22">TRANSPOSE('EXR10'!$B$3:$T$8)</f>
        <v>0.14971200000000001</v>
      </c>
      <c r="C4" s="14">
        <v>0.29554999999999998</v>
      </c>
      <c r="D4" s="14">
        <v>0.426008</v>
      </c>
      <c r="E4" s="14">
        <v>0.59332099999999999</v>
      </c>
      <c r="F4" s="14">
        <v>0.525115</v>
      </c>
      <c r="G4" s="15">
        <v>-1.8964999999999999E-2</v>
      </c>
      <c r="H4" s="12">
        <v>0.48</v>
      </c>
      <c r="I4" s="36">
        <v>0.96</v>
      </c>
      <c r="J4" s="36">
        <v>1.36</v>
      </c>
      <c r="K4" s="36">
        <v>1.39</v>
      </c>
      <c r="L4" s="36">
        <v>0.99</v>
      </c>
      <c r="M4" s="32">
        <v>0.02</v>
      </c>
    </row>
    <row r="5" spans="1:13" x14ac:dyDescent="0.25">
      <c r="A5" s="18" t="s">
        <v>8</v>
      </c>
      <c r="B5" s="14">
        <v>-7.9469999999999999E-2</v>
      </c>
      <c r="C5" s="14">
        <v>-2.8340000000000001E-2</v>
      </c>
      <c r="D5" s="14">
        <v>8.9534000000000002E-2</v>
      </c>
      <c r="E5" s="14">
        <v>0.338451</v>
      </c>
      <c r="F5" s="14">
        <v>0.51092599999999999</v>
      </c>
      <c r="G5" s="15">
        <v>-5.3635000000000002E-2</v>
      </c>
      <c r="H5" s="12">
        <v>-0.03</v>
      </c>
      <c r="I5" s="36">
        <v>0.22</v>
      </c>
      <c r="J5" s="36">
        <v>0.69</v>
      </c>
      <c r="K5" s="36">
        <v>1.1599999999999999</v>
      </c>
      <c r="L5" s="36">
        <v>1.1000000000000001</v>
      </c>
      <c r="M5" s="32">
        <v>-0.03</v>
      </c>
    </row>
    <row r="6" spans="1:13" x14ac:dyDescent="0.25">
      <c r="A6" s="18" t="s">
        <v>9</v>
      </c>
      <c r="B6" s="14">
        <v>8.2735000000000003E-2</v>
      </c>
      <c r="C6" s="14">
        <v>0.20995800000000001</v>
      </c>
      <c r="D6" s="14">
        <v>0.34045599999999998</v>
      </c>
      <c r="E6" s="14">
        <v>0.54113999999999995</v>
      </c>
      <c r="F6" s="14">
        <v>0.678199</v>
      </c>
      <c r="G6" s="15">
        <v>0.68053900000000001</v>
      </c>
      <c r="H6" s="12">
        <v>0.7</v>
      </c>
      <c r="I6" s="36">
        <v>1.61</v>
      </c>
      <c r="J6" s="36">
        <v>2.2400000000000002</v>
      </c>
      <c r="K6" s="36">
        <v>1.94</v>
      </c>
      <c r="L6" s="36">
        <v>0.93</v>
      </c>
      <c r="M6" s="32">
        <v>0</v>
      </c>
    </row>
    <row r="7" spans="1:13" x14ac:dyDescent="0.25">
      <c r="A7" s="18" t="s">
        <v>11</v>
      </c>
      <c r="B7" s="14">
        <v>0.82541399999999998</v>
      </c>
      <c r="C7" s="14">
        <v>1.3488059999999999</v>
      </c>
      <c r="D7" s="14">
        <v>1.6491849999999999</v>
      </c>
      <c r="E7" s="14">
        <v>1.7980989999999999</v>
      </c>
      <c r="F7" s="14">
        <v>1.0020789999999999</v>
      </c>
      <c r="G7" s="15">
        <v>-0.498255</v>
      </c>
      <c r="H7" s="12">
        <v>1.33</v>
      </c>
      <c r="I7" s="36">
        <v>2.15</v>
      </c>
      <c r="J7" s="36">
        <v>2.37</v>
      </c>
      <c r="K7" s="36">
        <v>2.31</v>
      </c>
      <c r="L7" s="36">
        <v>1.76</v>
      </c>
      <c r="M7" s="32">
        <v>0.47</v>
      </c>
    </row>
    <row r="8" spans="1:13" x14ac:dyDescent="0.25">
      <c r="A8" s="18" t="s">
        <v>12</v>
      </c>
      <c r="B8" s="14">
        <v>5.5669999999999997E-2</v>
      </c>
      <c r="C8" s="14">
        <v>0.17860400000000001</v>
      </c>
      <c r="D8" s="14">
        <v>0.31081199999999998</v>
      </c>
      <c r="E8" s="14">
        <v>0.51028899999999999</v>
      </c>
      <c r="F8" s="14">
        <v>0.538968</v>
      </c>
      <c r="G8" s="15">
        <v>1.2700000000000001E-3</v>
      </c>
      <c r="H8" s="12">
        <v>0.38</v>
      </c>
      <c r="I8" s="36">
        <v>0.65</v>
      </c>
      <c r="J8" s="36">
        <v>1.1399999999999999</v>
      </c>
      <c r="K8" s="36">
        <v>1.07</v>
      </c>
      <c r="L8" s="36">
        <v>0.74</v>
      </c>
      <c r="M8" s="32">
        <v>0.28999999999999998</v>
      </c>
    </row>
    <row r="9" spans="1:13" x14ac:dyDescent="0.25">
      <c r="A9" s="18" t="s">
        <v>32</v>
      </c>
      <c r="B9" s="14">
        <v>-0.116925</v>
      </c>
      <c r="C9" s="14">
        <v>5.5830000000000003E-3</v>
      </c>
      <c r="D9" s="14">
        <v>0.145953</v>
      </c>
      <c r="E9" s="14">
        <v>0.36650300000000002</v>
      </c>
      <c r="F9" s="14">
        <v>0.48550700000000002</v>
      </c>
      <c r="G9" s="15">
        <v>-5.1538E-2</v>
      </c>
      <c r="H9" s="12">
        <v>-0.12</v>
      </c>
      <c r="I9" s="36">
        <v>0.35</v>
      </c>
      <c r="J9" s="36">
        <v>0.84</v>
      </c>
      <c r="K9" s="36">
        <v>1.28</v>
      </c>
      <c r="L9" s="36">
        <v>1.06</v>
      </c>
      <c r="M9" s="32">
        <v>-0.03</v>
      </c>
    </row>
    <row r="10" spans="1:13" x14ac:dyDescent="0.25">
      <c r="A10" s="18" t="s">
        <v>33</v>
      </c>
      <c r="B10" s="14">
        <v>-3.3607999999999999E-2</v>
      </c>
      <c r="C10" s="14">
        <v>3.0401000000000001E-2</v>
      </c>
      <c r="D10" s="14">
        <v>5.049E-2</v>
      </c>
      <c r="E10" s="14">
        <v>2.5048999999999998E-2</v>
      </c>
      <c r="F10" s="14">
        <v>-2.2671E-2</v>
      </c>
      <c r="G10" s="15">
        <v>1.8799999999999999E-3</v>
      </c>
      <c r="H10" s="12">
        <v>-7.0000000000000007E-2</v>
      </c>
      <c r="I10" s="36">
        <v>0.11</v>
      </c>
      <c r="J10" s="36">
        <v>0.12</v>
      </c>
      <c r="K10" s="36">
        <v>0.1</v>
      </c>
      <c r="L10" s="36">
        <v>-0.03</v>
      </c>
      <c r="M10" s="32">
        <v>0</v>
      </c>
    </row>
    <row r="11" spans="1:13" x14ac:dyDescent="0.25">
      <c r="A11" s="18" t="s">
        <v>34</v>
      </c>
      <c r="B11" s="14">
        <v>0.39893899999999999</v>
      </c>
      <c r="C11" s="14">
        <v>0.673184</v>
      </c>
      <c r="D11" s="14">
        <v>1.0179819999999999</v>
      </c>
      <c r="E11" s="14">
        <v>1.869094</v>
      </c>
      <c r="F11" s="14">
        <v>4.125648</v>
      </c>
      <c r="G11" s="15">
        <v>5.718337</v>
      </c>
      <c r="H11" s="12">
        <v>0.57999999999999996</v>
      </c>
      <c r="I11" s="36">
        <v>1.04</v>
      </c>
      <c r="J11" s="36">
        <v>1.46</v>
      </c>
      <c r="K11" s="36">
        <v>2.25</v>
      </c>
      <c r="L11" s="36">
        <v>3.26</v>
      </c>
      <c r="M11" s="32">
        <v>5.14</v>
      </c>
    </row>
    <row r="12" spans="1:13" x14ac:dyDescent="0.25">
      <c r="A12" s="18" t="s">
        <v>35</v>
      </c>
      <c r="B12" s="14">
        <v>0.21071300000000001</v>
      </c>
      <c r="C12" s="14">
        <v>0.48895699999999997</v>
      </c>
      <c r="D12" s="14">
        <v>0.84386499999999998</v>
      </c>
      <c r="E12" s="14">
        <v>1.7282679999999999</v>
      </c>
      <c r="F12" s="14">
        <v>4.0704950000000002</v>
      </c>
      <c r="G12" s="15">
        <v>5.7221320000000002</v>
      </c>
      <c r="H12" s="12">
        <v>0.41</v>
      </c>
      <c r="I12" s="36">
        <v>0.92</v>
      </c>
      <c r="J12" s="36">
        <v>1.45</v>
      </c>
      <c r="K12" s="36">
        <v>2.39</v>
      </c>
      <c r="L12" s="36">
        <v>3.42</v>
      </c>
      <c r="M12" s="32">
        <v>5.2</v>
      </c>
    </row>
    <row r="13" spans="1:13" x14ac:dyDescent="0.25">
      <c r="A13" s="18" t="s">
        <v>36</v>
      </c>
      <c r="B13" s="14">
        <v>0.29470800000000003</v>
      </c>
      <c r="C13" s="14">
        <v>0.55246700000000004</v>
      </c>
      <c r="D13" s="14">
        <v>0.89258099999999996</v>
      </c>
      <c r="E13" s="14">
        <v>1.7583960000000001</v>
      </c>
      <c r="F13" s="14">
        <v>4.0657399999999999</v>
      </c>
      <c r="G13" s="15">
        <v>5.6880639999999998</v>
      </c>
      <c r="H13" s="12">
        <v>0.05</v>
      </c>
      <c r="I13" s="36">
        <v>0.44</v>
      </c>
      <c r="J13" s="36">
        <v>0.92</v>
      </c>
      <c r="K13" s="36">
        <v>1.81</v>
      </c>
      <c r="L13" s="36">
        <v>2.95</v>
      </c>
      <c r="M13" s="32">
        <v>5.22</v>
      </c>
    </row>
    <row r="14" spans="1:13" x14ac:dyDescent="0.25">
      <c r="A14" s="18" t="s">
        <v>37</v>
      </c>
      <c r="B14" s="14">
        <v>0.43591099999999999</v>
      </c>
      <c r="C14" s="14">
        <v>0.71411500000000006</v>
      </c>
      <c r="D14" s="14">
        <v>1.0593509999999999</v>
      </c>
      <c r="E14" s="14">
        <v>1.904625</v>
      </c>
      <c r="F14" s="14">
        <v>4.1333780000000004</v>
      </c>
      <c r="G14" s="15">
        <v>5.7088869999999998</v>
      </c>
      <c r="H14" s="12">
        <v>0.67</v>
      </c>
      <c r="I14" s="36">
        <v>1.18</v>
      </c>
      <c r="J14" s="36">
        <v>1.66</v>
      </c>
      <c r="K14" s="36">
        <v>2.54</v>
      </c>
      <c r="L14" s="36">
        <v>3.5</v>
      </c>
      <c r="M14" s="32">
        <v>5.17</v>
      </c>
    </row>
    <row r="15" spans="1:13" x14ac:dyDescent="0.25">
      <c r="A15" s="18" t="s">
        <v>38</v>
      </c>
      <c r="B15" s="14">
        <v>1.464547</v>
      </c>
      <c r="C15" s="14">
        <v>1.7086049999999999</v>
      </c>
      <c r="D15" s="14">
        <v>1.9907950000000001</v>
      </c>
      <c r="E15" s="14">
        <v>2.6465999999999998</v>
      </c>
      <c r="F15" s="14">
        <v>4.3318450000000004</v>
      </c>
      <c r="G15" s="15">
        <v>5.545064</v>
      </c>
      <c r="H15" s="12">
        <v>1.18</v>
      </c>
      <c r="I15" s="36">
        <v>1.74</v>
      </c>
      <c r="J15" s="36">
        <v>2.19</v>
      </c>
      <c r="K15" s="36">
        <v>3.01</v>
      </c>
      <c r="L15" s="36">
        <v>3.91</v>
      </c>
      <c r="M15" s="32">
        <v>5.33</v>
      </c>
    </row>
    <row r="16" spans="1:13" x14ac:dyDescent="0.25">
      <c r="A16" s="18" t="s">
        <v>39</v>
      </c>
      <c r="B16" s="14">
        <v>1.491749</v>
      </c>
      <c r="C16" s="14">
        <v>1.7527429999999999</v>
      </c>
      <c r="D16" s="14">
        <v>2.0410490000000001</v>
      </c>
      <c r="E16" s="14">
        <v>2.6888610000000002</v>
      </c>
      <c r="F16" s="14">
        <v>4.3285390000000001</v>
      </c>
      <c r="G16" s="15">
        <v>5.5157400000000001</v>
      </c>
      <c r="H16" s="12">
        <v>1.74</v>
      </c>
      <c r="I16" s="36">
        <v>2.34</v>
      </c>
      <c r="J16" s="36">
        <v>2.66</v>
      </c>
      <c r="K16" s="36">
        <v>3.3</v>
      </c>
      <c r="L16" s="36">
        <v>4.09</v>
      </c>
      <c r="M16" s="32">
        <v>5.35</v>
      </c>
    </row>
    <row r="17" spans="1:13" x14ac:dyDescent="0.25">
      <c r="A17" s="18" t="s">
        <v>40</v>
      </c>
      <c r="B17" s="14">
        <v>8.4624000000000005E-2</v>
      </c>
      <c r="C17" s="14">
        <v>0.34667199999999998</v>
      </c>
      <c r="D17" s="14">
        <v>0.71535800000000005</v>
      </c>
      <c r="E17" s="14">
        <v>1.6316379999999999</v>
      </c>
      <c r="F17" s="14">
        <v>4.0512280000000001</v>
      </c>
      <c r="G17" s="15">
        <v>5.879454</v>
      </c>
      <c r="H17" s="12">
        <v>0.52</v>
      </c>
      <c r="I17" s="36">
        <v>1.47</v>
      </c>
      <c r="J17" s="36">
        <v>2.3199999999999998</v>
      </c>
      <c r="K17" s="36">
        <v>3.69</v>
      </c>
      <c r="L17" s="36">
        <v>4.6399999999999997</v>
      </c>
      <c r="M17" s="32">
        <v>5.25</v>
      </c>
    </row>
    <row r="18" spans="1:13" x14ac:dyDescent="0.25">
      <c r="A18" s="18" t="s">
        <v>16</v>
      </c>
      <c r="B18" s="14">
        <v>-0.20946600000000001</v>
      </c>
      <c r="C18" s="14">
        <v>-0.20466400000000001</v>
      </c>
      <c r="D18" s="14">
        <v>-0.17565500000000001</v>
      </c>
      <c r="E18" s="14">
        <v>-0.124567</v>
      </c>
      <c r="F18" s="14">
        <v>-1.3945000000000001E-2</v>
      </c>
      <c r="G18" s="15">
        <v>0.181089</v>
      </c>
      <c r="H18" s="12">
        <v>0.47</v>
      </c>
      <c r="I18" s="36">
        <v>1.02</v>
      </c>
      <c r="J18" s="36">
        <v>1.39</v>
      </c>
      <c r="K18" s="36">
        <v>1.85</v>
      </c>
      <c r="L18" s="36">
        <v>1.65</v>
      </c>
      <c r="M18" s="32">
        <v>0.03</v>
      </c>
    </row>
    <row r="19" spans="1:13" x14ac:dyDescent="0.25">
      <c r="A19" s="18" t="s">
        <v>41</v>
      </c>
      <c r="B19" s="14">
        <v>27.367519999999999</v>
      </c>
      <c r="C19" s="14">
        <v>68.907139999999998</v>
      </c>
      <c r="D19" s="14">
        <v>113.14619999999999</v>
      </c>
      <c r="E19" s="14">
        <v>180.6865</v>
      </c>
      <c r="F19" s="14">
        <v>165.82560000000001</v>
      </c>
      <c r="G19" s="15">
        <v>-30.679690000000001</v>
      </c>
      <c r="H19" s="12">
        <v>24</v>
      </c>
      <c r="I19" s="36">
        <v>90</v>
      </c>
      <c r="J19" s="36">
        <v>160</v>
      </c>
      <c r="K19" s="36">
        <v>186</v>
      </c>
      <c r="L19" s="36">
        <v>98</v>
      </c>
      <c r="M19" s="32">
        <v>2</v>
      </c>
    </row>
    <row r="20" spans="1:13" x14ac:dyDescent="0.25">
      <c r="A20" s="18" t="s">
        <v>42</v>
      </c>
      <c r="B20" s="14">
        <v>-8.1739999999999993E-2</v>
      </c>
      <c r="C20" s="14">
        <v>-0.19847300000000001</v>
      </c>
      <c r="D20" s="14">
        <v>-0.31621500000000002</v>
      </c>
      <c r="E20" s="14">
        <v>-0.48116199999999998</v>
      </c>
      <c r="F20" s="14">
        <v>-0.40436499999999997</v>
      </c>
      <c r="G20" s="15">
        <v>7.0222000000000007E-2</v>
      </c>
      <c r="H20" s="12">
        <v>-0.1</v>
      </c>
      <c r="I20" s="36">
        <v>-0.38</v>
      </c>
      <c r="J20" s="36">
        <v>-0.67</v>
      </c>
      <c r="K20" s="36">
        <v>-0.78</v>
      </c>
      <c r="L20" s="36">
        <v>-0.41</v>
      </c>
      <c r="M20" s="32">
        <v>-0.01</v>
      </c>
    </row>
    <row r="21" spans="1:13" x14ac:dyDescent="0.25">
      <c r="A21" s="18" t="s">
        <v>43</v>
      </c>
      <c r="B21" s="14">
        <v>0.150843</v>
      </c>
      <c r="C21" s="14">
        <v>0.242641</v>
      </c>
      <c r="D21" s="14">
        <v>0.282078</v>
      </c>
      <c r="E21" s="14">
        <v>0.27562900000000001</v>
      </c>
      <c r="F21" s="14">
        <v>0.10426299999999999</v>
      </c>
      <c r="G21" s="15">
        <v>-0.10662099999999999</v>
      </c>
      <c r="H21" s="12">
        <v>0.09</v>
      </c>
      <c r="I21" s="36">
        <v>0.25</v>
      </c>
      <c r="J21" s="36">
        <v>0.21</v>
      </c>
      <c r="K21" s="36">
        <v>0.28000000000000003</v>
      </c>
      <c r="L21" s="36">
        <v>0.24</v>
      </c>
      <c r="M21" s="32">
        <v>0.04</v>
      </c>
    </row>
    <row r="22" spans="1:13" x14ac:dyDescent="0.25">
      <c r="A22" s="18" t="s">
        <v>44</v>
      </c>
      <c r="B22" s="14">
        <v>5.9895999999999998E-2</v>
      </c>
      <c r="C22" s="14">
        <v>0.178341</v>
      </c>
      <c r="D22" s="14">
        <v>0.29403499999999999</v>
      </c>
      <c r="E22" s="14">
        <v>0.45472000000000001</v>
      </c>
      <c r="F22" s="14">
        <v>0.47790199999999999</v>
      </c>
      <c r="G22" s="15">
        <v>-4.4868999999999999E-2</v>
      </c>
      <c r="H22" s="12">
        <v>0.11</v>
      </c>
      <c r="I22" s="36">
        <v>0.28000000000000003</v>
      </c>
      <c r="J22" s="36">
        <v>0.44</v>
      </c>
      <c r="K22" s="36">
        <v>0.41</v>
      </c>
      <c r="L22" s="36">
        <v>0.16</v>
      </c>
      <c r="M22" s="32">
        <v>-0.28000000000000003</v>
      </c>
    </row>
    <row r="23" spans="1:13" x14ac:dyDescent="0.25">
      <c r="A23" s="8"/>
      <c r="B23" s="8"/>
      <c r="C23" s="8"/>
      <c r="D23" s="8"/>
      <c r="E23" s="8"/>
      <c r="F23" s="8"/>
      <c r="G23" s="8"/>
      <c r="I23" s="8"/>
    </row>
    <row r="24" spans="1:13" x14ac:dyDescent="0.25">
      <c r="A24" s="8"/>
      <c r="B24" s="8"/>
      <c r="C24" s="8"/>
      <c r="D24" s="8"/>
      <c r="E24" s="8"/>
      <c r="F24" s="8"/>
      <c r="G24" s="8"/>
    </row>
    <row r="26" spans="1:13" x14ac:dyDescent="0.25">
      <c r="A26" s="34" t="s">
        <v>80</v>
      </c>
      <c r="B26" s="51" t="s">
        <v>89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</row>
    <row r="27" spans="1:13" x14ac:dyDescent="0.25">
      <c r="A27" s="16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17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14">
        <f t="array" ref="B29:G47">TRANSPOSE('EXR10'!$B$3:$T$8)</f>
        <v>0.14971200000000001</v>
      </c>
      <c r="C29" s="14">
        <v>0.29554999999999998</v>
      </c>
      <c r="D29" s="14">
        <v>0.426008</v>
      </c>
      <c r="E29" s="14">
        <v>0.59332099999999999</v>
      </c>
      <c r="F29" s="14">
        <v>0.525115</v>
      </c>
      <c r="G29" s="15">
        <v>-1.8964999999999999E-2</v>
      </c>
      <c r="H29" s="12">
        <v>0.48</v>
      </c>
      <c r="I29" s="36">
        <v>0.96</v>
      </c>
      <c r="J29" s="36">
        <v>1.36</v>
      </c>
      <c r="K29" s="36">
        <v>1.39</v>
      </c>
      <c r="L29" s="36">
        <v>0.99</v>
      </c>
      <c r="M29" s="32">
        <v>0.02</v>
      </c>
    </row>
    <row r="30" spans="1:13" x14ac:dyDescent="0.25">
      <c r="A30" s="31" t="s">
        <v>57</v>
      </c>
      <c r="B30" s="14">
        <v>-7.9469999999999999E-2</v>
      </c>
      <c r="C30" s="14">
        <v>-2.8340000000000001E-2</v>
      </c>
      <c r="D30" s="14">
        <v>8.9534000000000002E-2</v>
      </c>
      <c r="E30" s="14">
        <v>0.338451</v>
      </c>
      <c r="F30" s="14">
        <v>0.51092599999999999</v>
      </c>
      <c r="G30" s="15">
        <v>-5.3635000000000002E-2</v>
      </c>
      <c r="H30" s="12">
        <v>-0.03</v>
      </c>
      <c r="I30" s="36">
        <v>0.22</v>
      </c>
      <c r="J30" s="36">
        <v>0.69</v>
      </c>
      <c r="K30" s="36">
        <v>1.1599999999999999</v>
      </c>
      <c r="L30" s="36">
        <v>1.1000000000000001</v>
      </c>
      <c r="M30" s="32">
        <v>-0.03</v>
      </c>
    </row>
    <row r="31" spans="1:13" x14ac:dyDescent="0.25">
      <c r="A31" s="31" t="s">
        <v>54</v>
      </c>
      <c r="B31" s="14">
        <v>8.2735000000000003E-2</v>
      </c>
      <c r="C31" s="14">
        <v>0.20995800000000001</v>
      </c>
      <c r="D31" s="14">
        <v>0.34045599999999998</v>
      </c>
      <c r="E31" s="14">
        <v>0.54113999999999995</v>
      </c>
      <c r="F31" s="14">
        <v>0.678199</v>
      </c>
      <c r="G31" s="15">
        <v>0.68053900000000001</v>
      </c>
      <c r="H31" s="12">
        <v>0.7</v>
      </c>
      <c r="I31" s="36">
        <v>1.61</v>
      </c>
      <c r="J31" s="36">
        <v>2.2400000000000002</v>
      </c>
      <c r="K31" s="36">
        <v>1.94</v>
      </c>
      <c r="L31" s="36">
        <v>0.93</v>
      </c>
      <c r="M31" s="32">
        <v>0</v>
      </c>
    </row>
    <row r="32" spans="1:13" x14ac:dyDescent="0.25">
      <c r="A32" s="31" t="s">
        <v>55</v>
      </c>
      <c r="B32" s="14">
        <v>0.82541399999999998</v>
      </c>
      <c r="C32" s="14">
        <v>1.3488059999999999</v>
      </c>
      <c r="D32" s="14">
        <v>1.6491849999999999</v>
      </c>
      <c r="E32" s="14">
        <v>1.7980989999999999</v>
      </c>
      <c r="F32" s="14">
        <v>1.0020789999999999</v>
      </c>
      <c r="G32" s="15">
        <v>-0.498255</v>
      </c>
      <c r="H32" s="12">
        <v>1.33</v>
      </c>
      <c r="I32" s="36">
        <v>2.15</v>
      </c>
      <c r="J32" s="36">
        <v>2.37</v>
      </c>
      <c r="K32" s="36">
        <v>2.31</v>
      </c>
      <c r="L32" s="36">
        <v>1.76</v>
      </c>
      <c r="M32" s="32">
        <v>0.47</v>
      </c>
    </row>
    <row r="33" spans="1:13" x14ac:dyDescent="0.25">
      <c r="A33" s="31" t="s">
        <v>56</v>
      </c>
      <c r="B33" s="14">
        <v>5.5669999999999997E-2</v>
      </c>
      <c r="C33" s="14">
        <v>0.17860400000000001</v>
      </c>
      <c r="D33" s="14">
        <v>0.31081199999999998</v>
      </c>
      <c r="E33" s="14">
        <v>0.51028899999999999</v>
      </c>
      <c r="F33" s="14">
        <v>0.538968</v>
      </c>
      <c r="G33" s="15">
        <v>1.2700000000000001E-3</v>
      </c>
      <c r="H33" s="12">
        <v>0.38</v>
      </c>
      <c r="I33" s="36">
        <v>0.65</v>
      </c>
      <c r="J33" s="36">
        <v>1.1399999999999999</v>
      </c>
      <c r="K33" s="36">
        <v>1.07</v>
      </c>
      <c r="L33" s="36">
        <v>0.74</v>
      </c>
      <c r="M33" s="32">
        <v>0.28999999999999998</v>
      </c>
    </row>
    <row r="34" spans="1:13" x14ac:dyDescent="0.25">
      <c r="A34" s="31" t="s">
        <v>58</v>
      </c>
      <c r="B34" s="14">
        <v>-0.116925</v>
      </c>
      <c r="C34" s="14">
        <v>5.5830000000000003E-3</v>
      </c>
      <c r="D34" s="14">
        <v>0.145953</v>
      </c>
      <c r="E34" s="14">
        <v>0.36650300000000002</v>
      </c>
      <c r="F34" s="14">
        <v>0.48550700000000002</v>
      </c>
      <c r="G34" s="15">
        <v>-5.1538E-2</v>
      </c>
      <c r="H34" s="12">
        <v>-0.12</v>
      </c>
      <c r="I34" s="36">
        <v>0.35</v>
      </c>
      <c r="J34" s="36">
        <v>0.84</v>
      </c>
      <c r="K34" s="36">
        <v>1.28</v>
      </c>
      <c r="L34" s="36">
        <v>1.06</v>
      </c>
      <c r="M34" s="32">
        <v>-0.03</v>
      </c>
    </row>
    <row r="35" spans="1:13" x14ac:dyDescent="0.25">
      <c r="A35" s="31" t="s">
        <v>59</v>
      </c>
      <c r="B35" s="14">
        <v>-3.3607999999999999E-2</v>
      </c>
      <c r="C35" s="14">
        <v>3.0401000000000001E-2</v>
      </c>
      <c r="D35" s="14">
        <v>5.049E-2</v>
      </c>
      <c r="E35" s="14">
        <v>2.5048999999999998E-2</v>
      </c>
      <c r="F35" s="14">
        <v>-2.2671E-2</v>
      </c>
      <c r="G35" s="15">
        <v>1.8799999999999999E-3</v>
      </c>
      <c r="H35" s="12">
        <v>-7.0000000000000007E-2</v>
      </c>
      <c r="I35" s="36">
        <v>0.11</v>
      </c>
      <c r="J35" s="36">
        <v>0.12</v>
      </c>
      <c r="K35" s="36">
        <v>0.1</v>
      </c>
      <c r="L35" s="36">
        <v>-0.03</v>
      </c>
      <c r="M35" s="32">
        <v>0</v>
      </c>
    </row>
    <row r="36" spans="1:13" x14ac:dyDescent="0.25">
      <c r="A36" s="31" t="s">
        <v>70</v>
      </c>
      <c r="B36" s="14">
        <v>0.39893899999999999</v>
      </c>
      <c r="C36" s="14">
        <v>0.673184</v>
      </c>
      <c r="D36" s="14">
        <v>1.0179819999999999</v>
      </c>
      <c r="E36" s="14">
        <v>1.869094</v>
      </c>
      <c r="F36" s="14">
        <v>4.125648</v>
      </c>
      <c r="G36" s="15">
        <v>5.718337</v>
      </c>
      <c r="H36" s="12">
        <v>0.57999999999999996</v>
      </c>
      <c r="I36" s="36">
        <v>1.04</v>
      </c>
      <c r="J36" s="36">
        <v>1.46</v>
      </c>
      <c r="K36" s="36">
        <v>2.25</v>
      </c>
      <c r="L36" s="36">
        <v>3.26</v>
      </c>
      <c r="M36" s="32">
        <v>5.14</v>
      </c>
    </row>
    <row r="37" spans="1:13" x14ac:dyDescent="0.25">
      <c r="A37" s="31" t="s">
        <v>71</v>
      </c>
      <c r="B37" s="14">
        <v>0.21071300000000001</v>
      </c>
      <c r="C37" s="14">
        <v>0.48895699999999997</v>
      </c>
      <c r="D37" s="14">
        <v>0.84386499999999998</v>
      </c>
      <c r="E37" s="14">
        <v>1.7282679999999999</v>
      </c>
      <c r="F37" s="14">
        <v>4.0704950000000002</v>
      </c>
      <c r="G37" s="15">
        <v>5.7221320000000002</v>
      </c>
      <c r="H37" s="12">
        <v>0.41</v>
      </c>
      <c r="I37" s="36">
        <v>0.92</v>
      </c>
      <c r="J37" s="36">
        <v>1.45</v>
      </c>
      <c r="K37" s="36">
        <v>2.39</v>
      </c>
      <c r="L37" s="36">
        <v>3.42</v>
      </c>
      <c r="M37" s="32">
        <v>5.2</v>
      </c>
    </row>
    <row r="38" spans="1:13" x14ac:dyDescent="0.25">
      <c r="A38" s="31" t="s">
        <v>72</v>
      </c>
      <c r="B38" s="14">
        <v>0.29470800000000003</v>
      </c>
      <c r="C38" s="14">
        <v>0.55246700000000004</v>
      </c>
      <c r="D38" s="14">
        <v>0.89258099999999996</v>
      </c>
      <c r="E38" s="14">
        <v>1.7583960000000001</v>
      </c>
      <c r="F38" s="14">
        <v>4.0657399999999999</v>
      </c>
      <c r="G38" s="15">
        <v>5.6880639999999998</v>
      </c>
      <c r="H38" s="12">
        <v>0.05</v>
      </c>
      <c r="I38" s="36">
        <v>0.44</v>
      </c>
      <c r="J38" s="36">
        <v>0.92</v>
      </c>
      <c r="K38" s="36">
        <v>1.81</v>
      </c>
      <c r="L38" s="36">
        <v>2.95</v>
      </c>
      <c r="M38" s="32">
        <v>5.22</v>
      </c>
    </row>
    <row r="39" spans="1:13" x14ac:dyDescent="0.25">
      <c r="A39" s="31" t="s">
        <v>76</v>
      </c>
      <c r="B39" s="14">
        <v>0.43591099999999999</v>
      </c>
      <c r="C39" s="14">
        <v>0.71411500000000006</v>
      </c>
      <c r="D39" s="14">
        <v>1.0593509999999999</v>
      </c>
      <c r="E39" s="14">
        <v>1.904625</v>
      </c>
      <c r="F39" s="14">
        <v>4.1333780000000004</v>
      </c>
      <c r="G39" s="15">
        <v>5.7088869999999998</v>
      </c>
      <c r="H39" s="12">
        <v>0.67</v>
      </c>
      <c r="I39" s="36">
        <v>1.18</v>
      </c>
      <c r="J39" s="36">
        <v>1.66</v>
      </c>
      <c r="K39" s="36">
        <v>2.54</v>
      </c>
      <c r="L39" s="36">
        <v>3.5</v>
      </c>
      <c r="M39" s="32">
        <v>5.17</v>
      </c>
    </row>
    <row r="40" spans="1:13" x14ac:dyDescent="0.25">
      <c r="A40" s="31" t="s">
        <v>68</v>
      </c>
      <c r="B40" s="14">
        <v>1.464547</v>
      </c>
      <c r="C40" s="14">
        <v>1.7086049999999999</v>
      </c>
      <c r="D40" s="14">
        <v>1.9907950000000001</v>
      </c>
      <c r="E40" s="14">
        <v>2.6465999999999998</v>
      </c>
      <c r="F40" s="14">
        <v>4.3318450000000004</v>
      </c>
      <c r="G40" s="15">
        <v>5.545064</v>
      </c>
      <c r="H40" s="12">
        <v>1.18</v>
      </c>
      <c r="I40" s="36">
        <v>1.74</v>
      </c>
      <c r="J40" s="36">
        <v>2.19</v>
      </c>
      <c r="K40" s="36">
        <v>3.01</v>
      </c>
      <c r="L40" s="36">
        <v>3.91</v>
      </c>
      <c r="M40" s="32">
        <v>5.33</v>
      </c>
    </row>
    <row r="41" spans="1:13" x14ac:dyDescent="0.25">
      <c r="A41" s="31" t="s">
        <v>69</v>
      </c>
      <c r="B41" s="14">
        <v>1.491749</v>
      </c>
      <c r="C41" s="14">
        <v>1.7527429999999999</v>
      </c>
      <c r="D41" s="14">
        <v>2.0410490000000001</v>
      </c>
      <c r="E41" s="14">
        <v>2.6888610000000002</v>
      </c>
      <c r="F41" s="14">
        <v>4.3285390000000001</v>
      </c>
      <c r="G41" s="15">
        <v>5.5157400000000001</v>
      </c>
      <c r="H41" s="12">
        <v>1.74</v>
      </c>
      <c r="I41" s="36">
        <v>2.34</v>
      </c>
      <c r="J41" s="36">
        <v>2.66</v>
      </c>
      <c r="K41" s="36">
        <v>3.3</v>
      </c>
      <c r="L41" s="36">
        <v>4.09</v>
      </c>
      <c r="M41" s="32">
        <v>5.35</v>
      </c>
    </row>
    <row r="42" spans="1:13" x14ac:dyDescent="0.25">
      <c r="A42" s="31" t="s">
        <v>73</v>
      </c>
      <c r="B42" s="14">
        <v>8.4624000000000005E-2</v>
      </c>
      <c r="C42" s="14">
        <v>0.34667199999999998</v>
      </c>
      <c r="D42" s="14">
        <v>0.71535800000000005</v>
      </c>
      <c r="E42" s="14">
        <v>1.6316379999999999</v>
      </c>
      <c r="F42" s="14">
        <v>4.0512280000000001</v>
      </c>
      <c r="G42" s="15">
        <v>5.879454</v>
      </c>
      <c r="H42" s="12">
        <v>0.52</v>
      </c>
      <c r="I42" s="36">
        <v>1.47</v>
      </c>
      <c r="J42" s="36">
        <v>2.3199999999999998</v>
      </c>
      <c r="K42" s="36">
        <v>3.69</v>
      </c>
      <c r="L42" s="36">
        <v>4.6399999999999997</v>
      </c>
      <c r="M42" s="32">
        <v>5.25</v>
      </c>
    </row>
    <row r="43" spans="1:13" x14ac:dyDescent="0.25">
      <c r="A43" s="31" t="s">
        <v>74</v>
      </c>
      <c r="B43" s="14">
        <v>-0.20946600000000001</v>
      </c>
      <c r="C43" s="14">
        <v>-0.20466400000000001</v>
      </c>
      <c r="D43" s="14">
        <v>-0.17565500000000001</v>
      </c>
      <c r="E43" s="14">
        <v>-0.124567</v>
      </c>
      <c r="F43" s="14">
        <v>-1.3945000000000001E-2</v>
      </c>
      <c r="G43" s="15">
        <v>0.181089</v>
      </c>
      <c r="H43" s="12">
        <v>0.47</v>
      </c>
      <c r="I43" s="36">
        <v>1.02</v>
      </c>
      <c r="J43" s="36">
        <v>1.39</v>
      </c>
      <c r="K43" s="36">
        <v>1.85</v>
      </c>
      <c r="L43" s="36">
        <v>1.65</v>
      </c>
      <c r="M43" s="32">
        <v>0.03</v>
      </c>
    </row>
    <row r="44" spans="1:13" x14ac:dyDescent="0.25">
      <c r="A44" s="31" t="s">
        <v>77</v>
      </c>
      <c r="B44" s="14">
        <v>27.367519999999999</v>
      </c>
      <c r="C44" s="14">
        <v>68.907139999999998</v>
      </c>
      <c r="D44" s="14">
        <v>113.14619999999999</v>
      </c>
      <c r="E44" s="14">
        <v>180.6865</v>
      </c>
      <c r="F44" s="14">
        <v>165.82560000000001</v>
      </c>
      <c r="G44" s="15">
        <v>-30.679690000000001</v>
      </c>
      <c r="H44" s="12">
        <v>24</v>
      </c>
      <c r="I44" s="36">
        <v>90</v>
      </c>
      <c r="J44" s="36">
        <v>160</v>
      </c>
      <c r="K44" s="36">
        <v>186</v>
      </c>
      <c r="L44" s="36">
        <v>98</v>
      </c>
      <c r="M44" s="32">
        <v>2</v>
      </c>
    </row>
    <row r="45" spans="1:13" x14ac:dyDescent="0.25">
      <c r="A45" s="31" t="s">
        <v>75</v>
      </c>
      <c r="B45" s="14">
        <v>-8.1739999999999993E-2</v>
      </c>
      <c r="C45" s="14">
        <v>-0.19847300000000001</v>
      </c>
      <c r="D45" s="14">
        <v>-0.31621500000000002</v>
      </c>
      <c r="E45" s="14">
        <v>-0.48116199999999998</v>
      </c>
      <c r="F45" s="14">
        <v>-0.40436499999999997</v>
      </c>
      <c r="G45" s="15">
        <v>7.0222000000000007E-2</v>
      </c>
      <c r="H45" s="12">
        <v>-0.1</v>
      </c>
      <c r="I45" s="36">
        <v>-0.38</v>
      </c>
      <c r="J45" s="36">
        <v>-0.67</v>
      </c>
      <c r="K45" s="36">
        <v>-0.78</v>
      </c>
      <c r="L45" s="36">
        <v>-0.41</v>
      </c>
      <c r="M45" s="32">
        <v>-0.01</v>
      </c>
    </row>
    <row r="46" spans="1:13" x14ac:dyDescent="0.25">
      <c r="A46" s="31" t="s">
        <v>78</v>
      </c>
      <c r="B46" s="14">
        <v>0.150843</v>
      </c>
      <c r="C46" s="14">
        <v>0.242641</v>
      </c>
      <c r="D46" s="14">
        <v>0.282078</v>
      </c>
      <c r="E46" s="14">
        <v>0.27562900000000001</v>
      </c>
      <c r="F46" s="14">
        <v>0.10426299999999999</v>
      </c>
      <c r="G46" s="15">
        <v>-0.10662099999999999</v>
      </c>
      <c r="H46" s="12">
        <v>0.09</v>
      </c>
      <c r="I46" s="36">
        <v>0.25</v>
      </c>
      <c r="J46" s="36">
        <v>0.21</v>
      </c>
      <c r="K46" s="36">
        <v>0.28000000000000003</v>
      </c>
      <c r="L46" s="36">
        <v>0.24</v>
      </c>
      <c r="M46" s="32">
        <v>0.04</v>
      </c>
    </row>
    <row r="47" spans="1:13" x14ac:dyDescent="0.25">
      <c r="A47" s="45" t="s">
        <v>79</v>
      </c>
      <c r="B47" s="14">
        <v>5.9895999999999998E-2</v>
      </c>
      <c r="C47" s="14">
        <v>0.178341</v>
      </c>
      <c r="D47" s="14">
        <v>0.29403499999999999</v>
      </c>
      <c r="E47" s="14">
        <v>0.45472000000000001</v>
      </c>
      <c r="F47" s="14">
        <v>0.47790199999999999</v>
      </c>
      <c r="G47" s="15">
        <v>-4.4868999999999999E-2</v>
      </c>
      <c r="H47" s="12">
        <v>0.11</v>
      </c>
      <c r="I47" s="36">
        <v>0.28000000000000003</v>
      </c>
      <c r="J47" s="36">
        <v>0.44</v>
      </c>
      <c r="K47" s="36">
        <v>0.41</v>
      </c>
      <c r="L47" s="36">
        <v>0.16</v>
      </c>
      <c r="M47" s="32">
        <v>-0.28000000000000003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M47"/>
  <sheetViews>
    <sheetView showGridLines="0" workbookViewId="0">
      <selection activeCell="B26" sqref="B26:M26"/>
    </sheetView>
  </sheetViews>
  <sheetFormatPr baseColWidth="10" defaultColWidth="11" defaultRowHeight="15.75" x14ac:dyDescent="0.25"/>
  <cols>
    <col min="1" max="1" width="33.625" customWidth="1"/>
  </cols>
  <sheetData>
    <row r="1" spans="1:13" ht="30" customHeight="1" x14ac:dyDescent="0.25">
      <c r="A1" s="35" t="s">
        <v>30</v>
      </c>
      <c r="B1" s="58" t="s">
        <v>88</v>
      </c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</row>
    <row r="2" spans="1:13" x14ac:dyDescent="0.25">
      <c r="A2" s="16"/>
      <c r="B2" s="52" t="s">
        <v>47</v>
      </c>
      <c r="C2" s="53"/>
      <c r="D2" s="53"/>
      <c r="E2" s="53"/>
      <c r="F2" s="53"/>
      <c r="G2" s="54"/>
      <c r="H2" s="55" t="s">
        <v>46</v>
      </c>
      <c r="I2" s="56"/>
      <c r="J2" s="56"/>
      <c r="K2" s="56"/>
      <c r="L2" s="56"/>
      <c r="M2" s="57"/>
    </row>
    <row r="3" spans="1:13" x14ac:dyDescent="0.25">
      <c r="A3" s="22"/>
      <c r="B3" s="23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18" t="s">
        <v>6</v>
      </c>
      <c r="B4" s="20">
        <f t="array" ref="B4:G22">TRANSPOSE(EXPG1!$B$3:$T$8)</f>
        <v>0.83602900000000002</v>
      </c>
      <c r="C4" s="19">
        <v>1.0448170000000001</v>
      </c>
      <c r="D4" s="19">
        <v>1.146131</v>
      </c>
      <c r="E4" s="19">
        <v>1.115969</v>
      </c>
      <c r="F4" s="19">
        <v>0.62704899999999997</v>
      </c>
      <c r="G4" s="21">
        <v>2.963E-2</v>
      </c>
      <c r="H4" s="13">
        <v>0.78</v>
      </c>
      <c r="I4" s="13">
        <v>1.06</v>
      </c>
      <c r="J4" s="13">
        <v>1.03</v>
      </c>
      <c r="K4" s="13">
        <v>0.86</v>
      </c>
      <c r="L4" s="13">
        <v>0.53</v>
      </c>
      <c r="M4" s="32">
        <v>0.16</v>
      </c>
    </row>
    <row r="5" spans="1:13" x14ac:dyDescent="0.25">
      <c r="A5" s="18" t="s">
        <v>8</v>
      </c>
      <c r="B5" s="20">
        <v>0.65837100000000004</v>
      </c>
      <c r="C5" s="19">
        <v>1.106028</v>
      </c>
      <c r="D5" s="19">
        <v>1.369097</v>
      </c>
      <c r="E5" s="19">
        <v>1.50749</v>
      </c>
      <c r="F5" s="19">
        <v>1.0995649999999999</v>
      </c>
      <c r="G5" s="21">
        <v>0.10209</v>
      </c>
      <c r="H5" s="13">
        <v>0.69</v>
      </c>
      <c r="I5" s="13">
        <v>1.35</v>
      </c>
      <c r="J5" s="13">
        <v>1.64</v>
      </c>
      <c r="K5" s="13">
        <v>1.85</v>
      </c>
      <c r="L5" s="13">
        <v>1.63</v>
      </c>
      <c r="M5" s="32">
        <v>1.1499999999999999</v>
      </c>
    </row>
    <row r="6" spans="1:13" x14ac:dyDescent="0.25">
      <c r="A6" s="18" t="s">
        <v>9</v>
      </c>
      <c r="B6" s="20">
        <v>0.40643499999999999</v>
      </c>
      <c r="C6" s="19">
        <v>0.70689100000000005</v>
      </c>
      <c r="D6" s="19">
        <v>0.88681500000000002</v>
      </c>
      <c r="E6" s="19">
        <v>0.98234600000000005</v>
      </c>
      <c r="F6" s="19">
        <v>0.77080800000000005</v>
      </c>
      <c r="G6" s="21">
        <v>0.27909200000000001</v>
      </c>
      <c r="H6" s="13">
        <v>1.24</v>
      </c>
      <c r="I6" s="13">
        <v>1.96</v>
      </c>
      <c r="J6" s="13">
        <v>1.83</v>
      </c>
      <c r="K6" s="13">
        <v>1.29</v>
      </c>
      <c r="L6" s="13">
        <v>0.76</v>
      </c>
      <c r="M6" s="32">
        <v>0.47</v>
      </c>
    </row>
    <row r="7" spans="1:13" x14ac:dyDescent="0.25">
      <c r="A7" s="18" t="s">
        <v>11</v>
      </c>
      <c r="B7" s="20">
        <v>-3.9146E-2</v>
      </c>
      <c r="C7" s="19">
        <v>-0.136961</v>
      </c>
      <c r="D7" s="19">
        <v>-0.29461399999999999</v>
      </c>
      <c r="E7" s="19">
        <v>-0.74142399999999997</v>
      </c>
      <c r="F7" s="19">
        <v>-1.934151</v>
      </c>
      <c r="G7" s="21">
        <v>-1.565699</v>
      </c>
      <c r="H7" s="13">
        <v>0</v>
      </c>
      <c r="I7" s="13">
        <v>-0.16</v>
      </c>
      <c r="J7" s="13">
        <v>-0.38</v>
      </c>
      <c r="K7" s="13">
        <v>-0.78</v>
      </c>
      <c r="L7" s="13">
        <v>-1.27</v>
      </c>
      <c r="M7" s="32">
        <v>-1.73</v>
      </c>
    </row>
    <row r="8" spans="1:13" x14ac:dyDescent="0.25">
      <c r="A8" s="18" t="s">
        <v>12</v>
      </c>
      <c r="B8" s="20">
        <v>0.56550100000000003</v>
      </c>
      <c r="C8" s="19">
        <v>0.86226000000000003</v>
      </c>
      <c r="D8" s="19">
        <v>1.0148109999999999</v>
      </c>
      <c r="E8" s="19">
        <v>1.031156</v>
      </c>
      <c r="F8" s="19">
        <v>0.57847300000000001</v>
      </c>
      <c r="G8" s="21">
        <v>-5.9778999999999999E-2</v>
      </c>
      <c r="H8" s="13">
        <v>0.98</v>
      </c>
      <c r="I8" s="13">
        <v>1.51</v>
      </c>
      <c r="J8" s="13">
        <v>1.45</v>
      </c>
      <c r="K8" s="13">
        <v>1.33</v>
      </c>
      <c r="L8" s="13">
        <v>1.1599999999999999</v>
      </c>
      <c r="M8" s="32">
        <v>1.03</v>
      </c>
    </row>
    <row r="9" spans="1:13" x14ac:dyDescent="0.25">
      <c r="A9" s="18" t="s">
        <v>32</v>
      </c>
      <c r="B9" s="20">
        <v>0.96968799999999999</v>
      </c>
      <c r="C9" s="19">
        <v>1.2345820000000001</v>
      </c>
      <c r="D9" s="19">
        <v>1.3760810000000001</v>
      </c>
      <c r="E9" s="19">
        <v>1.4139699999999999</v>
      </c>
      <c r="F9" s="19">
        <v>1.0628919999999999</v>
      </c>
      <c r="G9" s="21">
        <v>0.10573</v>
      </c>
      <c r="H9" s="13">
        <v>1.22</v>
      </c>
      <c r="I9" s="13">
        <v>1.57</v>
      </c>
      <c r="J9" s="13">
        <v>1.82</v>
      </c>
      <c r="K9" s="13">
        <v>1.98</v>
      </c>
      <c r="L9" s="13">
        <v>1.58</v>
      </c>
      <c r="M9" s="32">
        <v>1.1499999999999999</v>
      </c>
    </row>
    <row r="10" spans="1:13" x14ac:dyDescent="0.25">
      <c r="A10" s="18" t="s">
        <v>33</v>
      </c>
      <c r="B10" s="20">
        <v>0.27633000000000002</v>
      </c>
      <c r="C10" s="19">
        <v>0.11380800000000001</v>
      </c>
      <c r="D10" s="19">
        <v>6.1739999999999998E-3</v>
      </c>
      <c r="E10" s="19">
        <v>-8.2645999999999997E-2</v>
      </c>
      <c r="F10" s="19">
        <v>-3.2521000000000001E-2</v>
      </c>
      <c r="G10" s="21">
        <v>3.2590000000000002E-3</v>
      </c>
      <c r="H10" s="13">
        <v>0.46</v>
      </c>
      <c r="I10" s="13">
        <v>0.19</v>
      </c>
      <c r="J10" s="13">
        <v>0.15</v>
      </c>
      <c r="K10" s="13">
        <v>0.11</v>
      </c>
      <c r="L10" s="13">
        <v>-0.04</v>
      </c>
      <c r="M10" s="32">
        <v>0</v>
      </c>
    </row>
    <row r="11" spans="1:13" x14ac:dyDescent="0.25">
      <c r="A11" s="18" t="s">
        <v>34</v>
      </c>
      <c r="B11" s="20">
        <v>0.24811800000000001</v>
      </c>
      <c r="C11" s="19">
        <v>0.65778899999999996</v>
      </c>
      <c r="D11" s="19">
        <v>1.155724</v>
      </c>
      <c r="E11" s="19">
        <v>2.209562</v>
      </c>
      <c r="F11" s="19">
        <v>4.101413</v>
      </c>
      <c r="G11" s="21">
        <v>2.2763520000000002</v>
      </c>
      <c r="H11" s="13">
        <v>0.2</v>
      </c>
      <c r="I11" s="13">
        <v>0.57999999999999996</v>
      </c>
      <c r="J11" s="13">
        <v>0.94</v>
      </c>
      <c r="K11" s="13">
        <v>1.42</v>
      </c>
      <c r="L11" s="13">
        <v>1.88</v>
      </c>
      <c r="M11" s="32">
        <v>2.69</v>
      </c>
    </row>
    <row r="12" spans="1:13" x14ac:dyDescent="0.25">
      <c r="A12" s="18" t="s">
        <v>35</v>
      </c>
      <c r="B12" s="20">
        <v>0.265764</v>
      </c>
      <c r="C12" s="19">
        <v>0.70340000000000003</v>
      </c>
      <c r="D12" s="19">
        <v>1.2319739999999999</v>
      </c>
      <c r="E12" s="19">
        <v>2.336964</v>
      </c>
      <c r="F12" s="19">
        <v>4.2755700000000001</v>
      </c>
      <c r="G12" s="21">
        <v>2.3622990000000001</v>
      </c>
      <c r="H12" s="13">
        <v>0.32</v>
      </c>
      <c r="I12" s="13">
        <v>0.77</v>
      </c>
      <c r="J12" s="13">
        <v>1.21</v>
      </c>
      <c r="K12" s="13">
        <v>1.76</v>
      </c>
      <c r="L12" s="13">
        <v>2.17</v>
      </c>
      <c r="M12" s="32">
        <v>2.95</v>
      </c>
    </row>
    <row r="13" spans="1:13" x14ac:dyDescent="0.25">
      <c r="A13" s="18" t="s">
        <v>36</v>
      </c>
      <c r="B13" s="20">
        <v>0.27297500000000002</v>
      </c>
      <c r="C13" s="19">
        <v>0.71614900000000004</v>
      </c>
      <c r="D13" s="19">
        <v>1.245263</v>
      </c>
      <c r="E13" s="19">
        <v>2.336751</v>
      </c>
      <c r="F13" s="19">
        <v>4.2222840000000001</v>
      </c>
      <c r="G13" s="21">
        <v>2.322508</v>
      </c>
      <c r="H13" s="13">
        <v>0.15</v>
      </c>
      <c r="I13" s="13">
        <v>0.59</v>
      </c>
      <c r="J13" s="13">
        <v>0.99</v>
      </c>
      <c r="K13" s="13">
        <v>1.51</v>
      </c>
      <c r="L13" s="13">
        <v>2.0299999999999998</v>
      </c>
      <c r="M13" s="32">
        <v>3.04</v>
      </c>
    </row>
    <row r="14" spans="1:13" x14ac:dyDescent="0.25">
      <c r="A14" s="18" t="s">
        <v>37</v>
      </c>
      <c r="B14" s="20">
        <v>0.24451400000000001</v>
      </c>
      <c r="C14" s="19">
        <v>0.65138799999999997</v>
      </c>
      <c r="D14" s="19">
        <v>1.1473850000000001</v>
      </c>
      <c r="E14" s="19">
        <v>2.1965140000000001</v>
      </c>
      <c r="F14" s="19">
        <v>4.0661610000000001</v>
      </c>
      <c r="G14" s="21">
        <v>2.2527469999999998</v>
      </c>
      <c r="H14" s="13">
        <v>0.16</v>
      </c>
      <c r="I14" s="13">
        <v>0.55000000000000004</v>
      </c>
      <c r="J14" s="13">
        <v>0.96</v>
      </c>
      <c r="K14" s="13">
        <v>1.47</v>
      </c>
      <c r="L14" s="13">
        <v>1.88</v>
      </c>
      <c r="M14" s="32">
        <v>2.59</v>
      </c>
    </row>
    <row r="15" spans="1:13" x14ac:dyDescent="0.25">
      <c r="A15" s="18" t="s">
        <v>38</v>
      </c>
      <c r="B15" s="20">
        <v>0.163275</v>
      </c>
      <c r="C15" s="19">
        <v>0.45791799999999999</v>
      </c>
      <c r="D15" s="19">
        <v>0.83308899999999997</v>
      </c>
      <c r="E15" s="19">
        <v>1.647964</v>
      </c>
      <c r="F15" s="19">
        <v>3.0941689999999999</v>
      </c>
      <c r="G15" s="21">
        <v>1.74336</v>
      </c>
      <c r="H15" s="13">
        <v>0.08</v>
      </c>
      <c r="I15" s="13">
        <v>0.37</v>
      </c>
      <c r="J15" s="13">
        <v>0.7</v>
      </c>
      <c r="K15" s="13">
        <v>1.1599999999999999</v>
      </c>
      <c r="L15" s="13">
        <v>1.58</v>
      </c>
      <c r="M15" s="32">
        <v>2.09</v>
      </c>
    </row>
    <row r="16" spans="1:13" x14ac:dyDescent="0.25">
      <c r="A16" s="18" t="s">
        <v>39</v>
      </c>
      <c r="B16" s="20">
        <v>0.14871300000000001</v>
      </c>
      <c r="C16" s="19">
        <v>0.42747000000000002</v>
      </c>
      <c r="D16" s="19">
        <v>0.78998699999999999</v>
      </c>
      <c r="E16" s="19">
        <v>1.5903309999999999</v>
      </c>
      <c r="F16" s="19">
        <v>3.023352</v>
      </c>
      <c r="G16" s="21">
        <v>1.706108</v>
      </c>
      <c r="H16" s="13">
        <v>0.13</v>
      </c>
      <c r="I16" s="13">
        <v>0.41</v>
      </c>
      <c r="J16" s="13">
        <v>0.7</v>
      </c>
      <c r="K16" s="13">
        <v>1.1299999999999999</v>
      </c>
      <c r="L16" s="13">
        <v>1.52</v>
      </c>
      <c r="M16" s="32">
        <v>1.96</v>
      </c>
    </row>
    <row r="17" spans="1:13" x14ac:dyDescent="0.25">
      <c r="A17" s="18" t="s">
        <v>40</v>
      </c>
      <c r="B17" s="20">
        <v>0.42334100000000002</v>
      </c>
      <c r="C17" s="19">
        <v>0.92750100000000002</v>
      </c>
      <c r="D17" s="19">
        <v>1.4653290000000001</v>
      </c>
      <c r="E17" s="19">
        <v>2.533563</v>
      </c>
      <c r="F17" s="19">
        <v>4.4909189999999999</v>
      </c>
      <c r="G17" s="21">
        <v>2.532238</v>
      </c>
      <c r="H17" s="13">
        <v>0.52</v>
      </c>
      <c r="I17" s="13">
        <v>1.34</v>
      </c>
      <c r="J17" s="13">
        <v>2.0299999999999998</v>
      </c>
      <c r="K17" s="13">
        <v>2.85</v>
      </c>
      <c r="L17" s="13">
        <v>2.89</v>
      </c>
      <c r="M17" s="32">
        <v>3.21</v>
      </c>
    </row>
    <row r="18" spans="1:13" x14ac:dyDescent="0.25">
      <c r="A18" s="18" t="s">
        <v>16</v>
      </c>
      <c r="B18" s="20">
        <v>0.14995600000000001</v>
      </c>
      <c r="C18" s="19">
        <v>0.20985000000000001</v>
      </c>
      <c r="D18" s="19">
        <v>0.21736</v>
      </c>
      <c r="E18" s="19">
        <v>0.19231799999999999</v>
      </c>
      <c r="F18" s="19">
        <v>0.25775199999999998</v>
      </c>
      <c r="G18" s="21">
        <v>0.20497000000000001</v>
      </c>
      <c r="H18" s="13">
        <v>0.37</v>
      </c>
      <c r="I18" s="13">
        <v>0.75</v>
      </c>
      <c r="J18" s="13">
        <v>1.03</v>
      </c>
      <c r="K18" s="13">
        <v>1.33</v>
      </c>
      <c r="L18" s="13">
        <v>0.84</v>
      </c>
      <c r="M18" s="32">
        <v>0.16</v>
      </c>
    </row>
    <row r="19" spans="1:13" x14ac:dyDescent="0.25">
      <c r="A19" s="18" t="s">
        <v>41</v>
      </c>
      <c r="B19" s="20">
        <v>123.273</v>
      </c>
      <c r="C19" s="19">
        <v>222.77520000000001</v>
      </c>
      <c r="D19" s="19">
        <v>288.08139999999997</v>
      </c>
      <c r="E19" s="19">
        <v>324.2978</v>
      </c>
      <c r="F19" s="19">
        <v>162.7551</v>
      </c>
      <c r="G19" s="21">
        <v>-6.0489899999999999</v>
      </c>
      <c r="H19" s="13">
        <v>33</v>
      </c>
      <c r="I19" s="13">
        <v>94</v>
      </c>
      <c r="J19" s="13">
        <v>107</v>
      </c>
      <c r="K19" s="13">
        <v>44</v>
      </c>
      <c r="L19" s="13">
        <v>-8</v>
      </c>
      <c r="M19" s="32">
        <v>-42</v>
      </c>
    </row>
    <row r="20" spans="1:13" x14ac:dyDescent="0.25">
      <c r="A20" s="18" t="s">
        <v>42</v>
      </c>
      <c r="B20" s="20">
        <v>-0.36799700000000002</v>
      </c>
      <c r="C20" s="19">
        <v>-0.632525</v>
      </c>
      <c r="D20" s="19">
        <v>-0.78711799999999998</v>
      </c>
      <c r="E20" s="19">
        <v>-0.83701300000000001</v>
      </c>
      <c r="F20" s="19">
        <v>-0.38001600000000002</v>
      </c>
      <c r="G20" s="21">
        <v>1.2658000000000001E-2</v>
      </c>
      <c r="H20" s="13">
        <v>-0.36</v>
      </c>
      <c r="I20" s="13">
        <v>-0.61</v>
      </c>
      <c r="J20" s="13">
        <v>-0.67</v>
      </c>
      <c r="K20" s="13">
        <v>-0.41</v>
      </c>
      <c r="L20" s="13">
        <v>-0.19</v>
      </c>
      <c r="M20" s="32">
        <v>-0.05</v>
      </c>
    </row>
    <row r="21" spans="1:13" x14ac:dyDescent="0.25">
      <c r="A21" s="18" t="s">
        <v>43</v>
      </c>
      <c r="B21" s="20">
        <v>-0.128439</v>
      </c>
      <c r="C21" s="19">
        <v>-0.21438199999999999</v>
      </c>
      <c r="D21" s="19">
        <v>-0.28023700000000001</v>
      </c>
      <c r="E21" s="19">
        <v>-0.377863</v>
      </c>
      <c r="F21" s="19">
        <v>-0.53755299999999995</v>
      </c>
      <c r="G21" s="21">
        <v>-0.327762</v>
      </c>
      <c r="H21" s="13">
        <v>-0.3</v>
      </c>
      <c r="I21" s="13">
        <v>-0.5</v>
      </c>
      <c r="J21" s="13">
        <v>-0.54</v>
      </c>
      <c r="K21" s="13">
        <v>-0.62</v>
      </c>
      <c r="L21" s="13">
        <v>-0.71</v>
      </c>
      <c r="M21" s="32">
        <v>-0.79</v>
      </c>
    </row>
    <row r="22" spans="1:13" x14ac:dyDescent="0.25">
      <c r="A22" s="18" t="s">
        <v>44</v>
      </c>
      <c r="B22" s="20">
        <v>-0.52632000000000001</v>
      </c>
      <c r="C22" s="19">
        <v>-0.283752</v>
      </c>
      <c r="D22" s="19">
        <v>-0.13894300000000001</v>
      </c>
      <c r="E22" s="19">
        <v>-4.5709E-2</v>
      </c>
      <c r="F22" s="19">
        <v>-0.20473</v>
      </c>
      <c r="G22" s="21">
        <v>-0.47009899999999999</v>
      </c>
      <c r="H22" s="13">
        <v>-0.53</v>
      </c>
      <c r="I22" s="13">
        <v>-0.32</v>
      </c>
      <c r="J22" s="13">
        <v>-0.35</v>
      </c>
      <c r="K22" s="13">
        <v>-0.54</v>
      </c>
      <c r="L22" s="13">
        <v>-0.68</v>
      </c>
      <c r="M22" s="32">
        <v>-0.85</v>
      </c>
    </row>
    <row r="23" spans="1:13" x14ac:dyDescent="0.25">
      <c r="A23" s="8"/>
      <c r="B23" s="8"/>
      <c r="C23" s="8"/>
      <c r="D23" s="8"/>
      <c r="E23" s="8"/>
      <c r="F23" s="8"/>
      <c r="G23" s="8"/>
    </row>
    <row r="24" spans="1:13" x14ac:dyDescent="0.25">
      <c r="A24" s="8"/>
      <c r="B24" s="8"/>
      <c r="C24" s="8"/>
      <c r="D24" s="8"/>
      <c r="E24" s="8"/>
      <c r="F24" s="8"/>
      <c r="G24" s="8"/>
    </row>
    <row r="25" spans="1:13" x14ac:dyDescent="0.25">
      <c r="A25" s="8"/>
      <c r="B25" s="8"/>
      <c r="C25" s="8"/>
      <c r="D25" s="8"/>
      <c r="E25" s="8"/>
      <c r="F25" s="8"/>
      <c r="G25" s="8"/>
    </row>
    <row r="26" spans="1:13" ht="30" x14ac:dyDescent="0.25">
      <c r="A26" s="35" t="s">
        <v>81</v>
      </c>
      <c r="B26" s="59" t="s">
        <v>89</v>
      </c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</row>
    <row r="27" spans="1:13" x14ac:dyDescent="0.25">
      <c r="A27" s="16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0">
        <f t="array" ref="B29:G47">TRANSPOSE(EXPG1!$B$3:$T$8)</f>
        <v>0.83602900000000002</v>
      </c>
      <c r="C29" s="19">
        <v>1.0448170000000001</v>
      </c>
      <c r="D29" s="19">
        <v>1.146131</v>
      </c>
      <c r="E29" s="19">
        <v>1.115969</v>
      </c>
      <c r="F29" s="19">
        <v>0.62704899999999997</v>
      </c>
      <c r="G29" s="21">
        <v>2.963E-2</v>
      </c>
      <c r="H29" s="13">
        <v>0.78</v>
      </c>
      <c r="I29" s="13">
        <v>1.06</v>
      </c>
      <c r="J29" s="13">
        <v>1.03</v>
      </c>
      <c r="K29" s="13">
        <v>0.86</v>
      </c>
      <c r="L29" s="13">
        <v>0.53</v>
      </c>
      <c r="M29" s="32">
        <v>0.16</v>
      </c>
    </row>
    <row r="30" spans="1:13" x14ac:dyDescent="0.25">
      <c r="A30" s="31" t="s">
        <v>57</v>
      </c>
      <c r="B30" s="20">
        <v>0.65837100000000004</v>
      </c>
      <c r="C30" s="19">
        <v>1.106028</v>
      </c>
      <c r="D30" s="19">
        <v>1.369097</v>
      </c>
      <c r="E30" s="19">
        <v>1.50749</v>
      </c>
      <c r="F30" s="19">
        <v>1.0995649999999999</v>
      </c>
      <c r="G30" s="21">
        <v>0.10209</v>
      </c>
      <c r="H30" s="13">
        <v>0.69</v>
      </c>
      <c r="I30" s="13">
        <v>1.35</v>
      </c>
      <c r="J30" s="13">
        <v>1.64</v>
      </c>
      <c r="K30" s="13">
        <v>1.85</v>
      </c>
      <c r="L30" s="13">
        <v>1.63</v>
      </c>
      <c r="M30" s="32">
        <v>1.1499999999999999</v>
      </c>
    </row>
    <row r="31" spans="1:13" x14ac:dyDescent="0.25">
      <c r="A31" s="31" t="s">
        <v>54</v>
      </c>
      <c r="B31" s="20">
        <v>0.40643499999999999</v>
      </c>
      <c r="C31" s="19">
        <v>0.70689100000000005</v>
      </c>
      <c r="D31" s="19">
        <v>0.88681500000000002</v>
      </c>
      <c r="E31" s="19">
        <v>0.98234600000000005</v>
      </c>
      <c r="F31" s="19">
        <v>0.77080800000000005</v>
      </c>
      <c r="G31" s="21">
        <v>0.27909200000000001</v>
      </c>
      <c r="H31" s="13">
        <v>1.24</v>
      </c>
      <c r="I31" s="13">
        <v>1.96</v>
      </c>
      <c r="J31" s="13">
        <v>1.83</v>
      </c>
      <c r="K31" s="13">
        <v>1.29</v>
      </c>
      <c r="L31" s="13">
        <v>0.76</v>
      </c>
      <c r="M31" s="32">
        <v>0.47</v>
      </c>
    </row>
    <row r="32" spans="1:13" x14ac:dyDescent="0.25">
      <c r="A32" s="31" t="s">
        <v>55</v>
      </c>
      <c r="B32" s="20">
        <v>-3.9146E-2</v>
      </c>
      <c r="C32" s="19">
        <v>-0.136961</v>
      </c>
      <c r="D32" s="19">
        <v>-0.29461399999999999</v>
      </c>
      <c r="E32" s="19">
        <v>-0.74142399999999997</v>
      </c>
      <c r="F32" s="19">
        <v>-1.934151</v>
      </c>
      <c r="G32" s="21">
        <v>-1.565699</v>
      </c>
      <c r="H32" s="13">
        <v>0</v>
      </c>
      <c r="I32" s="13">
        <v>-0.16</v>
      </c>
      <c r="J32" s="13">
        <v>-0.38</v>
      </c>
      <c r="K32" s="13">
        <v>-0.78</v>
      </c>
      <c r="L32" s="13">
        <v>-1.27</v>
      </c>
      <c r="M32" s="32">
        <v>-1.73</v>
      </c>
    </row>
    <row r="33" spans="1:13" x14ac:dyDescent="0.25">
      <c r="A33" s="31" t="s">
        <v>56</v>
      </c>
      <c r="B33" s="20">
        <v>0.56550100000000003</v>
      </c>
      <c r="C33" s="19">
        <v>0.86226000000000003</v>
      </c>
      <c r="D33" s="19">
        <v>1.0148109999999999</v>
      </c>
      <c r="E33" s="19">
        <v>1.031156</v>
      </c>
      <c r="F33" s="19">
        <v>0.57847300000000001</v>
      </c>
      <c r="G33" s="21">
        <v>-5.9778999999999999E-2</v>
      </c>
      <c r="H33" s="13">
        <v>0.98</v>
      </c>
      <c r="I33" s="13">
        <v>1.51</v>
      </c>
      <c r="J33" s="13">
        <v>1.45</v>
      </c>
      <c r="K33" s="13">
        <v>1.33</v>
      </c>
      <c r="L33" s="13">
        <v>1.1599999999999999</v>
      </c>
      <c r="M33" s="32">
        <v>1.03</v>
      </c>
    </row>
    <row r="34" spans="1:13" x14ac:dyDescent="0.25">
      <c r="A34" s="31" t="s">
        <v>58</v>
      </c>
      <c r="B34" s="20">
        <v>0.96968799999999999</v>
      </c>
      <c r="C34" s="19">
        <v>1.2345820000000001</v>
      </c>
      <c r="D34" s="19">
        <v>1.3760810000000001</v>
      </c>
      <c r="E34" s="19">
        <v>1.4139699999999999</v>
      </c>
      <c r="F34" s="19">
        <v>1.0628919999999999</v>
      </c>
      <c r="G34" s="21">
        <v>0.10573</v>
      </c>
      <c r="H34" s="13">
        <v>1.22</v>
      </c>
      <c r="I34" s="13">
        <v>1.57</v>
      </c>
      <c r="J34" s="13">
        <v>1.82</v>
      </c>
      <c r="K34" s="13">
        <v>1.98</v>
      </c>
      <c r="L34" s="13">
        <v>1.58</v>
      </c>
      <c r="M34" s="32">
        <v>1.1499999999999999</v>
      </c>
    </row>
    <row r="35" spans="1:13" x14ac:dyDescent="0.25">
      <c r="A35" s="31" t="s">
        <v>59</v>
      </c>
      <c r="B35" s="20">
        <v>0.27633000000000002</v>
      </c>
      <c r="C35" s="19">
        <v>0.11380800000000001</v>
      </c>
      <c r="D35" s="19">
        <v>6.1739999999999998E-3</v>
      </c>
      <c r="E35" s="19">
        <v>-8.2645999999999997E-2</v>
      </c>
      <c r="F35" s="19">
        <v>-3.2521000000000001E-2</v>
      </c>
      <c r="G35" s="21">
        <v>3.2590000000000002E-3</v>
      </c>
      <c r="H35" s="13">
        <v>0.46</v>
      </c>
      <c r="I35" s="13">
        <v>0.19</v>
      </c>
      <c r="J35" s="13">
        <v>0.15</v>
      </c>
      <c r="K35" s="13">
        <v>0.11</v>
      </c>
      <c r="L35" s="13">
        <v>-0.04</v>
      </c>
      <c r="M35" s="32">
        <v>0</v>
      </c>
    </row>
    <row r="36" spans="1:13" x14ac:dyDescent="0.25">
      <c r="A36" s="31" t="s">
        <v>70</v>
      </c>
      <c r="B36" s="20">
        <v>0.24811800000000001</v>
      </c>
      <c r="C36" s="19">
        <v>0.65778899999999996</v>
      </c>
      <c r="D36" s="19">
        <v>1.155724</v>
      </c>
      <c r="E36" s="19">
        <v>2.209562</v>
      </c>
      <c r="F36" s="19">
        <v>4.101413</v>
      </c>
      <c r="G36" s="21">
        <v>2.2763520000000002</v>
      </c>
      <c r="H36" s="13">
        <v>0.2</v>
      </c>
      <c r="I36" s="13">
        <v>0.57999999999999996</v>
      </c>
      <c r="J36" s="13">
        <v>0.94</v>
      </c>
      <c r="K36" s="13">
        <v>1.42</v>
      </c>
      <c r="L36" s="13">
        <v>1.88</v>
      </c>
      <c r="M36" s="32">
        <v>2.69</v>
      </c>
    </row>
    <row r="37" spans="1:13" x14ac:dyDescent="0.25">
      <c r="A37" s="31" t="s">
        <v>71</v>
      </c>
      <c r="B37" s="20">
        <v>0.265764</v>
      </c>
      <c r="C37" s="19">
        <v>0.70340000000000003</v>
      </c>
      <c r="D37" s="19">
        <v>1.2319739999999999</v>
      </c>
      <c r="E37" s="19">
        <v>2.336964</v>
      </c>
      <c r="F37" s="19">
        <v>4.2755700000000001</v>
      </c>
      <c r="G37" s="21">
        <v>2.3622990000000001</v>
      </c>
      <c r="H37" s="13">
        <v>0.32</v>
      </c>
      <c r="I37" s="13">
        <v>0.77</v>
      </c>
      <c r="J37" s="13">
        <v>1.21</v>
      </c>
      <c r="K37" s="13">
        <v>1.76</v>
      </c>
      <c r="L37" s="13">
        <v>2.17</v>
      </c>
      <c r="M37" s="32">
        <v>2.95</v>
      </c>
    </row>
    <row r="38" spans="1:13" x14ac:dyDescent="0.25">
      <c r="A38" s="31" t="s">
        <v>72</v>
      </c>
      <c r="B38" s="20">
        <v>0.27297500000000002</v>
      </c>
      <c r="C38" s="19">
        <v>0.71614900000000004</v>
      </c>
      <c r="D38" s="19">
        <v>1.245263</v>
      </c>
      <c r="E38" s="19">
        <v>2.336751</v>
      </c>
      <c r="F38" s="19">
        <v>4.2222840000000001</v>
      </c>
      <c r="G38" s="21">
        <v>2.322508</v>
      </c>
      <c r="H38" s="13">
        <v>0.15</v>
      </c>
      <c r="I38" s="13">
        <v>0.59</v>
      </c>
      <c r="J38" s="13">
        <v>0.99</v>
      </c>
      <c r="K38" s="13">
        <v>1.51</v>
      </c>
      <c r="L38" s="13">
        <v>2.0299999999999998</v>
      </c>
      <c r="M38" s="32">
        <v>3.04</v>
      </c>
    </row>
    <row r="39" spans="1:13" x14ac:dyDescent="0.25">
      <c r="A39" s="31" t="s">
        <v>76</v>
      </c>
      <c r="B39" s="20">
        <v>0.24451400000000001</v>
      </c>
      <c r="C39" s="19">
        <v>0.65138799999999997</v>
      </c>
      <c r="D39" s="19">
        <v>1.1473850000000001</v>
      </c>
      <c r="E39" s="19">
        <v>2.1965140000000001</v>
      </c>
      <c r="F39" s="19">
        <v>4.0661610000000001</v>
      </c>
      <c r="G39" s="21">
        <v>2.2527469999999998</v>
      </c>
      <c r="H39" s="13">
        <v>0.16</v>
      </c>
      <c r="I39" s="13">
        <v>0.55000000000000004</v>
      </c>
      <c r="J39" s="13">
        <v>0.96</v>
      </c>
      <c r="K39" s="13">
        <v>1.47</v>
      </c>
      <c r="L39" s="13">
        <v>1.88</v>
      </c>
      <c r="M39" s="32">
        <v>2.59</v>
      </c>
    </row>
    <row r="40" spans="1:13" x14ac:dyDescent="0.25">
      <c r="A40" s="31" t="s">
        <v>68</v>
      </c>
      <c r="B40" s="20">
        <v>0.163275</v>
      </c>
      <c r="C40" s="19">
        <v>0.45791799999999999</v>
      </c>
      <c r="D40" s="19">
        <v>0.83308899999999997</v>
      </c>
      <c r="E40" s="19">
        <v>1.647964</v>
      </c>
      <c r="F40" s="19">
        <v>3.0941689999999999</v>
      </c>
      <c r="G40" s="21">
        <v>1.74336</v>
      </c>
      <c r="H40" s="13">
        <v>0.08</v>
      </c>
      <c r="I40" s="13">
        <v>0.37</v>
      </c>
      <c r="J40" s="13">
        <v>0.7</v>
      </c>
      <c r="K40" s="13">
        <v>1.1599999999999999</v>
      </c>
      <c r="L40" s="13">
        <v>1.58</v>
      </c>
      <c r="M40" s="32">
        <v>2.09</v>
      </c>
    </row>
    <row r="41" spans="1:13" x14ac:dyDescent="0.25">
      <c r="A41" s="31" t="s">
        <v>69</v>
      </c>
      <c r="B41" s="20">
        <v>0.14871300000000001</v>
      </c>
      <c r="C41" s="19">
        <v>0.42747000000000002</v>
      </c>
      <c r="D41" s="19">
        <v>0.78998699999999999</v>
      </c>
      <c r="E41" s="19">
        <v>1.5903309999999999</v>
      </c>
      <c r="F41" s="19">
        <v>3.023352</v>
      </c>
      <c r="G41" s="21">
        <v>1.706108</v>
      </c>
      <c r="H41" s="13">
        <v>0.13</v>
      </c>
      <c r="I41" s="13">
        <v>0.41</v>
      </c>
      <c r="J41" s="13">
        <v>0.7</v>
      </c>
      <c r="K41" s="13">
        <v>1.1299999999999999</v>
      </c>
      <c r="L41" s="13">
        <v>1.52</v>
      </c>
      <c r="M41" s="32">
        <v>1.96</v>
      </c>
    </row>
    <row r="42" spans="1:13" x14ac:dyDescent="0.25">
      <c r="A42" s="31" t="s">
        <v>73</v>
      </c>
      <c r="B42" s="20">
        <v>0.42334100000000002</v>
      </c>
      <c r="C42" s="19">
        <v>0.92750100000000002</v>
      </c>
      <c r="D42" s="19">
        <v>1.4653290000000001</v>
      </c>
      <c r="E42" s="19">
        <v>2.533563</v>
      </c>
      <c r="F42" s="19">
        <v>4.4909189999999999</v>
      </c>
      <c r="G42" s="21">
        <v>2.532238</v>
      </c>
      <c r="H42" s="13">
        <v>0.52</v>
      </c>
      <c r="I42" s="13">
        <v>1.34</v>
      </c>
      <c r="J42" s="13">
        <v>2.0299999999999998</v>
      </c>
      <c r="K42" s="13">
        <v>2.85</v>
      </c>
      <c r="L42" s="13">
        <v>2.89</v>
      </c>
      <c r="M42" s="32">
        <v>3.21</v>
      </c>
    </row>
    <row r="43" spans="1:13" x14ac:dyDescent="0.25">
      <c r="A43" s="31" t="s">
        <v>74</v>
      </c>
      <c r="B43" s="20">
        <v>0.14995600000000001</v>
      </c>
      <c r="C43" s="19">
        <v>0.20985000000000001</v>
      </c>
      <c r="D43" s="19">
        <v>0.21736</v>
      </c>
      <c r="E43" s="19">
        <v>0.19231799999999999</v>
      </c>
      <c r="F43" s="19">
        <v>0.25775199999999998</v>
      </c>
      <c r="G43" s="21">
        <v>0.20497000000000001</v>
      </c>
      <c r="H43" s="13">
        <v>0.37</v>
      </c>
      <c r="I43" s="13">
        <v>0.75</v>
      </c>
      <c r="J43" s="13">
        <v>1.03</v>
      </c>
      <c r="K43" s="13">
        <v>1.33</v>
      </c>
      <c r="L43" s="13">
        <v>0.84</v>
      </c>
      <c r="M43" s="32">
        <v>0.16</v>
      </c>
    </row>
    <row r="44" spans="1:13" x14ac:dyDescent="0.25">
      <c r="A44" s="31" t="s">
        <v>77</v>
      </c>
      <c r="B44" s="20">
        <v>123.273</v>
      </c>
      <c r="C44" s="19">
        <v>222.77520000000001</v>
      </c>
      <c r="D44" s="19">
        <v>288.08139999999997</v>
      </c>
      <c r="E44" s="19">
        <v>324.2978</v>
      </c>
      <c r="F44" s="19">
        <v>162.7551</v>
      </c>
      <c r="G44" s="21">
        <v>-6.0489899999999999</v>
      </c>
      <c r="H44" s="13">
        <v>33</v>
      </c>
      <c r="I44" s="13">
        <v>94</v>
      </c>
      <c r="J44" s="13">
        <v>107</v>
      </c>
      <c r="K44" s="13">
        <v>44</v>
      </c>
      <c r="L44" s="13">
        <v>-8</v>
      </c>
      <c r="M44" s="32">
        <v>-42</v>
      </c>
    </row>
    <row r="45" spans="1:13" x14ac:dyDescent="0.25">
      <c r="A45" s="31" t="s">
        <v>75</v>
      </c>
      <c r="B45" s="20">
        <v>-0.36799700000000002</v>
      </c>
      <c r="C45" s="19">
        <v>-0.632525</v>
      </c>
      <c r="D45" s="19">
        <v>-0.78711799999999998</v>
      </c>
      <c r="E45" s="19">
        <v>-0.83701300000000001</v>
      </c>
      <c r="F45" s="19">
        <v>-0.38001600000000002</v>
      </c>
      <c r="G45" s="21">
        <v>1.2658000000000001E-2</v>
      </c>
      <c r="H45" s="13">
        <v>-0.36</v>
      </c>
      <c r="I45" s="13">
        <v>-0.61</v>
      </c>
      <c r="J45" s="13">
        <v>-0.67</v>
      </c>
      <c r="K45" s="13">
        <v>-0.41</v>
      </c>
      <c r="L45" s="13">
        <v>-0.19</v>
      </c>
      <c r="M45" s="32">
        <v>-0.05</v>
      </c>
    </row>
    <row r="46" spans="1:13" x14ac:dyDescent="0.25">
      <c r="A46" s="31" t="s">
        <v>78</v>
      </c>
      <c r="B46" s="20">
        <v>-0.128439</v>
      </c>
      <c r="C46" s="19">
        <v>-0.21438199999999999</v>
      </c>
      <c r="D46" s="19">
        <v>-0.28023700000000001</v>
      </c>
      <c r="E46" s="19">
        <v>-0.377863</v>
      </c>
      <c r="F46" s="19">
        <v>-0.53755299999999995</v>
      </c>
      <c r="G46" s="21">
        <v>-0.327762</v>
      </c>
      <c r="H46" s="13">
        <v>-0.3</v>
      </c>
      <c r="I46" s="13">
        <v>-0.5</v>
      </c>
      <c r="J46" s="13">
        <v>-0.54</v>
      </c>
      <c r="K46" s="13">
        <v>-0.62</v>
      </c>
      <c r="L46" s="13">
        <v>-0.71</v>
      </c>
      <c r="M46" s="32">
        <v>-0.79</v>
      </c>
    </row>
    <row r="47" spans="1:13" x14ac:dyDescent="0.25">
      <c r="A47" s="45" t="s">
        <v>79</v>
      </c>
      <c r="B47" s="20">
        <v>-0.52632000000000001</v>
      </c>
      <c r="C47" s="19">
        <v>-0.283752</v>
      </c>
      <c r="D47" s="19">
        <v>-0.13894300000000001</v>
      </c>
      <c r="E47" s="19">
        <v>-4.5709E-2</v>
      </c>
      <c r="F47" s="19">
        <v>-0.20473</v>
      </c>
      <c r="G47" s="21">
        <v>-0.47009899999999999</v>
      </c>
      <c r="H47" s="13">
        <v>-0.53</v>
      </c>
      <c r="I47" s="13">
        <v>-0.32</v>
      </c>
      <c r="J47" s="13">
        <v>-0.35</v>
      </c>
      <c r="K47" s="13">
        <v>-0.54</v>
      </c>
      <c r="L47" s="13">
        <v>-0.68</v>
      </c>
      <c r="M47" s="32">
        <v>-0.85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M47"/>
  <sheetViews>
    <sheetView showGridLines="0" workbookViewId="0">
      <selection activeCell="N28" sqref="N28"/>
    </sheetView>
  </sheetViews>
  <sheetFormatPr baseColWidth="10" defaultColWidth="11" defaultRowHeight="15.75" x14ac:dyDescent="0.25"/>
  <cols>
    <col min="1" max="1" width="33.625" customWidth="1"/>
  </cols>
  <sheetData>
    <row r="1" spans="1:13" ht="30" customHeight="1" x14ac:dyDescent="0.25">
      <c r="A1" s="33" t="s">
        <v>31</v>
      </c>
      <c r="B1" s="51" t="s">
        <v>88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</row>
    <row r="2" spans="1:13" ht="20.25" customHeight="1" x14ac:dyDescent="0.25">
      <c r="A2" s="28"/>
      <c r="B2" s="60" t="s">
        <v>47</v>
      </c>
      <c r="C2" s="60"/>
      <c r="D2" s="60"/>
      <c r="E2" s="60"/>
      <c r="F2" s="60"/>
      <c r="G2" s="61"/>
      <c r="H2" s="62" t="s">
        <v>46</v>
      </c>
      <c r="I2" s="63"/>
      <c r="J2" s="63"/>
      <c r="K2" s="63"/>
      <c r="L2" s="63"/>
      <c r="M2" s="64"/>
    </row>
    <row r="3" spans="1:13" ht="16.5" customHeight="1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TRANSPOSE(RSSC1!$B$3:$T$8)</f>
        <v>0.16609399999999999</v>
      </c>
      <c r="C4" s="29">
        <v>0.40746100000000002</v>
      </c>
      <c r="D4" s="29">
        <v>0.64720200000000006</v>
      </c>
      <c r="E4" s="29">
        <v>0.99487499999999995</v>
      </c>
      <c r="F4" s="29">
        <v>1.223136</v>
      </c>
      <c r="G4" s="30">
        <v>1.4718340000000001</v>
      </c>
      <c r="H4" s="12">
        <v>0.2</v>
      </c>
      <c r="I4" s="36">
        <v>0.55000000000000004</v>
      </c>
      <c r="J4" s="36">
        <v>0.76</v>
      </c>
      <c r="K4" s="36">
        <v>0.97</v>
      </c>
      <c r="L4" s="36">
        <v>1.29</v>
      </c>
      <c r="M4" s="32">
        <v>1.73</v>
      </c>
    </row>
    <row r="5" spans="1:13" x14ac:dyDescent="0.25">
      <c r="A5" s="31" t="s">
        <v>8</v>
      </c>
      <c r="B5" s="29">
        <v>0.27947699999999998</v>
      </c>
      <c r="C5" s="29">
        <v>0.657775</v>
      </c>
      <c r="D5" s="29">
        <v>1.00519</v>
      </c>
      <c r="E5" s="29">
        <v>1.426693</v>
      </c>
      <c r="F5" s="29">
        <v>1.4288460000000001</v>
      </c>
      <c r="G5" s="30">
        <v>1.6477619999999999</v>
      </c>
      <c r="H5" s="12">
        <v>0.3</v>
      </c>
      <c r="I5" s="36">
        <v>0.73</v>
      </c>
      <c r="J5" s="36">
        <v>0.92</v>
      </c>
      <c r="K5" s="36">
        <v>1.21</v>
      </c>
      <c r="L5" s="36">
        <v>1.82</v>
      </c>
      <c r="M5" s="32">
        <v>2.33</v>
      </c>
    </row>
    <row r="6" spans="1:13" x14ac:dyDescent="0.25">
      <c r="A6" s="31" t="s">
        <v>9</v>
      </c>
      <c r="B6" s="29">
        <v>4.6322000000000002E-2</v>
      </c>
      <c r="C6" s="29">
        <v>0.20314199999999999</v>
      </c>
      <c r="D6" s="29">
        <v>0.405115</v>
      </c>
      <c r="E6" s="29">
        <v>0.74197400000000002</v>
      </c>
      <c r="F6" s="29">
        <v>0.80618400000000001</v>
      </c>
      <c r="G6" s="30">
        <v>0.18999199999999999</v>
      </c>
      <c r="H6" s="12">
        <v>0.28000000000000003</v>
      </c>
      <c r="I6" s="36">
        <v>0.98</v>
      </c>
      <c r="J6" s="36">
        <v>1.38</v>
      </c>
      <c r="K6" s="36">
        <v>1.5</v>
      </c>
      <c r="L6" s="36">
        <v>1.63</v>
      </c>
      <c r="M6" s="32">
        <v>1.91</v>
      </c>
    </row>
    <row r="7" spans="1:13" x14ac:dyDescent="0.25">
      <c r="A7" s="31" t="s">
        <v>11</v>
      </c>
      <c r="B7" s="29">
        <v>0.117409</v>
      </c>
      <c r="C7" s="29">
        <v>0.321328</v>
      </c>
      <c r="D7" s="29">
        <v>0.57469300000000001</v>
      </c>
      <c r="E7" s="29">
        <v>1.1154269999999999</v>
      </c>
      <c r="F7" s="29">
        <v>2.1894179999999999</v>
      </c>
      <c r="G7" s="30">
        <v>3.467851</v>
      </c>
      <c r="H7" s="12">
        <v>0.18</v>
      </c>
      <c r="I7" s="36">
        <v>0.47</v>
      </c>
      <c r="J7" s="36">
        <v>0.67</v>
      </c>
      <c r="K7" s="36">
        <v>0.96</v>
      </c>
      <c r="L7" s="36">
        <v>1.25</v>
      </c>
      <c r="M7" s="32">
        <v>1.86</v>
      </c>
    </row>
    <row r="8" spans="1:13" x14ac:dyDescent="0.25">
      <c r="A8" s="31" t="s">
        <v>12</v>
      </c>
      <c r="B8" s="29">
        <v>0.13075600000000001</v>
      </c>
      <c r="C8" s="29">
        <v>0.35422399999999998</v>
      </c>
      <c r="D8" s="29">
        <v>0.59256699999999995</v>
      </c>
      <c r="E8" s="29">
        <v>0.94266000000000005</v>
      </c>
      <c r="F8" s="29">
        <v>1.091817</v>
      </c>
      <c r="G8" s="30">
        <v>1.3343290000000001</v>
      </c>
      <c r="H8" s="12">
        <v>0.32</v>
      </c>
      <c r="I8" s="36">
        <v>0.72</v>
      </c>
      <c r="J8" s="36">
        <v>0.86</v>
      </c>
      <c r="K8" s="36">
        <v>0.94</v>
      </c>
      <c r="L8" s="36">
        <v>1.1000000000000001</v>
      </c>
      <c r="M8" s="32">
        <v>1.25</v>
      </c>
    </row>
    <row r="9" spans="1:13" x14ac:dyDescent="0.25">
      <c r="A9" s="31" t="s">
        <v>32</v>
      </c>
      <c r="B9" s="29">
        <v>0.41123399999999999</v>
      </c>
      <c r="C9" s="29">
        <v>0.80119300000000004</v>
      </c>
      <c r="D9" s="29">
        <v>1.095777</v>
      </c>
      <c r="E9" s="29">
        <v>1.398909</v>
      </c>
      <c r="F9" s="29">
        <v>1.3815740000000001</v>
      </c>
      <c r="G9" s="30">
        <v>1.6463589999999999</v>
      </c>
      <c r="H9" s="12">
        <v>0.4</v>
      </c>
      <c r="I9" s="36">
        <v>0.65</v>
      </c>
      <c r="J9" s="36">
        <v>0.85</v>
      </c>
      <c r="K9" s="36">
        <v>1.32</v>
      </c>
      <c r="L9" s="36">
        <v>1.87</v>
      </c>
      <c r="M9" s="32">
        <v>2.33</v>
      </c>
    </row>
    <row r="10" spans="1:13" x14ac:dyDescent="0.25">
      <c r="A10" s="31" t="s">
        <v>33</v>
      </c>
      <c r="B10" s="29">
        <v>0.1176</v>
      </c>
      <c r="C10" s="29">
        <v>0.12751299999999999</v>
      </c>
      <c r="D10" s="29">
        <v>8.0306000000000002E-2</v>
      </c>
      <c r="E10" s="29">
        <v>-2.4556999999999999E-2</v>
      </c>
      <c r="F10" s="29">
        <v>-4.1790000000000001E-2</v>
      </c>
      <c r="G10" s="30">
        <v>-1.237E-3</v>
      </c>
      <c r="H10" s="12">
        <v>0.08</v>
      </c>
      <c r="I10" s="36">
        <v>-7.0000000000000007E-2</v>
      </c>
      <c r="J10" s="36">
        <v>-7.0000000000000007E-2</v>
      </c>
      <c r="K10" s="36">
        <v>0.09</v>
      </c>
      <c r="L10" s="36">
        <v>0.04</v>
      </c>
      <c r="M10" s="32">
        <v>0</v>
      </c>
    </row>
    <row r="11" spans="1:13" x14ac:dyDescent="0.25">
      <c r="A11" s="31" t="s">
        <v>34</v>
      </c>
      <c r="B11" s="29">
        <v>-0.72675400000000001</v>
      </c>
      <c r="C11" s="29">
        <v>-1.4108309999999999</v>
      </c>
      <c r="D11" s="29">
        <v>-2.0015269999999998</v>
      </c>
      <c r="E11" s="29">
        <v>-2.9023979999999998</v>
      </c>
      <c r="F11" s="29">
        <v>-4.2578930000000001</v>
      </c>
      <c r="G11" s="30">
        <v>-5.5077579999999999</v>
      </c>
      <c r="H11" s="12">
        <v>-0.36</v>
      </c>
      <c r="I11" s="36">
        <v>-0.7</v>
      </c>
      <c r="J11" s="36">
        <v>-0.87</v>
      </c>
      <c r="K11" s="36">
        <v>-1.0900000000000001</v>
      </c>
      <c r="L11" s="36">
        <v>-1.32</v>
      </c>
      <c r="M11" s="32">
        <v>-2.27</v>
      </c>
    </row>
    <row r="12" spans="1:13" x14ac:dyDescent="0.25">
      <c r="A12" s="31" t="s">
        <v>35</v>
      </c>
      <c r="B12" s="29">
        <v>-0.76963700000000002</v>
      </c>
      <c r="C12" s="29">
        <v>-1.4867760000000001</v>
      </c>
      <c r="D12" s="29">
        <v>-2.098017</v>
      </c>
      <c r="E12" s="29">
        <v>-3.014602</v>
      </c>
      <c r="F12" s="29">
        <v>-4.3963369999999999</v>
      </c>
      <c r="G12" s="30">
        <v>-5.716259</v>
      </c>
      <c r="H12" s="12">
        <v>-0.46</v>
      </c>
      <c r="I12" s="36">
        <v>-0.87</v>
      </c>
      <c r="J12" s="36">
        <v>-1.02</v>
      </c>
      <c r="K12" s="36">
        <v>-1.17</v>
      </c>
      <c r="L12" s="36">
        <v>-1.32</v>
      </c>
      <c r="M12" s="32">
        <v>-2.2400000000000002</v>
      </c>
    </row>
    <row r="13" spans="1:13" x14ac:dyDescent="0.25">
      <c r="A13" s="31" t="s">
        <v>36</v>
      </c>
      <c r="B13" s="29">
        <v>-0.78558499999999998</v>
      </c>
      <c r="C13" s="29">
        <v>-1.501476</v>
      </c>
      <c r="D13" s="29">
        <v>-2.1007069999999999</v>
      </c>
      <c r="E13" s="29">
        <v>-2.9836499999999999</v>
      </c>
      <c r="F13" s="29">
        <v>-4.3199680000000003</v>
      </c>
      <c r="G13" s="30">
        <v>-5.6219739999999998</v>
      </c>
      <c r="H13" s="12">
        <v>-0.49</v>
      </c>
      <c r="I13" s="36">
        <v>-0.89</v>
      </c>
      <c r="J13" s="36">
        <v>-1.06</v>
      </c>
      <c r="K13" s="36">
        <v>-1.32</v>
      </c>
      <c r="L13" s="36">
        <v>-1.62</v>
      </c>
      <c r="M13" s="32">
        <v>-2.77</v>
      </c>
    </row>
    <row r="14" spans="1:13" x14ac:dyDescent="0.25">
      <c r="A14" s="31" t="s">
        <v>37</v>
      </c>
      <c r="B14" s="29">
        <v>-0.71151399999999998</v>
      </c>
      <c r="C14" s="29">
        <v>-1.3863829999999999</v>
      </c>
      <c r="D14" s="29">
        <v>-1.9703470000000001</v>
      </c>
      <c r="E14" s="29">
        <v>-2.8594469999999998</v>
      </c>
      <c r="F14" s="29">
        <v>-4.1952499999999997</v>
      </c>
      <c r="G14" s="30">
        <v>-5.4433850000000001</v>
      </c>
      <c r="H14" s="12">
        <v>-0.51</v>
      </c>
      <c r="I14" s="36">
        <v>-0.95</v>
      </c>
      <c r="J14" s="36">
        <v>-1.0900000000000001</v>
      </c>
      <c r="K14" s="36">
        <v>-1.26</v>
      </c>
      <c r="L14" s="36">
        <v>-1.44</v>
      </c>
      <c r="M14" s="32">
        <v>-2.2999999999999998</v>
      </c>
    </row>
    <row r="15" spans="1:13" x14ac:dyDescent="0.25">
      <c r="A15" s="31" t="s">
        <v>38</v>
      </c>
      <c r="B15" s="29">
        <v>-0.48770400000000003</v>
      </c>
      <c r="C15" s="29">
        <v>-0.98950800000000005</v>
      </c>
      <c r="D15" s="29">
        <v>-1.4414480000000001</v>
      </c>
      <c r="E15" s="29">
        <v>-2.140104</v>
      </c>
      <c r="F15" s="29">
        <v>-3.1632470000000001</v>
      </c>
      <c r="G15" s="30">
        <v>-4.1482270000000003</v>
      </c>
      <c r="H15" s="12">
        <v>-0.28000000000000003</v>
      </c>
      <c r="I15" s="36">
        <v>-0.65</v>
      </c>
      <c r="J15" s="36">
        <v>-0.82</v>
      </c>
      <c r="K15" s="36">
        <v>-1.02</v>
      </c>
      <c r="L15" s="36">
        <v>-1.25</v>
      </c>
      <c r="M15" s="32">
        <v>-1.89</v>
      </c>
    </row>
    <row r="16" spans="1:13" x14ac:dyDescent="0.25">
      <c r="A16" s="31" t="s">
        <v>39</v>
      </c>
      <c r="B16" s="29">
        <v>-0.44233</v>
      </c>
      <c r="C16" s="29">
        <v>-0.92141200000000001</v>
      </c>
      <c r="D16" s="29">
        <v>-1.364655</v>
      </c>
      <c r="E16" s="29">
        <v>-2.0616249999999998</v>
      </c>
      <c r="F16" s="29">
        <v>-3.0742799999999999</v>
      </c>
      <c r="G16" s="30">
        <v>-4.0428350000000002</v>
      </c>
      <c r="H16" s="12">
        <v>-0.3</v>
      </c>
      <c r="I16" s="36">
        <v>-0.6</v>
      </c>
      <c r="J16" s="36">
        <v>-0.79</v>
      </c>
      <c r="K16" s="36">
        <v>-1</v>
      </c>
      <c r="L16" s="36">
        <v>-1.18</v>
      </c>
      <c r="M16" s="32">
        <v>-1.76</v>
      </c>
    </row>
    <row r="17" spans="1:13" x14ac:dyDescent="0.25">
      <c r="A17" s="31" t="s">
        <v>40</v>
      </c>
      <c r="B17" s="29">
        <v>-0.52356000000000003</v>
      </c>
      <c r="C17" s="29">
        <v>-0.95304999999999995</v>
      </c>
      <c r="D17" s="29">
        <v>-1.358036</v>
      </c>
      <c r="E17" s="29">
        <v>-2.1273900000000001</v>
      </c>
      <c r="F17" s="29">
        <v>-3.713374</v>
      </c>
      <c r="G17" s="30">
        <v>-5.1191449999999996</v>
      </c>
      <c r="H17" s="12">
        <v>-0.14000000000000001</v>
      </c>
      <c r="I17" s="36">
        <v>-0.48</v>
      </c>
      <c r="J17" s="36">
        <v>-0.59</v>
      </c>
      <c r="K17" s="36">
        <v>-0.28000000000000003</v>
      </c>
      <c r="L17" s="36">
        <v>0.23</v>
      </c>
      <c r="M17" s="32">
        <v>-0.25</v>
      </c>
    </row>
    <row r="18" spans="1:13" x14ac:dyDescent="0.25">
      <c r="A18" s="31" t="s">
        <v>16</v>
      </c>
      <c r="B18" s="29">
        <v>-1.2409030000000001</v>
      </c>
      <c r="C18" s="29">
        <v>-0.95260999999999996</v>
      </c>
      <c r="D18" s="29">
        <v>-0.75381799999999999</v>
      </c>
      <c r="E18" s="29">
        <v>-0.63169200000000003</v>
      </c>
      <c r="F18" s="29">
        <v>-0.87657200000000002</v>
      </c>
      <c r="G18" s="30">
        <v>-0.97625300000000004</v>
      </c>
      <c r="H18" s="12">
        <v>-2.39</v>
      </c>
      <c r="I18" s="36">
        <v>-2.34</v>
      </c>
      <c r="J18" s="36">
        <v>-2.2799999999999998</v>
      </c>
      <c r="K18" s="36">
        <v>-1.71</v>
      </c>
      <c r="L18" s="36">
        <v>-0.9</v>
      </c>
      <c r="M18" s="32">
        <v>-0.21</v>
      </c>
    </row>
    <row r="19" spans="1:13" x14ac:dyDescent="0.25">
      <c r="A19" s="31" t="s">
        <v>41</v>
      </c>
      <c r="B19" s="29">
        <v>26.180399999999999</v>
      </c>
      <c r="C19" s="29">
        <v>75.882019999999997</v>
      </c>
      <c r="D19" s="29">
        <v>138.61879999999999</v>
      </c>
      <c r="E19" s="29">
        <v>261.72629999999998</v>
      </c>
      <c r="F19" s="29">
        <v>407.38529999999997</v>
      </c>
      <c r="G19" s="30">
        <v>509.63709999999998</v>
      </c>
      <c r="H19" s="12">
        <v>83</v>
      </c>
      <c r="I19" s="36">
        <v>210</v>
      </c>
      <c r="J19" s="36">
        <v>290</v>
      </c>
      <c r="K19" s="36">
        <v>316</v>
      </c>
      <c r="L19" s="36">
        <v>318</v>
      </c>
      <c r="M19" s="32">
        <v>362</v>
      </c>
    </row>
    <row r="20" spans="1:13" x14ac:dyDescent="0.25">
      <c r="A20" s="31" t="s">
        <v>42</v>
      </c>
      <c r="B20" s="29">
        <v>-7.8195000000000001E-2</v>
      </c>
      <c r="C20" s="29">
        <v>-0.21952099999999999</v>
      </c>
      <c r="D20" s="29">
        <v>-0.39017499999999999</v>
      </c>
      <c r="E20" s="29">
        <v>-0.70448999999999995</v>
      </c>
      <c r="F20" s="29">
        <v>-1.028187</v>
      </c>
      <c r="G20" s="30">
        <v>-1.18041</v>
      </c>
      <c r="H20" s="12">
        <v>-0.35</v>
      </c>
      <c r="I20" s="36">
        <v>-0.87</v>
      </c>
      <c r="J20" s="36">
        <v>-1.21</v>
      </c>
      <c r="K20" s="36">
        <v>-1.32</v>
      </c>
      <c r="L20" s="36">
        <v>-1.33</v>
      </c>
      <c r="M20" s="32">
        <v>-1.51</v>
      </c>
    </row>
    <row r="21" spans="1:13" x14ac:dyDescent="0.25">
      <c r="A21" s="31" t="s">
        <v>43</v>
      </c>
      <c r="B21" s="29">
        <v>-2.1395000000000001E-2</v>
      </c>
      <c r="C21" s="29">
        <v>-3.7013999999999998E-2</v>
      </c>
      <c r="D21" s="29">
        <v>-3.9646000000000001E-2</v>
      </c>
      <c r="E21" s="29">
        <v>-2.9399999999999999E-4</v>
      </c>
      <c r="F21" s="29">
        <v>0.20846500000000001</v>
      </c>
      <c r="G21" s="30">
        <v>0.44004599999999999</v>
      </c>
      <c r="H21" s="12">
        <v>-0.04</v>
      </c>
      <c r="I21" s="36">
        <v>-0.1</v>
      </c>
      <c r="J21" s="36">
        <v>-0.08</v>
      </c>
      <c r="K21" s="36">
        <v>0</v>
      </c>
      <c r="L21" s="36">
        <v>0.03</v>
      </c>
      <c r="M21" s="32">
        <v>0.14000000000000001</v>
      </c>
    </row>
    <row r="22" spans="1:13" x14ac:dyDescent="0.25">
      <c r="A22" s="31" t="s">
        <v>44</v>
      </c>
      <c r="B22" s="29">
        <v>-0.67594100000000001</v>
      </c>
      <c r="C22" s="29">
        <v>-0.40120600000000001</v>
      </c>
      <c r="D22" s="29">
        <v>-0.198965</v>
      </c>
      <c r="E22" s="29">
        <v>1.3266999999999999E-2</v>
      </c>
      <c r="F22" s="29">
        <v>3.5295E-2</v>
      </c>
      <c r="G22" s="30">
        <v>0.286555</v>
      </c>
      <c r="H22" s="12">
        <v>-0.72</v>
      </c>
      <c r="I22" s="36">
        <v>-0.42</v>
      </c>
      <c r="J22" s="36">
        <v>-0.27</v>
      </c>
      <c r="K22" s="36">
        <v>-0.24</v>
      </c>
      <c r="L22" s="36">
        <v>-0.17</v>
      </c>
      <c r="M22" s="32">
        <v>0.03</v>
      </c>
    </row>
    <row r="23" spans="1:13" x14ac:dyDescent="0.25">
      <c r="A23" s="27"/>
      <c r="B23" s="27"/>
      <c r="C23" s="27"/>
      <c r="D23" s="27"/>
      <c r="E23" s="27"/>
      <c r="F23" s="27"/>
      <c r="G23" s="27"/>
    </row>
    <row r="24" spans="1:13" x14ac:dyDescent="0.25">
      <c r="A24" s="26"/>
      <c r="B24" s="26"/>
      <c r="C24" s="26"/>
      <c r="D24" s="26"/>
      <c r="E24" s="26"/>
      <c r="F24" s="26"/>
      <c r="G24" s="26"/>
    </row>
    <row r="26" spans="1:13" ht="30" x14ac:dyDescent="0.25">
      <c r="A26" s="33" t="s">
        <v>82</v>
      </c>
      <c r="B26" s="51" t="s">
        <v>89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</row>
    <row r="27" spans="1:13" x14ac:dyDescent="0.25">
      <c r="A27" s="28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9">
        <f t="array" ref="B29:G47">TRANSPOSE(RSSC1!$B$3:$T$8)</f>
        <v>0.16609399999999999</v>
      </c>
      <c r="C29" s="29">
        <v>0.40746100000000002</v>
      </c>
      <c r="D29" s="29">
        <v>0.64720200000000006</v>
      </c>
      <c r="E29" s="29">
        <v>0.99487499999999995</v>
      </c>
      <c r="F29" s="29">
        <v>1.223136</v>
      </c>
      <c r="G29" s="30">
        <v>1.4718340000000001</v>
      </c>
      <c r="H29" s="12">
        <v>0.2</v>
      </c>
      <c r="I29" s="36">
        <v>0.55000000000000004</v>
      </c>
      <c r="J29" s="36">
        <v>0.76</v>
      </c>
      <c r="K29" s="36">
        <v>0.97</v>
      </c>
      <c r="L29" s="36">
        <v>1.29</v>
      </c>
      <c r="M29" s="32">
        <v>1.73</v>
      </c>
    </row>
    <row r="30" spans="1:13" x14ac:dyDescent="0.25">
      <c r="A30" s="31" t="s">
        <v>57</v>
      </c>
      <c r="B30" s="29">
        <v>0.27947699999999998</v>
      </c>
      <c r="C30" s="29">
        <v>0.657775</v>
      </c>
      <c r="D30" s="29">
        <v>1.00519</v>
      </c>
      <c r="E30" s="29">
        <v>1.426693</v>
      </c>
      <c r="F30" s="29">
        <v>1.4288460000000001</v>
      </c>
      <c r="G30" s="30">
        <v>1.6477619999999999</v>
      </c>
      <c r="H30" s="12">
        <v>0.3</v>
      </c>
      <c r="I30" s="36">
        <v>0.73</v>
      </c>
      <c r="J30" s="36">
        <v>0.92</v>
      </c>
      <c r="K30" s="36">
        <v>1.21</v>
      </c>
      <c r="L30" s="36">
        <v>1.82</v>
      </c>
      <c r="M30" s="32">
        <v>2.33</v>
      </c>
    </row>
    <row r="31" spans="1:13" x14ac:dyDescent="0.25">
      <c r="A31" s="31" t="s">
        <v>54</v>
      </c>
      <c r="B31" s="29">
        <v>4.6322000000000002E-2</v>
      </c>
      <c r="C31" s="29">
        <v>0.20314199999999999</v>
      </c>
      <c r="D31" s="29">
        <v>0.405115</v>
      </c>
      <c r="E31" s="29">
        <v>0.74197400000000002</v>
      </c>
      <c r="F31" s="29">
        <v>0.80618400000000001</v>
      </c>
      <c r="G31" s="30">
        <v>0.18999199999999999</v>
      </c>
      <c r="H31" s="12">
        <v>0.28000000000000003</v>
      </c>
      <c r="I31" s="36">
        <v>0.98</v>
      </c>
      <c r="J31" s="36">
        <v>1.38</v>
      </c>
      <c r="K31" s="36">
        <v>1.5</v>
      </c>
      <c r="L31" s="36">
        <v>1.63</v>
      </c>
      <c r="M31" s="32">
        <v>1.91</v>
      </c>
    </row>
    <row r="32" spans="1:13" x14ac:dyDescent="0.25">
      <c r="A32" s="31" t="s">
        <v>55</v>
      </c>
      <c r="B32" s="29">
        <v>0.117409</v>
      </c>
      <c r="C32" s="29">
        <v>0.321328</v>
      </c>
      <c r="D32" s="29">
        <v>0.57469300000000001</v>
      </c>
      <c r="E32" s="29">
        <v>1.1154269999999999</v>
      </c>
      <c r="F32" s="29">
        <v>2.1894179999999999</v>
      </c>
      <c r="G32" s="30">
        <v>3.467851</v>
      </c>
      <c r="H32" s="12">
        <v>0.18</v>
      </c>
      <c r="I32" s="36">
        <v>0.47</v>
      </c>
      <c r="J32" s="36">
        <v>0.67</v>
      </c>
      <c r="K32" s="36">
        <v>0.96</v>
      </c>
      <c r="L32" s="36">
        <v>1.25</v>
      </c>
      <c r="M32" s="32">
        <v>1.86</v>
      </c>
    </row>
    <row r="33" spans="1:13" x14ac:dyDescent="0.25">
      <c r="A33" s="31" t="s">
        <v>56</v>
      </c>
      <c r="B33" s="29">
        <v>0.13075600000000001</v>
      </c>
      <c r="C33" s="29">
        <v>0.35422399999999998</v>
      </c>
      <c r="D33" s="29">
        <v>0.59256699999999995</v>
      </c>
      <c r="E33" s="29">
        <v>0.94266000000000005</v>
      </c>
      <c r="F33" s="29">
        <v>1.091817</v>
      </c>
      <c r="G33" s="30">
        <v>1.3343290000000001</v>
      </c>
      <c r="H33" s="12">
        <v>0.32</v>
      </c>
      <c r="I33" s="36">
        <v>0.72</v>
      </c>
      <c r="J33" s="36">
        <v>0.86</v>
      </c>
      <c r="K33" s="36">
        <v>0.94</v>
      </c>
      <c r="L33" s="36">
        <v>1.1000000000000001</v>
      </c>
      <c r="M33" s="32">
        <v>1.25</v>
      </c>
    </row>
    <row r="34" spans="1:13" x14ac:dyDescent="0.25">
      <c r="A34" s="31" t="s">
        <v>58</v>
      </c>
      <c r="B34" s="29">
        <v>0.41123399999999999</v>
      </c>
      <c r="C34" s="29">
        <v>0.80119300000000004</v>
      </c>
      <c r="D34" s="29">
        <v>1.095777</v>
      </c>
      <c r="E34" s="29">
        <v>1.398909</v>
      </c>
      <c r="F34" s="29">
        <v>1.3815740000000001</v>
      </c>
      <c r="G34" s="30">
        <v>1.6463589999999999</v>
      </c>
      <c r="H34" s="12">
        <v>0.4</v>
      </c>
      <c r="I34" s="36">
        <v>0.65</v>
      </c>
      <c r="J34" s="36">
        <v>0.85</v>
      </c>
      <c r="K34" s="36">
        <v>1.32</v>
      </c>
      <c r="L34" s="36">
        <v>1.87</v>
      </c>
      <c r="M34" s="32">
        <v>2.33</v>
      </c>
    </row>
    <row r="35" spans="1:13" x14ac:dyDescent="0.25">
      <c r="A35" s="31" t="s">
        <v>59</v>
      </c>
      <c r="B35" s="29">
        <v>0.1176</v>
      </c>
      <c r="C35" s="29">
        <v>0.12751299999999999</v>
      </c>
      <c r="D35" s="29">
        <v>8.0306000000000002E-2</v>
      </c>
      <c r="E35" s="29">
        <v>-2.4556999999999999E-2</v>
      </c>
      <c r="F35" s="29">
        <v>-4.1790000000000001E-2</v>
      </c>
      <c r="G35" s="30">
        <v>-1.237E-3</v>
      </c>
      <c r="H35" s="12">
        <v>0.08</v>
      </c>
      <c r="I35" s="36">
        <v>-7.0000000000000007E-2</v>
      </c>
      <c r="J35" s="36">
        <v>-7.0000000000000007E-2</v>
      </c>
      <c r="K35" s="36">
        <v>0.09</v>
      </c>
      <c r="L35" s="36">
        <v>0.04</v>
      </c>
      <c r="M35" s="32">
        <v>0</v>
      </c>
    </row>
    <row r="36" spans="1:13" x14ac:dyDescent="0.25">
      <c r="A36" s="31" t="s">
        <v>70</v>
      </c>
      <c r="B36" s="29">
        <v>-0.72675400000000001</v>
      </c>
      <c r="C36" s="29">
        <v>-1.4108309999999999</v>
      </c>
      <c r="D36" s="29">
        <v>-2.0015269999999998</v>
      </c>
      <c r="E36" s="29">
        <v>-2.9023979999999998</v>
      </c>
      <c r="F36" s="29">
        <v>-4.2578930000000001</v>
      </c>
      <c r="G36" s="30">
        <v>-5.5077579999999999</v>
      </c>
      <c r="H36" s="12">
        <v>-0.36</v>
      </c>
      <c r="I36" s="36">
        <v>-0.7</v>
      </c>
      <c r="J36" s="36">
        <v>-0.87</v>
      </c>
      <c r="K36" s="36">
        <v>-1.0900000000000001</v>
      </c>
      <c r="L36" s="36">
        <v>-1.32</v>
      </c>
      <c r="M36" s="32">
        <v>-2.27</v>
      </c>
    </row>
    <row r="37" spans="1:13" x14ac:dyDescent="0.25">
      <c r="A37" s="31" t="s">
        <v>71</v>
      </c>
      <c r="B37" s="29">
        <v>-0.76963700000000002</v>
      </c>
      <c r="C37" s="29">
        <v>-1.4867760000000001</v>
      </c>
      <c r="D37" s="29">
        <v>-2.098017</v>
      </c>
      <c r="E37" s="29">
        <v>-3.014602</v>
      </c>
      <c r="F37" s="29">
        <v>-4.3963369999999999</v>
      </c>
      <c r="G37" s="30">
        <v>-5.716259</v>
      </c>
      <c r="H37" s="12">
        <v>-0.46</v>
      </c>
      <c r="I37" s="36">
        <v>-0.87</v>
      </c>
      <c r="J37" s="36">
        <v>-1.02</v>
      </c>
      <c r="K37" s="36">
        <v>-1.17</v>
      </c>
      <c r="L37" s="36">
        <v>-1.32</v>
      </c>
      <c r="M37" s="32">
        <v>-2.2400000000000002</v>
      </c>
    </row>
    <row r="38" spans="1:13" x14ac:dyDescent="0.25">
      <c r="A38" s="31" t="s">
        <v>72</v>
      </c>
      <c r="B38" s="29">
        <v>-0.78558499999999998</v>
      </c>
      <c r="C38" s="29">
        <v>-1.501476</v>
      </c>
      <c r="D38" s="29">
        <v>-2.1007069999999999</v>
      </c>
      <c r="E38" s="29">
        <v>-2.9836499999999999</v>
      </c>
      <c r="F38" s="29">
        <v>-4.3199680000000003</v>
      </c>
      <c r="G38" s="30">
        <v>-5.6219739999999998</v>
      </c>
      <c r="H38" s="12">
        <v>-0.49</v>
      </c>
      <c r="I38" s="36">
        <v>-0.89</v>
      </c>
      <c r="J38" s="36">
        <v>-1.06</v>
      </c>
      <c r="K38" s="36">
        <v>-1.32</v>
      </c>
      <c r="L38" s="36">
        <v>-1.62</v>
      </c>
      <c r="M38" s="32">
        <v>-2.77</v>
      </c>
    </row>
    <row r="39" spans="1:13" x14ac:dyDescent="0.25">
      <c r="A39" s="31" t="s">
        <v>76</v>
      </c>
      <c r="B39" s="29">
        <v>-0.71151399999999998</v>
      </c>
      <c r="C39" s="29">
        <v>-1.3863829999999999</v>
      </c>
      <c r="D39" s="29">
        <v>-1.9703470000000001</v>
      </c>
      <c r="E39" s="29">
        <v>-2.8594469999999998</v>
      </c>
      <c r="F39" s="29">
        <v>-4.1952499999999997</v>
      </c>
      <c r="G39" s="30">
        <v>-5.4433850000000001</v>
      </c>
      <c r="H39" s="12">
        <v>-0.51</v>
      </c>
      <c r="I39" s="36">
        <v>-0.95</v>
      </c>
      <c r="J39" s="36">
        <v>-1.0900000000000001</v>
      </c>
      <c r="K39" s="36">
        <v>-1.26</v>
      </c>
      <c r="L39" s="36">
        <v>-1.44</v>
      </c>
      <c r="M39" s="32">
        <v>-2.2999999999999998</v>
      </c>
    </row>
    <row r="40" spans="1:13" x14ac:dyDescent="0.25">
      <c r="A40" s="31" t="s">
        <v>68</v>
      </c>
      <c r="B40" s="29">
        <v>-0.48770400000000003</v>
      </c>
      <c r="C40" s="29">
        <v>-0.98950800000000005</v>
      </c>
      <c r="D40" s="29">
        <v>-1.4414480000000001</v>
      </c>
      <c r="E40" s="29">
        <v>-2.140104</v>
      </c>
      <c r="F40" s="29">
        <v>-3.1632470000000001</v>
      </c>
      <c r="G40" s="30">
        <v>-4.1482270000000003</v>
      </c>
      <c r="H40" s="12">
        <v>-0.28000000000000003</v>
      </c>
      <c r="I40" s="36">
        <v>-0.65</v>
      </c>
      <c r="J40" s="36">
        <v>-0.82</v>
      </c>
      <c r="K40" s="36">
        <v>-1.02</v>
      </c>
      <c r="L40" s="36">
        <v>-1.25</v>
      </c>
      <c r="M40" s="32">
        <v>-1.89</v>
      </c>
    </row>
    <row r="41" spans="1:13" x14ac:dyDescent="0.25">
      <c r="A41" s="31" t="s">
        <v>69</v>
      </c>
      <c r="B41" s="29">
        <v>-0.44233</v>
      </c>
      <c r="C41" s="29">
        <v>-0.92141200000000001</v>
      </c>
      <c r="D41" s="29">
        <v>-1.364655</v>
      </c>
      <c r="E41" s="29">
        <v>-2.0616249999999998</v>
      </c>
      <c r="F41" s="29">
        <v>-3.0742799999999999</v>
      </c>
      <c r="G41" s="30">
        <v>-4.0428350000000002</v>
      </c>
      <c r="H41" s="12">
        <v>-0.3</v>
      </c>
      <c r="I41" s="36">
        <v>-0.6</v>
      </c>
      <c r="J41" s="36">
        <v>-0.79</v>
      </c>
      <c r="K41" s="36">
        <v>-1</v>
      </c>
      <c r="L41" s="36">
        <v>-1.18</v>
      </c>
      <c r="M41" s="32">
        <v>-1.76</v>
      </c>
    </row>
    <row r="42" spans="1:13" x14ac:dyDescent="0.25">
      <c r="A42" s="31" t="s">
        <v>73</v>
      </c>
      <c r="B42" s="29">
        <v>-0.52356000000000003</v>
      </c>
      <c r="C42" s="29">
        <v>-0.95304999999999995</v>
      </c>
      <c r="D42" s="29">
        <v>-1.358036</v>
      </c>
      <c r="E42" s="29">
        <v>-2.1273900000000001</v>
      </c>
      <c r="F42" s="29">
        <v>-3.713374</v>
      </c>
      <c r="G42" s="30">
        <v>-5.1191449999999996</v>
      </c>
      <c r="H42" s="12">
        <v>-0.14000000000000001</v>
      </c>
      <c r="I42" s="36">
        <v>-0.48</v>
      </c>
      <c r="J42" s="36">
        <v>-0.59</v>
      </c>
      <c r="K42" s="36">
        <v>-0.28000000000000003</v>
      </c>
      <c r="L42" s="36">
        <v>0.23</v>
      </c>
      <c r="M42" s="32">
        <v>-0.25</v>
      </c>
    </row>
    <row r="43" spans="1:13" x14ac:dyDescent="0.25">
      <c r="A43" s="31" t="s">
        <v>74</v>
      </c>
      <c r="B43" s="29">
        <v>-1.2409030000000001</v>
      </c>
      <c r="C43" s="29">
        <v>-0.95260999999999996</v>
      </c>
      <c r="D43" s="29">
        <v>-0.75381799999999999</v>
      </c>
      <c r="E43" s="29">
        <v>-0.63169200000000003</v>
      </c>
      <c r="F43" s="29">
        <v>-0.87657200000000002</v>
      </c>
      <c r="G43" s="30">
        <v>-0.97625300000000004</v>
      </c>
      <c r="H43" s="12">
        <v>-2.39</v>
      </c>
      <c r="I43" s="36">
        <v>-2.34</v>
      </c>
      <c r="J43" s="36">
        <v>-2.2799999999999998</v>
      </c>
      <c r="K43" s="36">
        <v>-1.71</v>
      </c>
      <c r="L43" s="36">
        <v>-0.9</v>
      </c>
      <c r="M43" s="32">
        <v>-0.21</v>
      </c>
    </row>
    <row r="44" spans="1:13" x14ac:dyDescent="0.25">
      <c r="A44" s="31" t="s">
        <v>77</v>
      </c>
      <c r="B44" s="29">
        <v>26.180399999999999</v>
      </c>
      <c r="C44" s="29">
        <v>75.882019999999997</v>
      </c>
      <c r="D44" s="29">
        <v>138.61879999999999</v>
      </c>
      <c r="E44" s="29">
        <v>261.72629999999998</v>
      </c>
      <c r="F44" s="29">
        <v>407.38529999999997</v>
      </c>
      <c r="G44" s="30">
        <v>509.63709999999998</v>
      </c>
      <c r="H44" s="12">
        <v>83</v>
      </c>
      <c r="I44" s="36">
        <v>210</v>
      </c>
      <c r="J44" s="36">
        <v>290</v>
      </c>
      <c r="K44" s="36">
        <v>316</v>
      </c>
      <c r="L44" s="36">
        <v>318</v>
      </c>
      <c r="M44" s="32">
        <v>362</v>
      </c>
    </row>
    <row r="45" spans="1:13" x14ac:dyDescent="0.25">
      <c r="A45" s="31" t="s">
        <v>75</v>
      </c>
      <c r="B45" s="29">
        <v>-7.8195000000000001E-2</v>
      </c>
      <c r="C45" s="29">
        <v>-0.21952099999999999</v>
      </c>
      <c r="D45" s="29">
        <v>-0.39017499999999999</v>
      </c>
      <c r="E45" s="29">
        <v>-0.70448999999999995</v>
      </c>
      <c r="F45" s="29">
        <v>-1.028187</v>
      </c>
      <c r="G45" s="30">
        <v>-1.18041</v>
      </c>
      <c r="H45" s="12">
        <v>-0.35</v>
      </c>
      <c r="I45" s="36">
        <v>-0.87</v>
      </c>
      <c r="J45" s="36">
        <v>-1.21</v>
      </c>
      <c r="K45" s="36">
        <v>-1.32</v>
      </c>
      <c r="L45" s="36">
        <v>-1.33</v>
      </c>
      <c r="M45" s="32">
        <v>-1.51</v>
      </c>
    </row>
    <row r="46" spans="1:13" x14ac:dyDescent="0.25">
      <c r="A46" s="31" t="s">
        <v>78</v>
      </c>
      <c r="B46" s="29">
        <v>-2.1395000000000001E-2</v>
      </c>
      <c r="C46" s="29">
        <v>-3.7013999999999998E-2</v>
      </c>
      <c r="D46" s="29">
        <v>-3.9646000000000001E-2</v>
      </c>
      <c r="E46" s="29">
        <v>-2.9399999999999999E-4</v>
      </c>
      <c r="F46" s="29">
        <v>0.20846500000000001</v>
      </c>
      <c r="G46" s="30">
        <v>0.44004599999999999</v>
      </c>
      <c r="H46" s="12">
        <v>-0.04</v>
      </c>
      <c r="I46" s="36">
        <v>-0.1</v>
      </c>
      <c r="J46" s="36">
        <v>-0.08</v>
      </c>
      <c r="K46" s="36">
        <v>0</v>
      </c>
      <c r="L46" s="36">
        <v>0.03</v>
      </c>
      <c r="M46" s="32">
        <v>0.14000000000000001</v>
      </c>
    </row>
    <row r="47" spans="1:13" x14ac:dyDescent="0.25">
      <c r="A47" s="45" t="s">
        <v>79</v>
      </c>
      <c r="B47" s="29">
        <v>-0.67594100000000001</v>
      </c>
      <c r="C47" s="29">
        <v>-0.40120600000000001</v>
      </c>
      <c r="D47" s="29">
        <v>-0.198965</v>
      </c>
      <c r="E47" s="29">
        <v>1.3266999999999999E-2</v>
      </c>
      <c r="F47" s="29">
        <v>3.5295E-2</v>
      </c>
      <c r="G47" s="30">
        <v>0.286555</v>
      </c>
      <c r="H47" s="12">
        <v>-0.72</v>
      </c>
      <c r="I47" s="36">
        <v>-0.42</v>
      </c>
      <c r="J47" s="36">
        <v>-0.27</v>
      </c>
      <c r="K47" s="36">
        <v>-0.24</v>
      </c>
      <c r="L47" s="36">
        <v>-0.17</v>
      </c>
      <c r="M47" s="32">
        <v>0.03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M47"/>
  <sheetViews>
    <sheetView workbookViewId="0">
      <selection activeCell="N19" sqref="N19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customHeight="1" x14ac:dyDescent="0.25">
      <c r="A1" s="34" t="s">
        <v>49</v>
      </c>
      <c r="B1" s="65" t="s">
        <v>88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TRANSPOSE('VAT1'!$B$3:$T$8)</f>
        <v>-0.56120899999999996</v>
      </c>
      <c r="C4" s="29">
        <v>-0.80771000000000004</v>
      </c>
      <c r="D4" s="29">
        <v>-0.90161800000000003</v>
      </c>
      <c r="E4" s="29">
        <v>-0.93782299999999996</v>
      </c>
      <c r="F4" s="29">
        <v>-0.86321899999999996</v>
      </c>
      <c r="G4" s="30">
        <v>-0.51022299999999998</v>
      </c>
      <c r="H4" s="13">
        <v>-0.32</v>
      </c>
      <c r="I4" s="13">
        <v>-0.66</v>
      </c>
      <c r="J4" s="13">
        <v>-0.72</v>
      </c>
      <c r="K4" s="13">
        <v>-0.81</v>
      </c>
      <c r="L4" s="13">
        <v>-0.78</v>
      </c>
      <c r="M4" s="13">
        <v>-0.7</v>
      </c>
    </row>
    <row r="5" spans="1:13" x14ac:dyDescent="0.25">
      <c r="A5" s="31" t="s">
        <v>8</v>
      </c>
      <c r="B5" s="29">
        <v>-1.0668869999999999</v>
      </c>
      <c r="C5" s="29">
        <v>-1.5047839999999999</v>
      </c>
      <c r="D5" s="29">
        <v>-1.6515200000000001</v>
      </c>
      <c r="E5" s="29">
        <v>-1.688774</v>
      </c>
      <c r="F5" s="29">
        <v>-1.520079</v>
      </c>
      <c r="G5" s="30">
        <v>-0.82416599999999995</v>
      </c>
      <c r="H5" s="13">
        <v>-0.57999999999999996</v>
      </c>
      <c r="I5" s="13">
        <v>-1.04</v>
      </c>
      <c r="J5" s="13">
        <v>-1.1399999999999999</v>
      </c>
      <c r="K5" s="13">
        <v>-1.53</v>
      </c>
      <c r="L5" s="13">
        <v>-1.87</v>
      </c>
      <c r="M5" s="13">
        <v>-1.76</v>
      </c>
    </row>
    <row r="6" spans="1:13" x14ac:dyDescent="0.25">
      <c r="A6" s="31" t="s">
        <v>9</v>
      </c>
      <c r="B6" s="29">
        <v>-0.50888199999999995</v>
      </c>
      <c r="C6" s="29">
        <v>-0.88758499999999996</v>
      </c>
      <c r="D6" s="29">
        <v>-1.0893470000000001</v>
      </c>
      <c r="E6" s="29">
        <v>-1.1784269999999999</v>
      </c>
      <c r="F6" s="29">
        <v>-1.0268619999999999</v>
      </c>
      <c r="G6" s="30">
        <v>-0.119625</v>
      </c>
      <c r="H6" s="13">
        <v>-0.45</v>
      </c>
      <c r="I6" s="13">
        <v>-1.36</v>
      </c>
      <c r="J6" s="13">
        <v>-1.44</v>
      </c>
      <c r="K6" s="13">
        <v>-1.34</v>
      </c>
      <c r="L6" s="13">
        <v>-1.1399999999999999</v>
      </c>
      <c r="M6" s="13">
        <v>-1.04</v>
      </c>
    </row>
    <row r="7" spans="1:13" x14ac:dyDescent="0.25">
      <c r="A7" s="31" t="s">
        <v>11</v>
      </c>
      <c r="B7" s="29">
        <v>-2.8719000000000001E-2</v>
      </c>
      <c r="C7" s="29">
        <v>-4.5539999999999997E-2</v>
      </c>
      <c r="D7" s="29">
        <v>-4.7497999999999999E-2</v>
      </c>
      <c r="E7" s="29">
        <v>-3.6688999999999999E-2</v>
      </c>
      <c r="F7" s="29">
        <v>-9.2108999999999996E-2</v>
      </c>
      <c r="G7" s="30">
        <v>-0.60946500000000003</v>
      </c>
      <c r="H7" s="13">
        <v>-0.17</v>
      </c>
      <c r="I7" s="13">
        <v>-0.33</v>
      </c>
      <c r="J7" s="13">
        <v>-0.37</v>
      </c>
      <c r="K7" s="13">
        <v>-0.32</v>
      </c>
      <c r="L7" s="13">
        <v>0.02</v>
      </c>
      <c r="M7" s="13">
        <v>0.08</v>
      </c>
    </row>
    <row r="8" spans="1:13" x14ac:dyDescent="0.25">
      <c r="A8" s="31" t="s">
        <v>12</v>
      </c>
      <c r="B8" s="29">
        <v>-0.64275800000000005</v>
      </c>
      <c r="C8" s="29">
        <v>-0.97400500000000001</v>
      </c>
      <c r="D8" s="29">
        <v>-1.093323</v>
      </c>
      <c r="E8" s="29">
        <v>-1.0937680000000001</v>
      </c>
      <c r="F8" s="29">
        <v>-0.93994999999999995</v>
      </c>
      <c r="G8" s="30">
        <v>-0.53322800000000004</v>
      </c>
      <c r="H8" s="13">
        <v>-0.65</v>
      </c>
      <c r="I8" s="13">
        <v>-1.08</v>
      </c>
      <c r="J8" s="13">
        <v>-1.02</v>
      </c>
      <c r="K8" s="13">
        <v>-1.1299999999999999</v>
      </c>
      <c r="L8" s="13">
        <v>-1.18</v>
      </c>
      <c r="M8" s="13">
        <v>-1.1599999999999999</v>
      </c>
    </row>
    <row r="9" spans="1:13" x14ac:dyDescent="0.25">
      <c r="A9" s="31" t="s">
        <v>32</v>
      </c>
      <c r="B9" s="29">
        <v>-1.5651790000000001</v>
      </c>
      <c r="C9" s="29">
        <v>-1.578829</v>
      </c>
      <c r="D9" s="29">
        <v>-1.569466</v>
      </c>
      <c r="E9" s="29">
        <v>-1.5891729999999999</v>
      </c>
      <c r="F9" s="29">
        <v>-1.485703</v>
      </c>
      <c r="G9" s="30">
        <v>-0.825021</v>
      </c>
      <c r="H9" s="13">
        <v>-1.1000000000000001</v>
      </c>
      <c r="I9" s="13">
        <v>-1.01</v>
      </c>
      <c r="J9" s="13">
        <v>-1.22</v>
      </c>
      <c r="K9" s="13">
        <v>-1.73</v>
      </c>
      <c r="L9" s="13">
        <v>-1.88</v>
      </c>
      <c r="M9" s="13">
        <v>-1.76</v>
      </c>
    </row>
    <row r="10" spans="1:13" x14ac:dyDescent="0.25">
      <c r="A10" s="31" t="s">
        <v>33</v>
      </c>
      <c r="B10" s="29">
        <v>-0.453683</v>
      </c>
      <c r="C10" s="29">
        <v>-6.7426E-2</v>
      </c>
      <c r="D10" s="29">
        <v>7.4712000000000001E-2</v>
      </c>
      <c r="E10" s="29">
        <v>9.0705999999999995E-2</v>
      </c>
      <c r="F10" s="29">
        <v>3.1273000000000002E-2</v>
      </c>
      <c r="G10" s="30">
        <v>-7.7300000000000003E-4</v>
      </c>
      <c r="H10" s="13">
        <v>-0.45</v>
      </c>
      <c r="I10" s="13">
        <v>0.03</v>
      </c>
      <c r="J10" s="13">
        <v>-7.0000000000000007E-2</v>
      </c>
      <c r="K10" s="13">
        <v>-0.18</v>
      </c>
      <c r="L10" s="13">
        <v>-0.01</v>
      </c>
      <c r="M10" s="13">
        <v>0</v>
      </c>
    </row>
    <row r="11" spans="1:13" x14ac:dyDescent="0.25">
      <c r="A11" s="31" t="s">
        <v>34</v>
      </c>
      <c r="B11" s="29">
        <v>1.7828619999999999</v>
      </c>
      <c r="C11" s="29">
        <v>1.731336</v>
      </c>
      <c r="D11" s="29">
        <v>1.6728810000000001</v>
      </c>
      <c r="E11" s="29">
        <v>1.6254420000000001</v>
      </c>
      <c r="F11" s="29">
        <v>1.6892670000000001</v>
      </c>
      <c r="G11" s="30">
        <v>1.9104950000000001</v>
      </c>
      <c r="H11" s="13">
        <v>1.48</v>
      </c>
      <c r="I11" s="13">
        <v>1.58</v>
      </c>
      <c r="J11" s="13">
        <v>1.52</v>
      </c>
      <c r="K11" s="13">
        <v>1.3</v>
      </c>
      <c r="L11" s="13">
        <v>0.89</v>
      </c>
      <c r="M11" s="13">
        <v>0.76</v>
      </c>
    </row>
    <row r="12" spans="1:13" x14ac:dyDescent="0.25">
      <c r="A12" s="31" t="s">
        <v>35</v>
      </c>
      <c r="B12" s="29">
        <v>0.13427</v>
      </c>
      <c r="C12" s="29">
        <v>0.10813300000000001</v>
      </c>
      <c r="D12" s="29">
        <v>6.5901000000000001E-2</v>
      </c>
      <c r="E12" s="29">
        <v>5.8595000000000001E-2</v>
      </c>
      <c r="F12" s="29">
        <v>0.272928</v>
      </c>
      <c r="G12" s="30">
        <v>1.091737</v>
      </c>
      <c r="H12" s="13">
        <v>0.43</v>
      </c>
      <c r="I12" s="13">
        <v>0.54</v>
      </c>
      <c r="J12" s="13">
        <v>0.41</v>
      </c>
      <c r="K12" s="13">
        <v>0.05</v>
      </c>
      <c r="L12" s="13">
        <v>-0.41</v>
      </c>
      <c r="M12" s="13">
        <v>-0.51</v>
      </c>
    </row>
    <row r="13" spans="1:13" x14ac:dyDescent="0.25">
      <c r="A13" s="31" t="s">
        <v>36</v>
      </c>
      <c r="B13" s="29">
        <v>0.14019499999999999</v>
      </c>
      <c r="C13" s="29">
        <v>0.10982599999999999</v>
      </c>
      <c r="D13" s="29">
        <v>6.2881999999999993E-2</v>
      </c>
      <c r="E13" s="29">
        <v>5.1090000000000003E-2</v>
      </c>
      <c r="F13" s="29">
        <v>0.26433800000000002</v>
      </c>
      <c r="G13" s="30">
        <v>1.079442</v>
      </c>
      <c r="H13" s="13">
        <v>0.02</v>
      </c>
      <c r="I13" s="13">
        <v>0.12</v>
      </c>
      <c r="J13" s="13">
        <v>0.06</v>
      </c>
      <c r="K13" s="13">
        <v>-0.17</v>
      </c>
      <c r="L13" s="13">
        <v>-0.6</v>
      </c>
      <c r="M13" s="13">
        <v>-0.76</v>
      </c>
    </row>
    <row r="14" spans="1:13" x14ac:dyDescent="0.25">
      <c r="A14" s="31" t="s">
        <v>37</v>
      </c>
      <c r="B14" s="29">
        <v>0.11796</v>
      </c>
      <c r="C14" s="29">
        <v>9.7185999999999995E-2</v>
      </c>
      <c r="D14" s="29">
        <v>6.3203999999999996E-2</v>
      </c>
      <c r="E14" s="29">
        <v>6.3402E-2</v>
      </c>
      <c r="F14" s="29">
        <v>0.26587899999999998</v>
      </c>
      <c r="G14" s="30">
        <v>1.036062</v>
      </c>
      <c r="H14" s="13">
        <v>0.72</v>
      </c>
      <c r="I14" s="13">
        <v>0.84</v>
      </c>
      <c r="J14" s="13">
        <v>0.76</v>
      </c>
      <c r="K14" s="13">
        <v>0.48</v>
      </c>
      <c r="L14" s="13">
        <v>0.06</v>
      </c>
      <c r="M14" s="13">
        <v>-0.02</v>
      </c>
    </row>
    <row r="15" spans="1:13" x14ac:dyDescent="0.25">
      <c r="A15" s="31" t="s">
        <v>38</v>
      </c>
      <c r="B15" s="29">
        <v>0.119767</v>
      </c>
      <c r="C15" s="29">
        <v>0.106082</v>
      </c>
      <c r="D15" s="29">
        <v>6.5120999999999998E-2</v>
      </c>
      <c r="E15" s="29">
        <v>3.0195E-2</v>
      </c>
      <c r="F15" s="29">
        <v>0.17832100000000001</v>
      </c>
      <c r="G15" s="30">
        <v>0.78357500000000002</v>
      </c>
      <c r="H15" s="13">
        <v>0.31</v>
      </c>
      <c r="I15" s="13">
        <v>0.47</v>
      </c>
      <c r="J15" s="13">
        <v>0.45</v>
      </c>
      <c r="K15" s="13">
        <v>0.27</v>
      </c>
      <c r="L15" s="13">
        <v>-0.09</v>
      </c>
      <c r="M15" s="13">
        <v>-0.14000000000000001</v>
      </c>
    </row>
    <row r="16" spans="1:13" x14ac:dyDescent="0.25">
      <c r="A16" s="31" t="s">
        <v>39</v>
      </c>
      <c r="B16" s="29">
        <v>0.124598</v>
      </c>
      <c r="C16" s="29">
        <v>0.11211599999999999</v>
      </c>
      <c r="D16" s="29">
        <v>6.7144999999999996E-2</v>
      </c>
      <c r="E16" s="29">
        <v>2.0501999999999999E-2</v>
      </c>
      <c r="F16" s="29">
        <v>0.161495</v>
      </c>
      <c r="G16" s="30">
        <v>0.76307499999999995</v>
      </c>
      <c r="H16" s="13">
        <v>0.3</v>
      </c>
      <c r="I16" s="13">
        <v>0.4</v>
      </c>
      <c r="J16" s="13">
        <v>0.4</v>
      </c>
      <c r="K16" s="13">
        <v>0.23</v>
      </c>
      <c r="L16" s="13">
        <v>-0.14000000000000001</v>
      </c>
      <c r="M16" s="13">
        <v>-0.16</v>
      </c>
    </row>
    <row r="17" spans="1:13" x14ac:dyDescent="0.25">
      <c r="A17" s="31" t="s">
        <v>40</v>
      </c>
      <c r="B17" s="29">
        <v>-0.242947</v>
      </c>
      <c r="C17" s="29">
        <v>-5.7174000000000003E-2</v>
      </c>
      <c r="D17" s="29">
        <v>0.13952700000000001</v>
      </c>
      <c r="E17" s="29">
        <v>0.35778700000000002</v>
      </c>
      <c r="F17" s="29">
        <v>0.573268</v>
      </c>
      <c r="G17" s="30">
        <v>1.2886899999999999</v>
      </c>
      <c r="H17" s="13">
        <v>0.61</v>
      </c>
      <c r="I17" s="13">
        <v>0.65</v>
      </c>
      <c r="J17" s="13">
        <v>0.15</v>
      </c>
      <c r="K17" s="13">
        <v>-0.93</v>
      </c>
      <c r="L17" s="13">
        <v>-1.67</v>
      </c>
      <c r="M17" s="13">
        <v>-1.64</v>
      </c>
    </row>
    <row r="18" spans="1:13" x14ac:dyDescent="0.25">
      <c r="A18" s="31" t="s">
        <v>16</v>
      </c>
      <c r="B18" s="29">
        <v>-0.382606</v>
      </c>
      <c r="C18" s="29">
        <v>-0.16681699999999999</v>
      </c>
      <c r="D18" s="29">
        <v>7.6595999999999997E-2</v>
      </c>
      <c r="E18" s="29">
        <v>0.30653999999999998</v>
      </c>
      <c r="F18" s="29">
        <v>0.30811500000000003</v>
      </c>
      <c r="G18" s="30">
        <v>0.207013</v>
      </c>
      <c r="H18" s="13">
        <v>0.59</v>
      </c>
      <c r="I18" s="13">
        <v>0.53</v>
      </c>
      <c r="J18" s="13">
        <v>0.1</v>
      </c>
      <c r="K18" s="13">
        <v>-0.77</v>
      </c>
      <c r="L18" s="13">
        <v>-1.08</v>
      </c>
      <c r="M18" s="13">
        <v>-0.89</v>
      </c>
    </row>
    <row r="19" spans="1:13" x14ac:dyDescent="0.25">
      <c r="A19" s="31" t="s">
        <v>41</v>
      </c>
      <c r="B19" s="29">
        <v>-59.230840000000001</v>
      </c>
      <c r="C19" s="29">
        <v>-126.812</v>
      </c>
      <c r="D19" s="29">
        <v>-179.94390000000001</v>
      </c>
      <c r="E19" s="29">
        <v>-236.2612</v>
      </c>
      <c r="F19" s="29">
        <v>-246.61609999999999</v>
      </c>
      <c r="G19" s="30">
        <v>-164.39019999999999</v>
      </c>
      <c r="H19" s="13">
        <v>-32</v>
      </c>
      <c r="I19" s="13">
        <v>-118</v>
      </c>
      <c r="J19" s="13">
        <v>-153</v>
      </c>
      <c r="K19" s="13">
        <v>-113</v>
      </c>
      <c r="L19" s="13">
        <v>-69</v>
      </c>
      <c r="M19" s="13">
        <v>-64</v>
      </c>
    </row>
    <row r="20" spans="1:13" x14ac:dyDescent="0.25">
      <c r="A20" s="31" t="s">
        <v>42</v>
      </c>
      <c r="B20" s="29">
        <v>0.17699000000000001</v>
      </c>
      <c r="C20" s="29">
        <v>0.363535</v>
      </c>
      <c r="D20" s="29">
        <v>0.49809900000000001</v>
      </c>
      <c r="E20" s="29">
        <v>0.62187099999999995</v>
      </c>
      <c r="F20" s="29">
        <v>0.61609499999999995</v>
      </c>
      <c r="G20" s="30">
        <v>0.38063999999999998</v>
      </c>
      <c r="H20" s="13">
        <v>0.13</v>
      </c>
      <c r="I20" s="13">
        <v>0.49</v>
      </c>
      <c r="J20" s="13">
        <v>0.64</v>
      </c>
      <c r="K20" s="13">
        <v>0.47</v>
      </c>
      <c r="L20" s="13">
        <v>0.28999999999999998</v>
      </c>
      <c r="M20" s="13">
        <v>0.27</v>
      </c>
    </row>
    <row r="21" spans="1:13" x14ac:dyDescent="0.25">
      <c r="A21" s="31" t="s">
        <v>43</v>
      </c>
      <c r="B21" s="29">
        <v>0.16936200000000001</v>
      </c>
      <c r="C21" s="29">
        <v>0.244758</v>
      </c>
      <c r="D21" s="29">
        <v>0.27372299999999999</v>
      </c>
      <c r="E21" s="29">
        <v>0.27823500000000001</v>
      </c>
      <c r="F21" s="29">
        <v>0.22813800000000001</v>
      </c>
      <c r="G21" s="30">
        <v>7.2100000000000003E-3</v>
      </c>
      <c r="H21" s="13">
        <v>0.17</v>
      </c>
      <c r="I21" s="13">
        <v>0.27</v>
      </c>
      <c r="J21" s="13">
        <v>0.24</v>
      </c>
      <c r="K21" s="13">
        <v>0.28000000000000003</v>
      </c>
      <c r="L21" s="13">
        <v>0.4</v>
      </c>
      <c r="M21" s="13">
        <v>0.41</v>
      </c>
    </row>
    <row r="22" spans="1:13" x14ac:dyDescent="0.25">
      <c r="A22" s="31" t="s">
        <v>44</v>
      </c>
      <c r="B22" s="29">
        <v>0.42449500000000001</v>
      </c>
      <c r="C22" s="29">
        <v>0.27584799999999998</v>
      </c>
      <c r="D22" s="29">
        <v>0.16648199999999999</v>
      </c>
      <c r="E22" s="29">
        <v>1.9651999999999999E-2</v>
      </c>
      <c r="F22" s="29">
        <v>-1.4057E-2</v>
      </c>
      <c r="G22" s="30">
        <v>6.7025000000000001E-2</v>
      </c>
      <c r="H22" s="13">
        <v>0.8</v>
      </c>
      <c r="I22" s="13">
        <v>0.36</v>
      </c>
      <c r="J22" s="13">
        <v>0.28000000000000003</v>
      </c>
      <c r="K22" s="13">
        <v>0.37</v>
      </c>
      <c r="L22" s="13">
        <v>0.44</v>
      </c>
      <c r="M22" s="13">
        <v>0.47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x14ac:dyDescent="0.25">
      <c r="A26" s="34" t="s">
        <v>83</v>
      </c>
      <c r="B26" s="65" t="s">
        <v>89</v>
      </c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</row>
    <row r="27" spans="1:13" x14ac:dyDescent="0.25">
      <c r="A27" s="38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39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9">
        <f t="array" ref="B29:G47">TRANSPOSE('VAT1'!$B$3:$T$8)</f>
        <v>-0.56120899999999996</v>
      </c>
      <c r="C29" s="29">
        <v>-0.80771000000000004</v>
      </c>
      <c r="D29" s="29">
        <v>-0.90161800000000003</v>
      </c>
      <c r="E29" s="29">
        <v>-0.93782299999999996</v>
      </c>
      <c r="F29" s="29">
        <v>-0.86321899999999996</v>
      </c>
      <c r="G29" s="30">
        <v>-0.51022299999999998</v>
      </c>
      <c r="H29" s="13">
        <v>-0.32</v>
      </c>
      <c r="I29" s="13">
        <v>-0.66</v>
      </c>
      <c r="J29" s="13">
        <v>-0.72</v>
      </c>
      <c r="K29" s="13">
        <v>-0.81</v>
      </c>
      <c r="L29" s="13">
        <v>-0.78</v>
      </c>
      <c r="M29" s="13">
        <v>-0.7</v>
      </c>
    </row>
    <row r="30" spans="1:13" x14ac:dyDescent="0.25">
      <c r="A30" s="31" t="s">
        <v>57</v>
      </c>
      <c r="B30" s="29">
        <v>-1.0668869999999999</v>
      </c>
      <c r="C30" s="29">
        <v>-1.5047839999999999</v>
      </c>
      <c r="D30" s="29">
        <v>-1.6515200000000001</v>
      </c>
      <c r="E30" s="29">
        <v>-1.688774</v>
      </c>
      <c r="F30" s="29">
        <v>-1.520079</v>
      </c>
      <c r="G30" s="30">
        <v>-0.82416599999999995</v>
      </c>
      <c r="H30" s="13">
        <v>-0.57999999999999996</v>
      </c>
      <c r="I30" s="13">
        <v>-1.04</v>
      </c>
      <c r="J30" s="13">
        <v>-1.1399999999999999</v>
      </c>
      <c r="K30" s="13">
        <v>-1.53</v>
      </c>
      <c r="L30" s="13">
        <v>-1.87</v>
      </c>
      <c r="M30" s="13">
        <v>-1.76</v>
      </c>
    </row>
    <row r="31" spans="1:13" x14ac:dyDescent="0.25">
      <c r="A31" s="31" t="s">
        <v>54</v>
      </c>
      <c r="B31" s="29">
        <v>-0.50888199999999995</v>
      </c>
      <c r="C31" s="29">
        <v>-0.88758499999999996</v>
      </c>
      <c r="D31" s="29">
        <v>-1.0893470000000001</v>
      </c>
      <c r="E31" s="29">
        <v>-1.1784269999999999</v>
      </c>
      <c r="F31" s="29">
        <v>-1.0268619999999999</v>
      </c>
      <c r="G31" s="30">
        <v>-0.119625</v>
      </c>
      <c r="H31" s="13">
        <v>-0.45</v>
      </c>
      <c r="I31" s="13">
        <v>-1.36</v>
      </c>
      <c r="J31" s="13">
        <v>-1.44</v>
      </c>
      <c r="K31" s="13">
        <v>-1.34</v>
      </c>
      <c r="L31" s="13">
        <v>-1.1399999999999999</v>
      </c>
      <c r="M31" s="13">
        <v>-1.04</v>
      </c>
    </row>
    <row r="32" spans="1:13" x14ac:dyDescent="0.25">
      <c r="A32" s="31" t="s">
        <v>55</v>
      </c>
      <c r="B32" s="29">
        <v>-2.8719000000000001E-2</v>
      </c>
      <c r="C32" s="29">
        <v>-4.5539999999999997E-2</v>
      </c>
      <c r="D32" s="29">
        <v>-4.7497999999999999E-2</v>
      </c>
      <c r="E32" s="29">
        <v>-3.6688999999999999E-2</v>
      </c>
      <c r="F32" s="29">
        <v>-9.2108999999999996E-2</v>
      </c>
      <c r="G32" s="30">
        <v>-0.60946500000000003</v>
      </c>
      <c r="H32" s="13">
        <v>-0.17</v>
      </c>
      <c r="I32" s="13">
        <v>-0.33</v>
      </c>
      <c r="J32" s="13">
        <v>-0.37</v>
      </c>
      <c r="K32" s="13">
        <v>-0.32</v>
      </c>
      <c r="L32" s="13">
        <v>0.02</v>
      </c>
      <c r="M32" s="13">
        <v>0.08</v>
      </c>
    </row>
    <row r="33" spans="1:13" x14ac:dyDescent="0.25">
      <c r="A33" s="31" t="s">
        <v>56</v>
      </c>
      <c r="B33" s="29">
        <v>-0.64275800000000005</v>
      </c>
      <c r="C33" s="29">
        <v>-0.97400500000000001</v>
      </c>
      <c r="D33" s="29">
        <v>-1.093323</v>
      </c>
      <c r="E33" s="29">
        <v>-1.0937680000000001</v>
      </c>
      <c r="F33" s="29">
        <v>-0.93994999999999995</v>
      </c>
      <c r="G33" s="30">
        <v>-0.53322800000000004</v>
      </c>
      <c r="H33" s="13">
        <v>-0.65</v>
      </c>
      <c r="I33" s="13">
        <v>-1.08</v>
      </c>
      <c r="J33" s="13">
        <v>-1.02</v>
      </c>
      <c r="K33" s="13">
        <v>-1.1299999999999999</v>
      </c>
      <c r="L33" s="13">
        <v>-1.18</v>
      </c>
      <c r="M33" s="13">
        <v>-1.1599999999999999</v>
      </c>
    </row>
    <row r="34" spans="1:13" x14ac:dyDescent="0.25">
      <c r="A34" s="31" t="s">
        <v>58</v>
      </c>
      <c r="B34" s="29">
        <v>-1.5651790000000001</v>
      </c>
      <c r="C34" s="29">
        <v>-1.578829</v>
      </c>
      <c r="D34" s="29">
        <v>-1.569466</v>
      </c>
      <c r="E34" s="29">
        <v>-1.5891729999999999</v>
      </c>
      <c r="F34" s="29">
        <v>-1.485703</v>
      </c>
      <c r="G34" s="30">
        <v>-0.825021</v>
      </c>
      <c r="H34" s="13">
        <v>-1.1000000000000001</v>
      </c>
      <c r="I34" s="13">
        <v>-1.01</v>
      </c>
      <c r="J34" s="13">
        <v>-1.22</v>
      </c>
      <c r="K34" s="13">
        <v>-1.73</v>
      </c>
      <c r="L34" s="13">
        <v>-1.88</v>
      </c>
      <c r="M34" s="13">
        <v>-1.76</v>
      </c>
    </row>
    <row r="35" spans="1:13" x14ac:dyDescent="0.25">
      <c r="A35" s="31" t="s">
        <v>59</v>
      </c>
      <c r="B35" s="29">
        <v>-0.453683</v>
      </c>
      <c r="C35" s="29">
        <v>-6.7426E-2</v>
      </c>
      <c r="D35" s="29">
        <v>7.4712000000000001E-2</v>
      </c>
      <c r="E35" s="29">
        <v>9.0705999999999995E-2</v>
      </c>
      <c r="F35" s="29">
        <v>3.1273000000000002E-2</v>
      </c>
      <c r="G35" s="30">
        <v>-7.7300000000000003E-4</v>
      </c>
      <c r="H35" s="13">
        <v>-0.45</v>
      </c>
      <c r="I35" s="13">
        <v>0.03</v>
      </c>
      <c r="J35" s="13">
        <v>-7.0000000000000007E-2</v>
      </c>
      <c r="K35" s="13">
        <v>-0.18</v>
      </c>
      <c r="L35" s="13">
        <v>-0.01</v>
      </c>
      <c r="M35" s="13">
        <v>0</v>
      </c>
    </row>
    <row r="36" spans="1:13" x14ac:dyDescent="0.25">
      <c r="A36" s="31" t="s">
        <v>70</v>
      </c>
      <c r="B36" s="29">
        <v>1.7828619999999999</v>
      </c>
      <c r="C36" s="29">
        <v>1.731336</v>
      </c>
      <c r="D36" s="29">
        <v>1.6728810000000001</v>
      </c>
      <c r="E36" s="29">
        <v>1.6254420000000001</v>
      </c>
      <c r="F36" s="29">
        <v>1.6892670000000001</v>
      </c>
      <c r="G36" s="30">
        <v>1.9104950000000001</v>
      </c>
      <c r="H36" s="13">
        <v>1.48</v>
      </c>
      <c r="I36" s="13">
        <v>1.58</v>
      </c>
      <c r="J36" s="13">
        <v>1.52</v>
      </c>
      <c r="K36" s="13">
        <v>1.3</v>
      </c>
      <c r="L36" s="13">
        <v>0.89</v>
      </c>
      <c r="M36" s="13">
        <v>0.76</v>
      </c>
    </row>
    <row r="37" spans="1:13" x14ac:dyDescent="0.25">
      <c r="A37" s="31" t="s">
        <v>71</v>
      </c>
      <c r="B37" s="29">
        <v>0.13427</v>
      </c>
      <c r="C37" s="29">
        <v>0.10813300000000001</v>
      </c>
      <c r="D37" s="29">
        <v>6.5901000000000001E-2</v>
      </c>
      <c r="E37" s="29">
        <v>5.8595000000000001E-2</v>
      </c>
      <c r="F37" s="29">
        <v>0.272928</v>
      </c>
      <c r="G37" s="30">
        <v>1.091737</v>
      </c>
      <c r="H37" s="13">
        <v>0.43</v>
      </c>
      <c r="I37" s="13">
        <v>0.54</v>
      </c>
      <c r="J37" s="13">
        <v>0.41</v>
      </c>
      <c r="K37" s="13">
        <v>0.05</v>
      </c>
      <c r="L37" s="13">
        <v>-0.41</v>
      </c>
      <c r="M37" s="13">
        <v>-0.51</v>
      </c>
    </row>
    <row r="38" spans="1:13" x14ac:dyDescent="0.25">
      <c r="A38" s="31" t="s">
        <v>72</v>
      </c>
      <c r="B38" s="29">
        <v>0.14019499999999999</v>
      </c>
      <c r="C38" s="29">
        <v>0.10982599999999999</v>
      </c>
      <c r="D38" s="29">
        <v>6.2881999999999993E-2</v>
      </c>
      <c r="E38" s="29">
        <v>5.1090000000000003E-2</v>
      </c>
      <c r="F38" s="29">
        <v>0.26433800000000002</v>
      </c>
      <c r="G38" s="30">
        <v>1.079442</v>
      </c>
      <c r="H38" s="13">
        <v>0.02</v>
      </c>
      <c r="I38" s="13">
        <v>0.12</v>
      </c>
      <c r="J38" s="13">
        <v>0.06</v>
      </c>
      <c r="K38" s="13">
        <v>-0.17</v>
      </c>
      <c r="L38" s="13">
        <v>-0.6</v>
      </c>
      <c r="M38" s="13">
        <v>-0.76</v>
      </c>
    </row>
    <row r="39" spans="1:13" x14ac:dyDescent="0.25">
      <c r="A39" s="31" t="s">
        <v>76</v>
      </c>
      <c r="B39" s="29">
        <v>0.11796</v>
      </c>
      <c r="C39" s="29">
        <v>9.7185999999999995E-2</v>
      </c>
      <c r="D39" s="29">
        <v>6.3203999999999996E-2</v>
      </c>
      <c r="E39" s="29">
        <v>6.3402E-2</v>
      </c>
      <c r="F39" s="29">
        <v>0.26587899999999998</v>
      </c>
      <c r="G39" s="30">
        <v>1.036062</v>
      </c>
      <c r="H39" s="13">
        <v>0.72</v>
      </c>
      <c r="I39" s="13">
        <v>0.84</v>
      </c>
      <c r="J39" s="13">
        <v>0.76</v>
      </c>
      <c r="K39" s="13">
        <v>0.48</v>
      </c>
      <c r="L39" s="13">
        <v>0.06</v>
      </c>
      <c r="M39" s="13">
        <v>-0.02</v>
      </c>
    </row>
    <row r="40" spans="1:13" x14ac:dyDescent="0.25">
      <c r="A40" s="31" t="s">
        <v>68</v>
      </c>
      <c r="B40" s="29">
        <v>0.119767</v>
      </c>
      <c r="C40" s="29">
        <v>0.106082</v>
      </c>
      <c r="D40" s="29">
        <v>6.5120999999999998E-2</v>
      </c>
      <c r="E40" s="29">
        <v>3.0195E-2</v>
      </c>
      <c r="F40" s="29">
        <v>0.17832100000000001</v>
      </c>
      <c r="G40" s="30">
        <v>0.78357500000000002</v>
      </c>
      <c r="H40" s="13">
        <v>0.31</v>
      </c>
      <c r="I40" s="13">
        <v>0.47</v>
      </c>
      <c r="J40" s="13">
        <v>0.45</v>
      </c>
      <c r="K40" s="13">
        <v>0.27</v>
      </c>
      <c r="L40" s="13">
        <v>-0.09</v>
      </c>
      <c r="M40" s="13">
        <v>-0.14000000000000001</v>
      </c>
    </row>
    <row r="41" spans="1:13" x14ac:dyDescent="0.25">
      <c r="A41" s="31" t="s">
        <v>69</v>
      </c>
      <c r="B41" s="29">
        <v>0.124598</v>
      </c>
      <c r="C41" s="29">
        <v>0.11211599999999999</v>
      </c>
      <c r="D41" s="29">
        <v>6.7144999999999996E-2</v>
      </c>
      <c r="E41" s="29">
        <v>2.0501999999999999E-2</v>
      </c>
      <c r="F41" s="29">
        <v>0.161495</v>
      </c>
      <c r="G41" s="30">
        <v>0.76307499999999995</v>
      </c>
      <c r="H41" s="13">
        <v>0.3</v>
      </c>
      <c r="I41" s="13">
        <v>0.4</v>
      </c>
      <c r="J41" s="13">
        <v>0.4</v>
      </c>
      <c r="K41" s="13">
        <v>0.23</v>
      </c>
      <c r="L41" s="13">
        <v>-0.14000000000000001</v>
      </c>
      <c r="M41" s="13">
        <v>-0.16</v>
      </c>
    </row>
    <row r="42" spans="1:13" x14ac:dyDescent="0.25">
      <c r="A42" s="31" t="s">
        <v>73</v>
      </c>
      <c r="B42" s="29">
        <v>-0.242947</v>
      </c>
      <c r="C42" s="29">
        <v>-5.7174000000000003E-2</v>
      </c>
      <c r="D42" s="29">
        <v>0.13952700000000001</v>
      </c>
      <c r="E42" s="29">
        <v>0.35778700000000002</v>
      </c>
      <c r="F42" s="29">
        <v>0.573268</v>
      </c>
      <c r="G42" s="30">
        <v>1.2886899999999999</v>
      </c>
      <c r="H42" s="13">
        <v>0.61</v>
      </c>
      <c r="I42" s="13">
        <v>0.65</v>
      </c>
      <c r="J42" s="13">
        <v>0.15</v>
      </c>
      <c r="K42" s="13">
        <v>-0.93</v>
      </c>
      <c r="L42" s="13">
        <v>-1.67</v>
      </c>
      <c r="M42" s="13">
        <v>-1.64</v>
      </c>
    </row>
    <row r="43" spans="1:13" x14ac:dyDescent="0.25">
      <c r="A43" s="31" t="s">
        <v>74</v>
      </c>
      <c r="B43" s="29">
        <v>-0.382606</v>
      </c>
      <c r="C43" s="29">
        <v>-0.16681699999999999</v>
      </c>
      <c r="D43" s="29">
        <v>7.6595999999999997E-2</v>
      </c>
      <c r="E43" s="29">
        <v>0.30653999999999998</v>
      </c>
      <c r="F43" s="29">
        <v>0.30811500000000003</v>
      </c>
      <c r="G43" s="30">
        <v>0.207013</v>
      </c>
      <c r="H43" s="13">
        <v>0.59</v>
      </c>
      <c r="I43" s="13">
        <v>0.53</v>
      </c>
      <c r="J43" s="13">
        <v>0.1</v>
      </c>
      <c r="K43" s="13">
        <v>-0.77</v>
      </c>
      <c r="L43" s="13">
        <v>-1.08</v>
      </c>
      <c r="M43" s="13">
        <v>-0.89</v>
      </c>
    </row>
    <row r="44" spans="1:13" x14ac:dyDescent="0.25">
      <c r="A44" s="31" t="s">
        <v>77</v>
      </c>
      <c r="B44" s="29">
        <v>-59.230840000000001</v>
      </c>
      <c r="C44" s="29">
        <v>-126.812</v>
      </c>
      <c r="D44" s="29">
        <v>-179.94390000000001</v>
      </c>
      <c r="E44" s="29">
        <v>-236.2612</v>
      </c>
      <c r="F44" s="29">
        <v>-246.61609999999999</v>
      </c>
      <c r="G44" s="30">
        <v>-164.39019999999999</v>
      </c>
      <c r="H44" s="13">
        <v>-32</v>
      </c>
      <c r="I44" s="13">
        <v>-118</v>
      </c>
      <c r="J44" s="13">
        <v>-153</v>
      </c>
      <c r="K44" s="13">
        <v>-113</v>
      </c>
      <c r="L44" s="13">
        <v>-69</v>
      </c>
      <c r="M44" s="13">
        <v>-64</v>
      </c>
    </row>
    <row r="45" spans="1:13" x14ac:dyDescent="0.25">
      <c r="A45" s="31" t="s">
        <v>75</v>
      </c>
      <c r="B45" s="29">
        <v>0.17699000000000001</v>
      </c>
      <c r="C45" s="29">
        <v>0.363535</v>
      </c>
      <c r="D45" s="29">
        <v>0.49809900000000001</v>
      </c>
      <c r="E45" s="29">
        <v>0.62187099999999995</v>
      </c>
      <c r="F45" s="29">
        <v>0.61609499999999995</v>
      </c>
      <c r="G45" s="30">
        <v>0.38063999999999998</v>
      </c>
      <c r="H45" s="13">
        <v>0.13</v>
      </c>
      <c r="I45" s="13">
        <v>0.49</v>
      </c>
      <c r="J45" s="13">
        <v>0.64</v>
      </c>
      <c r="K45" s="13">
        <v>0.47</v>
      </c>
      <c r="L45" s="13">
        <v>0.28999999999999998</v>
      </c>
      <c r="M45" s="13">
        <v>0.27</v>
      </c>
    </row>
    <row r="46" spans="1:13" x14ac:dyDescent="0.25">
      <c r="A46" s="31" t="s">
        <v>78</v>
      </c>
      <c r="B46" s="29">
        <v>0.16936200000000001</v>
      </c>
      <c r="C46" s="29">
        <v>0.244758</v>
      </c>
      <c r="D46" s="29">
        <v>0.27372299999999999</v>
      </c>
      <c r="E46" s="29">
        <v>0.27823500000000001</v>
      </c>
      <c r="F46" s="29">
        <v>0.22813800000000001</v>
      </c>
      <c r="G46" s="30">
        <v>7.2100000000000003E-3</v>
      </c>
      <c r="H46" s="13">
        <v>0.17</v>
      </c>
      <c r="I46" s="13">
        <v>0.27</v>
      </c>
      <c r="J46" s="13">
        <v>0.24</v>
      </c>
      <c r="K46" s="13">
        <v>0.28000000000000003</v>
      </c>
      <c r="L46" s="13">
        <v>0.4</v>
      </c>
      <c r="M46" s="13">
        <v>0.41</v>
      </c>
    </row>
    <row r="47" spans="1:13" x14ac:dyDescent="0.25">
      <c r="A47" s="45" t="s">
        <v>79</v>
      </c>
      <c r="B47" s="29">
        <v>0.42449500000000001</v>
      </c>
      <c r="C47" s="29">
        <v>0.27584799999999998</v>
      </c>
      <c r="D47" s="29">
        <v>0.16648199999999999</v>
      </c>
      <c r="E47" s="29">
        <v>1.9651999999999999E-2</v>
      </c>
      <c r="F47" s="29">
        <v>-1.4057E-2</v>
      </c>
      <c r="G47" s="30">
        <v>6.7025000000000001E-2</v>
      </c>
      <c r="H47" s="13">
        <v>0.8</v>
      </c>
      <c r="I47" s="13">
        <v>0.36</v>
      </c>
      <c r="J47" s="13">
        <v>0.28000000000000003</v>
      </c>
      <c r="K47" s="13">
        <v>0.37</v>
      </c>
      <c r="L47" s="13">
        <v>0.44</v>
      </c>
      <c r="M47" s="13">
        <v>0.47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/>
  <dimension ref="A1:M47"/>
  <sheetViews>
    <sheetView workbookViewId="0">
      <selection activeCell="N16" sqref="N16"/>
    </sheetView>
  </sheetViews>
  <sheetFormatPr baseColWidth="10" defaultColWidth="11" defaultRowHeight="15.75" x14ac:dyDescent="0.25"/>
  <cols>
    <col min="1" max="1" width="37.125" style="37" customWidth="1"/>
    <col min="2" max="16384" width="11" style="37"/>
  </cols>
  <sheetData>
    <row r="1" spans="1:13" ht="30" customHeight="1" x14ac:dyDescent="0.25">
      <c r="A1" s="34" t="s">
        <v>48</v>
      </c>
      <c r="B1" s="65" t="s">
        <v>87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</row>
    <row r="2" spans="1:13" ht="29.25" customHeight="1" x14ac:dyDescent="0.25">
      <c r="A2" s="38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39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TRANSPOSE(INCT1!$B$3:$T$8)</f>
        <v>0.53664299999999998</v>
      </c>
      <c r="C4" s="29">
        <v>0.84893600000000002</v>
      </c>
      <c r="D4" s="29">
        <v>1.0530109999999999</v>
      </c>
      <c r="E4" s="29">
        <v>1.2545820000000001</v>
      </c>
      <c r="F4" s="29">
        <v>1.1796390000000001</v>
      </c>
      <c r="G4" s="30">
        <v>1.0227550000000001</v>
      </c>
      <c r="H4" s="12">
        <v>0.41</v>
      </c>
      <c r="I4" s="36">
        <v>0.83</v>
      </c>
      <c r="J4" s="36">
        <v>0.88</v>
      </c>
      <c r="K4" s="36">
        <v>0.81</v>
      </c>
      <c r="L4" s="36">
        <v>0.87</v>
      </c>
      <c r="M4" s="32">
        <v>1.05</v>
      </c>
    </row>
    <row r="5" spans="1:13" x14ac:dyDescent="0.25">
      <c r="A5" s="31" t="s">
        <v>8</v>
      </c>
      <c r="B5" s="29">
        <v>1.0725990000000001</v>
      </c>
      <c r="C5" s="29">
        <v>1.668385</v>
      </c>
      <c r="D5" s="29">
        <v>2.0421459999999998</v>
      </c>
      <c r="E5" s="29">
        <v>2.405411</v>
      </c>
      <c r="F5" s="29">
        <v>2.310718</v>
      </c>
      <c r="G5" s="30">
        <v>2.0251649999999999</v>
      </c>
      <c r="H5" s="12">
        <v>0.81</v>
      </c>
      <c r="I5" s="36">
        <v>1.66</v>
      </c>
      <c r="J5" s="36">
        <v>1.9</v>
      </c>
      <c r="K5" s="36">
        <v>2.0099999999999998</v>
      </c>
      <c r="L5" s="36">
        <v>2.06</v>
      </c>
      <c r="M5" s="32">
        <v>2.27</v>
      </c>
    </row>
    <row r="6" spans="1:13" x14ac:dyDescent="0.25">
      <c r="A6" s="31" t="s">
        <v>9</v>
      </c>
      <c r="B6" s="29">
        <v>0.26818599999999998</v>
      </c>
      <c r="C6" s="29">
        <v>0.55559499999999995</v>
      </c>
      <c r="D6" s="29">
        <v>0.78888000000000003</v>
      </c>
      <c r="E6" s="29">
        <v>1.0638879999999999</v>
      </c>
      <c r="F6" s="29">
        <v>1.1029850000000001</v>
      </c>
      <c r="G6" s="30">
        <v>0.73670400000000003</v>
      </c>
      <c r="H6" s="12">
        <v>0.61</v>
      </c>
      <c r="I6" s="36">
        <v>1.6</v>
      </c>
      <c r="J6" s="36">
        <v>1.65</v>
      </c>
      <c r="K6" s="36">
        <v>1.23</v>
      </c>
      <c r="L6" s="36">
        <v>1.1499999999999999</v>
      </c>
      <c r="M6" s="32">
        <v>1.27</v>
      </c>
    </row>
    <row r="7" spans="1:13" x14ac:dyDescent="0.25">
      <c r="A7" s="31" t="s">
        <v>11</v>
      </c>
      <c r="B7" s="29">
        <v>1.1507E-2</v>
      </c>
      <c r="C7" s="29">
        <v>2.7542000000000001E-2</v>
      </c>
      <c r="D7" s="29">
        <v>3.8116999999999998E-2</v>
      </c>
      <c r="E7" s="29">
        <v>1.932E-2</v>
      </c>
      <c r="F7" s="29">
        <v>-0.19336100000000001</v>
      </c>
      <c r="G7" s="30">
        <v>-5.5749E-2</v>
      </c>
      <c r="H7" s="12">
        <v>0.04</v>
      </c>
      <c r="I7" s="36">
        <v>0.01</v>
      </c>
      <c r="J7" s="36">
        <v>-7.0000000000000007E-2</v>
      </c>
      <c r="K7" s="36">
        <v>-0.13</v>
      </c>
      <c r="L7" s="36">
        <v>0.01</v>
      </c>
      <c r="M7" s="32">
        <v>0.28000000000000003</v>
      </c>
    </row>
    <row r="8" spans="1:13" x14ac:dyDescent="0.25">
      <c r="A8" s="31" t="s">
        <v>12</v>
      </c>
      <c r="B8" s="29">
        <v>0.55729300000000004</v>
      </c>
      <c r="C8" s="29">
        <v>0.922844</v>
      </c>
      <c r="D8" s="29">
        <v>1.16028</v>
      </c>
      <c r="E8" s="29">
        <v>1.3878140000000001</v>
      </c>
      <c r="F8" s="29">
        <v>1.2987839999999999</v>
      </c>
      <c r="G8" s="30">
        <v>1.1148400000000001</v>
      </c>
      <c r="H8" s="12">
        <v>0.7</v>
      </c>
      <c r="I8" s="36">
        <v>1.42</v>
      </c>
      <c r="J8" s="36">
        <v>1.43</v>
      </c>
      <c r="K8" s="36">
        <v>1.27</v>
      </c>
      <c r="L8" s="36">
        <v>1.24</v>
      </c>
      <c r="M8" s="32">
        <v>1.31</v>
      </c>
    </row>
    <row r="9" spans="1:13" x14ac:dyDescent="0.25">
      <c r="A9" s="31" t="s">
        <v>32</v>
      </c>
      <c r="B9" s="29">
        <v>1.581323</v>
      </c>
      <c r="C9" s="29">
        <v>1.814565</v>
      </c>
      <c r="D9" s="29">
        <v>2.04393</v>
      </c>
      <c r="E9" s="29">
        <v>2.3082400000000001</v>
      </c>
      <c r="F9" s="29">
        <v>2.2527680000000001</v>
      </c>
      <c r="G9" s="30">
        <v>2.0258940000000001</v>
      </c>
      <c r="H9" s="12">
        <v>1.7</v>
      </c>
      <c r="I9" s="36">
        <v>1.82</v>
      </c>
      <c r="J9" s="36">
        <v>1.92</v>
      </c>
      <c r="K9" s="36">
        <v>2.04</v>
      </c>
      <c r="L9" s="36">
        <v>2.06</v>
      </c>
      <c r="M9" s="32">
        <v>2.27</v>
      </c>
    </row>
    <row r="10" spans="1:13" x14ac:dyDescent="0.25">
      <c r="A10" s="31" t="s">
        <v>33</v>
      </c>
      <c r="B10" s="29">
        <v>0.44883400000000001</v>
      </c>
      <c r="C10" s="29">
        <v>0.12867500000000001</v>
      </c>
      <c r="D10" s="29">
        <v>1.567E-3</v>
      </c>
      <c r="E10" s="29">
        <v>-8.5122000000000003E-2</v>
      </c>
      <c r="F10" s="29">
        <v>-5.0792999999999998E-2</v>
      </c>
      <c r="G10" s="30">
        <v>6.4099999999999997E-4</v>
      </c>
      <c r="H10" s="12">
        <v>0.75</v>
      </c>
      <c r="I10" s="36">
        <v>0.14000000000000001</v>
      </c>
      <c r="J10" s="36">
        <v>0.02</v>
      </c>
      <c r="K10" s="36">
        <v>0.03</v>
      </c>
      <c r="L10" s="36">
        <v>0</v>
      </c>
      <c r="M10" s="32">
        <v>0</v>
      </c>
    </row>
    <row r="11" spans="1:13" x14ac:dyDescent="0.25">
      <c r="A11" s="31" t="s">
        <v>34</v>
      </c>
      <c r="B11" s="29">
        <v>-7.7854000000000007E-2</v>
      </c>
      <c r="C11" s="29">
        <v>-0.13061300000000001</v>
      </c>
      <c r="D11" s="29">
        <v>-0.130853</v>
      </c>
      <c r="E11" s="29">
        <v>2.1870000000000001E-3</v>
      </c>
      <c r="F11" s="29">
        <v>0.46479300000000001</v>
      </c>
      <c r="G11" s="30">
        <v>-1.1089999999999999E-2</v>
      </c>
      <c r="H11" s="12">
        <v>0.04</v>
      </c>
      <c r="I11" s="36">
        <v>0.21</v>
      </c>
      <c r="J11" s="36">
        <v>0.34</v>
      </c>
      <c r="K11" s="36">
        <v>0.35</v>
      </c>
      <c r="L11" s="36">
        <v>0.14000000000000001</v>
      </c>
      <c r="M11" s="32">
        <v>-0.18</v>
      </c>
    </row>
    <row r="12" spans="1:13" x14ac:dyDescent="0.25">
      <c r="A12" s="31" t="s">
        <v>35</v>
      </c>
      <c r="B12" s="29">
        <v>-8.1583000000000003E-2</v>
      </c>
      <c r="C12" s="29">
        <v>-0.133434</v>
      </c>
      <c r="D12" s="29">
        <v>-0.12739900000000001</v>
      </c>
      <c r="E12" s="29">
        <v>2.5010999999999999E-2</v>
      </c>
      <c r="F12" s="29">
        <v>0.50771699999999997</v>
      </c>
      <c r="G12" s="30">
        <v>-7.3509999999999999E-3</v>
      </c>
      <c r="H12" s="12">
        <v>0.04</v>
      </c>
      <c r="I12" s="36">
        <v>0.2</v>
      </c>
      <c r="J12" s="36">
        <v>0.33</v>
      </c>
      <c r="K12" s="36">
        <v>0.34</v>
      </c>
      <c r="L12" s="36">
        <v>0.12</v>
      </c>
      <c r="M12" s="32">
        <v>-0.19</v>
      </c>
    </row>
    <row r="13" spans="1:13" x14ac:dyDescent="0.25">
      <c r="A13" s="31" t="s">
        <v>36</v>
      </c>
      <c r="B13" s="29">
        <v>-8.4172999999999998E-2</v>
      </c>
      <c r="C13" s="29">
        <v>-0.13550300000000001</v>
      </c>
      <c r="D13" s="29">
        <v>-0.12631500000000001</v>
      </c>
      <c r="E13" s="29">
        <v>3.2816999999999999E-2</v>
      </c>
      <c r="F13" s="29">
        <v>0.50892300000000001</v>
      </c>
      <c r="G13" s="30">
        <v>-8.737E-3</v>
      </c>
      <c r="H13" s="12">
        <v>0.04</v>
      </c>
      <c r="I13" s="36">
        <v>0.26</v>
      </c>
      <c r="J13" s="36">
        <v>0.41</v>
      </c>
      <c r="K13" s="36">
        <v>0.41</v>
      </c>
      <c r="L13" s="36">
        <v>0.17</v>
      </c>
      <c r="M13" s="32">
        <v>-0.22</v>
      </c>
    </row>
    <row r="14" spans="1:13" x14ac:dyDescent="0.25">
      <c r="A14" s="31" t="s">
        <v>37</v>
      </c>
      <c r="B14" s="29">
        <v>-7.4870000000000006E-2</v>
      </c>
      <c r="C14" s="29">
        <v>-0.124389</v>
      </c>
      <c r="D14" s="29">
        <v>-0.12173100000000001</v>
      </c>
      <c r="E14" s="29">
        <v>1.5099E-2</v>
      </c>
      <c r="F14" s="29">
        <v>0.47424300000000003</v>
      </c>
      <c r="G14" s="30">
        <v>-6.8329999999999997E-3</v>
      </c>
      <c r="H14" s="12">
        <v>0.03</v>
      </c>
      <c r="I14" s="36">
        <v>0.18</v>
      </c>
      <c r="J14" s="36">
        <v>0.32</v>
      </c>
      <c r="K14" s="36">
        <v>0.35</v>
      </c>
      <c r="L14" s="36">
        <v>0.13</v>
      </c>
      <c r="M14" s="32">
        <v>-0.17</v>
      </c>
    </row>
    <row r="15" spans="1:13" x14ac:dyDescent="0.25">
      <c r="A15" s="31" t="s">
        <v>38</v>
      </c>
      <c r="B15" s="29">
        <v>-4.7933000000000003E-2</v>
      </c>
      <c r="C15" s="29">
        <v>-8.1143999999999994E-2</v>
      </c>
      <c r="D15" s="29">
        <v>-7.8437000000000007E-2</v>
      </c>
      <c r="E15" s="29">
        <v>2.5187999999999999E-2</v>
      </c>
      <c r="F15" s="29">
        <v>0.37652799999999997</v>
      </c>
      <c r="G15" s="30">
        <v>9.9880000000000004E-3</v>
      </c>
      <c r="H15" s="12">
        <v>0.02</v>
      </c>
      <c r="I15" s="36">
        <v>0.14000000000000001</v>
      </c>
      <c r="J15" s="36">
        <v>0.26</v>
      </c>
      <c r="K15" s="36">
        <v>0.31</v>
      </c>
      <c r="L15" s="36">
        <v>0.12</v>
      </c>
      <c r="M15" s="32">
        <v>-0.15</v>
      </c>
    </row>
    <row r="16" spans="1:13" x14ac:dyDescent="0.25">
      <c r="A16" s="31" t="s">
        <v>39</v>
      </c>
      <c r="B16" s="29">
        <v>-4.104E-2</v>
      </c>
      <c r="C16" s="29">
        <v>-7.0350999999999997E-2</v>
      </c>
      <c r="D16" s="29">
        <v>-6.7414000000000002E-2</v>
      </c>
      <c r="E16" s="29">
        <v>3.1662999999999997E-2</v>
      </c>
      <c r="F16" s="29">
        <v>0.37591999999999998</v>
      </c>
      <c r="G16" s="30">
        <v>1.511E-2</v>
      </c>
      <c r="H16" s="12">
        <v>0.05</v>
      </c>
      <c r="I16" s="36">
        <v>0.17</v>
      </c>
      <c r="J16" s="36">
        <v>0.27</v>
      </c>
      <c r="K16" s="36">
        <v>0.3</v>
      </c>
      <c r="L16" s="36">
        <v>0.11</v>
      </c>
      <c r="M16" s="32">
        <v>-0.13</v>
      </c>
    </row>
    <row r="17" spans="1:13" x14ac:dyDescent="0.25">
      <c r="A17" s="31" t="s">
        <v>40</v>
      </c>
      <c r="B17" s="29">
        <v>-0.36480400000000002</v>
      </c>
      <c r="C17" s="29">
        <v>-0.45629599999999998</v>
      </c>
      <c r="D17" s="29">
        <v>-0.418014</v>
      </c>
      <c r="E17" s="29">
        <v>-0.20685799999999999</v>
      </c>
      <c r="F17" s="29">
        <v>0.25436900000000001</v>
      </c>
      <c r="G17" s="30">
        <v>-0.22095200000000001</v>
      </c>
      <c r="H17" s="12">
        <v>0.05</v>
      </c>
      <c r="I17" s="36">
        <v>0.09</v>
      </c>
      <c r="J17" s="36">
        <v>0.09</v>
      </c>
      <c r="K17" s="36">
        <v>0.05</v>
      </c>
      <c r="L17" s="36">
        <v>-0.16</v>
      </c>
      <c r="M17" s="32">
        <v>-0.25</v>
      </c>
    </row>
    <row r="18" spans="1:13" x14ac:dyDescent="0.25">
      <c r="A18" s="31" t="s">
        <v>16</v>
      </c>
      <c r="B18" s="29">
        <v>-0.28086699999999998</v>
      </c>
      <c r="C18" s="29">
        <v>-0.32122800000000001</v>
      </c>
      <c r="D18" s="29">
        <v>-0.29206799999999999</v>
      </c>
      <c r="E18" s="29">
        <v>-0.239597</v>
      </c>
      <c r="F18" s="29">
        <v>-0.25326500000000002</v>
      </c>
      <c r="G18" s="30">
        <v>-0.212233</v>
      </c>
      <c r="H18" s="12">
        <v>0.01</v>
      </c>
      <c r="I18" s="36">
        <v>-0.16</v>
      </c>
      <c r="J18" s="36">
        <v>-0.32</v>
      </c>
      <c r="K18" s="36">
        <v>-0.35</v>
      </c>
      <c r="L18" s="36">
        <v>-0.33</v>
      </c>
      <c r="M18" s="32">
        <v>-0.03</v>
      </c>
    </row>
    <row r="19" spans="1:13" x14ac:dyDescent="0.25">
      <c r="A19" s="31" t="s">
        <v>41</v>
      </c>
      <c r="B19" s="29">
        <v>71.530760000000001</v>
      </c>
      <c r="C19" s="29">
        <v>156.84549999999999</v>
      </c>
      <c r="D19" s="29">
        <v>232.19059999999999</v>
      </c>
      <c r="E19" s="29">
        <v>328.13510000000002</v>
      </c>
      <c r="F19" s="29">
        <v>334.99810000000002</v>
      </c>
      <c r="G19" s="30">
        <v>294.90140000000002</v>
      </c>
      <c r="H19" s="12">
        <v>24</v>
      </c>
      <c r="I19" s="36">
        <v>109</v>
      </c>
      <c r="J19" s="36">
        <v>174</v>
      </c>
      <c r="K19" s="36">
        <v>184</v>
      </c>
      <c r="L19" s="36">
        <v>181</v>
      </c>
      <c r="M19" s="32">
        <v>200</v>
      </c>
    </row>
    <row r="20" spans="1:13" x14ac:dyDescent="0.25">
      <c r="A20" s="31" t="s">
        <v>42</v>
      </c>
      <c r="B20" s="29">
        <v>-0.21359400000000001</v>
      </c>
      <c r="C20" s="29">
        <v>-0.44925500000000002</v>
      </c>
      <c r="D20" s="29">
        <v>-0.64305299999999999</v>
      </c>
      <c r="E20" s="29">
        <v>-0.865093</v>
      </c>
      <c r="F20" s="29">
        <v>-0.82960100000000003</v>
      </c>
      <c r="G20" s="30">
        <v>-0.68478499999999998</v>
      </c>
      <c r="H20" s="12">
        <v>-0.1</v>
      </c>
      <c r="I20" s="36">
        <v>-0.45</v>
      </c>
      <c r="J20" s="36">
        <v>-0.72</v>
      </c>
      <c r="K20" s="36">
        <v>-0.77</v>
      </c>
      <c r="L20" s="36">
        <v>-0.75</v>
      </c>
      <c r="M20" s="32">
        <v>-0.83</v>
      </c>
    </row>
    <row r="21" spans="1:13" x14ac:dyDescent="0.25">
      <c r="A21" s="31" t="s">
        <v>43</v>
      </c>
      <c r="B21" s="29">
        <v>-0.13137199999999999</v>
      </c>
      <c r="C21" s="29">
        <v>-0.21559800000000001</v>
      </c>
      <c r="D21" s="29">
        <v>-0.26887899999999998</v>
      </c>
      <c r="E21" s="29">
        <v>-0.32369500000000001</v>
      </c>
      <c r="F21" s="29">
        <v>-0.34708800000000001</v>
      </c>
      <c r="G21" s="30">
        <v>-0.27759600000000001</v>
      </c>
      <c r="H21" s="12">
        <v>-0.21</v>
      </c>
      <c r="I21" s="36">
        <v>-0.44</v>
      </c>
      <c r="J21" s="36">
        <v>-0.47</v>
      </c>
      <c r="K21" s="36">
        <v>-0.44</v>
      </c>
      <c r="L21" s="36">
        <v>-0.38</v>
      </c>
      <c r="M21" s="32">
        <v>-0.33</v>
      </c>
    </row>
    <row r="22" spans="1:13" x14ac:dyDescent="0.25">
      <c r="A22" s="31" t="s">
        <v>44</v>
      </c>
      <c r="B22" s="29">
        <v>-0.76557500000000001</v>
      </c>
      <c r="C22" s="29">
        <v>-0.52113100000000001</v>
      </c>
      <c r="D22" s="29">
        <v>-0.33175399999999999</v>
      </c>
      <c r="E22" s="29">
        <v>-0.14261399999999999</v>
      </c>
      <c r="F22" s="29">
        <v>-0.21618000000000001</v>
      </c>
      <c r="G22" s="30">
        <v>-0.41259400000000002</v>
      </c>
      <c r="H22" s="12">
        <v>-0.81</v>
      </c>
      <c r="I22" s="36">
        <v>-0.5</v>
      </c>
      <c r="J22" s="36">
        <v>-0.42</v>
      </c>
      <c r="K22" s="36">
        <v>-0.51</v>
      </c>
      <c r="L22" s="36">
        <v>-0.5</v>
      </c>
      <c r="M22" s="32">
        <v>-0.43</v>
      </c>
    </row>
    <row r="23" spans="1:13" x14ac:dyDescent="0.25">
      <c r="A23" s="40"/>
      <c r="B23" s="40"/>
      <c r="C23" s="40"/>
      <c r="D23" s="40"/>
      <c r="E23" s="40"/>
      <c r="F23" s="40"/>
      <c r="G23" s="40"/>
      <c r="I23" s="40"/>
    </row>
    <row r="24" spans="1:13" x14ac:dyDescent="0.25">
      <c r="A24" s="40"/>
      <c r="B24" s="40"/>
      <c r="C24" s="40"/>
      <c r="D24" s="40"/>
      <c r="E24" s="40"/>
      <c r="F24" s="40"/>
      <c r="G24" s="40"/>
    </row>
    <row r="26" spans="1:13" ht="30" x14ac:dyDescent="0.25">
      <c r="A26" s="34" t="s">
        <v>84</v>
      </c>
      <c r="B26" s="66" t="s">
        <v>89</v>
      </c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</row>
    <row r="27" spans="1:13" x14ac:dyDescent="0.25">
      <c r="A27" s="38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39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9">
        <f t="array" ref="B29:G47">TRANSPOSE(INCT1!$B$3:$T$8)</f>
        <v>0.53664299999999998</v>
      </c>
      <c r="C29" s="29">
        <v>0.84893600000000002</v>
      </c>
      <c r="D29" s="29">
        <v>1.0530109999999999</v>
      </c>
      <c r="E29" s="29">
        <v>1.2545820000000001</v>
      </c>
      <c r="F29" s="29">
        <v>1.1796390000000001</v>
      </c>
      <c r="G29" s="30">
        <v>1.0227550000000001</v>
      </c>
      <c r="H29" s="12">
        <v>0.41</v>
      </c>
      <c r="I29" s="36">
        <v>0.83</v>
      </c>
      <c r="J29" s="36">
        <v>0.88</v>
      </c>
      <c r="K29" s="36">
        <v>0.81</v>
      </c>
      <c r="L29" s="36">
        <v>0.87</v>
      </c>
      <c r="M29" s="32">
        <v>1.05</v>
      </c>
    </row>
    <row r="30" spans="1:13" x14ac:dyDescent="0.25">
      <c r="A30" s="31" t="s">
        <v>57</v>
      </c>
      <c r="B30" s="29">
        <v>1.0725990000000001</v>
      </c>
      <c r="C30" s="29">
        <v>1.668385</v>
      </c>
      <c r="D30" s="29">
        <v>2.0421459999999998</v>
      </c>
      <c r="E30" s="29">
        <v>2.405411</v>
      </c>
      <c r="F30" s="29">
        <v>2.310718</v>
      </c>
      <c r="G30" s="30">
        <v>2.0251649999999999</v>
      </c>
      <c r="H30" s="12">
        <v>0.81</v>
      </c>
      <c r="I30" s="36">
        <v>1.66</v>
      </c>
      <c r="J30" s="36">
        <v>1.9</v>
      </c>
      <c r="K30" s="36">
        <v>2.0099999999999998</v>
      </c>
      <c r="L30" s="36">
        <v>2.06</v>
      </c>
      <c r="M30" s="32">
        <v>2.27</v>
      </c>
    </row>
    <row r="31" spans="1:13" x14ac:dyDescent="0.25">
      <c r="A31" s="31" t="s">
        <v>54</v>
      </c>
      <c r="B31" s="29">
        <v>0.26818599999999998</v>
      </c>
      <c r="C31" s="29">
        <v>0.55559499999999995</v>
      </c>
      <c r="D31" s="29">
        <v>0.78888000000000003</v>
      </c>
      <c r="E31" s="29">
        <v>1.0638879999999999</v>
      </c>
      <c r="F31" s="29">
        <v>1.1029850000000001</v>
      </c>
      <c r="G31" s="30">
        <v>0.73670400000000003</v>
      </c>
      <c r="H31" s="12">
        <v>0.61</v>
      </c>
      <c r="I31" s="36">
        <v>1.6</v>
      </c>
      <c r="J31" s="36">
        <v>1.65</v>
      </c>
      <c r="K31" s="36">
        <v>1.23</v>
      </c>
      <c r="L31" s="36">
        <v>1.1499999999999999</v>
      </c>
      <c r="M31" s="32">
        <v>1.27</v>
      </c>
    </row>
    <row r="32" spans="1:13" x14ac:dyDescent="0.25">
      <c r="A32" s="31" t="s">
        <v>55</v>
      </c>
      <c r="B32" s="29">
        <v>1.1507E-2</v>
      </c>
      <c r="C32" s="29">
        <v>2.7542000000000001E-2</v>
      </c>
      <c r="D32" s="29">
        <v>3.8116999999999998E-2</v>
      </c>
      <c r="E32" s="29">
        <v>1.932E-2</v>
      </c>
      <c r="F32" s="29">
        <v>-0.19336100000000001</v>
      </c>
      <c r="G32" s="30">
        <v>-5.5749E-2</v>
      </c>
      <c r="H32" s="12">
        <v>0.04</v>
      </c>
      <c r="I32" s="36">
        <v>0.01</v>
      </c>
      <c r="J32" s="36">
        <v>-7.0000000000000007E-2</v>
      </c>
      <c r="K32" s="36">
        <v>-0.13</v>
      </c>
      <c r="L32" s="36">
        <v>0.01</v>
      </c>
      <c r="M32" s="32">
        <v>0.28000000000000003</v>
      </c>
    </row>
    <row r="33" spans="1:13" x14ac:dyDescent="0.25">
      <c r="A33" s="31" t="s">
        <v>56</v>
      </c>
      <c r="B33" s="29">
        <v>0.55729300000000004</v>
      </c>
      <c r="C33" s="29">
        <v>0.922844</v>
      </c>
      <c r="D33" s="29">
        <v>1.16028</v>
      </c>
      <c r="E33" s="29">
        <v>1.3878140000000001</v>
      </c>
      <c r="F33" s="29">
        <v>1.2987839999999999</v>
      </c>
      <c r="G33" s="30">
        <v>1.1148400000000001</v>
      </c>
      <c r="H33" s="12">
        <v>0.7</v>
      </c>
      <c r="I33" s="36">
        <v>1.42</v>
      </c>
      <c r="J33" s="36">
        <v>1.43</v>
      </c>
      <c r="K33" s="36">
        <v>1.27</v>
      </c>
      <c r="L33" s="36">
        <v>1.24</v>
      </c>
      <c r="M33" s="32">
        <v>1.31</v>
      </c>
    </row>
    <row r="34" spans="1:13" x14ac:dyDescent="0.25">
      <c r="A34" s="31" t="s">
        <v>58</v>
      </c>
      <c r="B34" s="29">
        <v>1.581323</v>
      </c>
      <c r="C34" s="29">
        <v>1.814565</v>
      </c>
      <c r="D34" s="29">
        <v>2.04393</v>
      </c>
      <c r="E34" s="29">
        <v>2.3082400000000001</v>
      </c>
      <c r="F34" s="29">
        <v>2.2527680000000001</v>
      </c>
      <c r="G34" s="30">
        <v>2.0258940000000001</v>
      </c>
      <c r="H34" s="12">
        <v>1.7</v>
      </c>
      <c r="I34" s="36">
        <v>1.82</v>
      </c>
      <c r="J34" s="36">
        <v>1.92</v>
      </c>
      <c r="K34" s="36">
        <v>2.04</v>
      </c>
      <c r="L34" s="36">
        <v>2.06</v>
      </c>
      <c r="M34" s="32">
        <v>2.27</v>
      </c>
    </row>
    <row r="35" spans="1:13" x14ac:dyDescent="0.25">
      <c r="A35" s="31" t="s">
        <v>59</v>
      </c>
      <c r="B35" s="29">
        <v>0.44883400000000001</v>
      </c>
      <c r="C35" s="29">
        <v>0.12867500000000001</v>
      </c>
      <c r="D35" s="29">
        <v>1.567E-3</v>
      </c>
      <c r="E35" s="29">
        <v>-8.5122000000000003E-2</v>
      </c>
      <c r="F35" s="29">
        <v>-5.0792999999999998E-2</v>
      </c>
      <c r="G35" s="30">
        <v>6.4099999999999997E-4</v>
      </c>
      <c r="H35" s="12">
        <v>0.75</v>
      </c>
      <c r="I35" s="36">
        <v>0.14000000000000001</v>
      </c>
      <c r="J35" s="36">
        <v>0.02</v>
      </c>
      <c r="K35" s="36">
        <v>0.03</v>
      </c>
      <c r="L35" s="36">
        <v>0</v>
      </c>
      <c r="M35" s="32">
        <v>0</v>
      </c>
    </row>
    <row r="36" spans="1:13" x14ac:dyDescent="0.25">
      <c r="A36" s="31" t="s">
        <v>70</v>
      </c>
      <c r="B36" s="29">
        <v>-7.7854000000000007E-2</v>
      </c>
      <c r="C36" s="29">
        <v>-0.13061300000000001</v>
      </c>
      <c r="D36" s="29">
        <v>-0.130853</v>
      </c>
      <c r="E36" s="29">
        <v>2.1870000000000001E-3</v>
      </c>
      <c r="F36" s="29">
        <v>0.46479300000000001</v>
      </c>
      <c r="G36" s="30">
        <v>-1.1089999999999999E-2</v>
      </c>
      <c r="H36" s="12">
        <v>0.04</v>
      </c>
      <c r="I36" s="36">
        <v>0.21</v>
      </c>
      <c r="J36" s="36">
        <v>0.34</v>
      </c>
      <c r="K36" s="36">
        <v>0.35</v>
      </c>
      <c r="L36" s="36">
        <v>0.14000000000000001</v>
      </c>
      <c r="M36" s="32">
        <v>-0.18</v>
      </c>
    </row>
    <row r="37" spans="1:13" x14ac:dyDescent="0.25">
      <c r="A37" s="31" t="s">
        <v>71</v>
      </c>
      <c r="B37" s="29">
        <v>-8.1583000000000003E-2</v>
      </c>
      <c r="C37" s="29">
        <v>-0.133434</v>
      </c>
      <c r="D37" s="29">
        <v>-0.12739900000000001</v>
      </c>
      <c r="E37" s="29">
        <v>2.5010999999999999E-2</v>
      </c>
      <c r="F37" s="29">
        <v>0.50771699999999997</v>
      </c>
      <c r="G37" s="30">
        <v>-7.3509999999999999E-3</v>
      </c>
      <c r="H37" s="12">
        <v>0.04</v>
      </c>
      <c r="I37" s="36">
        <v>0.2</v>
      </c>
      <c r="J37" s="36">
        <v>0.33</v>
      </c>
      <c r="K37" s="36">
        <v>0.34</v>
      </c>
      <c r="L37" s="36">
        <v>0.12</v>
      </c>
      <c r="M37" s="32">
        <v>-0.19</v>
      </c>
    </row>
    <row r="38" spans="1:13" x14ac:dyDescent="0.25">
      <c r="A38" s="31" t="s">
        <v>72</v>
      </c>
      <c r="B38" s="29">
        <v>-8.4172999999999998E-2</v>
      </c>
      <c r="C38" s="29">
        <v>-0.13550300000000001</v>
      </c>
      <c r="D38" s="29">
        <v>-0.12631500000000001</v>
      </c>
      <c r="E38" s="29">
        <v>3.2816999999999999E-2</v>
      </c>
      <c r="F38" s="29">
        <v>0.50892300000000001</v>
      </c>
      <c r="G38" s="30">
        <v>-8.737E-3</v>
      </c>
      <c r="H38" s="12">
        <v>0.04</v>
      </c>
      <c r="I38" s="36">
        <v>0.26</v>
      </c>
      <c r="J38" s="36">
        <v>0.41</v>
      </c>
      <c r="K38" s="36">
        <v>0.41</v>
      </c>
      <c r="L38" s="36">
        <v>0.17</v>
      </c>
      <c r="M38" s="32">
        <v>-0.22</v>
      </c>
    </row>
    <row r="39" spans="1:13" x14ac:dyDescent="0.25">
      <c r="A39" s="31" t="s">
        <v>76</v>
      </c>
      <c r="B39" s="29">
        <v>-7.4870000000000006E-2</v>
      </c>
      <c r="C39" s="29">
        <v>-0.124389</v>
      </c>
      <c r="D39" s="29">
        <v>-0.12173100000000001</v>
      </c>
      <c r="E39" s="29">
        <v>1.5099E-2</v>
      </c>
      <c r="F39" s="29">
        <v>0.47424300000000003</v>
      </c>
      <c r="G39" s="30">
        <v>-6.8329999999999997E-3</v>
      </c>
      <c r="H39" s="12">
        <v>0.03</v>
      </c>
      <c r="I39" s="36">
        <v>0.18</v>
      </c>
      <c r="J39" s="36">
        <v>0.32</v>
      </c>
      <c r="K39" s="36">
        <v>0.35</v>
      </c>
      <c r="L39" s="36">
        <v>0.13</v>
      </c>
      <c r="M39" s="32">
        <v>-0.17</v>
      </c>
    </row>
    <row r="40" spans="1:13" x14ac:dyDescent="0.25">
      <c r="A40" s="31" t="s">
        <v>68</v>
      </c>
      <c r="B40" s="29">
        <v>-4.7933000000000003E-2</v>
      </c>
      <c r="C40" s="29">
        <v>-8.1143999999999994E-2</v>
      </c>
      <c r="D40" s="29">
        <v>-7.8437000000000007E-2</v>
      </c>
      <c r="E40" s="29">
        <v>2.5187999999999999E-2</v>
      </c>
      <c r="F40" s="29">
        <v>0.37652799999999997</v>
      </c>
      <c r="G40" s="30">
        <v>9.9880000000000004E-3</v>
      </c>
      <c r="H40" s="12">
        <v>0.02</v>
      </c>
      <c r="I40" s="36">
        <v>0.14000000000000001</v>
      </c>
      <c r="J40" s="36">
        <v>0.26</v>
      </c>
      <c r="K40" s="36">
        <v>0.31</v>
      </c>
      <c r="L40" s="36">
        <v>0.12</v>
      </c>
      <c r="M40" s="32">
        <v>-0.15</v>
      </c>
    </row>
    <row r="41" spans="1:13" x14ac:dyDescent="0.25">
      <c r="A41" s="31" t="s">
        <v>69</v>
      </c>
      <c r="B41" s="29">
        <v>-4.104E-2</v>
      </c>
      <c r="C41" s="29">
        <v>-7.0350999999999997E-2</v>
      </c>
      <c r="D41" s="29">
        <v>-6.7414000000000002E-2</v>
      </c>
      <c r="E41" s="29">
        <v>3.1662999999999997E-2</v>
      </c>
      <c r="F41" s="29">
        <v>0.37591999999999998</v>
      </c>
      <c r="G41" s="30">
        <v>1.511E-2</v>
      </c>
      <c r="H41" s="12">
        <v>0.05</v>
      </c>
      <c r="I41" s="36">
        <v>0.17</v>
      </c>
      <c r="J41" s="36">
        <v>0.27</v>
      </c>
      <c r="K41" s="36">
        <v>0.3</v>
      </c>
      <c r="L41" s="36">
        <v>0.11</v>
      </c>
      <c r="M41" s="32">
        <v>-0.13</v>
      </c>
    </row>
    <row r="42" spans="1:13" x14ac:dyDescent="0.25">
      <c r="A42" s="31" t="s">
        <v>73</v>
      </c>
      <c r="B42" s="29">
        <v>-0.36480400000000002</v>
      </c>
      <c r="C42" s="29">
        <v>-0.45629599999999998</v>
      </c>
      <c r="D42" s="29">
        <v>-0.418014</v>
      </c>
      <c r="E42" s="29">
        <v>-0.20685799999999999</v>
      </c>
      <c r="F42" s="29">
        <v>0.25436900000000001</v>
      </c>
      <c r="G42" s="30">
        <v>-0.22095200000000001</v>
      </c>
      <c r="H42" s="12">
        <v>0.05</v>
      </c>
      <c r="I42" s="36">
        <v>0.09</v>
      </c>
      <c r="J42" s="36">
        <v>0.09</v>
      </c>
      <c r="K42" s="36">
        <v>0.05</v>
      </c>
      <c r="L42" s="36">
        <v>-0.16</v>
      </c>
      <c r="M42" s="32">
        <v>-0.25</v>
      </c>
    </row>
    <row r="43" spans="1:13" x14ac:dyDescent="0.25">
      <c r="A43" s="31" t="s">
        <v>74</v>
      </c>
      <c r="B43" s="29">
        <v>-0.28086699999999998</v>
      </c>
      <c r="C43" s="29">
        <v>-0.32122800000000001</v>
      </c>
      <c r="D43" s="29">
        <v>-0.29206799999999999</v>
      </c>
      <c r="E43" s="29">
        <v>-0.239597</v>
      </c>
      <c r="F43" s="29">
        <v>-0.25326500000000002</v>
      </c>
      <c r="G43" s="30">
        <v>-0.212233</v>
      </c>
      <c r="H43" s="12">
        <v>0.01</v>
      </c>
      <c r="I43" s="36">
        <v>-0.16</v>
      </c>
      <c r="J43" s="36">
        <v>-0.32</v>
      </c>
      <c r="K43" s="36">
        <v>-0.35</v>
      </c>
      <c r="L43" s="36">
        <v>-0.33</v>
      </c>
      <c r="M43" s="32">
        <v>-0.03</v>
      </c>
    </row>
    <row r="44" spans="1:13" x14ac:dyDescent="0.25">
      <c r="A44" s="31" t="s">
        <v>77</v>
      </c>
      <c r="B44" s="29">
        <v>71.530760000000001</v>
      </c>
      <c r="C44" s="29">
        <v>156.84549999999999</v>
      </c>
      <c r="D44" s="29">
        <v>232.19059999999999</v>
      </c>
      <c r="E44" s="29">
        <v>328.13510000000002</v>
      </c>
      <c r="F44" s="29">
        <v>334.99810000000002</v>
      </c>
      <c r="G44" s="30">
        <v>294.90140000000002</v>
      </c>
      <c r="H44" s="12">
        <v>24</v>
      </c>
      <c r="I44" s="36">
        <v>109</v>
      </c>
      <c r="J44" s="36">
        <v>174</v>
      </c>
      <c r="K44" s="36">
        <v>184</v>
      </c>
      <c r="L44" s="36">
        <v>181</v>
      </c>
      <c r="M44" s="32">
        <v>200</v>
      </c>
    </row>
    <row r="45" spans="1:13" x14ac:dyDescent="0.25">
      <c r="A45" s="31" t="s">
        <v>75</v>
      </c>
      <c r="B45" s="29">
        <v>-0.21359400000000001</v>
      </c>
      <c r="C45" s="29">
        <v>-0.44925500000000002</v>
      </c>
      <c r="D45" s="29">
        <v>-0.64305299999999999</v>
      </c>
      <c r="E45" s="29">
        <v>-0.865093</v>
      </c>
      <c r="F45" s="29">
        <v>-0.82960100000000003</v>
      </c>
      <c r="G45" s="30">
        <v>-0.68478499999999998</v>
      </c>
      <c r="H45" s="12">
        <v>-0.1</v>
      </c>
      <c r="I45" s="36">
        <v>-0.45</v>
      </c>
      <c r="J45" s="36">
        <v>-0.72</v>
      </c>
      <c r="K45" s="36">
        <v>-0.77</v>
      </c>
      <c r="L45" s="36">
        <v>-0.75</v>
      </c>
      <c r="M45" s="32">
        <v>-0.83</v>
      </c>
    </row>
    <row r="46" spans="1:13" x14ac:dyDescent="0.25">
      <c r="A46" s="31" t="s">
        <v>78</v>
      </c>
      <c r="B46" s="29">
        <v>-0.13137199999999999</v>
      </c>
      <c r="C46" s="29">
        <v>-0.21559800000000001</v>
      </c>
      <c r="D46" s="29">
        <v>-0.26887899999999998</v>
      </c>
      <c r="E46" s="29">
        <v>-0.32369500000000001</v>
      </c>
      <c r="F46" s="29">
        <v>-0.34708800000000001</v>
      </c>
      <c r="G46" s="30">
        <v>-0.27759600000000001</v>
      </c>
      <c r="H46" s="12">
        <v>-0.21</v>
      </c>
      <c r="I46" s="36">
        <v>-0.44</v>
      </c>
      <c r="J46" s="36">
        <v>-0.47</v>
      </c>
      <c r="K46" s="36">
        <v>-0.44</v>
      </c>
      <c r="L46" s="36">
        <v>-0.38</v>
      </c>
      <c r="M46" s="32">
        <v>-0.33</v>
      </c>
    </row>
    <row r="47" spans="1:13" x14ac:dyDescent="0.25">
      <c r="A47" s="45" t="s">
        <v>79</v>
      </c>
      <c r="B47" s="29">
        <v>-0.76557500000000001</v>
      </c>
      <c r="C47" s="29">
        <v>-0.52113100000000001</v>
      </c>
      <c r="D47" s="29">
        <v>-0.33175399999999999</v>
      </c>
      <c r="E47" s="29">
        <v>-0.14261399999999999</v>
      </c>
      <c r="F47" s="29">
        <v>-0.21618000000000001</v>
      </c>
      <c r="G47" s="30">
        <v>-0.41259400000000002</v>
      </c>
      <c r="H47" s="12">
        <v>-0.81</v>
      </c>
      <c r="I47" s="36">
        <v>-0.5</v>
      </c>
      <c r="J47" s="36">
        <v>-0.42</v>
      </c>
      <c r="K47" s="36">
        <v>-0.51</v>
      </c>
      <c r="L47" s="36">
        <v>-0.5</v>
      </c>
      <c r="M47" s="32">
        <v>-0.43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/>
  <dimension ref="A1:M47"/>
  <sheetViews>
    <sheetView workbookViewId="0">
      <selection activeCell="N24" sqref="N24"/>
    </sheetView>
  </sheetViews>
  <sheetFormatPr baseColWidth="10" defaultRowHeight="15.75" x14ac:dyDescent="0.25"/>
  <cols>
    <col min="1" max="1" width="32.75" style="37" customWidth="1"/>
    <col min="2" max="16384" width="11" style="37"/>
  </cols>
  <sheetData>
    <row r="1" spans="1:13" ht="30" x14ac:dyDescent="0.25">
      <c r="A1" s="34" t="s">
        <v>50</v>
      </c>
      <c r="B1" s="65" t="s">
        <v>88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</row>
    <row r="2" spans="1:13" x14ac:dyDescent="0.25">
      <c r="A2" s="41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TRANSPOSE('WD1'!$B$3:$T$8)</f>
        <v>0.246421</v>
      </c>
      <c r="C4" s="29">
        <v>0.28509499999999999</v>
      </c>
      <c r="D4" s="29">
        <v>0.30958999999999998</v>
      </c>
      <c r="E4" s="29">
        <v>0.30999500000000002</v>
      </c>
      <c r="F4" s="29">
        <v>0.21380299999999999</v>
      </c>
      <c r="G4" s="30">
        <v>8.9855000000000004E-2</v>
      </c>
      <c r="H4" s="42">
        <v>0.27</v>
      </c>
      <c r="I4" s="43">
        <v>0.32</v>
      </c>
      <c r="J4" s="43">
        <v>0.31</v>
      </c>
      <c r="K4" s="43">
        <v>0.26</v>
      </c>
      <c r="L4" s="43">
        <v>0.17</v>
      </c>
      <c r="M4" s="44">
        <v>0.05</v>
      </c>
    </row>
    <row r="5" spans="1:13" x14ac:dyDescent="0.25">
      <c r="A5" s="31" t="s">
        <v>8</v>
      </c>
      <c r="B5" s="29">
        <v>8.4331000000000003E-2</v>
      </c>
      <c r="C5" s="29">
        <v>0.170677</v>
      </c>
      <c r="D5" s="29">
        <v>0.232547</v>
      </c>
      <c r="E5" s="29">
        <v>0.28200399999999998</v>
      </c>
      <c r="F5" s="29">
        <v>0.23686599999999999</v>
      </c>
      <c r="G5" s="30">
        <v>7.4660000000000004E-2</v>
      </c>
      <c r="H5" s="12">
        <v>0.09</v>
      </c>
      <c r="I5" s="36">
        <v>0.21</v>
      </c>
      <c r="J5" s="36">
        <v>0.28000000000000003</v>
      </c>
      <c r="K5" s="36">
        <v>0.33</v>
      </c>
      <c r="L5" s="36">
        <v>0.27</v>
      </c>
      <c r="M5" s="32">
        <v>0.12</v>
      </c>
    </row>
    <row r="6" spans="1:13" x14ac:dyDescent="0.25">
      <c r="A6" s="31" t="s">
        <v>9</v>
      </c>
      <c r="B6" s="29">
        <v>0.18379000000000001</v>
      </c>
      <c r="C6" s="29">
        <v>0.290522</v>
      </c>
      <c r="D6" s="29">
        <v>0.34681699999999999</v>
      </c>
      <c r="E6" s="29">
        <v>0.38249899999999998</v>
      </c>
      <c r="F6" s="29">
        <v>0.37065199999999998</v>
      </c>
      <c r="G6" s="30">
        <v>0.36660100000000001</v>
      </c>
      <c r="H6" s="12">
        <v>0.39</v>
      </c>
      <c r="I6" s="36">
        <v>0.55000000000000004</v>
      </c>
      <c r="J6" s="36">
        <v>0.49</v>
      </c>
      <c r="K6" s="36">
        <v>0.32</v>
      </c>
      <c r="L6" s="36">
        <v>0.16</v>
      </c>
      <c r="M6" s="32">
        <v>0.05</v>
      </c>
    </row>
    <row r="7" spans="1:13" x14ac:dyDescent="0.25">
      <c r="A7" s="31" t="s">
        <v>11</v>
      </c>
      <c r="B7" s="29">
        <v>0.98364399999999996</v>
      </c>
      <c r="C7" s="29">
        <v>0.94856600000000002</v>
      </c>
      <c r="D7" s="29">
        <v>0.897011</v>
      </c>
      <c r="E7" s="29">
        <v>0.760216</v>
      </c>
      <c r="F7" s="29">
        <v>0.38770399999999999</v>
      </c>
      <c r="G7" s="30">
        <v>0.124274</v>
      </c>
      <c r="H7" s="12">
        <v>0.72</v>
      </c>
      <c r="I7" s="36">
        <v>0.73</v>
      </c>
      <c r="J7" s="36">
        <v>0.69</v>
      </c>
      <c r="K7" s="36">
        <v>0.61</v>
      </c>
      <c r="L7" s="36">
        <v>0.49</v>
      </c>
      <c r="M7" s="32">
        <v>0.33</v>
      </c>
    </row>
    <row r="8" spans="1:13" x14ac:dyDescent="0.25">
      <c r="A8" s="31" t="s">
        <v>12</v>
      </c>
      <c r="B8" s="29">
        <v>0.27009499999999997</v>
      </c>
      <c r="C8" s="29">
        <v>0.36230699999999999</v>
      </c>
      <c r="D8" s="29">
        <v>0.401945</v>
      </c>
      <c r="E8" s="29">
        <v>0.413769</v>
      </c>
      <c r="F8" s="29">
        <v>0.335314</v>
      </c>
      <c r="G8" s="30">
        <v>0.20500399999999999</v>
      </c>
      <c r="H8" s="12">
        <v>0.42</v>
      </c>
      <c r="I8" s="36">
        <v>0.52</v>
      </c>
      <c r="J8" s="36">
        <v>0.51</v>
      </c>
      <c r="K8" s="36">
        <v>0.47</v>
      </c>
      <c r="L8" s="36">
        <v>0.42</v>
      </c>
      <c r="M8" s="32">
        <v>0.38</v>
      </c>
    </row>
    <row r="9" spans="1:13" x14ac:dyDescent="0.25">
      <c r="A9" s="31" t="s">
        <v>32</v>
      </c>
      <c r="B9" s="29">
        <v>0.12404</v>
      </c>
      <c r="C9" s="29">
        <v>0.20081299999999999</v>
      </c>
      <c r="D9" s="29">
        <v>0.24316499999999999</v>
      </c>
      <c r="E9" s="29">
        <v>0.26863599999999999</v>
      </c>
      <c r="F9" s="29">
        <v>0.229465</v>
      </c>
      <c r="G9" s="30">
        <v>7.5323000000000001E-2</v>
      </c>
      <c r="H9" s="12">
        <v>0.13</v>
      </c>
      <c r="I9" s="36">
        <v>0.24</v>
      </c>
      <c r="J9" s="36">
        <v>0.31</v>
      </c>
      <c r="K9" s="36">
        <v>0.37</v>
      </c>
      <c r="L9" s="36">
        <v>0.26</v>
      </c>
      <c r="M9" s="32">
        <v>0.12</v>
      </c>
    </row>
    <row r="10" spans="1:13" x14ac:dyDescent="0.25">
      <c r="A10" s="31" t="s">
        <v>33</v>
      </c>
      <c r="B10" s="29">
        <v>3.5545E-2</v>
      </c>
      <c r="C10" s="29">
        <v>2.6955E-2</v>
      </c>
      <c r="D10" s="29">
        <v>9.4929999999999997E-3</v>
      </c>
      <c r="E10" s="29">
        <v>-1.1948E-2</v>
      </c>
      <c r="F10" s="29">
        <v>-6.6179999999999998E-3</v>
      </c>
      <c r="G10" s="30">
        <v>5.9400000000000002E-4</v>
      </c>
      <c r="H10" s="12">
        <v>0.04</v>
      </c>
      <c r="I10" s="36">
        <v>0.02</v>
      </c>
      <c r="J10" s="36">
        <v>0.03</v>
      </c>
      <c r="K10" s="36">
        <v>0.03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8.0074000000000006E-2</v>
      </c>
      <c r="C11" s="29">
        <v>0.204704</v>
      </c>
      <c r="D11" s="29">
        <v>0.35184100000000001</v>
      </c>
      <c r="E11" s="29">
        <v>0.66114899999999999</v>
      </c>
      <c r="F11" s="29">
        <v>1.2699279999999999</v>
      </c>
      <c r="G11" s="30">
        <v>1.3943950000000001</v>
      </c>
      <c r="H11" s="12">
        <v>0.06</v>
      </c>
      <c r="I11" s="36">
        <v>0.18</v>
      </c>
      <c r="J11" s="36">
        <v>0.28000000000000003</v>
      </c>
      <c r="K11" s="36">
        <v>0.43</v>
      </c>
      <c r="L11" s="36">
        <v>0.57999999999999996</v>
      </c>
      <c r="M11" s="32">
        <v>0.87</v>
      </c>
    </row>
    <row r="12" spans="1:13" x14ac:dyDescent="0.25">
      <c r="A12" s="31" t="s">
        <v>35</v>
      </c>
      <c r="B12" s="29">
        <v>8.3585999999999994E-2</v>
      </c>
      <c r="C12" s="29">
        <v>0.21548</v>
      </c>
      <c r="D12" s="29">
        <v>0.37135299999999999</v>
      </c>
      <c r="E12" s="29">
        <v>0.69624299999999995</v>
      </c>
      <c r="F12" s="29">
        <v>1.3232429999999999</v>
      </c>
      <c r="G12" s="30">
        <v>1.450615</v>
      </c>
      <c r="H12" s="12">
        <v>0.08</v>
      </c>
      <c r="I12" s="36">
        <v>0.22</v>
      </c>
      <c r="J12" s="36">
        <v>0.35</v>
      </c>
      <c r="K12" s="36">
        <v>0.52</v>
      </c>
      <c r="L12" s="36">
        <v>0.66</v>
      </c>
      <c r="M12" s="32">
        <v>0.94</v>
      </c>
    </row>
    <row r="13" spans="1:13" x14ac:dyDescent="0.25">
      <c r="A13" s="31" t="s">
        <v>36</v>
      </c>
      <c r="B13" s="29">
        <v>8.2252000000000006E-2</v>
      </c>
      <c r="C13" s="29">
        <v>0.213861</v>
      </c>
      <c r="D13" s="29">
        <v>0.36957200000000001</v>
      </c>
      <c r="E13" s="29">
        <v>0.69187799999999999</v>
      </c>
      <c r="F13" s="29">
        <v>1.3048470000000001</v>
      </c>
      <c r="G13" s="30">
        <v>1.4287019999999999</v>
      </c>
      <c r="H13" s="12">
        <v>7.0000000000000007E-2</v>
      </c>
      <c r="I13" s="36">
        <v>0.2</v>
      </c>
      <c r="J13" s="36">
        <v>0.32</v>
      </c>
      <c r="K13" s="36">
        <v>0.47</v>
      </c>
      <c r="L13" s="36">
        <v>0.65</v>
      </c>
      <c r="M13" s="32">
        <v>1.01</v>
      </c>
    </row>
    <row r="14" spans="1:13" x14ac:dyDescent="0.25">
      <c r="A14" s="31" t="s">
        <v>37</v>
      </c>
      <c r="B14" s="29">
        <v>7.9015000000000002E-2</v>
      </c>
      <c r="C14" s="29">
        <v>0.202683</v>
      </c>
      <c r="D14" s="29">
        <v>0.34898699999999999</v>
      </c>
      <c r="E14" s="29">
        <v>0.65630900000000003</v>
      </c>
      <c r="F14" s="29">
        <v>1.257973</v>
      </c>
      <c r="G14" s="30">
        <v>1.3806909999999999</v>
      </c>
      <c r="H14" s="12">
        <v>0.06</v>
      </c>
      <c r="I14" s="36">
        <v>0.19</v>
      </c>
      <c r="J14" s="36">
        <v>0.31</v>
      </c>
      <c r="K14" s="36">
        <v>0.47</v>
      </c>
      <c r="L14" s="36">
        <v>0.6</v>
      </c>
      <c r="M14" s="32">
        <v>0.85</v>
      </c>
    </row>
    <row r="15" spans="1:13" x14ac:dyDescent="0.25">
      <c r="A15" s="31" t="s">
        <v>38</v>
      </c>
      <c r="B15" s="29">
        <v>6.7502999999999994E-2</v>
      </c>
      <c r="C15" s="29">
        <v>0.16514300000000001</v>
      </c>
      <c r="D15" s="29">
        <v>0.27690599999999999</v>
      </c>
      <c r="E15" s="29">
        <v>0.50851199999999996</v>
      </c>
      <c r="F15" s="29">
        <v>0.96171799999999996</v>
      </c>
      <c r="G15" s="30">
        <v>1.0568610000000001</v>
      </c>
      <c r="H15" s="12">
        <v>0.04</v>
      </c>
      <c r="I15" s="36">
        <v>0.14000000000000001</v>
      </c>
      <c r="J15" s="36">
        <v>0.24</v>
      </c>
      <c r="K15" s="36">
        <v>0.38</v>
      </c>
      <c r="L15" s="36">
        <v>0.51</v>
      </c>
      <c r="M15" s="32">
        <v>0.69</v>
      </c>
    </row>
    <row r="16" spans="1:13" x14ac:dyDescent="0.25">
      <c r="A16" s="31" t="s">
        <v>39</v>
      </c>
      <c r="B16" s="29">
        <v>6.5225000000000005E-2</v>
      </c>
      <c r="C16" s="29">
        <v>0.15917700000000001</v>
      </c>
      <c r="D16" s="29">
        <v>0.26714399999999999</v>
      </c>
      <c r="E16" s="29">
        <v>0.49284800000000001</v>
      </c>
      <c r="F16" s="29">
        <v>0.93870200000000004</v>
      </c>
      <c r="G16" s="30">
        <v>1.0323359999999999</v>
      </c>
      <c r="H16" s="12">
        <v>0.06</v>
      </c>
      <c r="I16" s="36">
        <v>0.15</v>
      </c>
      <c r="J16" s="36">
        <v>0.25</v>
      </c>
      <c r="K16" s="36">
        <v>0.37</v>
      </c>
      <c r="L16" s="36">
        <v>0.49</v>
      </c>
      <c r="M16" s="32">
        <v>0.65</v>
      </c>
    </row>
    <row r="17" spans="1:13" x14ac:dyDescent="0.25">
      <c r="A17" s="31" t="s">
        <v>40</v>
      </c>
      <c r="B17" s="29">
        <v>0.125689</v>
      </c>
      <c r="C17" s="29">
        <v>0.27276699999999998</v>
      </c>
      <c r="D17" s="29">
        <v>0.42881999999999998</v>
      </c>
      <c r="E17" s="29">
        <v>0.74400900000000003</v>
      </c>
      <c r="F17" s="29">
        <v>1.388396</v>
      </c>
      <c r="G17" s="30">
        <v>1.5613030000000001</v>
      </c>
      <c r="H17" s="12">
        <v>0.18</v>
      </c>
      <c r="I17" s="36">
        <v>0.42</v>
      </c>
      <c r="J17" s="36">
        <v>0.62</v>
      </c>
      <c r="K17" s="36">
        <v>0.88</v>
      </c>
      <c r="L17" s="36">
        <v>0.93</v>
      </c>
      <c r="M17" s="32">
        <v>1.07</v>
      </c>
    </row>
    <row r="18" spans="1:13" x14ac:dyDescent="0.25">
      <c r="A18" s="31" t="s">
        <v>16</v>
      </c>
      <c r="B18" s="29">
        <v>4.3401000000000002E-2</v>
      </c>
      <c r="C18" s="29">
        <v>5.8779999999999999E-2</v>
      </c>
      <c r="D18" s="29">
        <v>5.9028999999999998E-2</v>
      </c>
      <c r="E18" s="29">
        <v>5.1774000000000001E-2</v>
      </c>
      <c r="F18" s="29">
        <v>8.2472000000000004E-2</v>
      </c>
      <c r="G18" s="30">
        <v>0.13073299999999999</v>
      </c>
      <c r="H18" s="12">
        <v>0.11</v>
      </c>
      <c r="I18" s="36">
        <v>0.22</v>
      </c>
      <c r="J18" s="36">
        <v>0.3</v>
      </c>
      <c r="K18" s="36">
        <v>0.41</v>
      </c>
      <c r="L18" s="36">
        <v>0.28000000000000003</v>
      </c>
      <c r="M18" s="32">
        <v>0.06</v>
      </c>
    </row>
    <row r="19" spans="1:13" x14ac:dyDescent="0.25">
      <c r="A19" s="31" t="s">
        <v>41</v>
      </c>
      <c r="B19" s="29">
        <v>36.71293</v>
      </c>
      <c r="C19" s="29">
        <v>65.158270000000002</v>
      </c>
      <c r="D19" s="29">
        <v>83.317490000000006</v>
      </c>
      <c r="E19" s="29">
        <v>94.484049999999996</v>
      </c>
      <c r="F19" s="29">
        <v>59.17</v>
      </c>
      <c r="G19" s="30">
        <v>17.65738</v>
      </c>
      <c r="H19" s="12">
        <v>19</v>
      </c>
      <c r="I19" s="36">
        <v>45</v>
      </c>
      <c r="J19" s="36">
        <v>50</v>
      </c>
      <c r="K19" s="36">
        <v>31</v>
      </c>
      <c r="L19" s="36">
        <v>16</v>
      </c>
      <c r="M19" s="32">
        <v>4</v>
      </c>
    </row>
    <row r="20" spans="1:13" x14ac:dyDescent="0.25">
      <c r="A20" s="31" t="s">
        <v>42</v>
      </c>
      <c r="B20" s="29">
        <v>-0.10964699999999999</v>
      </c>
      <c r="C20" s="29">
        <v>-0.18503</v>
      </c>
      <c r="D20" s="29">
        <v>-0.227689</v>
      </c>
      <c r="E20" s="29">
        <v>-0.24452699999999999</v>
      </c>
      <c r="F20" s="29">
        <v>-0.141902</v>
      </c>
      <c r="G20" s="30">
        <v>-4.1451000000000002E-2</v>
      </c>
      <c r="H20" s="12">
        <v>-0.08</v>
      </c>
      <c r="I20" s="36">
        <v>-0.19</v>
      </c>
      <c r="J20" s="36">
        <v>-0.21</v>
      </c>
      <c r="K20" s="36">
        <v>-0.13</v>
      </c>
      <c r="L20" s="36">
        <v>-7.0000000000000007E-2</v>
      </c>
      <c r="M20" s="32">
        <v>-0.02</v>
      </c>
    </row>
    <row r="21" spans="1:13" x14ac:dyDescent="0.25">
      <c r="A21" s="31" t="s">
        <v>43</v>
      </c>
      <c r="B21" s="29">
        <v>0.16841</v>
      </c>
      <c r="C21" s="29">
        <v>0.13882</v>
      </c>
      <c r="D21" s="29">
        <v>0.118974</v>
      </c>
      <c r="E21" s="29">
        <v>8.7414000000000006E-2</v>
      </c>
      <c r="F21" s="29">
        <v>2.3629000000000001E-2</v>
      </c>
      <c r="G21" s="30">
        <v>-6.424E-3</v>
      </c>
      <c r="H21" s="12">
        <v>0.08</v>
      </c>
      <c r="I21" s="36">
        <v>0.05</v>
      </c>
      <c r="J21" s="36">
        <v>0.05</v>
      </c>
      <c r="K21" s="36">
        <v>0.04</v>
      </c>
      <c r="L21" s="36">
        <v>0.02</v>
      </c>
      <c r="M21" s="32">
        <v>0</v>
      </c>
    </row>
    <row r="22" spans="1:13" x14ac:dyDescent="0.25">
      <c r="A22" s="31" t="s">
        <v>44</v>
      </c>
      <c r="B22" s="29">
        <v>0.100938</v>
      </c>
      <c r="C22" s="29">
        <v>0.1583</v>
      </c>
      <c r="D22" s="29">
        <v>0.188638</v>
      </c>
      <c r="E22" s="29">
        <v>0.20207</v>
      </c>
      <c r="F22" s="29">
        <v>0.15201000000000001</v>
      </c>
      <c r="G22" s="30">
        <v>7.2360000000000002E-3</v>
      </c>
      <c r="H22" s="12">
        <v>0.09</v>
      </c>
      <c r="I22" s="36">
        <v>0.16</v>
      </c>
      <c r="J22" s="36">
        <v>0.15</v>
      </c>
      <c r="K22" s="36">
        <v>0.09</v>
      </c>
      <c r="L22" s="36">
        <v>0.05</v>
      </c>
      <c r="M22" s="32">
        <v>-0.01</v>
      </c>
    </row>
    <row r="26" spans="1:13" ht="30" x14ac:dyDescent="0.25">
      <c r="A26" s="34" t="s">
        <v>85</v>
      </c>
      <c r="B26" s="65" t="s">
        <v>89</v>
      </c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</row>
    <row r="27" spans="1:13" x14ac:dyDescent="0.25">
      <c r="A27" s="41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9">
        <f t="array" ref="B29:G47">TRANSPOSE('WD1'!$B$3:$T$8)</f>
        <v>0.246421</v>
      </c>
      <c r="C29" s="29">
        <v>0.28509499999999999</v>
      </c>
      <c r="D29" s="29">
        <v>0.30958999999999998</v>
      </c>
      <c r="E29" s="29">
        <v>0.30999500000000002</v>
      </c>
      <c r="F29" s="29">
        <v>0.21380299999999999</v>
      </c>
      <c r="G29" s="30">
        <v>8.9855000000000004E-2</v>
      </c>
      <c r="H29" s="42">
        <v>0.27</v>
      </c>
      <c r="I29" s="43">
        <v>0.32</v>
      </c>
      <c r="J29" s="43">
        <v>0.31</v>
      </c>
      <c r="K29" s="43">
        <v>0.26</v>
      </c>
      <c r="L29" s="43">
        <v>0.17</v>
      </c>
      <c r="M29" s="44">
        <v>0.05</v>
      </c>
    </row>
    <row r="30" spans="1:13" x14ac:dyDescent="0.25">
      <c r="A30" s="31" t="s">
        <v>57</v>
      </c>
      <c r="B30" s="29">
        <v>8.4331000000000003E-2</v>
      </c>
      <c r="C30" s="29">
        <v>0.170677</v>
      </c>
      <c r="D30" s="29">
        <v>0.232547</v>
      </c>
      <c r="E30" s="29">
        <v>0.28200399999999998</v>
      </c>
      <c r="F30" s="29">
        <v>0.23686599999999999</v>
      </c>
      <c r="G30" s="30">
        <v>7.4660000000000004E-2</v>
      </c>
      <c r="H30" s="12">
        <v>0.09</v>
      </c>
      <c r="I30" s="36">
        <v>0.21</v>
      </c>
      <c r="J30" s="36">
        <v>0.28000000000000003</v>
      </c>
      <c r="K30" s="36">
        <v>0.33</v>
      </c>
      <c r="L30" s="36">
        <v>0.27</v>
      </c>
      <c r="M30" s="32">
        <v>0.12</v>
      </c>
    </row>
    <row r="31" spans="1:13" x14ac:dyDescent="0.25">
      <c r="A31" s="31" t="s">
        <v>54</v>
      </c>
      <c r="B31" s="29">
        <v>0.18379000000000001</v>
      </c>
      <c r="C31" s="29">
        <v>0.290522</v>
      </c>
      <c r="D31" s="29">
        <v>0.34681699999999999</v>
      </c>
      <c r="E31" s="29">
        <v>0.38249899999999998</v>
      </c>
      <c r="F31" s="29">
        <v>0.37065199999999998</v>
      </c>
      <c r="G31" s="30">
        <v>0.36660100000000001</v>
      </c>
      <c r="H31" s="12">
        <v>0.39</v>
      </c>
      <c r="I31" s="36">
        <v>0.55000000000000004</v>
      </c>
      <c r="J31" s="36">
        <v>0.49</v>
      </c>
      <c r="K31" s="36">
        <v>0.32</v>
      </c>
      <c r="L31" s="36">
        <v>0.16</v>
      </c>
      <c r="M31" s="32">
        <v>0.05</v>
      </c>
    </row>
    <row r="32" spans="1:13" x14ac:dyDescent="0.25">
      <c r="A32" s="31" t="s">
        <v>55</v>
      </c>
      <c r="B32" s="29">
        <v>0.98364399999999996</v>
      </c>
      <c r="C32" s="29">
        <v>0.94856600000000002</v>
      </c>
      <c r="D32" s="29">
        <v>0.897011</v>
      </c>
      <c r="E32" s="29">
        <v>0.760216</v>
      </c>
      <c r="F32" s="29">
        <v>0.38770399999999999</v>
      </c>
      <c r="G32" s="30">
        <v>0.124274</v>
      </c>
      <c r="H32" s="12">
        <v>0.72</v>
      </c>
      <c r="I32" s="36">
        <v>0.73</v>
      </c>
      <c r="J32" s="36">
        <v>0.69</v>
      </c>
      <c r="K32" s="36">
        <v>0.61</v>
      </c>
      <c r="L32" s="36">
        <v>0.49</v>
      </c>
      <c r="M32" s="32">
        <v>0.33</v>
      </c>
    </row>
    <row r="33" spans="1:13" x14ac:dyDescent="0.25">
      <c r="A33" s="31" t="s">
        <v>56</v>
      </c>
      <c r="B33" s="29">
        <v>0.27009499999999997</v>
      </c>
      <c r="C33" s="29">
        <v>0.36230699999999999</v>
      </c>
      <c r="D33" s="29">
        <v>0.401945</v>
      </c>
      <c r="E33" s="29">
        <v>0.413769</v>
      </c>
      <c r="F33" s="29">
        <v>0.335314</v>
      </c>
      <c r="G33" s="30">
        <v>0.20500399999999999</v>
      </c>
      <c r="H33" s="12">
        <v>0.42</v>
      </c>
      <c r="I33" s="36">
        <v>0.52</v>
      </c>
      <c r="J33" s="36">
        <v>0.51</v>
      </c>
      <c r="K33" s="36">
        <v>0.47</v>
      </c>
      <c r="L33" s="36">
        <v>0.42</v>
      </c>
      <c r="M33" s="32">
        <v>0.38</v>
      </c>
    </row>
    <row r="34" spans="1:13" x14ac:dyDescent="0.25">
      <c r="A34" s="31" t="s">
        <v>58</v>
      </c>
      <c r="B34" s="29">
        <v>0.12404</v>
      </c>
      <c r="C34" s="29">
        <v>0.20081299999999999</v>
      </c>
      <c r="D34" s="29">
        <v>0.24316499999999999</v>
      </c>
      <c r="E34" s="29">
        <v>0.26863599999999999</v>
      </c>
      <c r="F34" s="29">
        <v>0.229465</v>
      </c>
      <c r="G34" s="30">
        <v>7.5323000000000001E-2</v>
      </c>
      <c r="H34" s="12">
        <v>0.13</v>
      </c>
      <c r="I34" s="36">
        <v>0.24</v>
      </c>
      <c r="J34" s="36">
        <v>0.31</v>
      </c>
      <c r="K34" s="36">
        <v>0.37</v>
      </c>
      <c r="L34" s="36">
        <v>0.26</v>
      </c>
      <c r="M34" s="32">
        <v>0.12</v>
      </c>
    </row>
    <row r="35" spans="1:13" x14ac:dyDescent="0.25">
      <c r="A35" s="31" t="s">
        <v>59</v>
      </c>
      <c r="B35" s="29">
        <v>3.5545E-2</v>
      </c>
      <c r="C35" s="29">
        <v>2.6955E-2</v>
      </c>
      <c r="D35" s="29">
        <v>9.4929999999999997E-3</v>
      </c>
      <c r="E35" s="29">
        <v>-1.1948E-2</v>
      </c>
      <c r="F35" s="29">
        <v>-6.6179999999999998E-3</v>
      </c>
      <c r="G35" s="30">
        <v>5.9400000000000002E-4</v>
      </c>
      <c r="H35" s="12">
        <v>0.04</v>
      </c>
      <c r="I35" s="36">
        <v>0.02</v>
      </c>
      <c r="J35" s="36">
        <v>0.03</v>
      </c>
      <c r="K35" s="36">
        <v>0.03</v>
      </c>
      <c r="L35" s="36">
        <v>-0.01</v>
      </c>
      <c r="M35" s="32">
        <v>0</v>
      </c>
    </row>
    <row r="36" spans="1:13" x14ac:dyDescent="0.25">
      <c r="A36" s="31" t="s">
        <v>70</v>
      </c>
      <c r="B36" s="29">
        <v>8.0074000000000006E-2</v>
      </c>
      <c r="C36" s="29">
        <v>0.204704</v>
      </c>
      <c r="D36" s="29">
        <v>0.35184100000000001</v>
      </c>
      <c r="E36" s="29">
        <v>0.66114899999999999</v>
      </c>
      <c r="F36" s="29">
        <v>1.2699279999999999</v>
      </c>
      <c r="G36" s="30">
        <v>1.3943950000000001</v>
      </c>
      <c r="H36" s="12">
        <v>0.06</v>
      </c>
      <c r="I36" s="36">
        <v>0.18</v>
      </c>
      <c r="J36" s="36">
        <v>0.28000000000000003</v>
      </c>
      <c r="K36" s="36">
        <v>0.43</v>
      </c>
      <c r="L36" s="36">
        <v>0.57999999999999996</v>
      </c>
      <c r="M36" s="32">
        <v>0.87</v>
      </c>
    </row>
    <row r="37" spans="1:13" x14ac:dyDescent="0.25">
      <c r="A37" s="31" t="s">
        <v>71</v>
      </c>
      <c r="B37" s="29">
        <v>8.3585999999999994E-2</v>
      </c>
      <c r="C37" s="29">
        <v>0.21548</v>
      </c>
      <c r="D37" s="29">
        <v>0.37135299999999999</v>
      </c>
      <c r="E37" s="29">
        <v>0.69624299999999995</v>
      </c>
      <c r="F37" s="29">
        <v>1.3232429999999999</v>
      </c>
      <c r="G37" s="30">
        <v>1.450615</v>
      </c>
      <c r="H37" s="12">
        <v>0.08</v>
      </c>
      <c r="I37" s="36">
        <v>0.22</v>
      </c>
      <c r="J37" s="36">
        <v>0.35</v>
      </c>
      <c r="K37" s="36">
        <v>0.52</v>
      </c>
      <c r="L37" s="36">
        <v>0.66</v>
      </c>
      <c r="M37" s="32">
        <v>0.94</v>
      </c>
    </row>
    <row r="38" spans="1:13" x14ac:dyDescent="0.25">
      <c r="A38" s="31" t="s">
        <v>72</v>
      </c>
      <c r="B38" s="29">
        <v>8.2252000000000006E-2</v>
      </c>
      <c r="C38" s="29">
        <v>0.213861</v>
      </c>
      <c r="D38" s="29">
        <v>0.36957200000000001</v>
      </c>
      <c r="E38" s="29">
        <v>0.69187799999999999</v>
      </c>
      <c r="F38" s="29">
        <v>1.3048470000000001</v>
      </c>
      <c r="G38" s="30">
        <v>1.4287019999999999</v>
      </c>
      <c r="H38" s="12">
        <v>7.0000000000000007E-2</v>
      </c>
      <c r="I38" s="36">
        <v>0.2</v>
      </c>
      <c r="J38" s="36">
        <v>0.32</v>
      </c>
      <c r="K38" s="36">
        <v>0.47</v>
      </c>
      <c r="L38" s="36">
        <v>0.65</v>
      </c>
      <c r="M38" s="32">
        <v>1.01</v>
      </c>
    </row>
    <row r="39" spans="1:13" x14ac:dyDescent="0.25">
      <c r="A39" s="31" t="s">
        <v>76</v>
      </c>
      <c r="B39" s="29">
        <v>7.9015000000000002E-2</v>
      </c>
      <c r="C39" s="29">
        <v>0.202683</v>
      </c>
      <c r="D39" s="29">
        <v>0.34898699999999999</v>
      </c>
      <c r="E39" s="29">
        <v>0.65630900000000003</v>
      </c>
      <c r="F39" s="29">
        <v>1.257973</v>
      </c>
      <c r="G39" s="30">
        <v>1.3806909999999999</v>
      </c>
      <c r="H39" s="12">
        <v>0.06</v>
      </c>
      <c r="I39" s="36">
        <v>0.19</v>
      </c>
      <c r="J39" s="36">
        <v>0.31</v>
      </c>
      <c r="K39" s="36">
        <v>0.47</v>
      </c>
      <c r="L39" s="36">
        <v>0.6</v>
      </c>
      <c r="M39" s="32">
        <v>0.85</v>
      </c>
    </row>
    <row r="40" spans="1:13" x14ac:dyDescent="0.25">
      <c r="A40" s="31" t="s">
        <v>68</v>
      </c>
      <c r="B40" s="29">
        <v>6.7502999999999994E-2</v>
      </c>
      <c r="C40" s="29">
        <v>0.16514300000000001</v>
      </c>
      <c r="D40" s="29">
        <v>0.27690599999999999</v>
      </c>
      <c r="E40" s="29">
        <v>0.50851199999999996</v>
      </c>
      <c r="F40" s="29">
        <v>0.96171799999999996</v>
      </c>
      <c r="G40" s="30">
        <v>1.0568610000000001</v>
      </c>
      <c r="H40" s="12">
        <v>0.04</v>
      </c>
      <c r="I40" s="36">
        <v>0.14000000000000001</v>
      </c>
      <c r="J40" s="36">
        <v>0.24</v>
      </c>
      <c r="K40" s="36">
        <v>0.38</v>
      </c>
      <c r="L40" s="36">
        <v>0.51</v>
      </c>
      <c r="M40" s="32">
        <v>0.69</v>
      </c>
    </row>
    <row r="41" spans="1:13" x14ac:dyDescent="0.25">
      <c r="A41" s="31" t="s">
        <v>69</v>
      </c>
      <c r="B41" s="29">
        <v>6.5225000000000005E-2</v>
      </c>
      <c r="C41" s="29">
        <v>0.15917700000000001</v>
      </c>
      <c r="D41" s="29">
        <v>0.26714399999999999</v>
      </c>
      <c r="E41" s="29">
        <v>0.49284800000000001</v>
      </c>
      <c r="F41" s="29">
        <v>0.93870200000000004</v>
      </c>
      <c r="G41" s="30">
        <v>1.0323359999999999</v>
      </c>
      <c r="H41" s="12">
        <v>0.06</v>
      </c>
      <c r="I41" s="36">
        <v>0.15</v>
      </c>
      <c r="J41" s="36">
        <v>0.25</v>
      </c>
      <c r="K41" s="36">
        <v>0.37</v>
      </c>
      <c r="L41" s="36">
        <v>0.49</v>
      </c>
      <c r="M41" s="32">
        <v>0.65</v>
      </c>
    </row>
    <row r="42" spans="1:13" x14ac:dyDescent="0.25">
      <c r="A42" s="31" t="s">
        <v>73</v>
      </c>
      <c r="B42" s="29">
        <v>0.125689</v>
      </c>
      <c r="C42" s="29">
        <v>0.27276699999999998</v>
      </c>
      <c r="D42" s="29">
        <v>0.42881999999999998</v>
      </c>
      <c r="E42" s="29">
        <v>0.74400900000000003</v>
      </c>
      <c r="F42" s="29">
        <v>1.388396</v>
      </c>
      <c r="G42" s="30">
        <v>1.5613030000000001</v>
      </c>
      <c r="H42" s="12">
        <v>0.18</v>
      </c>
      <c r="I42" s="36">
        <v>0.42</v>
      </c>
      <c r="J42" s="36">
        <v>0.62</v>
      </c>
      <c r="K42" s="36">
        <v>0.88</v>
      </c>
      <c r="L42" s="36">
        <v>0.93</v>
      </c>
      <c r="M42" s="32">
        <v>1.07</v>
      </c>
    </row>
    <row r="43" spans="1:13" x14ac:dyDescent="0.25">
      <c r="A43" s="31" t="s">
        <v>74</v>
      </c>
      <c r="B43" s="29">
        <v>4.3401000000000002E-2</v>
      </c>
      <c r="C43" s="29">
        <v>5.8779999999999999E-2</v>
      </c>
      <c r="D43" s="29">
        <v>5.9028999999999998E-2</v>
      </c>
      <c r="E43" s="29">
        <v>5.1774000000000001E-2</v>
      </c>
      <c r="F43" s="29">
        <v>8.2472000000000004E-2</v>
      </c>
      <c r="G43" s="30">
        <v>0.13073299999999999</v>
      </c>
      <c r="H43" s="12">
        <v>0.11</v>
      </c>
      <c r="I43" s="36">
        <v>0.22</v>
      </c>
      <c r="J43" s="36">
        <v>0.3</v>
      </c>
      <c r="K43" s="36">
        <v>0.41</v>
      </c>
      <c r="L43" s="36">
        <v>0.28000000000000003</v>
      </c>
      <c r="M43" s="32">
        <v>0.06</v>
      </c>
    </row>
    <row r="44" spans="1:13" x14ac:dyDescent="0.25">
      <c r="A44" s="31" t="s">
        <v>77</v>
      </c>
      <c r="B44" s="29">
        <v>36.71293</v>
      </c>
      <c r="C44" s="29">
        <v>65.158270000000002</v>
      </c>
      <c r="D44" s="29">
        <v>83.317490000000006</v>
      </c>
      <c r="E44" s="29">
        <v>94.484049999999996</v>
      </c>
      <c r="F44" s="29">
        <v>59.17</v>
      </c>
      <c r="G44" s="30">
        <v>17.65738</v>
      </c>
      <c r="H44" s="12">
        <v>19</v>
      </c>
      <c r="I44" s="36">
        <v>45</v>
      </c>
      <c r="J44" s="36">
        <v>50</v>
      </c>
      <c r="K44" s="36">
        <v>31</v>
      </c>
      <c r="L44" s="36">
        <v>16</v>
      </c>
      <c r="M44" s="32">
        <v>4</v>
      </c>
    </row>
    <row r="45" spans="1:13" x14ac:dyDescent="0.25">
      <c r="A45" s="31" t="s">
        <v>75</v>
      </c>
      <c r="B45" s="29">
        <v>-0.10964699999999999</v>
      </c>
      <c r="C45" s="29">
        <v>-0.18503</v>
      </c>
      <c r="D45" s="29">
        <v>-0.227689</v>
      </c>
      <c r="E45" s="29">
        <v>-0.24452699999999999</v>
      </c>
      <c r="F45" s="29">
        <v>-0.141902</v>
      </c>
      <c r="G45" s="30">
        <v>-4.1451000000000002E-2</v>
      </c>
      <c r="H45" s="12">
        <v>-0.08</v>
      </c>
      <c r="I45" s="36">
        <v>-0.19</v>
      </c>
      <c r="J45" s="36">
        <v>-0.21</v>
      </c>
      <c r="K45" s="36">
        <v>-0.13</v>
      </c>
      <c r="L45" s="36">
        <v>-7.0000000000000007E-2</v>
      </c>
      <c r="M45" s="32">
        <v>-0.02</v>
      </c>
    </row>
    <row r="46" spans="1:13" x14ac:dyDescent="0.25">
      <c r="A46" s="31" t="s">
        <v>78</v>
      </c>
      <c r="B46" s="29">
        <v>0.16841</v>
      </c>
      <c r="C46" s="29">
        <v>0.13882</v>
      </c>
      <c r="D46" s="29">
        <v>0.118974</v>
      </c>
      <c r="E46" s="29">
        <v>8.7414000000000006E-2</v>
      </c>
      <c r="F46" s="29">
        <v>2.3629000000000001E-2</v>
      </c>
      <c r="G46" s="30">
        <v>-6.424E-3</v>
      </c>
      <c r="H46" s="12">
        <v>0.08</v>
      </c>
      <c r="I46" s="36">
        <v>0.05</v>
      </c>
      <c r="J46" s="36">
        <v>0.05</v>
      </c>
      <c r="K46" s="36">
        <v>0.04</v>
      </c>
      <c r="L46" s="36">
        <v>0.02</v>
      </c>
      <c r="M46" s="32">
        <v>0</v>
      </c>
    </row>
    <row r="47" spans="1:13" x14ac:dyDescent="0.25">
      <c r="A47" s="45" t="s">
        <v>79</v>
      </c>
      <c r="B47" s="29">
        <v>0.100938</v>
      </c>
      <c r="C47" s="29">
        <v>0.1583</v>
      </c>
      <c r="D47" s="29">
        <v>0.188638</v>
      </c>
      <c r="E47" s="29">
        <v>0.20207</v>
      </c>
      <c r="F47" s="29">
        <v>0.15201000000000001</v>
      </c>
      <c r="G47" s="30">
        <v>7.2360000000000002E-3</v>
      </c>
      <c r="H47" s="12">
        <v>0.09</v>
      </c>
      <c r="I47" s="36">
        <v>0.16</v>
      </c>
      <c r="J47" s="36">
        <v>0.15</v>
      </c>
      <c r="K47" s="36">
        <v>0.09</v>
      </c>
      <c r="L47" s="36">
        <v>0.05</v>
      </c>
      <c r="M47" s="32">
        <v>-0.01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/>
  <dimension ref="A1:M47"/>
  <sheetViews>
    <sheetView workbookViewId="0">
      <selection activeCell="N29" sqref="N29"/>
    </sheetView>
  </sheetViews>
  <sheetFormatPr baseColWidth="10" defaultRowHeight="15.75" x14ac:dyDescent="0.25"/>
  <cols>
    <col min="1" max="1" width="32.375" style="37" bestFit="1" customWidth="1"/>
    <col min="2" max="16384" width="11" style="37"/>
  </cols>
  <sheetData>
    <row r="1" spans="1:13" ht="35.25" customHeight="1" x14ac:dyDescent="0.25">
      <c r="A1" s="34" t="s">
        <v>51</v>
      </c>
      <c r="B1" s="65" t="s">
        <v>88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</row>
    <row r="2" spans="1:13" x14ac:dyDescent="0.25">
      <c r="A2" s="41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TRANSPOSE('FF10'!$B$3:$T$8)</f>
        <v>-1.566E-2</v>
      </c>
      <c r="C4" s="29">
        <v>-3.8898000000000002E-2</v>
      </c>
      <c r="D4" s="29">
        <v>-6.1483000000000003E-2</v>
      </c>
      <c r="E4" s="29">
        <v>-9.3946000000000002E-2</v>
      </c>
      <c r="F4" s="29">
        <v>-0.11050699999999999</v>
      </c>
      <c r="G4" s="30">
        <v>-0.11404499999999999</v>
      </c>
      <c r="H4" s="43">
        <v>-0.1</v>
      </c>
      <c r="I4" s="43">
        <v>-0.24</v>
      </c>
      <c r="J4" s="43">
        <v>-0.18</v>
      </c>
      <c r="K4" s="43">
        <v>-0.21</v>
      </c>
      <c r="L4" s="43">
        <v>-0.22</v>
      </c>
      <c r="M4" s="44">
        <v>-0.17</v>
      </c>
    </row>
    <row r="5" spans="1:13" x14ac:dyDescent="0.25">
      <c r="A5" s="31" t="s">
        <v>8</v>
      </c>
      <c r="B5" s="29">
        <v>-5.0557999999999999E-2</v>
      </c>
      <c r="C5" s="29">
        <v>-0.102433</v>
      </c>
      <c r="D5" s="29">
        <v>-0.14376800000000001</v>
      </c>
      <c r="E5" s="29">
        <v>-0.18842900000000001</v>
      </c>
      <c r="F5" s="29">
        <v>-0.18005099999999999</v>
      </c>
      <c r="G5" s="30">
        <v>-0.16152</v>
      </c>
      <c r="H5" s="13">
        <v>-0.14000000000000001</v>
      </c>
      <c r="I5" s="13">
        <v>-0.33</v>
      </c>
      <c r="J5" s="13">
        <v>-0.35</v>
      </c>
      <c r="K5" s="13">
        <v>-0.42</v>
      </c>
      <c r="L5" s="13">
        <v>-0.53</v>
      </c>
      <c r="M5" s="32">
        <v>-0.48</v>
      </c>
    </row>
    <row r="6" spans="1:13" x14ac:dyDescent="0.25">
      <c r="A6" s="31" t="s">
        <v>9</v>
      </c>
      <c r="B6" s="29">
        <v>-3.1357000000000003E-2</v>
      </c>
      <c r="C6" s="29">
        <v>-7.8774999999999998E-2</v>
      </c>
      <c r="D6" s="29">
        <v>-0.13078200000000001</v>
      </c>
      <c r="E6" s="29">
        <v>-0.21929000000000001</v>
      </c>
      <c r="F6" s="29">
        <v>-0.299655</v>
      </c>
      <c r="G6" s="30">
        <v>-0.33762799999999998</v>
      </c>
      <c r="H6" s="13">
        <v>-0.12</v>
      </c>
      <c r="I6" s="13">
        <v>-0.39</v>
      </c>
      <c r="J6" s="13">
        <v>-0.27</v>
      </c>
      <c r="K6" s="13">
        <v>-0.25</v>
      </c>
      <c r="L6" s="13">
        <v>-0.23</v>
      </c>
      <c r="M6" s="32">
        <v>-0.17</v>
      </c>
    </row>
    <row r="7" spans="1:13" x14ac:dyDescent="0.25">
      <c r="A7" s="31" t="s">
        <v>11</v>
      </c>
      <c r="B7" s="29">
        <v>4.48E-2</v>
      </c>
      <c r="C7" s="29">
        <v>6.4267000000000005E-2</v>
      </c>
      <c r="D7" s="29">
        <v>6.7616999999999997E-2</v>
      </c>
      <c r="E7" s="29">
        <v>5.2018000000000002E-2</v>
      </c>
      <c r="F7" s="29">
        <v>9.3380000000000008E-3</v>
      </c>
      <c r="G7" s="30">
        <v>-2.0882000000000001E-2</v>
      </c>
      <c r="H7" s="13">
        <v>-0.06</v>
      </c>
      <c r="I7" s="13">
        <v>-0.12</v>
      </c>
      <c r="J7" s="13">
        <v>-0.14000000000000001</v>
      </c>
      <c r="K7" s="13">
        <v>-0.16</v>
      </c>
      <c r="L7" s="13">
        <v>-0.08</v>
      </c>
      <c r="M7" s="32">
        <v>-0.02</v>
      </c>
    </row>
    <row r="8" spans="1:13" x14ac:dyDescent="0.25">
      <c r="A8" s="31" t="s">
        <v>12</v>
      </c>
      <c r="B8" s="29">
        <v>-3.5920000000000001E-2</v>
      </c>
      <c r="C8" s="29">
        <v>-8.0484E-2</v>
      </c>
      <c r="D8" s="29">
        <v>-0.121852</v>
      </c>
      <c r="E8" s="29">
        <v>-0.17679300000000001</v>
      </c>
      <c r="F8" s="29">
        <v>-0.19218199999999999</v>
      </c>
      <c r="G8" s="30">
        <v>-0.19228500000000001</v>
      </c>
      <c r="H8" s="13">
        <v>-0.17</v>
      </c>
      <c r="I8" s="13">
        <v>-0.44</v>
      </c>
      <c r="J8" s="13">
        <v>-0.31</v>
      </c>
      <c r="K8" s="13">
        <v>-0.37</v>
      </c>
      <c r="L8" s="13">
        <v>-0.43</v>
      </c>
      <c r="M8" s="32">
        <v>-0.41</v>
      </c>
    </row>
    <row r="9" spans="1:13" x14ac:dyDescent="0.25">
      <c r="A9" s="31" t="s">
        <v>32</v>
      </c>
      <c r="B9" s="29">
        <v>-7.4426000000000006E-2</v>
      </c>
      <c r="C9" s="29">
        <v>-0.120671</v>
      </c>
      <c r="D9" s="29">
        <v>-0.152226</v>
      </c>
      <c r="E9" s="29">
        <v>-0.182838</v>
      </c>
      <c r="F9" s="29">
        <v>-0.17399400000000001</v>
      </c>
      <c r="G9" s="30">
        <v>-0.16137899999999999</v>
      </c>
      <c r="H9" s="13">
        <v>-0.28000000000000003</v>
      </c>
      <c r="I9" s="13">
        <v>-0.34</v>
      </c>
      <c r="J9" s="13">
        <v>-0.36</v>
      </c>
      <c r="K9" s="13">
        <v>-0.48</v>
      </c>
      <c r="L9" s="13">
        <v>-0.54</v>
      </c>
      <c r="M9" s="32">
        <v>-0.48</v>
      </c>
    </row>
    <row r="10" spans="1:13" x14ac:dyDescent="0.25">
      <c r="A10" s="31" t="s">
        <v>33</v>
      </c>
      <c r="B10" s="29">
        <v>-2.1406999999999999E-2</v>
      </c>
      <c r="C10" s="29">
        <v>-1.6365000000000001E-2</v>
      </c>
      <c r="D10" s="29">
        <v>-7.5909999999999997E-3</v>
      </c>
      <c r="E10" s="29">
        <v>5.0200000000000002E-3</v>
      </c>
      <c r="F10" s="29">
        <v>5.4380000000000001E-3</v>
      </c>
      <c r="G10" s="30">
        <v>1.27E-4</v>
      </c>
      <c r="H10" s="13">
        <v>-0.12</v>
      </c>
      <c r="I10" s="13">
        <v>-0.01</v>
      </c>
      <c r="J10" s="13">
        <v>-0.01</v>
      </c>
      <c r="K10" s="13">
        <v>-0.05</v>
      </c>
      <c r="L10" s="13">
        <v>0</v>
      </c>
      <c r="M10" s="32">
        <v>0</v>
      </c>
    </row>
    <row r="11" spans="1:13" x14ac:dyDescent="0.25">
      <c r="A11" s="31" t="s">
        <v>34</v>
      </c>
      <c r="B11" s="29">
        <v>8.5879999999999998E-2</v>
      </c>
      <c r="C11" s="29">
        <v>0.15033199999999999</v>
      </c>
      <c r="D11" s="29">
        <v>0.204702</v>
      </c>
      <c r="E11" s="29">
        <v>0.28098600000000001</v>
      </c>
      <c r="F11" s="29">
        <v>0.34742099999999998</v>
      </c>
      <c r="G11" s="30">
        <v>0.37195099999999998</v>
      </c>
      <c r="H11" s="13">
        <v>0.33</v>
      </c>
      <c r="I11" s="13">
        <v>0.4</v>
      </c>
      <c r="J11" s="13">
        <v>0.4</v>
      </c>
      <c r="K11" s="13">
        <v>0.37</v>
      </c>
      <c r="L11" s="13">
        <v>0.24</v>
      </c>
      <c r="M11" s="32">
        <v>0.13</v>
      </c>
    </row>
    <row r="12" spans="1:13" x14ac:dyDescent="0.25">
      <c r="A12" s="31" t="s">
        <v>35</v>
      </c>
      <c r="B12" s="29">
        <v>5.8777999999999997E-2</v>
      </c>
      <c r="C12" s="29">
        <v>0.115076</v>
      </c>
      <c r="D12" s="29">
        <v>0.164021</v>
      </c>
      <c r="E12" s="29">
        <v>0.23536299999999999</v>
      </c>
      <c r="F12" s="29">
        <v>0.30635200000000001</v>
      </c>
      <c r="G12" s="30">
        <v>0.34020499999999998</v>
      </c>
      <c r="H12" s="13">
        <v>0.21</v>
      </c>
      <c r="I12" s="13">
        <v>0.26</v>
      </c>
      <c r="J12" s="13">
        <v>0.23</v>
      </c>
      <c r="K12" s="13">
        <v>0.17</v>
      </c>
      <c r="L12" s="13">
        <v>0.02</v>
      </c>
      <c r="M12" s="32">
        <v>-0.08</v>
      </c>
    </row>
    <row r="13" spans="1:13" x14ac:dyDescent="0.25">
      <c r="A13" s="31" t="s">
        <v>36</v>
      </c>
      <c r="B13" s="29">
        <v>-2.5392999999999999E-2</v>
      </c>
      <c r="C13" s="29">
        <v>5.9890000000000004E-3</v>
      </c>
      <c r="D13" s="29">
        <v>3.8285E-2</v>
      </c>
      <c r="E13" s="29">
        <v>9.5157000000000005E-2</v>
      </c>
      <c r="F13" s="29">
        <v>0.17547099999999999</v>
      </c>
      <c r="G13" s="30">
        <v>0.21785099999999999</v>
      </c>
      <c r="H13" s="13">
        <v>-0.03</v>
      </c>
      <c r="I13" s="13">
        <v>-0.03</v>
      </c>
      <c r="J13" s="13">
        <v>-0.05</v>
      </c>
      <c r="K13" s="13">
        <v>-7.0000000000000007E-2</v>
      </c>
      <c r="L13" s="13">
        <v>-0.22</v>
      </c>
      <c r="M13" s="32">
        <v>-0.35</v>
      </c>
    </row>
    <row r="14" spans="1:13" x14ac:dyDescent="0.25">
      <c r="A14" s="31" t="s">
        <v>37</v>
      </c>
      <c r="B14" s="29">
        <v>0.159885</v>
      </c>
      <c r="C14" s="29">
        <v>0.23660100000000001</v>
      </c>
      <c r="D14" s="29">
        <v>0.29838300000000001</v>
      </c>
      <c r="E14" s="29">
        <v>0.37911499999999998</v>
      </c>
      <c r="F14" s="29">
        <v>0.43741000000000002</v>
      </c>
      <c r="G14" s="30">
        <v>0.460843</v>
      </c>
      <c r="H14" s="13">
        <v>0.43</v>
      </c>
      <c r="I14" s="13">
        <v>0.52</v>
      </c>
      <c r="J14" s="13">
        <v>0.51</v>
      </c>
      <c r="K14" s="13">
        <v>0.47</v>
      </c>
      <c r="L14" s="13">
        <v>0.34</v>
      </c>
      <c r="M14" s="32">
        <v>0.25</v>
      </c>
    </row>
    <row r="15" spans="1:13" x14ac:dyDescent="0.25">
      <c r="A15" s="31" t="s">
        <v>38</v>
      </c>
      <c r="B15" s="29">
        <v>0.14055200000000001</v>
      </c>
      <c r="C15" s="29">
        <v>0.19366</v>
      </c>
      <c r="D15" s="29">
        <v>0.238422</v>
      </c>
      <c r="E15" s="29">
        <v>0.29824400000000001</v>
      </c>
      <c r="F15" s="29">
        <v>0.33990500000000001</v>
      </c>
      <c r="G15" s="30">
        <v>0.36336600000000002</v>
      </c>
      <c r="H15" s="13">
        <v>0.19</v>
      </c>
      <c r="I15" s="13">
        <v>0.25</v>
      </c>
      <c r="J15" s="13">
        <v>0.24</v>
      </c>
      <c r="K15" s="13">
        <v>0.22</v>
      </c>
      <c r="L15" s="13">
        <v>0.12</v>
      </c>
      <c r="M15" s="32">
        <v>0.06</v>
      </c>
    </row>
    <row r="16" spans="1:13" x14ac:dyDescent="0.25">
      <c r="A16" s="31" t="s">
        <v>39</v>
      </c>
      <c r="B16" s="29">
        <v>0.36483199999999999</v>
      </c>
      <c r="C16" s="29">
        <v>0.45094499999999998</v>
      </c>
      <c r="D16" s="29">
        <v>0.51603900000000003</v>
      </c>
      <c r="E16" s="29">
        <v>0.59040499999999996</v>
      </c>
      <c r="F16" s="29">
        <v>0.61472700000000002</v>
      </c>
      <c r="G16" s="30">
        <v>0.628911</v>
      </c>
      <c r="H16" s="13">
        <v>0.93</v>
      </c>
      <c r="I16" s="13">
        <v>1.1299999999999999</v>
      </c>
      <c r="J16" s="13">
        <v>1.1399999999999999</v>
      </c>
      <c r="K16" s="13">
        <v>1.1299999999999999</v>
      </c>
      <c r="L16" s="13">
        <v>1.03</v>
      </c>
      <c r="M16" s="32">
        <v>0.98</v>
      </c>
    </row>
    <row r="17" spans="1:13" x14ac:dyDescent="0.25">
      <c r="A17" s="31" t="s">
        <v>40</v>
      </c>
      <c r="B17" s="29">
        <v>-5.2779999999999997E-3</v>
      </c>
      <c r="C17" s="29">
        <v>5.842E-3</v>
      </c>
      <c r="D17" s="29">
        <v>2.8195999999999999E-2</v>
      </c>
      <c r="E17" s="29">
        <v>8.6121000000000003E-2</v>
      </c>
      <c r="F17" s="29">
        <v>0.19509099999999999</v>
      </c>
      <c r="G17" s="30">
        <v>0.21816199999999999</v>
      </c>
      <c r="H17" s="13">
        <v>0.11</v>
      </c>
      <c r="I17" s="13">
        <v>0.11</v>
      </c>
      <c r="J17" s="13">
        <v>0.01</v>
      </c>
      <c r="K17" s="13">
        <v>-0.25</v>
      </c>
      <c r="L17" s="13">
        <v>-0.49</v>
      </c>
      <c r="M17" s="32">
        <v>-0.53</v>
      </c>
    </row>
    <row r="18" spans="1:13" x14ac:dyDescent="0.25">
      <c r="A18" s="31" t="s">
        <v>16</v>
      </c>
      <c r="B18" s="29">
        <v>2.0119999999999999E-2</v>
      </c>
      <c r="C18" s="29">
        <v>-1.4799999999999999E-4</v>
      </c>
      <c r="D18" s="29">
        <v>-1.0083999999999999E-2</v>
      </c>
      <c r="E18" s="29">
        <v>-9.0279999999999996E-3</v>
      </c>
      <c r="F18" s="29">
        <v>1.9585999999999999E-2</v>
      </c>
      <c r="G18" s="30">
        <v>3.1E-4</v>
      </c>
      <c r="H18" s="13">
        <v>0.14000000000000001</v>
      </c>
      <c r="I18" s="13">
        <v>0.14000000000000001</v>
      </c>
      <c r="J18" s="13">
        <v>0.05</v>
      </c>
      <c r="K18" s="13">
        <v>-0.18</v>
      </c>
      <c r="L18" s="13">
        <v>-0.27</v>
      </c>
      <c r="M18" s="32">
        <v>-0.19</v>
      </c>
    </row>
    <row r="19" spans="1:13" x14ac:dyDescent="0.25">
      <c r="A19" s="31" t="s">
        <v>41</v>
      </c>
      <c r="B19" s="29">
        <v>-0.22112999999999999</v>
      </c>
      <c r="C19" s="29">
        <v>-1.58609</v>
      </c>
      <c r="D19" s="29">
        <v>-4.00448</v>
      </c>
      <c r="E19" s="29">
        <v>-10.214119999999999</v>
      </c>
      <c r="F19" s="29">
        <v>-20.793659999999999</v>
      </c>
      <c r="G19" s="30">
        <v>-25.049769999999999</v>
      </c>
      <c r="H19" s="13">
        <v>-9</v>
      </c>
      <c r="I19" s="13">
        <v>-38</v>
      </c>
      <c r="J19" s="13">
        <v>-45</v>
      </c>
      <c r="K19" s="13">
        <v>-25</v>
      </c>
      <c r="L19" s="13">
        <v>-19</v>
      </c>
      <c r="M19" s="32">
        <v>-13</v>
      </c>
    </row>
    <row r="20" spans="1:13" x14ac:dyDescent="0.25">
      <c r="A20" s="31" t="s">
        <v>42</v>
      </c>
      <c r="B20" s="29">
        <v>6.6100000000000002E-4</v>
      </c>
      <c r="C20" s="29">
        <v>4.6699999999999997E-3</v>
      </c>
      <c r="D20" s="29">
        <v>1.1483999999999999E-2</v>
      </c>
      <c r="E20" s="29">
        <v>2.7980999999999999E-2</v>
      </c>
      <c r="F20" s="29">
        <v>5.3053000000000003E-2</v>
      </c>
      <c r="G20" s="30">
        <v>5.8201999999999997E-2</v>
      </c>
      <c r="H20" s="13">
        <v>0.04</v>
      </c>
      <c r="I20" s="13">
        <v>0.16</v>
      </c>
      <c r="J20" s="13">
        <v>0.19</v>
      </c>
      <c r="K20" s="13">
        <v>0.11</v>
      </c>
      <c r="L20" s="13">
        <v>0.08</v>
      </c>
      <c r="M20" s="32">
        <v>0.06</v>
      </c>
    </row>
    <row r="21" spans="1:13" x14ac:dyDescent="0.25">
      <c r="A21" s="31" t="s">
        <v>43</v>
      </c>
      <c r="B21" s="29">
        <v>-4.2264000000000003E-2</v>
      </c>
      <c r="C21" s="29">
        <v>-3.5408000000000002E-2</v>
      </c>
      <c r="D21" s="29">
        <v>-2.9744E-2</v>
      </c>
      <c r="E21" s="29">
        <v>-2.3529000000000001E-2</v>
      </c>
      <c r="F21" s="29">
        <v>-2.4636000000000002E-2</v>
      </c>
      <c r="G21" s="30">
        <v>-2.9013000000000001E-2</v>
      </c>
      <c r="H21" s="13">
        <v>-0.2</v>
      </c>
      <c r="I21" s="13">
        <v>-0.18</v>
      </c>
      <c r="J21" s="13">
        <v>-0.24</v>
      </c>
      <c r="K21" s="13">
        <v>-0.24</v>
      </c>
      <c r="L21" s="13">
        <v>-0.2</v>
      </c>
      <c r="M21" s="32">
        <v>-0.19</v>
      </c>
    </row>
    <row r="22" spans="1:13" x14ac:dyDescent="0.25">
      <c r="A22" s="31" t="s">
        <v>44</v>
      </c>
      <c r="B22" s="29">
        <v>-8.7880000000000007E-3</v>
      </c>
      <c r="C22" s="29">
        <v>-2.1631000000000001E-2</v>
      </c>
      <c r="D22" s="29">
        <v>-3.3834999999999997E-2</v>
      </c>
      <c r="E22" s="29">
        <v>-5.3087000000000002E-2</v>
      </c>
      <c r="F22" s="29">
        <v>-6.5466999999999997E-2</v>
      </c>
      <c r="G22" s="30">
        <v>-5.1869999999999999E-2</v>
      </c>
      <c r="H22" s="13">
        <v>-0.05</v>
      </c>
      <c r="I22" s="13">
        <v>-0.2</v>
      </c>
      <c r="J22" s="13">
        <v>-0.21</v>
      </c>
      <c r="K22" s="13">
        <v>-0.18</v>
      </c>
      <c r="L22" s="13">
        <v>-0.17</v>
      </c>
      <c r="M22" s="32">
        <v>-0.15</v>
      </c>
    </row>
    <row r="26" spans="1:13" x14ac:dyDescent="0.25">
      <c r="A26" s="34" t="s">
        <v>86</v>
      </c>
      <c r="B26" s="65" t="s">
        <v>89</v>
      </c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</row>
    <row r="27" spans="1:13" x14ac:dyDescent="0.25">
      <c r="A27" s="41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9">
        <f t="array" ref="B29:G47">TRANSPOSE('FF10'!$B$3:$T$8)</f>
        <v>-1.566E-2</v>
      </c>
      <c r="C29" s="29">
        <v>-3.8898000000000002E-2</v>
      </c>
      <c r="D29" s="29">
        <v>-6.1483000000000003E-2</v>
      </c>
      <c r="E29" s="29">
        <v>-9.3946000000000002E-2</v>
      </c>
      <c r="F29" s="29">
        <v>-0.11050699999999999</v>
      </c>
      <c r="G29" s="30">
        <v>-0.11404499999999999</v>
      </c>
      <c r="H29" s="43">
        <v>-0.1</v>
      </c>
      <c r="I29" s="43">
        <v>-0.24</v>
      </c>
      <c r="J29" s="43">
        <v>-0.18</v>
      </c>
      <c r="K29" s="43">
        <v>-0.21</v>
      </c>
      <c r="L29" s="43">
        <v>-0.22</v>
      </c>
      <c r="M29" s="44">
        <v>-0.17</v>
      </c>
    </row>
    <row r="30" spans="1:13" x14ac:dyDescent="0.25">
      <c r="A30" s="31" t="s">
        <v>57</v>
      </c>
      <c r="B30" s="29">
        <v>-5.0557999999999999E-2</v>
      </c>
      <c r="C30" s="29">
        <v>-0.102433</v>
      </c>
      <c r="D30" s="29">
        <v>-0.14376800000000001</v>
      </c>
      <c r="E30" s="29">
        <v>-0.18842900000000001</v>
      </c>
      <c r="F30" s="29">
        <v>-0.18005099999999999</v>
      </c>
      <c r="G30" s="30">
        <v>-0.16152</v>
      </c>
      <c r="H30" s="13">
        <v>-0.14000000000000001</v>
      </c>
      <c r="I30" s="13">
        <v>-0.33</v>
      </c>
      <c r="J30" s="13">
        <v>-0.35</v>
      </c>
      <c r="K30" s="13">
        <v>-0.42</v>
      </c>
      <c r="L30" s="13">
        <v>-0.53</v>
      </c>
      <c r="M30" s="32">
        <v>-0.48</v>
      </c>
    </row>
    <row r="31" spans="1:13" x14ac:dyDescent="0.25">
      <c r="A31" s="31" t="s">
        <v>54</v>
      </c>
      <c r="B31" s="29">
        <v>-3.1357000000000003E-2</v>
      </c>
      <c r="C31" s="29">
        <v>-7.8774999999999998E-2</v>
      </c>
      <c r="D31" s="29">
        <v>-0.13078200000000001</v>
      </c>
      <c r="E31" s="29">
        <v>-0.21929000000000001</v>
      </c>
      <c r="F31" s="29">
        <v>-0.299655</v>
      </c>
      <c r="G31" s="30">
        <v>-0.33762799999999998</v>
      </c>
      <c r="H31" s="13">
        <v>-0.12</v>
      </c>
      <c r="I31" s="13">
        <v>-0.39</v>
      </c>
      <c r="J31" s="13">
        <v>-0.27</v>
      </c>
      <c r="K31" s="13">
        <v>-0.25</v>
      </c>
      <c r="L31" s="13">
        <v>-0.23</v>
      </c>
      <c r="M31" s="32">
        <v>-0.17</v>
      </c>
    </row>
    <row r="32" spans="1:13" x14ac:dyDescent="0.25">
      <c r="A32" s="31" t="s">
        <v>55</v>
      </c>
      <c r="B32" s="29">
        <v>4.48E-2</v>
      </c>
      <c r="C32" s="29">
        <v>6.4267000000000005E-2</v>
      </c>
      <c r="D32" s="29">
        <v>6.7616999999999997E-2</v>
      </c>
      <c r="E32" s="29">
        <v>5.2018000000000002E-2</v>
      </c>
      <c r="F32" s="29">
        <v>9.3380000000000008E-3</v>
      </c>
      <c r="G32" s="30">
        <v>-2.0882000000000001E-2</v>
      </c>
      <c r="H32" s="13">
        <v>-0.06</v>
      </c>
      <c r="I32" s="13">
        <v>-0.12</v>
      </c>
      <c r="J32" s="13">
        <v>-0.14000000000000001</v>
      </c>
      <c r="K32" s="13">
        <v>-0.16</v>
      </c>
      <c r="L32" s="13">
        <v>-0.08</v>
      </c>
      <c r="M32" s="32">
        <v>-0.02</v>
      </c>
    </row>
    <row r="33" spans="1:13" x14ac:dyDescent="0.25">
      <c r="A33" s="31" t="s">
        <v>56</v>
      </c>
      <c r="B33" s="29">
        <v>-3.5920000000000001E-2</v>
      </c>
      <c r="C33" s="29">
        <v>-8.0484E-2</v>
      </c>
      <c r="D33" s="29">
        <v>-0.121852</v>
      </c>
      <c r="E33" s="29">
        <v>-0.17679300000000001</v>
      </c>
      <c r="F33" s="29">
        <v>-0.19218199999999999</v>
      </c>
      <c r="G33" s="30">
        <v>-0.19228500000000001</v>
      </c>
      <c r="H33" s="13">
        <v>-0.17</v>
      </c>
      <c r="I33" s="13">
        <v>-0.44</v>
      </c>
      <c r="J33" s="13">
        <v>-0.31</v>
      </c>
      <c r="K33" s="13">
        <v>-0.37</v>
      </c>
      <c r="L33" s="13">
        <v>-0.43</v>
      </c>
      <c r="M33" s="32">
        <v>-0.41</v>
      </c>
    </row>
    <row r="34" spans="1:13" x14ac:dyDescent="0.25">
      <c r="A34" s="31" t="s">
        <v>58</v>
      </c>
      <c r="B34" s="29">
        <v>-7.4426000000000006E-2</v>
      </c>
      <c r="C34" s="29">
        <v>-0.120671</v>
      </c>
      <c r="D34" s="29">
        <v>-0.152226</v>
      </c>
      <c r="E34" s="29">
        <v>-0.182838</v>
      </c>
      <c r="F34" s="29">
        <v>-0.17399400000000001</v>
      </c>
      <c r="G34" s="30">
        <v>-0.16137899999999999</v>
      </c>
      <c r="H34" s="13">
        <v>-0.28000000000000003</v>
      </c>
      <c r="I34" s="13">
        <v>-0.34</v>
      </c>
      <c r="J34" s="13">
        <v>-0.36</v>
      </c>
      <c r="K34" s="13">
        <v>-0.48</v>
      </c>
      <c r="L34" s="13">
        <v>-0.54</v>
      </c>
      <c r="M34" s="32">
        <v>-0.48</v>
      </c>
    </row>
    <row r="35" spans="1:13" x14ac:dyDescent="0.25">
      <c r="A35" s="31" t="s">
        <v>59</v>
      </c>
      <c r="B35" s="29">
        <v>-2.1406999999999999E-2</v>
      </c>
      <c r="C35" s="29">
        <v>-1.6365000000000001E-2</v>
      </c>
      <c r="D35" s="29">
        <v>-7.5909999999999997E-3</v>
      </c>
      <c r="E35" s="29">
        <v>5.0200000000000002E-3</v>
      </c>
      <c r="F35" s="29">
        <v>5.4380000000000001E-3</v>
      </c>
      <c r="G35" s="30">
        <v>1.27E-4</v>
      </c>
      <c r="H35" s="13">
        <v>-0.12</v>
      </c>
      <c r="I35" s="13">
        <v>-0.01</v>
      </c>
      <c r="J35" s="13">
        <v>-0.01</v>
      </c>
      <c r="K35" s="13">
        <v>-0.05</v>
      </c>
      <c r="L35" s="13">
        <v>0</v>
      </c>
      <c r="M35" s="32">
        <v>0</v>
      </c>
    </row>
    <row r="36" spans="1:13" x14ac:dyDescent="0.25">
      <c r="A36" s="31" t="s">
        <v>70</v>
      </c>
      <c r="B36" s="29">
        <v>8.5879999999999998E-2</v>
      </c>
      <c r="C36" s="29">
        <v>0.15033199999999999</v>
      </c>
      <c r="D36" s="29">
        <v>0.204702</v>
      </c>
      <c r="E36" s="29">
        <v>0.28098600000000001</v>
      </c>
      <c r="F36" s="29">
        <v>0.34742099999999998</v>
      </c>
      <c r="G36" s="30">
        <v>0.37195099999999998</v>
      </c>
      <c r="H36" s="13">
        <v>0.33</v>
      </c>
      <c r="I36" s="13">
        <v>0.4</v>
      </c>
      <c r="J36" s="13">
        <v>0.4</v>
      </c>
      <c r="K36" s="13">
        <v>0.37</v>
      </c>
      <c r="L36" s="13">
        <v>0.24</v>
      </c>
      <c r="M36" s="32">
        <v>0.13</v>
      </c>
    </row>
    <row r="37" spans="1:13" x14ac:dyDescent="0.25">
      <c r="A37" s="31" t="s">
        <v>71</v>
      </c>
      <c r="B37" s="29">
        <v>5.8777999999999997E-2</v>
      </c>
      <c r="C37" s="29">
        <v>0.115076</v>
      </c>
      <c r="D37" s="29">
        <v>0.164021</v>
      </c>
      <c r="E37" s="29">
        <v>0.23536299999999999</v>
      </c>
      <c r="F37" s="29">
        <v>0.30635200000000001</v>
      </c>
      <c r="G37" s="30">
        <v>0.34020499999999998</v>
      </c>
      <c r="H37" s="13">
        <v>0.21</v>
      </c>
      <c r="I37" s="13">
        <v>0.26</v>
      </c>
      <c r="J37" s="13">
        <v>0.23</v>
      </c>
      <c r="K37" s="13">
        <v>0.17</v>
      </c>
      <c r="L37" s="13">
        <v>0.02</v>
      </c>
      <c r="M37" s="32">
        <v>-0.08</v>
      </c>
    </row>
    <row r="38" spans="1:13" x14ac:dyDescent="0.25">
      <c r="A38" s="31" t="s">
        <v>72</v>
      </c>
      <c r="B38" s="29">
        <v>-2.5392999999999999E-2</v>
      </c>
      <c r="C38" s="29">
        <v>5.9890000000000004E-3</v>
      </c>
      <c r="D38" s="29">
        <v>3.8285E-2</v>
      </c>
      <c r="E38" s="29">
        <v>9.5157000000000005E-2</v>
      </c>
      <c r="F38" s="29">
        <v>0.17547099999999999</v>
      </c>
      <c r="G38" s="30">
        <v>0.21785099999999999</v>
      </c>
      <c r="H38" s="13">
        <v>-0.03</v>
      </c>
      <c r="I38" s="13">
        <v>-0.03</v>
      </c>
      <c r="J38" s="13">
        <v>-0.05</v>
      </c>
      <c r="K38" s="13">
        <v>-7.0000000000000007E-2</v>
      </c>
      <c r="L38" s="13">
        <v>-0.22</v>
      </c>
      <c r="M38" s="32">
        <v>-0.35</v>
      </c>
    </row>
    <row r="39" spans="1:13" x14ac:dyDescent="0.25">
      <c r="A39" s="31" t="s">
        <v>76</v>
      </c>
      <c r="B39" s="29">
        <v>0.159885</v>
      </c>
      <c r="C39" s="29">
        <v>0.23660100000000001</v>
      </c>
      <c r="D39" s="29">
        <v>0.29838300000000001</v>
      </c>
      <c r="E39" s="29">
        <v>0.37911499999999998</v>
      </c>
      <c r="F39" s="29">
        <v>0.43741000000000002</v>
      </c>
      <c r="G39" s="30">
        <v>0.460843</v>
      </c>
      <c r="H39" s="13">
        <v>0.43</v>
      </c>
      <c r="I39" s="13">
        <v>0.52</v>
      </c>
      <c r="J39" s="13">
        <v>0.51</v>
      </c>
      <c r="K39" s="13">
        <v>0.47</v>
      </c>
      <c r="L39" s="13">
        <v>0.34</v>
      </c>
      <c r="M39" s="32">
        <v>0.25</v>
      </c>
    </row>
    <row r="40" spans="1:13" x14ac:dyDescent="0.25">
      <c r="A40" s="31" t="s">
        <v>68</v>
      </c>
      <c r="B40" s="29">
        <v>0.14055200000000001</v>
      </c>
      <c r="C40" s="29">
        <v>0.19366</v>
      </c>
      <c r="D40" s="29">
        <v>0.238422</v>
      </c>
      <c r="E40" s="29">
        <v>0.29824400000000001</v>
      </c>
      <c r="F40" s="29">
        <v>0.33990500000000001</v>
      </c>
      <c r="G40" s="30">
        <v>0.36336600000000002</v>
      </c>
      <c r="H40" s="13">
        <v>0.19</v>
      </c>
      <c r="I40" s="13">
        <v>0.25</v>
      </c>
      <c r="J40" s="13">
        <v>0.24</v>
      </c>
      <c r="K40" s="13">
        <v>0.22</v>
      </c>
      <c r="L40" s="13">
        <v>0.12</v>
      </c>
      <c r="M40" s="32">
        <v>0.06</v>
      </c>
    </row>
    <row r="41" spans="1:13" x14ac:dyDescent="0.25">
      <c r="A41" s="31" t="s">
        <v>69</v>
      </c>
      <c r="B41" s="29">
        <v>0.36483199999999999</v>
      </c>
      <c r="C41" s="29">
        <v>0.45094499999999998</v>
      </c>
      <c r="D41" s="29">
        <v>0.51603900000000003</v>
      </c>
      <c r="E41" s="29">
        <v>0.59040499999999996</v>
      </c>
      <c r="F41" s="29">
        <v>0.61472700000000002</v>
      </c>
      <c r="G41" s="30">
        <v>0.628911</v>
      </c>
      <c r="H41" s="13">
        <v>0.93</v>
      </c>
      <c r="I41" s="13">
        <v>1.1299999999999999</v>
      </c>
      <c r="J41" s="13">
        <v>1.1399999999999999</v>
      </c>
      <c r="K41" s="13">
        <v>1.1299999999999999</v>
      </c>
      <c r="L41" s="13">
        <v>1.03</v>
      </c>
      <c r="M41" s="32">
        <v>0.98</v>
      </c>
    </row>
    <row r="42" spans="1:13" x14ac:dyDescent="0.25">
      <c r="A42" s="31" t="s">
        <v>73</v>
      </c>
      <c r="B42" s="29">
        <v>-5.2779999999999997E-3</v>
      </c>
      <c r="C42" s="29">
        <v>5.842E-3</v>
      </c>
      <c r="D42" s="29">
        <v>2.8195999999999999E-2</v>
      </c>
      <c r="E42" s="29">
        <v>8.6121000000000003E-2</v>
      </c>
      <c r="F42" s="29">
        <v>0.19509099999999999</v>
      </c>
      <c r="G42" s="30">
        <v>0.21816199999999999</v>
      </c>
      <c r="H42" s="13">
        <v>0.11</v>
      </c>
      <c r="I42" s="13">
        <v>0.11</v>
      </c>
      <c r="J42" s="13">
        <v>0.01</v>
      </c>
      <c r="K42" s="13">
        <v>-0.25</v>
      </c>
      <c r="L42" s="13">
        <v>-0.49</v>
      </c>
      <c r="M42" s="32">
        <v>-0.53</v>
      </c>
    </row>
    <row r="43" spans="1:13" x14ac:dyDescent="0.25">
      <c r="A43" s="31" t="s">
        <v>74</v>
      </c>
      <c r="B43" s="29">
        <v>2.0119999999999999E-2</v>
      </c>
      <c r="C43" s="29">
        <v>-1.4799999999999999E-4</v>
      </c>
      <c r="D43" s="29">
        <v>-1.0083999999999999E-2</v>
      </c>
      <c r="E43" s="29">
        <v>-9.0279999999999996E-3</v>
      </c>
      <c r="F43" s="29">
        <v>1.9585999999999999E-2</v>
      </c>
      <c r="G43" s="30">
        <v>3.1E-4</v>
      </c>
      <c r="H43" s="13">
        <v>0.14000000000000001</v>
      </c>
      <c r="I43" s="13">
        <v>0.14000000000000001</v>
      </c>
      <c r="J43" s="13">
        <v>0.05</v>
      </c>
      <c r="K43" s="13">
        <v>-0.18</v>
      </c>
      <c r="L43" s="13">
        <v>-0.27</v>
      </c>
      <c r="M43" s="32">
        <v>-0.19</v>
      </c>
    </row>
    <row r="44" spans="1:13" x14ac:dyDescent="0.25">
      <c r="A44" s="31" t="s">
        <v>77</v>
      </c>
      <c r="B44" s="29">
        <v>-0.22112999999999999</v>
      </c>
      <c r="C44" s="29">
        <v>-1.58609</v>
      </c>
      <c r="D44" s="29">
        <v>-4.00448</v>
      </c>
      <c r="E44" s="29">
        <v>-10.214119999999999</v>
      </c>
      <c r="F44" s="29">
        <v>-20.793659999999999</v>
      </c>
      <c r="G44" s="30">
        <v>-25.049769999999999</v>
      </c>
      <c r="H44" s="13">
        <v>-9</v>
      </c>
      <c r="I44" s="13">
        <v>-38</v>
      </c>
      <c r="J44" s="13">
        <v>-45</v>
      </c>
      <c r="K44" s="13">
        <v>-25</v>
      </c>
      <c r="L44" s="13">
        <v>-19</v>
      </c>
      <c r="M44" s="32">
        <v>-13</v>
      </c>
    </row>
    <row r="45" spans="1:13" x14ac:dyDescent="0.25">
      <c r="A45" s="31" t="s">
        <v>75</v>
      </c>
      <c r="B45" s="29">
        <v>6.6100000000000002E-4</v>
      </c>
      <c r="C45" s="29">
        <v>4.6699999999999997E-3</v>
      </c>
      <c r="D45" s="29">
        <v>1.1483999999999999E-2</v>
      </c>
      <c r="E45" s="29">
        <v>2.7980999999999999E-2</v>
      </c>
      <c r="F45" s="29">
        <v>5.3053000000000003E-2</v>
      </c>
      <c r="G45" s="30">
        <v>5.8201999999999997E-2</v>
      </c>
      <c r="H45" s="13">
        <v>0.04</v>
      </c>
      <c r="I45" s="13">
        <v>0.16</v>
      </c>
      <c r="J45" s="13">
        <v>0.19</v>
      </c>
      <c r="K45" s="13">
        <v>0.11</v>
      </c>
      <c r="L45" s="13">
        <v>0.08</v>
      </c>
      <c r="M45" s="32">
        <v>0.06</v>
      </c>
    </row>
    <row r="46" spans="1:13" x14ac:dyDescent="0.25">
      <c r="A46" s="31" t="s">
        <v>78</v>
      </c>
      <c r="B46" s="29">
        <v>-4.2264000000000003E-2</v>
      </c>
      <c r="C46" s="29">
        <v>-3.5408000000000002E-2</v>
      </c>
      <c r="D46" s="29">
        <v>-2.9744E-2</v>
      </c>
      <c r="E46" s="29">
        <v>-2.3529000000000001E-2</v>
      </c>
      <c r="F46" s="29">
        <v>-2.4636000000000002E-2</v>
      </c>
      <c r="G46" s="30">
        <v>-2.9013000000000001E-2</v>
      </c>
      <c r="H46" s="13">
        <v>-0.2</v>
      </c>
      <c r="I46" s="13">
        <v>-0.18</v>
      </c>
      <c r="J46" s="13">
        <v>-0.24</v>
      </c>
      <c r="K46" s="13">
        <v>-0.24</v>
      </c>
      <c r="L46" s="13">
        <v>-0.2</v>
      </c>
      <c r="M46" s="32">
        <v>-0.19</v>
      </c>
    </row>
    <row r="47" spans="1:13" ht="30" x14ac:dyDescent="0.25">
      <c r="A47" s="45" t="s">
        <v>79</v>
      </c>
      <c r="B47" s="29">
        <v>-8.7880000000000007E-3</v>
      </c>
      <c r="C47" s="29">
        <v>-2.1631000000000001E-2</v>
      </c>
      <c r="D47" s="29">
        <v>-3.3834999999999997E-2</v>
      </c>
      <c r="E47" s="29">
        <v>-5.3087000000000002E-2</v>
      </c>
      <c r="F47" s="29">
        <v>-6.5466999999999997E-2</v>
      </c>
      <c r="G47" s="30">
        <v>-5.1869999999999999E-2</v>
      </c>
      <c r="H47" s="13">
        <v>-0.05</v>
      </c>
      <c r="I47" s="13">
        <v>-0.2</v>
      </c>
      <c r="J47" s="13">
        <v>-0.21</v>
      </c>
      <c r="K47" s="13">
        <v>-0.18</v>
      </c>
      <c r="L47" s="13">
        <v>-0.17</v>
      </c>
      <c r="M47" s="32">
        <v>-0.15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7"/>
  <sheetViews>
    <sheetView tabSelected="1" topLeftCell="A19" workbookViewId="0">
      <selection activeCell="C49" sqref="C49"/>
    </sheetView>
  </sheetViews>
  <sheetFormatPr baseColWidth="10" defaultRowHeight="15.75" x14ac:dyDescent="0.25"/>
  <cols>
    <col min="1" max="1" width="31.625" style="37" bestFit="1" customWidth="1"/>
    <col min="2" max="16384" width="11" style="37"/>
  </cols>
  <sheetData>
    <row r="1" spans="1:13" ht="30" x14ac:dyDescent="0.25">
      <c r="A1" s="34" t="s">
        <v>52</v>
      </c>
      <c r="B1" s="65" t="s">
        <v>87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</row>
    <row r="2" spans="1:13" x14ac:dyDescent="0.25">
      <c r="A2" s="41"/>
      <c r="B2" s="46" t="s">
        <v>45</v>
      </c>
      <c r="C2" s="46"/>
      <c r="D2" s="46"/>
      <c r="E2" s="46"/>
      <c r="F2" s="46"/>
      <c r="G2" s="47"/>
      <c r="H2" s="48" t="s">
        <v>46</v>
      </c>
      <c r="I2" s="49"/>
      <c r="J2" s="49"/>
      <c r="K2" s="49"/>
      <c r="L2" s="49"/>
      <c r="M2" s="50"/>
    </row>
    <row r="3" spans="1:13" x14ac:dyDescent="0.25">
      <c r="A3" s="22"/>
      <c r="B3" s="9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1" t="s">
        <v>5</v>
      </c>
      <c r="H3" s="24" t="s">
        <v>0</v>
      </c>
      <c r="I3" s="10" t="s">
        <v>1</v>
      </c>
      <c r="J3" s="10" t="s">
        <v>2</v>
      </c>
      <c r="K3" s="10" t="s">
        <v>3</v>
      </c>
      <c r="L3" s="10" t="s">
        <v>4</v>
      </c>
      <c r="M3" s="25" t="s">
        <v>5</v>
      </c>
    </row>
    <row r="4" spans="1:13" x14ac:dyDescent="0.25">
      <c r="A4" s="31" t="s">
        <v>6</v>
      </c>
      <c r="B4" s="29">
        <f t="array" ref="B4:G22">TRANSPOSE('CT1'!$B$3:$T$8)</f>
        <v>-0.29560399999999998</v>
      </c>
      <c r="C4" s="29">
        <v>-0.54526699999999995</v>
      </c>
      <c r="D4" s="29">
        <v>-0.72810299999999994</v>
      </c>
      <c r="E4" s="29">
        <v>-0.91416500000000001</v>
      </c>
      <c r="F4" s="29">
        <v>-0.84333199999999997</v>
      </c>
      <c r="G4" s="30">
        <v>-0.28929199999999999</v>
      </c>
      <c r="H4" s="12">
        <v>-0.51</v>
      </c>
      <c r="I4" s="36">
        <v>-0.8</v>
      </c>
      <c r="J4" s="36">
        <v>-0.75</v>
      </c>
      <c r="K4" s="36">
        <v>-0.87</v>
      </c>
      <c r="L4" s="36">
        <v>-0.86</v>
      </c>
      <c r="M4" s="32">
        <v>-0.68</v>
      </c>
    </row>
    <row r="5" spans="1:13" x14ac:dyDescent="0.25">
      <c r="A5" s="31" t="s">
        <v>8</v>
      </c>
      <c r="B5" s="29">
        <v>-0.54857400000000001</v>
      </c>
      <c r="C5" s="29">
        <v>-0.96267800000000003</v>
      </c>
      <c r="D5" s="29">
        <v>-1.2285740000000001</v>
      </c>
      <c r="E5" s="29">
        <v>-1.4393119999999999</v>
      </c>
      <c r="F5" s="29">
        <v>-1.2120550000000001</v>
      </c>
      <c r="G5" s="30">
        <v>-0.33670899999999998</v>
      </c>
      <c r="H5" s="12">
        <v>-0.75</v>
      </c>
      <c r="I5" s="36">
        <v>-1.3</v>
      </c>
      <c r="J5" s="36">
        <v>-1.34</v>
      </c>
      <c r="K5" s="36">
        <v>-1.71</v>
      </c>
      <c r="L5" s="36">
        <v>-2.09</v>
      </c>
      <c r="M5" s="32">
        <v>-1.9</v>
      </c>
    </row>
    <row r="6" spans="1:13" x14ac:dyDescent="0.25">
      <c r="A6" s="31" t="s">
        <v>9</v>
      </c>
      <c r="B6" s="29">
        <v>-0.38762400000000002</v>
      </c>
      <c r="C6" s="29">
        <v>-0.80854700000000002</v>
      </c>
      <c r="D6" s="29">
        <v>-1.1753450000000001</v>
      </c>
      <c r="E6" s="29">
        <v>-1.6525540000000001</v>
      </c>
      <c r="F6" s="29">
        <v>-1.8649519999999999</v>
      </c>
      <c r="G6" s="30">
        <v>-0.95359700000000003</v>
      </c>
      <c r="H6" s="12">
        <v>-0.7</v>
      </c>
      <c r="I6" s="36">
        <v>-1.32</v>
      </c>
      <c r="J6" s="36">
        <v>-1.06</v>
      </c>
      <c r="K6" s="36">
        <v>-1.03</v>
      </c>
      <c r="L6" s="36">
        <v>-0.86</v>
      </c>
      <c r="M6" s="32">
        <v>-0.66</v>
      </c>
    </row>
    <row r="7" spans="1:13" x14ac:dyDescent="0.25">
      <c r="A7" s="31" t="s">
        <v>11</v>
      </c>
      <c r="B7" s="29">
        <v>-9.5008999999999996E-2</v>
      </c>
      <c r="C7" s="29">
        <v>-0.22179099999999999</v>
      </c>
      <c r="D7" s="29">
        <v>-0.34203299999999998</v>
      </c>
      <c r="E7" s="29">
        <v>-0.497031</v>
      </c>
      <c r="F7" s="29">
        <v>-0.43174099999999999</v>
      </c>
      <c r="G7" s="30">
        <v>-0.121993</v>
      </c>
      <c r="H7" s="12">
        <v>-0.3</v>
      </c>
      <c r="I7" s="36">
        <v>-0.53</v>
      </c>
      <c r="J7" s="36">
        <v>-0.6</v>
      </c>
      <c r="K7" s="36">
        <v>-0.62</v>
      </c>
      <c r="L7" s="36">
        <v>-0.3</v>
      </c>
      <c r="M7" s="32">
        <v>-7.0000000000000007E-2</v>
      </c>
    </row>
    <row r="8" spans="1:13" x14ac:dyDescent="0.25">
      <c r="A8" s="31" t="s">
        <v>12</v>
      </c>
      <c r="B8" s="29">
        <v>-0.46878500000000001</v>
      </c>
      <c r="C8" s="29">
        <v>-0.86512299999999998</v>
      </c>
      <c r="D8" s="29">
        <v>-1.139319</v>
      </c>
      <c r="E8" s="29">
        <v>-1.3899239999999999</v>
      </c>
      <c r="F8" s="29">
        <v>-1.2483550000000001</v>
      </c>
      <c r="G8" s="30">
        <v>-0.45775300000000002</v>
      </c>
      <c r="H8" s="12">
        <v>-0.85</v>
      </c>
      <c r="I8" s="36">
        <v>-1.4</v>
      </c>
      <c r="J8" s="36">
        <v>-1.18</v>
      </c>
      <c r="K8" s="36">
        <v>-1.35</v>
      </c>
      <c r="L8" s="36">
        <v>-1.43</v>
      </c>
      <c r="M8" s="32">
        <v>-1.36</v>
      </c>
    </row>
    <row r="9" spans="1:13" x14ac:dyDescent="0.25">
      <c r="A9" s="31" t="s">
        <v>32</v>
      </c>
      <c r="B9" s="29">
        <v>-0.81104100000000001</v>
      </c>
      <c r="C9" s="29">
        <v>-1.09154</v>
      </c>
      <c r="D9" s="29">
        <v>-1.252237</v>
      </c>
      <c r="E9" s="29">
        <v>-1.3700749999999999</v>
      </c>
      <c r="F9" s="29">
        <v>-1.1696169999999999</v>
      </c>
      <c r="G9" s="30">
        <v>-0.33810899999999999</v>
      </c>
      <c r="H9" s="12">
        <v>-1.33</v>
      </c>
      <c r="I9" s="36">
        <v>-1.25</v>
      </c>
      <c r="J9" s="36">
        <v>-1.44</v>
      </c>
      <c r="K9" s="36">
        <v>-1.94</v>
      </c>
      <c r="L9" s="36">
        <v>-2.1</v>
      </c>
      <c r="M9" s="32">
        <v>-1.9</v>
      </c>
    </row>
    <row r="10" spans="1:13" x14ac:dyDescent="0.25">
      <c r="A10" s="31" t="s">
        <v>33</v>
      </c>
      <c r="B10" s="29">
        <v>-0.237153</v>
      </c>
      <c r="C10" s="29">
        <v>-0.11676300000000001</v>
      </c>
      <c r="D10" s="29">
        <v>-2.1475999999999999E-2</v>
      </c>
      <c r="E10" s="29">
        <v>6.2912999999999997E-2</v>
      </c>
      <c r="F10" s="29">
        <v>3.8484999999999998E-2</v>
      </c>
      <c r="G10" s="30">
        <v>-1.2589999999999999E-3</v>
      </c>
      <c r="H10" s="12">
        <v>-0.51</v>
      </c>
      <c r="I10" s="36">
        <v>0.04</v>
      </c>
      <c r="J10" s="36">
        <v>-0.09</v>
      </c>
      <c r="K10" s="36">
        <v>-0.2</v>
      </c>
      <c r="L10" s="36">
        <v>-0.01</v>
      </c>
      <c r="M10" s="32">
        <v>0</v>
      </c>
    </row>
    <row r="11" spans="1:13" x14ac:dyDescent="0.25">
      <c r="A11" s="31" t="s">
        <v>34</v>
      </c>
      <c r="B11" s="29">
        <v>0.81568499999999999</v>
      </c>
      <c r="C11" s="29">
        <v>1.071037</v>
      </c>
      <c r="D11" s="29">
        <v>1.205176</v>
      </c>
      <c r="E11" s="29">
        <v>1.2256849999999999</v>
      </c>
      <c r="F11" s="29">
        <v>0.76424400000000003</v>
      </c>
      <c r="G11" s="30">
        <v>0.316556</v>
      </c>
      <c r="H11" s="12">
        <v>1.64</v>
      </c>
      <c r="I11" s="36">
        <v>1.72</v>
      </c>
      <c r="J11" s="36">
        <v>1.68</v>
      </c>
      <c r="K11" s="36">
        <v>1.49</v>
      </c>
      <c r="L11" s="36">
        <v>1.01</v>
      </c>
      <c r="M11" s="32">
        <v>0.61</v>
      </c>
    </row>
    <row r="12" spans="1:13" x14ac:dyDescent="0.25">
      <c r="A12" s="31" t="s">
        <v>35</v>
      </c>
      <c r="B12" s="29">
        <v>0.43435800000000002</v>
      </c>
      <c r="C12" s="29">
        <v>0.70006699999999999</v>
      </c>
      <c r="D12" s="29">
        <v>0.83640000000000003</v>
      </c>
      <c r="E12" s="29">
        <v>0.85876799999999998</v>
      </c>
      <c r="F12" s="29">
        <v>0.446077</v>
      </c>
      <c r="G12" s="30">
        <v>0.21533099999999999</v>
      </c>
      <c r="H12" s="12">
        <v>1</v>
      </c>
      <c r="I12" s="36">
        <v>1.06</v>
      </c>
      <c r="J12" s="36">
        <v>0.94</v>
      </c>
      <c r="K12" s="36">
        <v>0.62</v>
      </c>
      <c r="L12" s="36">
        <v>0.08</v>
      </c>
      <c r="M12" s="32">
        <v>-0.28999999999999998</v>
      </c>
    </row>
    <row r="13" spans="1:13" x14ac:dyDescent="0.25">
      <c r="A13" s="31" t="s">
        <v>36</v>
      </c>
      <c r="B13" s="29">
        <v>-0.38602199999999998</v>
      </c>
      <c r="C13" s="29">
        <v>-0.12990199999999999</v>
      </c>
      <c r="D13" s="29">
        <v>8.5129999999999997E-3</v>
      </c>
      <c r="E13" s="29">
        <v>6.5594E-2</v>
      </c>
      <c r="F13" s="29">
        <v>-0.18618000000000001</v>
      </c>
      <c r="G13" s="30">
        <v>-1.5803999999999999E-2</v>
      </c>
      <c r="H13" s="12">
        <v>-0.13</v>
      </c>
      <c r="I13" s="36">
        <v>-0.08</v>
      </c>
      <c r="J13" s="36">
        <v>-0.12</v>
      </c>
      <c r="K13" s="36">
        <v>-0.3</v>
      </c>
      <c r="L13" s="36">
        <v>-0.84</v>
      </c>
      <c r="M13" s="32">
        <v>-1.33</v>
      </c>
    </row>
    <row r="14" spans="1:13" x14ac:dyDescent="0.25">
      <c r="A14" s="31" t="s">
        <v>37</v>
      </c>
      <c r="B14" s="29">
        <v>1.214467</v>
      </c>
      <c r="C14" s="29">
        <v>1.4683889999999999</v>
      </c>
      <c r="D14" s="29">
        <v>1.5915999999999999</v>
      </c>
      <c r="E14" s="29">
        <v>1.578022</v>
      </c>
      <c r="F14" s="29">
        <v>1.0386340000000001</v>
      </c>
      <c r="G14" s="30">
        <v>0.428234</v>
      </c>
      <c r="H14" s="12">
        <v>2.0099999999999998</v>
      </c>
      <c r="I14" s="36">
        <v>2.09</v>
      </c>
      <c r="J14" s="36">
        <v>2</v>
      </c>
      <c r="K14" s="36">
        <v>1.77</v>
      </c>
      <c r="L14" s="36">
        <v>1.3</v>
      </c>
      <c r="M14" s="32">
        <v>0.97</v>
      </c>
    </row>
    <row r="15" spans="1:13" x14ac:dyDescent="0.25">
      <c r="A15" s="31" t="s">
        <v>38</v>
      </c>
      <c r="B15" s="29">
        <v>0.397007</v>
      </c>
      <c r="C15" s="29">
        <v>0.65038200000000002</v>
      </c>
      <c r="D15" s="29">
        <v>0.78346000000000005</v>
      </c>
      <c r="E15" s="29">
        <v>0.80497799999999997</v>
      </c>
      <c r="F15" s="29">
        <v>0.41780800000000001</v>
      </c>
      <c r="G15" s="30">
        <v>0.192353</v>
      </c>
      <c r="H15" s="12">
        <v>0.9</v>
      </c>
      <c r="I15" s="36">
        <v>1.01</v>
      </c>
      <c r="J15" s="36">
        <v>0.97</v>
      </c>
      <c r="K15" s="36">
        <v>0.83</v>
      </c>
      <c r="L15" s="36">
        <v>0.45</v>
      </c>
      <c r="M15" s="32">
        <v>0.22</v>
      </c>
    </row>
    <row r="16" spans="1:13" x14ac:dyDescent="0.25">
      <c r="A16" s="31" t="s">
        <v>39</v>
      </c>
      <c r="B16" s="29">
        <v>0.43569400000000003</v>
      </c>
      <c r="C16" s="29">
        <v>0.72130899999999998</v>
      </c>
      <c r="D16" s="29">
        <v>0.87741100000000005</v>
      </c>
      <c r="E16" s="29">
        <v>0.91752400000000001</v>
      </c>
      <c r="F16" s="29">
        <v>0.50159200000000004</v>
      </c>
      <c r="G16" s="30">
        <v>0.227107</v>
      </c>
      <c r="H16" s="12">
        <v>0.53</v>
      </c>
      <c r="I16" s="36">
        <v>0.66</v>
      </c>
      <c r="J16" s="36">
        <v>0.68</v>
      </c>
      <c r="K16" s="36">
        <v>0.56999999999999995</v>
      </c>
      <c r="L16" s="36">
        <v>0.17</v>
      </c>
      <c r="M16" s="32">
        <v>-0.02</v>
      </c>
    </row>
    <row r="17" spans="1:13" x14ac:dyDescent="0.25">
      <c r="A17" s="31" t="s">
        <v>40</v>
      </c>
      <c r="B17" s="29">
        <v>-0.100579</v>
      </c>
      <c r="C17" s="29">
        <v>-5.6749000000000001E-2</v>
      </c>
      <c r="D17" s="29">
        <v>1.554E-2</v>
      </c>
      <c r="E17" s="29">
        <v>0.107811</v>
      </c>
      <c r="F17" s="29">
        <v>-2.2811000000000001E-2</v>
      </c>
      <c r="G17" s="30">
        <v>-8.8969000000000006E-2</v>
      </c>
      <c r="H17" s="12">
        <v>0.6</v>
      </c>
      <c r="I17" s="36">
        <v>0.56000000000000005</v>
      </c>
      <c r="J17" s="36">
        <v>0.06</v>
      </c>
      <c r="K17" s="36">
        <v>-1.06</v>
      </c>
      <c r="L17" s="36">
        <v>-1.87</v>
      </c>
      <c r="M17" s="32">
        <v>-2.0299999999999998</v>
      </c>
    </row>
    <row r="18" spans="1:13" x14ac:dyDescent="0.25">
      <c r="A18" s="31" t="s">
        <v>16</v>
      </c>
      <c r="B18" s="29">
        <v>0.286549</v>
      </c>
      <c r="C18" s="29">
        <v>7.3247999999999994E-2</v>
      </c>
      <c r="D18" s="29">
        <v>7.0260000000000001E-3</v>
      </c>
      <c r="E18" s="29">
        <v>4.2188999999999997E-2</v>
      </c>
      <c r="F18" s="29">
        <v>0.16367399999999999</v>
      </c>
      <c r="G18" s="30">
        <v>-7.3176000000000005E-2</v>
      </c>
      <c r="H18" s="12">
        <v>0.73</v>
      </c>
      <c r="I18" s="36">
        <v>0.64</v>
      </c>
      <c r="J18" s="36">
        <v>0.18</v>
      </c>
      <c r="K18" s="36">
        <v>-0.76</v>
      </c>
      <c r="L18" s="36">
        <v>-1.05</v>
      </c>
      <c r="M18" s="32">
        <v>-0.71</v>
      </c>
    </row>
    <row r="19" spans="1:13" x14ac:dyDescent="0.25">
      <c r="A19" s="31" t="s">
        <v>41</v>
      </c>
      <c r="B19" s="29">
        <v>-13.419090000000001</v>
      </c>
      <c r="C19" s="29">
        <v>-43.093890000000002</v>
      </c>
      <c r="D19" s="29">
        <v>-79.387069999999994</v>
      </c>
      <c r="E19" s="29">
        <v>-141.47989999999999</v>
      </c>
      <c r="F19" s="29">
        <v>-168.91489999999999</v>
      </c>
      <c r="G19" s="30">
        <v>-54.526969999999999</v>
      </c>
      <c r="H19" s="12">
        <v>-53</v>
      </c>
      <c r="I19" s="36">
        <v>-157</v>
      </c>
      <c r="J19" s="36">
        <v>-173</v>
      </c>
      <c r="K19" s="36">
        <v>-105</v>
      </c>
      <c r="L19" s="36">
        <v>-69</v>
      </c>
      <c r="M19" s="32">
        <v>-51</v>
      </c>
    </row>
    <row r="20" spans="1:13" x14ac:dyDescent="0.25">
      <c r="A20" s="31" t="s">
        <v>42</v>
      </c>
      <c r="B20" s="29">
        <v>4.0087999999999999E-2</v>
      </c>
      <c r="C20" s="29">
        <v>0.125111</v>
      </c>
      <c r="D20" s="29">
        <v>0.224022</v>
      </c>
      <c r="E20" s="29">
        <v>0.38045000000000001</v>
      </c>
      <c r="F20" s="29">
        <v>0.42143799999999998</v>
      </c>
      <c r="G20" s="30">
        <v>0.12529299999999999</v>
      </c>
      <c r="H20" s="12">
        <v>0.22</v>
      </c>
      <c r="I20" s="36">
        <v>0.66</v>
      </c>
      <c r="J20" s="36">
        <v>0.72</v>
      </c>
      <c r="K20" s="36">
        <v>0.44</v>
      </c>
      <c r="L20" s="36">
        <v>0.28999999999999998</v>
      </c>
      <c r="M20" s="32">
        <v>0.21</v>
      </c>
    </row>
    <row r="21" spans="1:13" x14ac:dyDescent="0.25">
      <c r="A21" s="31" t="s">
        <v>43</v>
      </c>
      <c r="B21" s="29">
        <v>8.7741E-2</v>
      </c>
      <c r="C21" s="29">
        <v>0.146372</v>
      </c>
      <c r="D21" s="29">
        <v>0.178928</v>
      </c>
      <c r="E21" s="29">
        <v>0.198183</v>
      </c>
      <c r="F21" s="29">
        <v>0.184976</v>
      </c>
      <c r="G21" s="30">
        <v>7.6047000000000003E-2</v>
      </c>
      <c r="H21" s="12">
        <v>0.28999999999999998</v>
      </c>
      <c r="I21" s="36">
        <v>0.39</v>
      </c>
      <c r="J21" s="36">
        <v>0.28000000000000003</v>
      </c>
      <c r="K21" s="36">
        <v>0.32</v>
      </c>
      <c r="L21" s="36">
        <v>0.45</v>
      </c>
      <c r="M21" s="32">
        <v>0.49</v>
      </c>
    </row>
    <row r="22" spans="1:13" x14ac:dyDescent="0.25">
      <c r="A22" s="31" t="s">
        <v>44</v>
      </c>
      <c r="B22" s="29">
        <v>0.55394900000000002</v>
      </c>
      <c r="C22" s="29">
        <v>0.30135800000000001</v>
      </c>
      <c r="D22" s="29">
        <v>0.12227</v>
      </c>
      <c r="E22" s="29">
        <v>-8.8342000000000004E-2</v>
      </c>
      <c r="F22" s="29">
        <v>-0.15389900000000001</v>
      </c>
      <c r="G22" s="30">
        <v>8.2422999999999996E-2</v>
      </c>
      <c r="H22" s="12">
        <v>0.68</v>
      </c>
      <c r="I22" s="36">
        <v>0.15</v>
      </c>
      <c r="J22" s="36">
        <v>0.14000000000000001</v>
      </c>
      <c r="K22" s="36">
        <v>0.24</v>
      </c>
      <c r="L22" s="36">
        <v>0.28000000000000003</v>
      </c>
      <c r="M22" s="32">
        <v>0.37</v>
      </c>
    </row>
    <row r="26" spans="1:13" ht="30" x14ac:dyDescent="0.25">
      <c r="A26" s="34" t="s">
        <v>67</v>
      </c>
      <c r="B26" s="65" t="s">
        <v>89</v>
      </c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</row>
    <row r="27" spans="1:13" x14ac:dyDescent="0.25">
      <c r="A27" s="41"/>
      <c r="B27" s="46" t="s">
        <v>45</v>
      </c>
      <c r="C27" s="46"/>
      <c r="D27" s="46"/>
      <c r="E27" s="46"/>
      <c r="F27" s="46"/>
      <c r="G27" s="47"/>
      <c r="H27" s="48" t="s">
        <v>46</v>
      </c>
      <c r="I27" s="49"/>
      <c r="J27" s="49"/>
      <c r="K27" s="49"/>
      <c r="L27" s="49"/>
      <c r="M27" s="50"/>
    </row>
    <row r="28" spans="1:13" x14ac:dyDescent="0.25">
      <c r="A28" s="22"/>
      <c r="B28" s="9" t="s">
        <v>60</v>
      </c>
      <c r="C28" s="9" t="s">
        <v>61</v>
      </c>
      <c r="D28" s="9" t="s">
        <v>62</v>
      </c>
      <c r="E28" s="9" t="s">
        <v>63</v>
      </c>
      <c r="F28" s="9" t="s">
        <v>64</v>
      </c>
      <c r="G28" s="11" t="s">
        <v>65</v>
      </c>
      <c r="H28" s="24" t="s">
        <v>60</v>
      </c>
      <c r="I28" s="10" t="s">
        <v>61</v>
      </c>
      <c r="J28" s="10" t="s">
        <v>66</v>
      </c>
      <c r="K28" s="10" t="s">
        <v>63</v>
      </c>
      <c r="L28" s="10" t="s">
        <v>64</v>
      </c>
      <c r="M28" s="25" t="s">
        <v>65</v>
      </c>
    </row>
    <row r="29" spans="1:13" x14ac:dyDescent="0.25">
      <c r="A29" s="31" t="s">
        <v>53</v>
      </c>
      <c r="B29" s="29">
        <f t="array" ref="B29:G47">TRANSPOSE('CT1'!$B$3:$T$8)</f>
        <v>-0.29560399999999998</v>
      </c>
      <c r="C29" s="29">
        <v>-0.54526699999999995</v>
      </c>
      <c r="D29" s="29">
        <v>-0.72810299999999994</v>
      </c>
      <c r="E29" s="29">
        <v>-0.91416500000000001</v>
      </c>
      <c r="F29" s="29">
        <v>-0.84333199999999997</v>
      </c>
      <c r="G29" s="30">
        <v>-0.28929199999999999</v>
      </c>
      <c r="H29" s="12">
        <v>-0.51</v>
      </c>
      <c r="I29" s="36">
        <v>-0.8</v>
      </c>
      <c r="J29" s="36">
        <v>-0.75</v>
      </c>
      <c r="K29" s="36">
        <v>-0.87</v>
      </c>
      <c r="L29" s="36">
        <v>-0.86</v>
      </c>
      <c r="M29" s="32">
        <v>-0.68</v>
      </c>
    </row>
    <row r="30" spans="1:13" x14ac:dyDescent="0.25">
      <c r="A30" s="31" t="s">
        <v>57</v>
      </c>
      <c r="B30" s="29">
        <v>-0.54857400000000001</v>
      </c>
      <c r="C30" s="29">
        <v>-0.96267800000000003</v>
      </c>
      <c r="D30" s="29">
        <v>-1.2285740000000001</v>
      </c>
      <c r="E30" s="29">
        <v>-1.4393119999999999</v>
      </c>
      <c r="F30" s="29">
        <v>-1.2120550000000001</v>
      </c>
      <c r="G30" s="30">
        <v>-0.33670899999999998</v>
      </c>
      <c r="H30" s="12">
        <v>-0.75</v>
      </c>
      <c r="I30" s="36">
        <v>-1.3</v>
      </c>
      <c r="J30" s="36">
        <v>-1.34</v>
      </c>
      <c r="K30" s="36">
        <v>-1.71</v>
      </c>
      <c r="L30" s="36">
        <v>-2.09</v>
      </c>
      <c r="M30" s="32">
        <v>-1.9</v>
      </c>
    </row>
    <row r="31" spans="1:13" x14ac:dyDescent="0.25">
      <c r="A31" s="31" t="s">
        <v>54</v>
      </c>
      <c r="B31" s="29">
        <v>-0.38762400000000002</v>
      </c>
      <c r="C31" s="29">
        <v>-0.80854700000000002</v>
      </c>
      <c r="D31" s="29">
        <v>-1.1753450000000001</v>
      </c>
      <c r="E31" s="29">
        <v>-1.6525540000000001</v>
      </c>
      <c r="F31" s="29">
        <v>-1.8649519999999999</v>
      </c>
      <c r="G31" s="30">
        <v>-0.95359700000000003</v>
      </c>
      <c r="H31" s="12">
        <v>-0.7</v>
      </c>
      <c r="I31" s="36">
        <v>-1.32</v>
      </c>
      <c r="J31" s="36">
        <v>-1.06</v>
      </c>
      <c r="K31" s="36">
        <v>-1.03</v>
      </c>
      <c r="L31" s="36">
        <v>-0.86</v>
      </c>
      <c r="M31" s="32">
        <v>-0.66</v>
      </c>
    </row>
    <row r="32" spans="1:13" x14ac:dyDescent="0.25">
      <c r="A32" s="31" t="s">
        <v>55</v>
      </c>
      <c r="B32" s="29">
        <v>-9.5008999999999996E-2</v>
      </c>
      <c r="C32" s="29">
        <v>-0.22179099999999999</v>
      </c>
      <c r="D32" s="29">
        <v>-0.34203299999999998</v>
      </c>
      <c r="E32" s="29">
        <v>-0.497031</v>
      </c>
      <c r="F32" s="29">
        <v>-0.43174099999999999</v>
      </c>
      <c r="G32" s="30">
        <v>-0.121993</v>
      </c>
      <c r="H32" s="12">
        <v>-0.3</v>
      </c>
      <c r="I32" s="36">
        <v>-0.53</v>
      </c>
      <c r="J32" s="36">
        <v>-0.6</v>
      </c>
      <c r="K32" s="36">
        <v>-0.62</v>
      </c>
      <c r="L32" s="36">
        <v>-0.3</v>
      </c>
      <c r="M32" s="32">
        <v>-7.0000000000000007E-2</v>
      </c>
    </row>
    <row r="33" spans="1:13" x14ac:dyDescent="0.25">
      <c r="A33" s="31" t="s">
        <v>56</v>
      </c>
      <c r="B33" s="29">
        <v>-0.46878500000000001</v>
      </c>
      <c r="C33" s="29">
        <v>-0.86512299999999998</v>
      </c>
      <c r="D33" s="29">
        <v>-1.139319</v>
      </c>
      <c r="E33" s="29">
        <v>-1.3899239999999999</v>
      </c>
      <c r="F33" s="29">
        <v>-1.2483550000000001</v>
      </c>
      <c r="G33" s="30">
        <v>-0.45775300000000002</v>
      </c>
      <c r="H33" s="12">
        <v>-0.85</v>
      </c>
      <c r="I33" s="36">
        <v>-1.4</v>
      </c>
      <c r="J33" s="36">
        <v>-1.18</v>
      </c>
      <c r="K33" s="36">
        <v>-1.35</v>
      </c>
      <c r="L33" s="36">
        <v>-1.43</v>
      </c>
      <c r="M33" s="32">
        <v>-1.36</v>
      </c>
    </row>
    <row r="34" spans="1:13" x14ac:dyDescent="0.25">
      <c r="A34" s="31" t="s">
        <v>58</v>
      </c>
      <c r="B34" s="29">
        <v>-0.81104100000000001</v>
      </c>
      <c r="C34" s="29">
        <v>-1.09154</v>
      </c>
      <c r="D34" s="29">
        <v>-1.252237</v>
      </c>
      <c r="E34" s="29">
        <v>-1.3700749999999999</v>
      </c>
      <c r="F34" s="29">
        <v>-1.1696169999999999</v>
      </c>
      <c r="G34" s="30">
        <v>-0.33810899999999999</v>
      </c>
      <c r="H34" s="12">
        <v>-1.33</v>
      </c>
      <c r="I34" s="36">
        <v>-1.25</v>
      </c>
      <c r="J34" s="36">
        <v>-1.44</v>
      </c>
      <c r="K34" s="36">
        <v>-1.94</v>
      </c>
      <c r="L34" s="36">
        <v>-2.1</v>
      </c>
      <c r="M34" s="32">
        <v>-1.9</v>
      </c>
    </row>
    <row r="35" spans="1:13" x14ac:dyDescent="0.25">
      <c r="A35" s="31" t="s">
        <v>59</v>
      </c>
      <c r="B35" s="29">
        <v>-0.237153</v>
      </c>
      <c r="C35" s="29">
        <v>-0.11676300000000001</v>
      </c>
      <c r="D35" s="29">
        <v>-2.1475999999999999E-2</v>
      </c>
      <c r="E35" s="29">
        <v>6.2912999999999997E-2</v>
      </c>
      <c r="F35" s="29">
        <v>3.8484999999999998E-2</v>
      </c>
      <c r="G35" s="30">
        <v>-1.2589999999999999E-3</v>
      </c>
      <c r="H35" s="12">
        <v>-0.51</v>
      </c>
      <c r="I35" s="36">
        <v>0.04</v>
      </c>
      <c r="J35" s="36">
        <v>-0.09</v>
      </c>
      <c r="K35" s="36">
        <v>-0.2</v>
      </c>
      <c r="L35" s="36">
        <v>-0.01</v>
      </c>
      <c r="M35" s="32">
        <v>0</v>
      </c>
    </row>
    <row r="36" spans="1:13" x14ac:dyDescent="0.25">
      <c r="A36" s="31" t="s">
        <v>70</v>
      </c>
      <c r="B36" s="29">
        <v>0.81568499999999999</v>
      </c>
      <c r="C36" s="29">
        <v>1.071037</v>
      </c>
      <c r="D36" s="29">
        <v>1.205176</v>
      </c>
      <c r="E36" s="29">
        <v>1.2256849999999999</v>
      </c>
      <c r="F36" s="29">
        <v>0.76424400000000003</v>
      </c>
      <c r="G36" s="30">
        <v>0.316556</v>
      </c>
      <c r="H36" s="12">
        <v>1.64</v>
      </c>
      <c r="I36" s="36">
        <v>1.72</v>
      </c>
      <c r="J36" s="36">
        <v>1.68</v>
      </c>
      <c r="K36" s="36">
        <v>1.49</v>
      </c>
      <c r="L36" s="36">
        <v>1.01</v>
      </c>
      <c r="M36" s="32">
        <v>0.61</v>
      </c>
    </row>
    <row r="37" spans="1:13" x14ac:dyDescent="0.25">
      <c r="A37" s="31" t="s">
        <v>71</v>
      </c>
      <c r="B37" s="29">
        <v>0.43435800000000002</v>
      </c>
      <c r="C37" s="29">
        <v>0.70006699999999999</v>
      </c>
      <c r="D37" s="29">
        <v>0.83640000000000003</v>
      </c>
      <c r="E37" s="29">
        <v>0.85876799999999998</v>
      </c>
      <c r="F37" s="29">
        <v>0.446077</v>
      </c>
      <c r="G37" s="30">
        <v>0.21533099999999999</v>
      </c>
      <c r="H37" s="12">
        <v>1</v>
      </c>
      <c r="I37" s="36">
        <v>1.06</v>
      </c>
      <c r="J37" s="36">
        <v>0.94</v>
      </c>
      <c r="K37" s="36">
        <v>0.62</v>
      </c>
      <c r="L37" s="36">
        <v>0.08</v>
      </c>
      <c r="M37" s="32">
        <v>-0.28999999999999998</v>
      </c>
    </row>
    <row r="38" spans="1:13" x14ac:dyDescent="0.25">
      <c r="A38" s="31" t="s">
        <v>72</v>
      </c>
      <c r="B38" s="29">
        <v>-0.38602199999999998</v>
      </c>
      <c r="C38" s="29">
        <v>-0.12990199999999999</v>
      </c>
      <c r="D38" s="29">
        <v>8.5129999999999997E-3</v>
      </c>
      <c r="E38" s="29">
        <v>6.5594E-2</v>
      </c>
      <c r="F38" s="29">
        <v>-0.18618000000000001</v>
      </c>
      <c r="G38" s="30">
        <v>-1.5803999999999999E-2</v>
      </c>
      <c r="H38" s="12">
        <v>-0.13</v>
      </c>
      <c r="I38" s="36">
        <v>-0.08</v>
      </c>
      <c r="J38" s="36">
        <v>-0.12</v>
      </c>
      <c r="K38" s="36">
        <v>-0.3</v>
      </c>
      <c r="L38" s="36">
        <v>-0.84</v>
      </c>
      <c r="M38" s="32">
        <v>-1.33</v>
      </c>
    </row>
    <row r="39" spans="1:13" x14ac:dyDescent="0.25">
      <c r="A39" s="31" t="s">
        <v>76</v>
      </c>
      <c r="B39" s="29">
        <v>1.214467</v>
      </c>
      <c r="C39" s="29">
        <v>1.4683889999999999</v>
      </c>
      <c r="D39" s="29">
        <v>1.5915999999999999</v>
      </c>
      <c r="E39" s="29">
        <v>1.578022</v>
      </c>
      <c r="F39" s="29">
        <v>1.0386340000000001</v>
      </c>
      <c r="G39" s="30">
        <v>0.428234</v>
      </c>
      <c r="H39" s="12">
        <v>2.0099999999999998</v>
      </c>
      <c r="I39" s="36">
        <v>2.09</v>
      </c>
      <c r="J39" s="36">
        <v>2</v>
      </c>
      <c r="K39" s="36">
        <v>1.77</v>
      </c>
      <c r="L39" s="36">
        <v>1.3</v>
      </c>
      <c r="M39" s="32">
        <v>0.97</v>
      </c>
    </row>
    <row r="40" spans="1:13" x14ac:dyDescent="0.25">
      <c r="A40" s="31" t="s">
        <v>68</v>
      </c>
      <c r="B40" s="29">
        <v>0.397007</v>
      </c>
      <c r="C40" s="29">
        <v>0.65038200000000002</v>
      </c>
      <c r="D40" s="29">
        <v>0.78346000000000005</v>
      </c>
      <c r="E40" s="29">
        <v>0.80497799999999997</v>
      </c>
      <c r="F40" s="29">
        <v>0.41780800000000001</v>
      </c>
      <c r="G40" s="30">
        <v>0.192353</v>
      </c>
      <c r="H40" s="12">
        <v>0.9</v>
      </c>
      <c r="I40" s="36">
        <v>1.01</v>
      </c>
      <c r="J40" s="36">
        <v>0.97</v>
      </c>
      <c r="K40" s="36">
        <v>0.83</v>
      </c>
      <c r="L40" s="36">
        <v>0.45</v>
      </c>
      <c r="M40" s="32">
        <v>0.22</v>
      </c>
    </row>
    <row r="41" spans="1:13" x14ac:dyDescent="0.25">
      <c r="A41" s="31" t="s">
        <v>69</v>
      </c>
      <c r="B41" s="29">
        <v>0.43569400000000003</v>
      </c>
      <c r="C41" s="29">
        <v>0.72130899999999998</v>
      </c>
      <c r="D41" s="29">
        <v>0.87741100000000005</v>
      </c>
      <c r="E41" s="29">
        <v>0.91752400000000001</v>
      </c>
      <c r="F41" s="29">
        <v>0.50159200000000004</v>
      </c>
      <c r="G41" s="30">
        <v>0.227107</v>
      </c>
      <c r="H41" s="12">
        <v>0.53</v>
      </c>
      <c r="I41" s="36">
        <v>0.66</v>
      </c>
      <c r="J41" s="36">
        <v>0.68</v>
      </c>
      <c r="K41" s="36">
        <v>0.56999999999999995</v>
      </c>
      <c r="L41" s="36">
        <v>0.17</v>
      </c>
      <c r="M41" s="32">
        <v>-0.02</v>
      </c>
    </row>
    <row r="42" spans="1:13" x14ac:dyDescent="0.25">
      <c r="A42" s="31" t="s">
        <v>73</v>
      </c>
      <c r="B42" s="29">
        <v>-0.100579</v>
      </c>
      <c r="C42" s="29">
        <v>-5.6749000000000001E-2</v>
      </c>
      <c r="D42" s="29">
        <v>1.554E-2</v>
      </c>
      <c r="E42" s="29">
        <v>0.107811</v>
      </c>
      <c r="F42" s="29">
        <v>-2.2811000000000001E-2</v>
      </c>
      <c r="G42" s="30">
        <v>-8.8969000000000006E-2</v>
      </c>
      <c r="H42" s="12">
        <v>0.6</v>
      </c>
      <c r="I42" s="36">
        <v>0.56000000000000005</v>
      </c>
      <c r="J42" s="36">
        <v>0.06</v>
      </c>
      <c r="K42" s="36">
        <v>-1.06</v>
      </c>
      <c r="L42" s="36">
        <v>-1.87</v>
      </c>
      <c r="M42" s="32">
        <v>-2.0299999999999998</v>
      </c>
    </row>
    <row r="43" spans="1:13" x14ac:dyDescent="0.25">
      <c r="A43" s="31" t="s">
        <v>74</v>
      </c>
      <c r="B43" s="29">
        <v>0.286549</v>
      </c>
      <c r="C43" s="29">
        <v>7.3247999999999994E-2</v>
      </c>
      <c r="D43" s="29">
        <v>7.0260000000000001E-3</v>
      </c>
      <c r="E43" s="29">
        <v>4.2188999999999997E-2</v>
      </c>
      <c r="F43" s="29">
        <v>0.16367399999999999</v>
      </c>
      <c r="G43" s="30">
        <v>-7.3176000000000005E-2</v>
      </c>
      <c r="H43" s="12">
        <v>0.73</v>
      </c>
      <c r="I43" s="36">
        <v>0.64</v>
      </c>
      <c r="J43" s="36">
        <v>0.18</v>
      </c>
      <c r="K43" s="36">
        <v>-0.76</v>
      </c>
      <c r="L43" s="36">
        <v>-1.05</v>
      </c>
      <c r="M43" s="32">
        <v>-0.71</v>
      </c>
    </row>
    <row r="44" spans="1:13" x14ac:dyDescent="0.25">
      <c r="A44" s="31" t="s">
        <v>77</v>
      </c>
      <c r="B44" s="29">
        <v>-13.419090000000001</v>
      </c>
      <c r="C44" s="29">
        <v>-43.093890000000002</v>
      </c>
      <c r="D44" s="29">
        <v>-79.387069999999994</v>
      </c>
      <c r="E44" s="29">
        <v>-141.47989999999999</v>
      </c>
      <c r="F44" s="29">
        <v>-168.91489999999999</v>
      </c>
      <c r="G44" s="30">
        <v>-54.526969999999999</v>
      </c>
      <c r="H44" s="12">
        <v>-53</v>
      </c>
      <c r="I44" s="36">
        <v>-157</v>
      </c>
      <c r="J44" s="36">
        <v>-173</v>
      </c>
      <c r="K44" s="36">
        <v>-105</v>
      </c>
      <c r="L44" s="36">
        <v>-69</v>
      </c>
      <c r="M44" s="32">
        <v>-51</v>
      </c>
    </row>
    <row r="45" spans="1:13" x14ac:dyDescent="0.25">
      <c r="A45" s="31" t="s">
        <v>75</v>
      </c>
      <c r="B45" s="29">
        <v>4.0087999999999999E-2</v>
      </c>
      <c r="C45" s="29">
        <v>0.125111</v>
      </c>
      <c r="D45" s="29">
        <v>0.224022</v>
      </c>
      <c r="E45" s="29">
        <v>0.38045000000000001</v>
      </c>
      <c r="F45" s="29">
        <v>0.42143799999999998</v>
      </c>
      <c r="G45" s="30">
        <v>0.12529299999999999</v>
      </c>
      <c r="H45" s="12">
        <v>0.22</v>
      </c>
      <c r="I45" s="36">
        <v>0.66</v>
      </c>
      <c r="J45" s="36">
        <v>0.72</v>
      </c>
      <c r="K45" s="36">
        <v>0.44</v>
      </c>
      <c r="L45" s="36">
        <v>0.28999999999999998</v>
      </c>
      <c r="M45" s="32">
        <v>0.21</v>
      </c>
    </row>
    <row r="46" spans="1:13" x14ac:dyDescent="0.25">
      <c r="A46" s="31" t="s">
        <v>78</v>
      </c>
      <c r="B46" s="29">
        <v>8.7741E-2</v>
      </c>
      <c r="C46" s="29">
        <v>0.146372</v>
      </c>
      <c r="D46" s="29">
        <v>0.178928</v>
      </c>
      <c r="E46" s="29">
        <v>0.198183</v>
      </c>
      <c r="F46" s="29">
        <v>0.184976</v>
      </c>
      <c r="G46" s="30">
        <v>7.6047000000000003E-2</v>
      </c>
      <c r="H46" s="12">
        <v>0.28999999999999998</v>
      </c>
      <c r="I46" s="36">
        <v>0.39</v>
      </c>
      <c r="J46" s="36">
        <v>0.28000000000000003</v>
      </c>
      <c r="K46" s="36">
        <v>0.32</v>
      </c>
      <c r="L46" s="36">
        <v>0.45</v>
      </c>
      <c r="M46" s="32">
        <v>0.49</v>
      </c>
    </row>
    <row r="47" spans="1:13" ht="30" x14ac:dyDescent="0.25">
      <c r="A47" s="45" t="s">
        <v>79</v>
      </c>
      <c r="B47" s="29">
        <v>0.55394900000000002</v>
      </c>
      <c r="C47" s="29">
        <v>0.30135800000000001</v>
      </c>
      <c r="D47" s="29">
        <v>0.12227</v>
      </c>
      <c r="E47" s="29">
        <v>-8.8342000000000004E-2</v>
      </c>
      <c r="F47" s="29">
        <v>-0.15389900000000001</v>
      </c>
      <c r="G47" s="30">
        <v>8.2422999999999996E-2</v>
      </c>
      <c r="H47" s="12">
        <v>0.68</v>
      </c>
      <c r="I47" s="36">
        <v>0.15</v>
      </c>
      <c r="J47" s="36">
        <v>0.14000000000000001</v>
      </c>
      <c r="K47" s="36">
        <v>0.24</v>
      </c>
      <c r="L47" s="36">
        <v>0.28000000000000003</v>
      </c>
      <c r="M47" s="32">
        <v>0.37</v>
      </c>
    </row>
  </sheetData>
  <mergeCells count="6">
    <mergeCell ref="B2:G2"/>
    <mergeCell ref="H2:M2"/>
    <mergeCell ref="B27:G27"/>
    <mergeCell ref="H27:M27"/>
    <mergeCell ref="B1:M1"/>
    <mergeCell ref="B26:M26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90</v>
      </c>
      <c r="C1" t="s">
        <v>91</v>
      </c>
      <c r="D1" t="s">
        <v>92</v>
      </c>
      <c r="E1" t="s">
        <v>93</v>
      </c>
      <c r="F1" t="s">
        <v>94</v>
      </c>
      <c r="G1" t="s">
        <v>95</v>
      </c>
      <c r="H1" t="s">
        <v>96</v>
      </c>
      <c r="I1" t="s">
        <v>97</v>
      </c>
      <c r="J1" t="s">
        <v>98</v>
      </c>
      <c r="K1" t="s">
        <v>99</v>
      </c>
      <c r="L1" t="s">
        <v>100</v>
      </c>
      <c r="M1" t="s">
        <v>101</v>
      </c>
      <c r="N1" t="s">
        <v>102</v>
      </c>
      <c r="O1" t="s">
        <v>103</v>
      </c>
      <c r="P1" t="s">
        <v>104</v>
      </c>
      <c r="Q1" t="s">
        <v>105</v>
      </c>
      <c r="R1" t="s">
        <v>106</v>
      </c>
      <c r="S1" t="s">
        <v>107</v>
      </c>
      <c r="T1" t="s">
        <v>108</v>
      </c>
    </row>
    <row r="3" spans="1:20" x14ac:dyDescent="0.25">
      <c r="A3">
        <v>2001</v>
      </c>
      <c r="B3">
        <v>-0.29560399999999998</v>
      </c>
      <c r="C3">
        <v>-0.54857400000000001</v>
      </c>
      <c r="D3">
        <v>-0.38762400000000002</v>
      </c>
      <c r="E3">
        <v>-9.5008999999999996E-2</v>
      </c>
      <c r="F3">
        <v>-0.46878500000000001</v>
      </c>
      <c r="G3">
        <v>-0.81104100000000001</v>
      </c>
      <c r="H3">
        <v>-0.237153</v>
      </c>
      <c r="I3">
        <v>0.81568499999999999</v>
      </c>
      <c r="J3">
        <v>0.43435800000000002</v>
      </c>
      <c r="K3">
        <v>-0.38602199999999998</v>
      </c>
      <c r="L3">
        <v>1.214467</v>
      </c>
      <c r="M3">
        <v>0.397007</v>
      </c>
      <c r="N3">
        <v>0.43569400000000003</v>
      </c>
      <c r="O3">
        <v>-0.100579</v>
      </c>
      <c r="P3">
        <v>0.286549</v>
      </c>
      <c r="Q3">
        <v>-13.419090000000001</v>
      </c>
      <c r="R3">
        <v>4.0087999999999999E-2</v>
      </c>
      <c r="S3">
        <v>8.7741E-2</v>
      </c>
      <c r="T3">
        <v>0.55394900000000002</v>
      </c>
    </row>
    <row r="4" spans="1:20" x14ac:dyDescent="0.25">
      <c r="A4">
        <v>2002</v>
      </c>
      <c r="B4">
        <v>-0.54526699999999995</v>
      </c>
      <c r="C4">
        <v>-0.96267800000000003</v>
      </c>
      <c r="D4">
        <v>-0.80854700000000002</v>
      </c>
      <c r="E4">
        <v>-0.22179099999999999</v>
      </c>
      <c r="F4">
        <v>-0.86512299999999998</v>
      </c>
      <c r="G4">
        <v>-1.09154</v>
      </c>
      <c r="H4">
        <v>-0.11676300000000001</v>
      </c>
      <c r="I4">
        <v>1.071037</v>
      </c>
      <c r="J4">
        <v>0.70006699999999999</v>
      </c>
      <c r="K4">
        <v>-0.12990199999999999</v>
      </c>
      <c r="L4">
        <v>1.4683889999999999</v>
      </c>
      <c r="M4">
        <v>0.65038200000000002</v>
      </c>
      <c r="N4">
        <v>0.72130899999999998</v>
      </c>
      <c r="O4">
        <v>-5.6749000000000001E-2</v>
      </c>
      <c r="P4">
        <v>7.3247999999999994E-2</v>
      </c>
      <c r="Q4">
        <v>-43.093890000000002</v>
      </c>
      <c r="R4">
        <v>0.125111</v>
      </c>
      <c r="S4">
        <v>0.146372</v>
      </c>
      <c r="T4">
        <v>0.30135800000000001</v>
      </c>
    </row>
    <row r="5" spans="1:20" x14ac:dyDescent="0.25">
      <c r="A5">
        <v>2003</v>
      </c>
      <c r="B5">
        <v>-0.72810299999999994</v>
      </c>
      <c r="C5">
        <v>-1.2285740000000001</v>
      </c>
      <c r="D5">
        <v>-1.1753450000000001</v>
      </c>
      <c r="E5">
        <v>-0.34203299999999998</v>
      </c>
      <c r="F5">
        <v>-1.139319</v>
      </c>
      <c r="G5">
        <v>-1.252237</v>
      </c>
      <c r="H5">
        <v>-2.1475999999999999E-2</v>
      </c>
      <c r="I5">
        <v>1.205176</v>
      </c>
      <c r="J5">
        <v>0.83640000000000003</v>
      </c>
      <c r="K5">
        <v>8.5129999999999997E-3</v>
      </c>
      <c r="L5">
        <v>1.5915999999999999</v>
      </c>
      <c r="M5">
        <v>0.78346000000000005</v>
      </c>
      <c r="N5">
        <v>0.87741100000000005</v>
      </c>
      <c r="O5">
        <v>1.554E-2</v>
      </c>
      <c r="P5">
        <v>7.0260000000000001E-3</v>
      </c>
      <c r="Q5">
        <v>-79.387069999999994</v>
      </c>
      <c r="R5">
        <v>0.224022</v>
      </c>
      <c r="S5">
        <v>0.178928</v>
      </c>
      <c r="T5">
        <v>0.12227</v>
      </c>
    </row>
    <row r="6" spans="1:20" x14ac:dyDescent="0.25">
      <c r="A6">
        <v>2005</v>
      </c>
      <c r="B6">
        <v>-0.91416500000000001</v>
      </c>
      <c r="C6">
        <v>-1.4393119999999999</v>
      </c>
      <c r="D6">
        <v>-1.6525540000000001</v>
      </c>
      <c r="E6">
        <v>-0.497031</v>
      </c>
      <c r="F6">
        <v>-1.3899239999999999</v>
      </c>
      <c r="G6">
        <v>-1.3700749999999999</v>
      </c>
      <c r="H6">
        <v>6.2912999999999997E-2</v>
      </c>
      <c r="I6">
        <v>1.2256849999999999</v>
      </c>
      <c r="J6">
        <v>0.85876799999999998</v>
      </c>
      <c r="K6">
        <v>6.5594E-2</v>
      </c>
      <c r="L6">
        <v>1.578022</v>
      </c>
      <c r="M6">
        <v>0.80497799999999997</v>
      </c>
      <c r="N6">
        <v>0.91752400000000001</v>
      </c>
      <c r="O6">
        <v>0.107811</v>
      </c>
      <c r="P6">
        <v>4.2188999999999997E-2</v>
      </c>
      <c r="Q6">
        <v>-141.47989999999999</v>
      </c>
      <c r="R6">
        <v>0.38045000000000001</v>
      </c>
      <c r="S6">
        <v>0.198183</v>
      </c>
      <c r="T6">
        <v>-8.8342000000000004E-2</v>
      </c>
    </row>
    <row r="7" spans="1:20" x14ac:dyDescent="0.25">
      <c r="A7">
        <v>2010</v>
      </c>
      <c r="B7">
        <v>-0.84333199999999997</v>
      </c>
      <c r="C7">
        <v>-1.2120550000000001</v>
      </c>
      <c r="D7">
        <v>-1.8649519999999999</v>
      </c>
      <c r="E7">
        <v>-0.43174099999999999</v>
      </c>
      <c r="F7">
        <v>-1.2483550000000001</v>
      </c>
      <c r="G7">
        <v>-1.1696169999999999</v>
      </c>
      <c r="H7">
        <v>3.8484999999999998E-2</v>
      </c>
      <c r="I7">
        <v>0.76424400000000003</v>
      </c>
      <c r="J7">
        <v>0.446077</v>
      </c>
      <c r="K7">
        <v>-0.18618000000000001</v>
      </c>
      <c r="L7">
        <v>1.0386340000000001</v>
      </c>
      <c r="M7">
        <v>0.41780800000000001</v>
      </c>
      <c r="N7">
        <v>0.50159200000000004</v>
      </c>
      <c r="O7">
        <v>-2.2811000000000001E-2</v>
      </c>
      <c r="P7">
        <v>0.16367399999999999</v>
      </c>
      <c r="Q7">
        <v>-168.91489999999999</v>
      </c>
      <c r="R7">
        <v>0.42143799999999998</v>
      </c>
      <c r="S7">
        <v>0.184976</v>
      </c>
      <c r="T7">
        <v>-0.15389900000000001</v>
      </c>
    </row>
    <row r="8" spans="1:20" x14ac:dyDescent="0.25">
      <c r="A8">
        <v>2035</v>
      </c>
      <c r="B8">
        <v>-0.28929199999999999</v>
      </c>
      <c r="C8">
        <v>-0.33670899999999998</v>
      </c>
      <c r="D8">
        <v>-0.95359700000000003</v>
      </c>
      <c r="E8">
        <v>-0.121993</v>
      </c>
      <c r="F8">
        <v>-0.45775300000000002</v>
      </c>
      <c r="G8">
        <v>-0.33810899999999999</v>
      </c>
      <c r="H8">
        <v>-1.2589999999999999E-3</v>
      </c>
      <c r="I8">
        <v>0.316556</v>
      </c>
      <c r="J8">
        <v>0.21533099999999999</v>
      </c>
      <c r="K8">
        <v>-1.5803999999999999E-2</v>
      </c>
      <c r="L8">
        <v>0.428234</v>
      </c>
      <c r="M8">
        <v>0.192353</v>
      </c>
      <c r="N8">
        <v>0.227107</v>
      </c>
      <c r="O8">
        <v>-8.8969000000000006E-2</v>
      </c>
      <c r="P8">
        <v>-7.3176000000000005E-2</v>
      </c>
      <c r="Q8">
        <v>-54.526969999999999</v>
      </c>
      <c r="R8">
        <v>0.12529299999999999</v>
      </c>
      <c r="S8">
        <v>7.6047000000000003E-2</v>
      </c>
      <c r="T8">
        <v>8.2422999999999996E-2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223</v>
      </c>
      <c r="C1" t="s">
        <v>224</v>
      </c>
      <c r="D1" t="s">
        <v>225</v>
      </c>
      <c r="E1" t="s">
        <v>226</v>
      </c>
      <c r="F1" t="s">
        <v>227</v>
      </c>
      <c r="G1" t="s">
        <v>228</v>
      </c>
      <c r="H1" t="s">
        <v>229</v>
      </c>
      <c r="I1" t="s">
        <v>230</v>
      </c>
      <c r="J1" t="s">
        <v>231</v>
      </c>
      <c r="K1" t="s">
        <v>232</v>
      </c>
      <c r="L1" t="s">
        <v>233</v>
      </c>
      <c r="M1" t="s">
        <v>234</v>
      </c>
      <c r="N1" t="s">
        <v>235</v>
      </c>
      <c r="O1" t="s">
        <v>236</v>
      </c>
      <c r="P1" t="s">
        <v>237</v>
      </c>
      <c r="Q1" t="s">
        <v>238</v>
      </c>
      <c r="R1" t="s">
        <v>239</v>
      </c>
      <c r="S1" t="s">
        <v>240</v>
      </c>
      <c r="T1" t="s">
        <v>241</v>
      </c>
    </row>
    <row r="3" spans="1:20" x14ac:dyDescent="0.25">
      <c r="A3">
        <v>2001</v>
      </c>
      <c r="B3">
        <v>0.246421</v>
      </c>
      <c r="C3">
        <v>8.4331000000000003E-2</v>
      </c>
      <c r="D3">
        <v>0.18379000000000001</v>
      </c>
      <c r="E3">
        <v>0.98364399999999996</v>
      </c>
      <c r="F3">
        <v>0.27009499999999997</v>
      </c>
      <c r="G3">
        <v>0.12404</v>
      </c>
      <c r="H3">
        <v>3.5545E-2</v>
      </c>
      <c r="I3">
        <v>8.0074000000000006E-2</v>
      </c>
      <c r="J3">
        <v>8.3585999999999994E-2</v>
      </c>
      <c r="K3">
        <v>8.2252000000000006E-2</v>
      </c>
      <c r="L3">
        <v>7.9015000000000002E-2</v>
      </c>
      <c r="M3">
        <v>6.7502999999999994E-2</v>
      </c>
      <c r="N3">
        <v>6.5225000000000005E-2</v>
      </c>
      <c r="O3">
        <v>0.125689</v>
      </c>
      <c r="P3">
        <v>4.3401000000000002E-2</v>
      </c>
      <c r="Q3">
        <v>36.71293</v>
      </c>
      <c r="R3">
        <v>-0.10964699999999999</v>
      </c>
      <c r="S3">
        <v>0.16841</v>
      </c>
      <c r="T3">
        <v>0.100938</v>
      </c>
    </row>
    <row r="4" spans="1:20" x14ac:dyDescent="0.25">
      <c r="A4">
        <v>2002</v>
      </c>
      <c r="B4">
        <v>0.28509499999999999</v>
      </c>
      <c r="C4">
        <v>0.170677</v>
      </c>
      <c r="D4">
        <v>0.290522</v>
      </c>
      <c r="E4">
        <v>0.94856600000000002</v>
      </c>
      <c r="F4">
        <v>0.36230699999999999</v>
      </c>
      <c r="G4">
        <v>0.20081299999999999</v>
      </c>
      <c r="H4">
        <v>2.6955E-2</v>
      </c>
      <c r="I4">
        <v>0.204704</v>
      </c>
      <c r="J4">
        <v>0.21548</v>
      </c>
      <c r="K4">
        <v>0.213861</v>
      </c>
      <c r="L4">
        <v>0.202683</v>
      </c>
      <c r="M4">
        <v>0.16514300000000001</v>
      </c>
      <c r="N4">
        <v>0.15917700000000001</v>
      </c>
      <c r="O4">
        <v>0.27276699999999998</v>
      </c>
      <c r="P4">
        <v>5.8779999999999999E-2</v>
      </c>
      <c r="Q4">
        <v>65.158270000000002</v>
      </c>
      <c r="R4">
        <v>-0.18503</v>
      </c>
      <c r="S4">
        <v>0.13882</v>
      </c>
      <c r="T4">
        <v>0.1583</v>
      </c>
    </row>
    <row r="5" spans="1:20" x14ac:dyDescent="0.25">
      <c r="A5">
        <v>2003</v>
      </c>
      <c r="B5">
        <v>0.30958999999999998</v>
      </c>
      <c r="C5">
        <v>0.232547</v>
      </c>
      <c r="D5">
        <v>0.34681699999999999</v>
      </c>
      <c r="E5">
        <v>0.897011</v>
      </c>
      <c r="F5">
        <v>0.401945</v>
      </c>
      <c r="G5">
        <v>0.24316499999999999</v>
      </c>
      <c r="H5">
        <v>9.4929999999999997E-3</v>
      </c>
      <c r="I5">
        <v>0.35184100000000001</v>
      </c>
      <c r="J5">
        <v>0.37135299999999999</v>
      </c>
      <c r="K5">
        <v>0.36957200000000001</v>
      </c>
      <c r="L5">
        <v>0.34898699999999999</v>
      </c>
      <c r="M5">
        <v>0.27690599999999999</v>
      </c>
      <c r="N5">
        <v>0.26714399999999999</v>
      </c>
      <c r="O5">
        <v>0.42881999999999998</v>
      </c>
      <c r="P5">
        <v>5.9028999999999998E-2</v>
      </c>
      <c r="Q5">
        <v>83.317490000000006</v>
      </c>
      <c r="R5">
        <v>-0.227689</v>
      </c>
      <c r="S5">
        <v>0.118974</v>
      </c>
      <c r="T5">
        <v>0.188638</v>
      </c>
    </row>
    <row r="6" spans="1:20" x14ac:dyDescent="0.25">
      <c r="A6">
        <v>2005</v>
      </c>
      <c r="B6">
        <v>0.30999500000000002</v>
      </c>
      <c r="C6">
        <v>0.28200399999999998</v>
      </c>
      <c r="D6">
        <v>0.38249899999999998</v>
      </c>
      <c r="E6">
        <v>0.760216</v>
      </c>
      <c r="F6">
        <v>0.413769</v>
      </c>
      <c r="G6">
        <v>0.26863599999999999</v>
      </c>
      <c r="H6">
        <v>-1.1948E-2</v>
      </c>
      <c r="I6">
        <v>0.66114899999999999</v>
      </c>
      <c r="J6">
        <v>0.69624299999999995</v>
      </c>
      <c r="K6">
        <v>0.69187799999999999</v>
      </c>
      <c r="L6">
        <v>0.65630900000000003</v>
      </c>
      <c r="M6">
        <v>0.50851199999999996</v>
      </c>
      <c r="N6">
        <v>0.49284800000000001</v>
      </c>
      <c r="O6">
        <v>0.74400900000000003</v>
      </c>
      <c r="P6">
        <v>5.1774000000000001E-2</v>
      </c>
      <c r="Q6">
        <v>94.484049999999996</v>
      </c>
      <c r="R6">
        <v>-0.24452699999999999</v>
      </c>
      <c r="S6">
        <v>8.7414000000000006E-2</v>
      </c>
      <c r="T6">
        <v>0.20207</v>
      </c>
    </row>
    <row r="7" spans="1:20" x14ac:dyDescent="0.25">
      <c r="A7">
        <v>2010</v>
      </c>
      <c r="B7">
        <v>0.21380299999999999</v>
      </c>
      <c r="C7">
        <v>0.23686599999999999</v>
      </c>
      <c r="D7">
        <v>0.37065199999999998</v>
      </c>
      <c r="E7">
        <v>0.38770399999999999</v>
      </c>
      <c r="F7">
        <v>0.335314</v>
      </c>
      <c r="G7">
        <v>0.229465</v>
      </c>
      <c r="H7">
        <v>-6.6179999999999998E-3</v>
      </c>
      <c r="I7">
        <v>1.2699279999999999</v>
      </c>
      <c r="J7">
        <v>1.3232429999999999</v>
      </c>
      <c r="K7">
        <v>1.3048470000000001</v>
      </c>
      <c r="L7">
        <v>1.257973</v>
      </c>
      <c r="M7">
        <v>0.96171799999999996</v>
      </c>
      <c r="N7">
        <v>0.93870200000000004</v>
      </c>
      <c r="O7">
        <v>1.388396</v>
      </c>
      <c r="P7">
        <v>8.2472000000000004E-2</v>
      </c>
      <c r="Q7">
        <v>59.17</v>
      </c>
      <c r="R7">
        <v>-0.141902</v>
      </c>
      <c r="S7">
        <v>2.3629000000000001E-2</v>
      </c>
      <c r="T7">
        <v>0.15201000000000001</v>
      </c>
    </row>
    <row r="8" spans="1:20" x14ac:dyDescent="0.25">
      <c r="A8">
        <v>2035</v>
      </c>
      <c r="B8">
        <v>8.9855000000000004E-2</v>
      </c>
      <c r="C8">
        <v>7.4660000000000004E-2</v>
      </c>
      <c r="D8">
        <v>0.36660100000000001</v>
      </c>
      <c r="E8">
        <v>0.124274</v>
      </c>
      <c r="F8">
        <v>0.20500399999999999</v>
      </c>
      <c r="G8">
        <v>7.5323000000000001E-2</v>
      </c>
      <c r="H8">
        <v>5.9400000000000002E-4</v>
      </c>
      <c r="I8">
        <v>1.3943950000000001</v>
      </c>
      <c r="J8">
        <v>1.450615</v>
      </c>
      <c r="K8">
        <v>1.4287019999999999</v>
      </c>
      <c r="L8">
        <v>1.3806909999999999</v>
      </c>
      <c r="M8">
        <v>1.0568610000000001</v>
      </c>
      <c r="N8">
        <v>1.0323359999999999</v>
      </c>
      <c r="O8">
        <v>1.5613030000000001</v>
      </c>
      <c r="P8">
        <v>0.13073299999999999</v>
      </c>
      <c r="Q8">
        <v>17.65738</v>
      </c>
      <c r="R8">
        <v>-4.1451000000000002E-2</v>
      </c>
      <c r="S8">
        <v>-6.424E-3</v>
      </c>
      <c r="T8">
        <v>7.2360000000000002E-3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147</v>
      </c>
      <c r="C1" t="s">
        <v>148</v>
      </c>
      <c r="D1" t="s">
        <v>149</v>
      </c>
      <c r="E1" t="s">
        <v>150</v>
      </c>
      <c r="F1" t="s">
        <v>151</v>
      </c>
      <c r="G1" t="s">
        <v>152</v>
      </c>
      <c r="H1" t="s">
        <v>153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159</v>
      </c>
      <c r="O1" t="s">
        <v>160</v>
      </c>
      <c r="P1" t="s">
        <v>161</v>
      </c>
      <c r="Q1" t="s">
        <v>162</v>
      </c>
      <c r="R1" t="s">
        <v>163</v>
      </c>
      <c r="S1" t="s">
        <v>164</v>
      </c>
      <c r="T1" t="s">
        <v>165</v>
      </c>
    </row>
    <row r="3" spans="1:20" x14ac:dyDescent="0.25">
      <c r="A3">
        <v>2001</v>
      </c>
      <c r="B3">
        <v>-1.566E-2</v>
      </c>
      <c r="C3">
        <v>-5.0557999999999999E-2</v>
      </c>
      <c r="D3">
        <v>-3.1357000000000003E-2</v>
      </c>
      <c r="E3">
        <v>4.48E-2</v>
      </c>
      <c r="F3">
        <v>-3.5920000000000001E-2</v>
      </c>
      <c r="G3">
        <v>-7.4426000000000006E-2</v>
      </c>
      <c r="H3">
        <v>-2.1406999999999999E-2</v>
      </c>
      <c r="I3">
        <v>8.5879999999999998E-2</v>
      </c>
      <c r="J3">
        <v>5.8777999999999997E-2</v>
      </c>
      <c r="K3">
        <v>-2.5392999999999999E-2</v>
      </c>
      <c r="L3">
        <v>0.159885</v>
      </c>
      <c r="M3">
        <v>0.14055200000000001</v>
      </c>
      <c r="N3">
        <v>0.36483199999999999</v>
      </c>
      <c r="O3">
        <v>-5.2779999999999997E-3</v>
      </c>
      <c r="P3">
        <v>2.0119999999999999E-2</v>
      </c>
      <c r="Q3">
        <v>-0.22112999999999999</v>
      </c>
      <c r="R3">
        <v>6.6100000000000002E-4</v>
      </c>
      <c r="S3">
        <v>-4.2264000000000003E-2</v>
      </c>
      <c r="T3">
        <v>-8.7880000000000007E-3</v>
      </c>
    </row>
    <row r="4" spans="1:20" x14ac:dyDescent="0.25">
      <c r="A4">
        <v>2002</v>
      </c>
      <c r="B4">
        <v>-3.8898000000000002E-2</v>
      </c>
      <c r="C4">
        <v>-0.102433</v>
      </c>
      <c r="D4">
        <v>-7.8774999999999998E-2</v>
      </c>
      <c r="E4">
        <v>6.4267000000000005E-2</v>
      </c>
      <c r="F4">
        <v>-8.0484E-2</v>
      </c>
      <c r="G4">
        <v>-0.120671</v>
      </c>
      <c r="H4">
        <v>-1.6365000000000001E-2</v>
      </c>
      <c r="I4">
        <v>0.15033199999999999</v>
      </c>
      <c r="J4">
        <v>0.115076</v>
      </c>
      <c r="K4">
        <v>5.9890000000000004E-3</v>
      </c>
      <c r="L4">
        <v>0.23660100000000001</v>
      </c>
      <c r="M4">
        <v>0.19366</v>
      </c>
      <c r="N4">
        <v>0.45094499999999998</v>
      </c>
      <c r="O4">
        <v>5.842E-3</v>
      </c>
      <c r="P4">
        <v>-1.4799999999999999E-4</v>
      </c>
      <c r="Q4">
        <v>-1.58609</v>
      </c>
      <c r="R4">
        <v>4.6699999999999997E-3</v>
      </c>
      <c r="S4">
        <v>-3.5408000000000002E-2</v>
      </c>
      <c r="T4">
        <v>-2.1631000000000001E-2</v>
      </c>
    </row>
    <row r="5" spans="1:20" x14ac:dyDescent="0.25">
      <c r="A5">
        <v>2003</v>
      </c>
      <c r="B5">
        <v>-6.1483000000000003E-2</v>
      </c>
      <c r="C5">
        <v>-0.14376800000000001</v>
      </c>
      <c r="D5">
        <v>-0.13078200000000001</v>
      </c>
      <c r="E5">
        <v>6.7616999999999997E-2</v>
      </c>
      <c r="F5">
        <v>-0.121852</v>
      </c>
      <c r="G5">
        <v>-0.152226</v>
      </c>
      <c r="H5">
        <v>-7.5909999999999997E-3</v>
      </c>
      <c r="I5">
        <v>0.204702</v>
      </c>
      <c r="J5">
        <v>0.164021</v>
      </c>
      <c r="K5">
        <v>3.8285E-2</v>
      </c>
      <c r="L5">
        <v>0.29838300000000001</v>
      </c>
      <c r="M5">
        <v>0.238422</v>
      </c>
      <c r="N5">
        <v>0.51603900000000003</v>
      </c>
      <c r="O5">
        <v>2.8195999999999999E-2</v>
      </c>
      <c r="P5">
        <v>-1.0083999999999999E-2</v>
      </c>
      <c r="Q5">
        <v>-4.00448</v>
      </c>
      <c r="R5">
        <v>1.1483999999999999E-2</v>
      </c>
      <c r="S5">
        <v>-2.9744E-2</v>
      </c>
      <c r="T5">
        <v>-3.3834999999999997E-2</v>
      </c>
    </row>
    <row r="6" spans="1:20" x14ac:dyDescent="0.25">
      <c r="A6">
        <v>2005</v>
      </c>
      <c r="B6">
        <v>-9.3946000000000002E-2</v>
      </c>
      <c r="C6">
        <v>-0.18842900000000001</v>
      </c>
      <c r="D6">
        <v>-0.21929000000000001</v>
      </c>
      <c r="E6">
        <v>5.2018000000000002E-2</v>
      </c>
      <c r="F6">
        <v>-0.17679300000000001</v>
      </c>
      <c r="G6">
        <v>-0.182838</v>
      </c>
      <c r="H6">
        <v>5.0200000000000002E-3</v>
      </c>
      <c r="I6">
        <v>0.28098600000000001</v>
      </c>
      <c r="J6">
        <v>0.23536299999999999</v>
      </c>
      <c r="K6">
        <v>9.5157000000000005E-2</v>
      </c>
      <c r="L6">
        <v>0.37911499999999998</v>
      </c>
      <c r="M6">
        <v>0.29824400000000001</v>
      </c>
      <c r="N6">
        <v>0.59040499999999996</v>
      </c>
      <c r="O6">
        <v>8.6121000000000003E-2</v>
      </c>
      <c r="P6">
        <v>-9.0279999999999996E-3</v>
      </c>
      <c r="Q6">
        <v>-10.214119999999999</v>
      </c>
      <c r="R6">
        <v>2.7980999999999999E-2</v>
      </c>
      <c r="S6">
        <v>-2.3529000000000001E-2</v>
      </c>
      <c r="T6">
        <v>-5.3087000000000002E-2</v>
      </c>
    </row>
    <row r="7" spans="1:20" x14ac:dyDescent="0.25">
      <c r="A7">
        <v>2010</v>
      </c>
      <c r="B7">
        <v>-0.11050699999999999</v>
      </c>
      <c r="C7">
        <v>-0.18005099999999999</v>
      </c>
      <c r="D7">
        <v>-0.299655</v>
      </c>
      <c r="E7">
        <v>9.3380000000000008E-3</v>
      </c>
      <c r="F7">
        <v>-0.19218199999999999</v>
      </c>
      <c r="G7">
        <v>-0.17399400000000001</v>
      </c>
      <c r="H7">
        <v>5.4380000000000001E-3</v>
      </c>
      <c r="I7">
        <v>0.34742099999999998</v>
      </c>
      <c r="J7">
        <v>0.30635200000000001</v>
      </c>
      <c r="K7">
        <v>0.17547099999999999</v>
      </c>
      <c r="L7">
        <v>0.43741000000000002</v>
      </c>
      <c r="M7">
        <v>0.33990500000000001</v>
      </c>
      <c r="N7">
        <v>0.61472700000000002</v>
      </c>
      <c r="O7">
        <v>0.19509099999999999</v>
      </c>
      <c r="P7">
        <v>1.9585999999999999E-2</v>
      </c>
      <c r="Q7">
        <v>-20.793659999999999</v>
      </c>
      <c r="R7">
        <v>5.3053000000000003E-2</v>
      </c>
      <c r="S7">
        <v>-2.4636000000000002E-2</v>
      </c>
      <c r="T7">
        <v>-6.5466999999999997E-2</v>
      </c>
    </row>
    <row r="8" spans="1:20" x14ac:dyDescent="0.25">
      <c r="A8">
        <v>2035</v>
      </c>
      <c r="B8">
        <v>-0.11404499999999999</v>
      </c>
      <c r="C8">
        <v>-0.16152</v>
      </c>
      <c r="D8">
        <v>-0.33762799999999998</v>
      </c>
      <c r="E8">
        <v>-2.0882000000000001E-2</v>
      </c>
      <c r="F8">
        <v>-0.19228500000000001</v>
      </c>
      <c r="G8">
        <v>-0.16137899999999999</v>
      </c>
      <c r="H8">
        <v>1.27E-4</v>
      </c>
      <c r="I8">
        <v>0.37195099999999998</v>
      </c>
      <c r="J8">
        <v>0.34020499999999998</v>
      </c>
      <c r="K8">
        <v>0.21785099999999999</v>
      </c>
      <c r="L8">
        <v>0.460843</v>
      </c>
      <c r="M8">
        <v>0.36336600000000002</v>
      </c>
      <c r="N8">
        <v>0.628911</v>
      </c>
      <c r="O8">
        <v>0.21816199999999999</v>
      </c>
      <c r="P8">
        <v>3.1E-4</v>
      </c>
      <c r="Q8">
        <v>-25.049769999999999</v>
      </c>
      <c r="R8">
        <v>5.8201999999999997E-2</v>
      </c>
      <c r="S8">
        <v>-2.9013000000000001E-2</v>
      </c>
      <c r="T8">
        <v>-5.1869999999999999E-2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204</v>
      </c>
      <c r="C1" t="s">
        <v>205</v>
      </c>
      <c r="D1" t="s">
        <v>206</v>
      </c>
      <c r="E1" t="s">
        <v>207</v>
      </c>
      <c r="F1" t="s">
        <v>208</v>
      </c>
      <c r="G1" t="s">
        <v>209</v>
      </c>
      <c r="H1" t="s">
        <v>210</v>
      </c>
      <c r="I1" t="s">
        <v>211</v>
      </c>
      <c r="J1" t="s">
        <v>212</v>
      </c>
      <c r="K1" t="s">
        <v>213</v>
      </c>
      <c r="L1" t="s">
        <v>214</v>
      </c>
      <c r="M1" t="s">
        <v>215</v>
      </c>
      <c r="N1" t="s">
        <v>216</v>
      </c>
      <c r="O1" t="s">
        <v>217</v>
      </c>
      <c r="P1" t="s">
        <v>218</v>
      </c>
      <c r="Q1" t="s">
        <v>219</v>
      </c>
      <c r="R1" t="s">
        <v>220</v>
      </c>
      <c r="S1" t="s">
        <v>221</v>
      </c>
      <c r="T1" t="s">
        <v>222</v>
      </c>
    </row>
    <row r="3" spans="1:20" x14ac:dyDescent="0.25">
      <c r="A3">
        <v>2001</v>
      </c>
      <c r="B3">
        <v>-0.56120899999999996</v>
      </c>
      <c r="C3">
        <v>-1.0668869999999999</v>
      </c>
      <c r="D3">
        <v>-0.50888199999999995</v>
      </c>
      <c r="E3">
        <v>-2.8719000000000001E-2</v>
      </c>
      <c r="F3">
        <v>-0.64275800000000005</v>
      </c>
      <c r="G3">
        <v>-1.5651790000000001</v>
      </c>
      <c r="H3">
        <v>-0.453683</v>
      </c>
      <c r="I3">
        <v>1.7828619999999999</v>
      </c>
      <c r="J3">
        <v>0.13427</v>
      </c>
      <c r="K3">
        <v>0.14019499999999999</v>
      </c>
      <c r="L3">
        <v>0.11796</v>
      </c>
      <c r="M3">
        <v>0.119767</v>
      </c>
      <c r="N3">
        <v>0.124598</v>
      </c>
      <c r="O3">
        <v>-0.242947</v>
      </c>
      <c r="P3">
        <v>-0.382606</v>
      </c>
      <c r="Q3">
        <v>-59.230840000000001</v>
      </c>
      <c r="R3">
        <v>0.17699000000000001</v>
      </c>
      <c r="S3">
        <v>0.16936200000000001</v>
      </c>
      <c r="T3">
        <v>0.42449500000000001</v>
      </c>
    </row>
    <row r="4" spans="1:20" x14ac:dyDescent="0.25">
      <c r="A4">
        <v>2002</v>
      </c>
      <c r="B4">
        <v>-0.80771000000000004</v>
      </c>
      <c r="C4">
        <v>-1.5047839999999999</v>
      </c>
      <c r="D4">
        <v>-0.88758499999999996</v>
      </c>
      <c r="E4">
        <v>-4.5539999999999997E-2</v>
      </c>
      <c r="F4">
        <v>-0.97400500000000001</v>
      </c>
      <c r="G4">
        <v>-1.578829</v>
      </c>
      <c r="H4">
        <v>-6.7426E-2</v>
      </c>
      <c r="I4">
        <v>1.731336</v>
      </c>
      <c r="J4">
        <v>0.10813300000000001</v>
      </c>
      <c r="K4">
        <v>0.10982599999999999</v>
      </c>
      <c r="L4">
        <v>9.7185999999999995E-2</v>
      </c>
      <c r="M4">
        <v>0.106082</v>
      </c>
      <c r="N4">
        <v>0.11211599999999999</v>
      </c>
      <c r="O4">
        <v>-5.7174000000000003E-2</v>
      </c>
      <c r="P4">
        <v>-0.16681699999999999</v>
      </c>
      <c r="Q4">
        <v>-126.812</v>
      </c>
      <c r="R4">
        <v>0.363535</v>
      </c>
      <c r="S4">
        <v>0.244758</v>
      </c>
      <c r="T4">
        <v>0.27584799999999998</v>
      </c>
    </row>
    <row r="5" spans="1:20" x14ac:dyDescent="0.25">
      <c r="A5">
        <v>2003</v>
      </c>
      <c r="B5">
        <v>-0.90161800000000003</v>
      </c>
      <c r="C5">
        <v>-1.6515200000000001</v>
      </c>
      <c r="D5">
        <v>-1.0893470000000001</v>
      </c>
      <c r="E5">
        <v>-4.7497999999999999E-2</v>
      </c>
      <c r="F5">
        <v>-1.093323</v>
      </c>
      <c r="G5">
        <v>-1.569466</v>
      </c>
      <c r="H5">
        <v>7.4712000000000001E-2</v>
      </c>
      <c r="I5">
        <v>1.6728810000000001</v>
      </c>
      <c r="J5">
        <v>6.5901000000000001E-2</v>
      </c>
      <c r="K5">
        <v>6.2881999999999993E-2</v>
      </c>
      <c r="L5">
        <v>6.3203999999999996E-2</v>
      </c>
      <c r="M5">
        <v>6.5120999999999998E-2</v>
      </c>
      <c r="N5">
        <v>6.7144999999999996E-2</v>
      </c>
      <c r="O5">
        <v>0.13952700000000001</v>
      </c>
      <c r="P5">
        <v>7.6595999999999997E-2</v>
      </c>
      <c r="Q5">
        <v>-179.94390000000001</v>
      </c>
      <c r="R5">
        <v>0.49809900000000001</v>
      </c>
      <c r="S5">
        <v>0.27372299999999999</v>
      </c>
      <c r="T5">
        <v>0.16648199999999999</v>
      </c>
    </row>
    <row r="6" spans="1:20" x14ac:dyDescent="0.25">
      <c r="A6">
        <v>2005</v>
      </c>
      <c r="B6">
        <v>-0.93782299999999996</v>
      </c>
      <c r="C6">
        <v>-1.688774</v>
      </c>
      <c r="D6">
        <v>-1.1784269999999999</v>
      </c>
      <c r="E6">
        <v>-3.6688999999999999E-2</v>
      </c>
      <c r="F6">
        <v>-1.0937680000000001</v>
      </c>
      <c r="G6">
        <v>-1.5891729999999999</v>
      </c>
      <c r="H6">
        <v>9.0705999999999995E-2</v>
      </c>
      <c r="I6">
        <v>1.6254420000000001</v>
      </c>
      <c r="J6">
        <v>5.8595000000000001E-2</v>
      </c>
      <c r="K6">
        <v>5.1090000000000003E-2</v>
      </c>
      <c r="L6">
        <v>6.3402E-2</v>
      </c>
      <c r="M6">
        <v>3.0195E-2</v>
      </c>
      <c r="N6">
        <v>2.0501999999999999E-2</v>
      </c>
      <c r="O6">
        <v>0.35778700000000002</v>
      </c>
      <c r="P6">
        <v>0.30653999999999998</v>
      </c>
      <c r="Q6">
        <v>-236.2612</v>
      </c>
      <c r="R6">
        <v>0.62187099999999995</v>
      </c>
      <c r="S6">
        <v>0.27823500000000001</v>
      </c>
      <c r="T6">
        <v>1.9651999999999999E-2</v>
      </c>
    </row>
    <row r="7" spans="1:20" x14ac:dyDescent="0.25">
      <c r="A7">
        <v>2010</v>
      </c>
      <c r="B7">
        <v>-0.86321899999999996</v>
      </c>
      <c r="C7">
        <v>-1.520079</v>
      </c>
      <c r="D7">
        <v>-1.0268619999999999</v>
      </c>
      <c r="E7">
        <v>-9.2108999999999996E-2</v>
      </c>
      <c r="F7">
        <v>-0.93994999999999995</v>
      </c>
      <c r="G7">
        <v>-1.485703</v>
      </c>
      <c r="H7">
        <v>3.1273000000000002E-2</v>
      </c>
      <c r="I7">
        <v>1.6892670000000001</v>
      </c>
      <c r="J7">
        <v>0.272928</v>
      </c>
      <c r="K7">
        <v>0.26433800000000002</v>
      </c>
      <c r="L7">
        <v>0.26587899999999998</v>
      </c>
      <c r="M7">
        <v>0.17832100000000001</v>
      </c>
      <c r="N7">
        <v>0.161495</v>
      </c>
      <c r="O7">
        <v>0.573268</v>
      </c>
      <c r="P7">
        <v>0.30811500000000003</v>
      </c>
      <c r="Q7">
        <v>-246.61609999999999</v>
      </c>
      <c r="R7">
        <v>0.61609499999999995</v>
      </c>
      <c r="S7">
        <v>0.22813800000000001</v>
      </c>
      <c r="T7">
        <v>-1.4057E-2</v>
      </c>
    </row>
    <row r="8" spans="1:20" x14ac:dyDescent="0.25">
      <c r="A8">
        <v>2035</v>
      </c>
      <c r="B8">
        <v>-0.51022299999999998</v>
      </c>
      <c r="C8">
        <v>-0.82416599999999995</v>
      </c>
      <c r="D8">
        <v>-0.119625</v>
      </c>
      <c r="E8">
        <v>-0.60946500000000003</v>
      </c>
      <c r="F8">
        <v>-0.53322800000000004</v>
      </c>
      <c r="G8">
        <v>-0.825021</v>
      </c>
      <c r="H8">
        <v>-7.7300000000000003E-4</v>
      </c>
      <c r="I8">
        <v>1.9104950000000001</v>
      </c>
      <c r="J8">
        <v>1.091737</v>
      </c>
      <c r="K8">
        <v>1.079442</v>
      </c>
      <c r="L8">
        <v>1.036062</v>
      </c>
      <c r="M8">
        <v>0.78357500000000002</v>
      </c>
      <c r="N8">
        <v>0.76307499999999995</v>
      </c>
      <c r="O8">
        <v>1.2886899999999999</v>
      </c>
      <c r="P8">
        <v>0.207013</v>
      </c>
      <c r="Q8">
        <v>-164.39019999999999</v>
      </c>
      <c r="R8">
        <v>0.38063999999999998</v>
      </c>
      <c r="S8">
        <v>7.2100000000000003E-3</v>
      </c>
      <c r="T8">
        <v>6.7025000000000001E-2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166</v>
      </c>
      <c r="C1" t="s">
        <v>167</v>
      </c>
      <c r="D1" t="s">
        <v>168</v>
      </c>
      <c r="E1" t="s">
        <v>169</v>
      </c>
      <c r="F1" t="s">
        <v>170</v>
      </c>
      <c r="G1" t="s">
        <v>171</v>
      </c>
      <c r="H1" t="s">
        <v>172</v>
      </c>
      <c r="I1" t="s">
        <v>173</v>
      </c>
      <c r="J1" t="s">
        <v>174</v>
      </c>
      <c r="K1" t="s">
        <v>175</v>
      </c>
      <c r="L1" t="s">
        <v>176</v>
      </c>
      <c r="M1" t="s">
        <v>177</v>
      </c>
      <c r="N1" t="s">
        <v>178</v>
      </c>
      <c r="O1" t="s">
        <v>179</v>
      </c>
      <c r="P1" t="s">
        <v>180</v>
      </c>
      <c r="Q1" t="s">
        <v>181</v>
      </c>
      <c r="R1" t="s">
        <v>182</v>
      </c>
      <c r="S1" t="s">
        <v>183</v>
      </c>
      <c r="T1" t="s">
        <v>184</v>
      </c>
    </row>
    <row r="3" spans="1:20" x14ac:dyDescent="0.25">
      <c r="A3">
        <v>2001</v>
      </c>
      <c r="B3">
        <v>0.53664299999999998</v>
      </c>
      <c r="C3">
        <v>1.0725990000000001</v>
      </c>
      <c r="D3">
        <v>0.26818599999999998</v>
      </c>
      <c r="E3">
        <v>1.1507E-2</v>
      </c>
      <c r="F3">
        <v>0.55729300000000004</v>
      </c>
      <c r="G3">
        <v>1.581323</v>
      </c>
      <c r="H3">
        <v>0.44883400000000001</v>
      </c>
      <c r="I3">
        <v>-7.7854000000000007E-2</v>
      </c>
      <c r="J3">
        <v>-8.1583000000000003E-2</v>
      </c>
      <c r="K3">
        <v>-8.4172999999999998E-2</v>
      </c>
      <c r="L3">
        <v>-7.4870000000000006E-2</v>
      </c>
      <c r="M3">
        <v>-4.7933000000000003E-2</v>
      </c>
      <c r="N3">
        <v>-4.104E-2</v>
      </c>
      <c r="O3">
        <v>-0.36480400000000002</v>
      </c>
      <c r="P3">
        <v>-0.28086699999999998</v>
      </c>
      <c r="Q3">
        <v>71.530760000000001</v>
      </c>
      <c r="R3">
        <v>-0.21359400000000001</v>
      </c>
      <c r="S3">
        <v>-0.13137199999999999</v>
      </c>
      <c r="T3">
        <v>-0.76557500000000001</v>
      </c>
    </row>
    <row r="4" spans="1:20" x14ac:dyDescent="0.25">
      <c r="A4">
        <v>2002</v>
      </c>
      <c r="B4">
        <v>0.84893600000000002</v>
      </c>
      <c r="C4">
        <v>1.668385</v>
      </c>
      <c r="D4">
        <v>0.55559499999999995</v>
      </c>
      <c r="E4">
        <v>2.7542000000000001E-2</v>
      </c>
      <c r="F4">
        <v>0.922844</v>
      </c>
      <c r="G4">
        <v>1.814565</v>
      </c>
      <c r="H4">
        <v>0.12867500000000001</v>
      </c>
      <c r="I4">
        <v>-0.13061300000000001</v>
      </c>
      <c r="J4">
        <v>-0.133434</v>
      </c>
      <c r="K4">
        <v>-0.13550300000000001</v>
      </c>
      <c r="L4">
        <v>-0.124389</v>
      </c>
      <c r="M4">
        <v>-8.1143999999999994E-2</v>
      </c>
      <c r="N4">
        <v>-7.0350999999999997E-2</v>
      </c>
      <c r="O4">
        <v>-0.45629599999999998</v>
      </c>
      <c r="P4">
        <v>-0.32122800000000001</v>
      </c>
      <c r="Q4">
        <v>156.84549999999999</v>
      </c>
      <c r="R4">
        <v>-0.44925500000000002</v>
      </c>
      <c r="S4">
        <v>-0.21559800000000001</v>
      </c>
      <c r="T4">
        <v>-0.52113100000000001</v>
      </c>
    </row>
    <row r="5" spans="1:20" x14ac:dyDescent="0.25">
      <c r="A5">
        <v>2003</v>
      </c>
      <c r="B5">
        <v>1.0530109999999999</v>
      </c>
      <c r="C5">
        <v>2.0421459999999998</v>
      </c>
      <c r="D5">
        <v>0.78888000000000003</v>
      </c>
      <c r="E5">
        <v>3.8116999999999998E-2</v>
      </c>
      <c r="F5">
        <v>1.16028</v>
      </c>
      <c r="G5">
        <v>2.04393</v>
      </c>
      <c r="H5">
        <v>1.567E-3</v>
      </c>
      <c r="I5">
        <v>-0.130853</v>
      </c>
      <c r="J5">
        <v>-0.12739900000000001</v>
      </c>
      <c r="K5">
        <v>-0.12631500000000001</v>
      </c>
      <c r="L5">
        <v>-0.12173100000000001</v>
      </c>
      <c r="M5">
        <v>-7.8437000000000007E-2</v>
      </c>
      <c r="N5">
        <v>-6.7414000000000002E-2</v>
      </c>
      <c r="O5">
        <v>-0.418014</v>
      </c>
      <c r="P5">
        <v>-0.29206799999999999</v>
      </c>
      <c r="Q5">
        <v>232.19059999999999</v>
      </c>
      <c r="R5">
        <v>-0.64305299999999999</v>
      </c>
      <c r="S5">
        <v>-0.26887899999999998</v>
      </c>
      <c r="T5">
        <v>-0.33175399999999999</v>
      </c>
    </row>
    <row r="6" spans="1:20" x14ac:dyDescent="0.25">
      <c r="A6">
        <v>2005</v>
      </c>
      <c r="B6">
        <v>1.2545820000000001</v>
      </c>
      <c r="C6">
        <v>2.405411</v>
      </c>
      <c r="D6">
        <v>1.0638879999999999</v>
      </c>
      <c r="E6">
        <v>1.932E-2</v>
      </c>
      <c r="F6">
        <v>1.3878140000000001</v>
      </c>
      <c r="G6">
        <v>2.3082400000000001</v>
      </c>
      <c r="H6">
        <v>-8.5122000000000003E-2</v>
      </c>
      <c r="I6">
        <v>2.1870000000000001E-3</v>
      </c>
      <c r="J6">
        <v>2.5010999999999999E-2</v>
      </c>
      <c r="K6">
        <v>3.2816999999999999E-2</v>
      </c>
      <c r="L6">
        <v>1.5099E-2</v>
      </c>
      <c r="M6">
        <v>2.5187999999999999E-2</v>
      </c>
      <c r="N6">
        <v>3.1662999999999997E-2</v>
      </c>
      <c r="O6">
        <v>-0.20685799999999999</v>
      </c>
      <c r="P6">
        <v>-0.239597</v>
      </c>
      <c r="Q6">
        <v>328.13510000000002</v>
      </c>
      <c r="R6">
        <v>-0.865093</v>
      </c>
      <c r="S6">
        <v>-0.32369500000000001</v>
      </c>
      <c r="T6">
        <v>-0.14261399999999999</v>
      </c>
    </row>
    <row r="7" spans="1:20" x14ac:dyDescent="0.25">
      <c r="A7">
        <v>2010</v>
      </c>
      <c r="B7">
        <v>1.1796390000000001</v>
      </c>
      <c r="C7">
        <v>2.310718</v>
      </c>
      <c r="D7">
        <v>1.1029850000000001</v>
      </c>
      <c r="E7">
        <v>-0.19336100000000001</v>
      </c>
      <c r="F7">
        <v>1.2987839999999999</v>
      </c>
      <c r="G7">
        <v>2.2527680000000001</v>
      </c>
      <c r="H7">
        <v>-5.0792999999999998E-2</v>
      </c>
      <c r="I7">
        <v>0.46479300000000001</v>
      </c>
      <c r="J7">
        <v>0.50771699999999997</v>
      </c>
      <c r="K7">
        <v>0.50892300000000001</v>
      </c>
      <c r="L7">
        <v>0.47424300000000003</v>
      </c>
      <c r="M7">
        <v>0.37652799999999997</v>
      </c>
      <c r="N7">
        <v>0.37591999999999998</v>
      </c>
      <c r="O7">
        <v>0.25436900000000001</v>
      </c>
      <c r="P7">
        <v>-0.25326500000000002</v>
      </c>
      <c r="Q7">
        <v>334.99810000000002</v>
      </c>
      <c r="R7">
        <v>-0.82960100000000003</v>
      </c>
      <c r="S7">
        <v>-0.34708800000000001</v>
      </c>
      <c r="T7">
        <v>-0.21618000000000001</v>
      </c>
    </row>
    <row r="8" spans="1:20" x14ac:dyDescent="0.25">
      <c r="A8">
        <v>2035</v>
      </c>
      <c r="B8">
        <v>1.0227550000000001</v>
      </c>
      <c r="C8">
        <v>2.0251649999999999</v>
      </c>
      <c r="D8">
        <v>0.73670400000000003</v>
      </c>
      <c r="E8">
        <v>-5.5749E-2</v>
      </c>
      <c r="F8">
        <v>1.1148400000000001</v>
      </c>
      <c r="G8">
        <v>2.0258940000000001</v>
      </c>
      <c r="H8">
        <v>6.4099999999999997E-4</v>
      </c>
      <c r="I8">
        <v>-1.1089999999999999E-2</v>
      </c>
      <c r="J8">
        <v>-7.3509999999999999E-3</v>
      </c>
      <c r="K8">
        <v>-8.737E-3</v>
      </c>
      <c r="L8">
        <v>-6.8329999999999997E-3</v>
      </c>
      <c r="M8">
        <v>9.9880000000000004E-3</v>
      </c>
      <c r="N8">
        <v>1.511E-2</v>
      </c>
      <c r="O8">
        <v>-0.22095200000000001</v>
      </c>
      <c r="P8">
        <v>-0.212233</v>
      </c>
      <c r="Q8">
        <v>294.90140000000002</v>
      </c>
      <c r="R8">
        <v>-0.68478499999999998</v>
      </c>
      <c r="S8">
        <v>-0.27759600000000001</v>
      </c>
      <c r="T8">
        <v>-0.41259400000000002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8"/>
  <sheetViews>
    <sheetView workbookViewId="0"/>
  </sheetViews>
  <sheetFormatPr baseColWidth="10" defaultRowHeight="15.75" x14ac:dyDescent="0.25"/>
  <sheetData>
    <row r="1" spans="1:20" x14ac:dyDescent="0.25">
      <c r="B1" t="s">
        <v>109</v>
      </c>
      <c r="C1" t="s">
        <v>110</v>
      </c>
      <c r="D1" t="s">
        <v>111</v>
      </c>
      <c r="E1" t="s">
        <v>112</v>
      </c>
      <c r="F1" t="s">
        <v>113</v>
      </c>
      <c r="G1" t="s">
        <v>114</v>
      </c>
      <c r="H1" t="s">
        <v>115</v>
      </c>
      <c r="I1" t="s">
        <v>116</v>
      </c>
      <c r="J1" t="s">
        <v>117</v>
      </c>
      <c r="K1" t="s">
        <v>118</v>
      </c>
      <c r="L1" t="s">
        <v>119</v>
      </c>
      <c r="M1" t="s">
        <v>120</v>
      </c>
      <c r="N1" t="s">
        <v>121</v>
      </c>
      <c r="O1" t="s">
        <v>122</v>
      </c>
      <c r="P1" t="s">
        <v>123</v>
      </c>
      <c r="Q1" t="s">
        <v>124</v>
      </c>
      <c r="R1" t="s">
        <v>125</v>
      </c>
      <c r="S1" t="s">
        <v>126</v>
      </c>
      <c r="T1" t="s">
        <v>127</v>
      </c>
    </row>
    <row r="3" spans="1:20" x14ac:dyDescent="0.25">
      <c r="A3">
        <v>2001</v>
      </c>
      <c r="B3">
        <v>0.83602900000000002</v>
      </c>
      <c r="C3">
        <v>0.65837100000000004</v>
      </c>
      <c r="D3">
        <v>0.40643499999999999</v>
      </c>
      <c r="E3">
        <v>-3.9146E-2</v>
      </c>
      <c r="F3">
        <v>0.56550100000000003</v>
      </c>
      <c r="G3">
        <v>0.96968799999999999</v>
      </c>
      <c r="H3">
        <v>0.27633000000000002</v>
      </c>
      <c r="I3">
        <v>0.24811800000000001</v>
      </c>
      <c r="J3">
        <v>0.265764</v>
      </c>
      <c r="K3">
        <v>0.27297500000000002</v>
      </c>
      <c r="L3">
        <v>0.24451400000000001</v>
      </c>
      <c r="M3">
        <v>0.163275</v>
      </c>
      <c r="N3">
        <v>0.14871300000000001</v>
      </c>
      <c r="O3">
        <v>0.42334100000000002</v>
      </c>
      <c r="P3">
        <v>0.14995600000000001</v>
      </c>
      <c r="Q3">
        <v>123.273</v>
      </c>
      <c r="R3">
        <v>-0.36799700000000002</v>
      </c>
      <c r="S3">
        <v>-0.128439</v>
      </c>
      <c r="T3">
        <v>-0.52632000000000001</v>
      </c>
    </row>
    <row r="4" spans="1:20" x14ac:dyDescent="0.25">
      <c r="A4">
        <v>2002</v>
      </c>
      <c r="B4">
        <v>1.0448170000000001</v>
      </c>
      <c r="C4">
        <v>1.106028</v>
      </c>
      <c r="D4">
        <v>0.70689100000000005</v>
      </c>
      <c r="E4">
        <v>-0.136961</v>
      </c>
      <c r="F4">
        <v>0.86226000000000003</v>
      </c>
      <c r="G4">
        <v>1.2345820000000001</v>
      </c>
      <c r="H4">
        <v>0.11380800000000001</v>
      </c>
      <c r="I4">
        <v>0.65778899999999996</v>
      </c>
      <c r="J4">
        <v>0.70340000000000003</v>
      </c>
      <c r="K4">
        <v>0.71614900000000004</v>
      </c>
      <c r="L4">
        <v>0.65138799999999997</v>
      </c>
      <c r="M4">
        <v>0.45791799999999999</v>
      </c>
      <c r="N4">
        <v>0.42747000000000002</v>
      </c>
      <c r="O4">
        <v>0.92750100000000002</v>
      </c>
      <c r="P4">
        <v>0.20985000000000001</v>
      </c>
      <c r="Q4">
        <v>222.77520000000001</v>
      </c>
      <c r="R4">
        <v>-0.632525</v>
      </c>
      <c r="S4">
        <v>-0.21438199999999999</v>
      </c>
      <c r="T4">
        <v>-0.283752</v>
      </c>
    </row>
    <row r="5" spans="1:20" x14ac:dyDescent="0.25">
      <c r="A5">
        <v>2003</v>
      </c>
      <c r="B5">
        <v>1.146131</v>
      </c>
      <c r="C5">
        <v>1.369097</v>
      </c>
      <c r="D5">
        <v>0.88681500000000002</v>
      </c>
      <c r="E5">
        <v>-0.29461399999999999</v>
      </c>
      <c r="F5">
        <v>1.0148109999999999</v>
      </c>
      <c r="G5">
        <v>1.3760810000000001</v>
      </c>
      <c r="H5">
        <v>6.1739999999999998E-3</v>
      </c>
      <c r="I5">
        <v>1.155724</v>
      </c>
      <c r="J5">
        <v>1.2319739999999999</v>
      </c>
      <c r="K5">
        <v>1.245263</v>
      </c>
      <c r="L5">
        <v>1.1473850000000001</v>
      </c>
      <c r="M5">
        <v>0.83308899999999997</v>
      </c>
      <c r="N5">
        <v>0.78998699999999999</v>
      </c>
      <c r="O5">
        <v>1.4653290000000001</v>
      </c>
      <c r="P5">
        <v>0.21736</v>
      </c>
      <c r="Q5">
        <v>288.08139999999997</v>
      </c>
      <c r="R5">
        <v>-0.78711799999999998</v>
      </c>
      <c r="S5">
        <v>-0.28023700000000001</v>
      </c>
      <c r="T5">
        <v>-0.13894300000000001</v>
      </c>
    </row>
    <row r="6" spans="1:20" x14ac:dyDescent="0.25">
      <c r="A6">
        <v>2005</v>
      </c>
      <c r="B6">
        <v>1.115969</v>
      </c>
      <c r="C6">
        <v>1.50749</v>
      </c>
      <c r="D6">
        <v>0.98234600000000005</v>
      </c>
      <c r="E6">
        <v>-0.74142399999999997</v>
      </c>
      <c r="F6">
        <v>1.031156</v>
      </c>
      <c r="G6">
        <v>1.4139699999999999</v>
      </c>
      <c r="H6">
        <v>-8.2645999999999997E-2</v>
      </c>
      <c r="I6">
        <v>2.209562</v>
      </c>
      <c r="J6">
        <v>2.336964</v>
      </c>
      <c r="K6">
        <v>2.336751</v>
      </c>
      <c r="L6">
        <v>2.1965140000000001</v>
      </c>
      <c r="M6">
        <v>1.647964</v>
      </c>
      <c r="N6">
        <v>1.5903309999999999</v>
      </c>
      <c r="O6">
        <v>2.533563</v>
      </c>
      <c r="P6">
        <v>0.19231799999999999</v>
      </c>
      <c r="Q6">
        <v>324.2978</v>
      </c>
      <c r="R6">
        <v>-0.83701300000000001</v>
      </c>
      <c r="S6">
        <v>-0.377863</v>
      </c>
      <c r="T6">
        <v>-4.5709E-2</v>
      </c>
    </row>
    <row r="7" spans="1:20" x14ac:dyDescent="0.25">
      <c r="A7">
        <v>2010</v>
      </c>
      <c r="B7">
        <v>0.62704899999999997</v>
      </c>
      <c r="C7">
        <v>1.0995649999999999</v>
      </c>
      <c r="D7">
        <v>0.77080800000000005</v>
      </c>
      <c r="E7">
        <v>-1.934151</v>
      </c>
      <c r="F7">
        <v>0.57847300000000001</v>
      </c>
      <c r="G7">
        <v>1.0628919999999999</v>
      </c>
      <c r="H7">
        <v>-3.2521000000000001E-2</v>
      </c>
      <c r="I7">
        <v>4.101413</v>
      </c>
      <c r="J7">
        <v>4.2755700000000001</v>
      </c>
      <c r="K7">
        <v>4.2222840000000001</v>
      </c>
      <c r="L7">
        <v>4.0661610000000001</v>
      </c>
      <c r="M7">
        <v>3.0941689999999999</v>
      </c>
      <c r="N7">
        <v>3.023352</v>
      </c>
      <c r="O7">
        <v>4.4909189999999999</v>
      </c>
      <c r="P7">
        <v>0.25775199999999998</v>
      </c>
      <c r="Q7">
        <v>162.7551</v>
      </c>
      <c r="R7">
        <v>-0.38001600000000002</v>
      </c>
      <c r="S7">
        <v>-0.53755299999999995</v>
      </c>
      <c r="T7">
        <v>-0.20473</v>
      </c>
    </row>
    <row r="8" spans="1:20" x14ac:dyDescent="0.25">
      <c r="A8">
        <v>2035</v>
      </c>
      <c r="B8">
        <v>2.963E-2</v>
      </c>
      <c r="C8">
        <v>0.10209</v>
      </c>
      <c r="D8">
        <v>0.27909200000000001</v>
      </c>
      <c r="E8">
        <v>-1.565699</v>
      </c>
      <c r="F8">
        <v>-5.9778999999999999E-2</v>
      </c>
      <c r="G8">
        <v>0.10573</v>
      </c>
      <c r="H8">
        <v>3.2590000000000002E-3</v>
      </c>
      <c r="I8">
        <v>2.2763520000000002</v>
      </c>
      <c r="J8">
        <v>2.3622990000000001</v>
      </c>
      <c r="K8">
        <v>2.322508</v>
      </c>
      <c r="L8">
        <v>2.2527469999999998</v>
      </c>
      <c r="M8">
        <v>1.74336</v>
      </c>
      <c r="N8">
        <v>1.706108</v>
      </c>
      <c r="O8">
        <v>2.532238</v>
      </c>
      <c r="P8">
        <v>0.20497000000000001</v>
      </c>
      <c r="Q8">
        <v>-6.0489899999999999</v>
      </c>
      <c r="R8">
        <v>1.2658000000000001E-2</v>
      </c>
      <c r="S8">
        <v>-0.327762</v>
      </c>
      <c r="T8">
        <v>-0.47009899999999999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G20"/>
  <sheetViews>
    <sheetView showGridLines="0" workbookViewId="0">
      <selection activeCell="C5" sqref="C5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27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TRANSPOSE(ResultsCSE!$B$3:$T$8)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G20"/>
  <sheetViews>
    <sheetView showGridLines="0" workbookViewId="0">
      <selection activeCell="B2" sqref="B2"/>
    </sheetView>
  </sheetViews>
  <sheetFormatPr baseColWidth="10" defaultColWidth="11" defaultRowHeight="15.75" x14ac:dyDescent="0.25"/>
  <cols>
    <col min="1" max="1" width="33.625" customWidth="1"/>
  </cols>
  <sheetData>
    <row r="1" spans="1:7" ht="31.5" x14ac:dyDescent="0.25">
      <c r="A1" s="4" t="s">
        <v>25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TRANSPOSE(ResultsELEC!$B$3:$T$8)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T8"/>
  <sheetViews>
    <sheetView workbookViewId="0">
      <selection activeCell="I22" sqref="I22"/>
    </sheetView>
  </sheetViews>
  <sheetFormatPr baseColWidth="10" defaultColWidth="11" defaultRowHeight="15.75" x14ac:dyDescent="0.25"/>
  <sheetData>
    <row r="1" spans="1:20" x14ac:dyDescent="0.25">
      <c r="B1" t="s">
        <v>128</v>
      </c>
      <c r="C1" t="s">
        <v>129</v>
      </c>
      <c r="D1" t="s">
        <v>130</v>
      </c>
      <c r="E1" t="s">
        <v>131</v>
      </c>
      <c r="F1" t="s">
        <v>132</v>
      </c>
      <c r="G1" t="s">
        <v>133</v>
      </c>
      <c r="H1" t="s">
        <v>134</v>
      </c>
      <c r="I1" t="s">
        <v>135</v>
      </c>
      <c r="J1" t="s">
        <v>136</v>
      </c>
      <c r="K1" t="s">
        <v>137</v>
      </c>
      <c r="L1" t="s">
        <v>138</v>
      </c>
      <c r="M1" t="s">
        <v>139</v>
      </c>
      <c r="N1" t="s">
        <v>140</v>
      </c>
      <c r="O1" t="s">
        <v>141</v>
      </c>
      <c r="P1" t="s">
        <v>142</v>
      </c>
      <c r="Q1" t="s">
        <v>143</v>
      </c>
      <c r="R1" t="s">
        <v>144</v>
      </c>
      <c r="S1" t="s">
        <v>145</v>
      </c>
      <c r="T1" t="s">
        <v>146</v>
      </c>
    </row>
    <row r="3" spans="1:20" x14ac:dyDescent="0.25">
      <c r="A3">
        <v>2001</v>
      </c>
      <c r="B3">
        <v>0.14971200000000001</v>
      </c>
      <c r="C3">
        <v>-7.9469999999999999E-2</v>
      </c>
      <c r="D3">
        <v>8.2735000000000003E-2</v>
      </c>
      <c r="E3">
        <v>0.82541399999999998</v>
      </c>
      <c r="F3">
        <v>5.5669999999999997E-2</v>
      </c>
      <c r="G3">
        <v>-0.116925</v>
      </c>
      <c r="H3">
        <v>-3.3607999999999999E-2</v>
      </c>
      <c r="I3">
        <v>0.39893899999999999</v>
      </c>
      <c r="J3">
        <v>0.21071300000000001</v>
      </c>
      <c r="K3">
        <v>0.29470800000000003</v>
      </c>
      <c r="L3">
        <v>0.43591099999999999</v>
      </c>
      <c r="M3">
        <v>1.464547</v>
      </c>
      <c r="N3">
        <v>1.491749</v>
      </c>
      <c r="O3">
        <v>8.4624000000000005E-2</v>
      </c>
      <c r="P3">
        <v>-0.20946600000000001</v>
      </c>
      <c r="Q3">
        <v>27.367519999999999</v>
      </c>
      <c r="R3">
        <v>-8.1739999999999993E-2</v>
      </c>
      <c r="S3">
        <v>0.150843</v>
      </c>
      <c r="T3">
        <v>5.9895999999999998E-2</v>
      </c>
    </row>
    <row r="4" spans="1:20" x14ac:dyDescent="0.25">
      <c r="A4">
        <v>2002</v>
      </c>
      <c r="B4">
        <v>0.29554999999999998</v>
      </c>
      <c r="C4">
        <v>-2.8340000000000001E-2</v>
      </c>
      <c r="D4">
        <v>0.20995800000000001</v>
      </c>
      <c r="E4">
        <v>1.3488059999999999</v>
      </c>
      <c r="F4">
        <v>0.17860400000000001</v>
      </c>
      <c r="G4">
        <v>5.5830000000000003E-3</v>
      </c>
      <c r="H4">
        <v>3.0401000000000001E-2</v>
      </c>
      <c r="I4">
        <v>0.673184</v>
      </c>
      <c r="J4">
        <v>0.48895699999999997</v>
      </c>
      <c r="K4">
        <v>0.55246700000000004</v>
      </c>
      <c r="L4">
        <v>0.71411500000000006</v>
      </c>
      <c r="M4">
        <v>1.7086049999999999</v>
      </c>
      <c r="N4">
        <v>1.7527429999999999</v>
      </c>
      <c r="O4">
        <v>0.34667199999999998</v>
      </c>
      <c r="P4">
        <v>-0.20466400000000001</v>
      </c>
      <c r="Q4">
        <v>68.907139999999998</v>
      </c>
      <c r="R4">
        <v>-0.19847300000000001</v>
      </c>
      <c r="S4">
        <v>0.242641</v>
      </c>
      <c r="T4">
        <v>0.178341</v>
      </c>
    </row>
    <row r="5" spans="1:20" x14ac:dyDescent="0.25">
      <c r="A5">
        <v>2003</v>
      </c>
      <c r="B5">
        <v>0.426008</v>
      </c>
      <c r="C5">
        <v>8.9534000000000002E-2</v>
      </c>
      <c r="D5">
        <v>0.34045599999999998</v>
      </c>
      <c r="E5">
        <v>1.6491849999999999</v>
      </c>
      <c r="F5">
        <v>0.31081199999999998</v>
      </c>
      <c r="G5">
        <v>0.145953</v>
      </c>
      <c r="H5">
        <v>5.049E-2</v>
      </c>
      <c r="I5">
        <v>1.0179819999999999</v>
      </c>
      <c r="J5">
        <v>0.84386499999999998</v>
      </c>
      <c r="K5">
        <v>0.89258099999999996</v>
      </c>
      <c r="L5">
        <v>1.0593509999999999</v>
      </c>
      <c r="M5">
        <v>1.9907950000000001</v>
      </c>
      <c r="N5">
        <v>2.0410490000000001</v>
      </c>
      <c r="O5">
        <v>0.71535800000000005</v>
      </c>
      <c r="P5">
        <v>-0.17565500000000001</v>
      </c>
      <c r="Q5">
        <v>113.14619999999999</v>
      </c>
      <c r="R5">
        <v>-0.31621500000000002</v>
      </c>
      <c r="S5">
        <v>0.282078</v>
      </c>
      <c r="T5">
        <v>0.29403499999999999</v>
      </c>
    </row>
    <row r="6" spans="1:20" x14ac:dyDescent="0.25">
      <c r="A6">
        <v>2005</v>
      </c>
      <c r="B6">
        <v>0.59332099999999999</v>
      </c>
      <c r="C6">
        <v>0.338451</v>
      </c>
      <c r="D6">
        <v>0.54113999999999995</v>
      </c>
      <c r="E6">
        <v>1.7980989999999999</v>
      </c>
      <c r="F6">
        <v>0.51028899999999999</v>
      </c>
      <c r="G6">
        <v>0.36650300000000002</v>
      </c>
      <c r="H6">
        <v>2.5048999999999998E-2</v>
      </c>
      <c r="I6">
        <v>1.869094</v>
      </c>
      <c r="J6">
        <v>1.7282679999999999</v>
      </c>
      <c r="K6">
        <v>1.7583960000000001</v>
      </c>
      <c r="L6">
        <v>1.904625</v>
      </c>
      <c r="M6">
        <v>2.6465999999999998</v>
      </c>
      <c r="N6">
        <v>2.6888610000000002</v>
      </c>
      <c r="O6">
        <v>1.6316379999999999</v>
      </c>
      <c r="P6">
        <v>-0.124567</v>
      </c>
      <c r="Q6">
        <v>180.6865</v>
      </c>
      <c r="R6">
        <v>-0.48116199999999998</v>
      </c>
      <c r="S6">
        <v>0.27562900000000001</v>
      </c>
      <c r="T6">
        <v>0.45472000000000001</v>
      </c>
    </row>
    <row r="7" spans="1:20" x14ac:dyDescent="0.25">
      <c r="A7">
        <v>2010</v>
      </c>
      <c r="B7">
        <v>0.525115</v>
      </c>
      <c r="C7">
        <v>0.51092599999999999</v>
      </c>
      <c r="D7">
        <v>0.678199</v>
      </c>
      <c r="E7">
        <v>1.0020789999999999</v>
      </c>
      <c r="F7">
        <v>0.538968</v>
      </c>
      <c r="G7">
        <v>0.48550700000000002</v>
      </c>
      <c r="H7">
        <v>-2.2671E-2</v>
      </c>
      <c r="I7">
        <v>4.125648</v>
      </c>
      <c r="J7">
        <v>4.0704950000000002</v>
      </c>
      <c r="K7">
        <v>4.0657399999999999</v>
      </c>
      <c r="L7">
        <v>4.1333780000000004</v>
      </c>
      <c r="M7">
        <v>4.3318450000000004</v>
      </c>
      <c r="N7">
        <v>4.3285390000000001</v>
      </c>
      <c r="O7">
        <v>4.0512280000000001</v>
      </c>
      <c r="P7">
        <v>-1.3945000000000001E-2</v>
      </c>
      <c r="Q7">
        <v>165.82560000000001</v>
      </c>
      <c r="R7">
        <v>-0.40436499999999997</v>
      </c>
      <c r="S7">
        <v>0.10426299999999999</v>
      </c>
      <c r="T7">
        <v>0.47790199999999999</v>
      </c>
    </row>
    <row r="8" spans="1:20" x14ac:dyDescent="0.25">
      <c r="A8">
        <v>2035</v>
      </c>
      <c r="B8">
        <v>-1.8964999999999999E-2</v>
      </c>
      <c r="C8">
        <v>-5.3635000000000002E-2</v>
      </c>
      <c r="D8">
        <v>0.68053900000000001</v>
      </c>
      <c r="E8">
        <v>-0.498255</v>
      </c>
      <c r="F8">
        <v>1.2700000000000001E-3</v>
      </c>
      <c r="G8">
        <v>-5.1538E-2</v>
      </c>
      <c r="H8">
        <v>1.8799999999999999E-3</v>
      </c>
      <c r="I8">
        <v>5.718337</v>
      </c>
      <c r="J8">
        <v>5.7221320000000002</v>
      </c>
      <c r="K8">
        <v>5.6880639999999998</v>
      </c>
      <c r="L8">
        <v>5.7088869999999998</v>
      </c>
      <c r="M8">
        <v>5.545064</v>
      </c>
      <c r="N8">
        <v>5.5157400000000001</v>
      </c>
      <c r="O8">
        <v>5.879454</v>
      </c>
      <c r="P8">
        <v>0.181089</v>
      </c>
      <c r="Q8">
        <v>-30.679690000000001</v>
      </c>
      <c r="R8">
        <v>7.0222000000000007E-2</v>
      </c>
      <c r="S8">
        <v>-0.10662099999999999</v>
      </c>
      <c r="T8">
        <v>-4.4868999999999999E-2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T8"/>
  <sheetViews>
    <sheetView workbookViewId="0">
      <selection activeCell="R17" sqref="A1:R17"/>
    </sheetView>
  </sheetViews>
  <sheetFormatPr baseColWidth="10" defaultColWidth="11" defaultRowHeight="15.75" x14ac:dyDescent="0.25"/>
  <sheetData>
    <row r="1" spans="1:20" x14ac:dyDescent="0.25">
      <c r="B1" t="s">
        <v>185</v>
      </c>
      <c r="C1" t="s">
        <v>186</v>
      </c>
      <c r="D1" t="s">
        <v>187</v>
      </c>
      <c r="E1" t="s">
        <v>188</v>
      </c>
      <c r="F1" t="s">
        <v>189</v>
      </c>
      <c r="G1" t="s">
        <v>190</v>
      </c>
      <c r="H1" t="s">
        <v>191</v>
      </c>
      <c r="I1" t="s">
        <v>192</v>
      </c>
      <c r="J1" t="s">
        <v>193</v>
      </c>
      <c r="K1" t="s">
        <v>194</v>
      </c>
      <c r="L1" t="s">
        <v>195</v>
      </c>
      <c r="M1" t="s">
        <v>196</v>
      </c>
      <c r="N1" t="s">
        <v>197</v>
      </c>
      <c r="O1" t="s">
        <v>198</v>
      </c>
      <c r="P1" t="s">
        <v>199</v>
      </c>
      <c r="Q1" t="s">
        <v>200</v>
      </c>
      <c r="R1" t="s">
        <v>201</v>
      </c>
      <c r="S1" t="s">
        <v>202</v>
      </c>
      <c r="T1" t="s">
        <v>203</v>
      </c>
    </row>
    <row r="3" spans="1:20" x14ac:dyDescent="0.25">
      <c r="A3">
        <v>2001</v>
      </c>
      <c r="B3">
        <v>0.16609399999999999</v>
      </c>
      <c r="C3">
        <v>0.27947699999999998</v>
      </c>
      <c r="D3">
        <v>4.6322000000000002E-2</v>
      </c>
      <c r="E3">
        <v>0.117409</v>
      </c>
      <c r="F3">
        <v>0.13075600000000001</v>
      </c>
      <c r="G3">
        <v>0.41123399999999999</v>
      </c>
      <c r="H3">
        <v>0.1176</v>
      </c>
      <c r="I3">
        <v>-0.72675400000000001</v>
      </c>
      <c r="J3">
        <v>-0.76963700000000002</v>
      </c>
      <c r="K3">
        <v>-0.78558499999999998</v>
      </c>
      <c r="L3">
        <v>-0.71151399999999998</v>
      </c>
      <c r="M3">
        <v>-0.48770400000000003</v>
      </c>
      <c r="N3">
        <v>-0.44233</v>
      </c>
      <c r="O3">
        <v>-0.52356000000000003</v>
      </c>
      <c r="P3">
        <v>-1.2409030000000001</v>
      </c>
      <c r="Q3">
        <v>26.180399999999999</v>
      </c>
      <c r="R3">
        <v>-7.8195000000000001E-2</v>
      </c>
      <c r="S3">
        <v>-2.1395000000000001E-2</v>
      </c>
      <c r="T3">
        <v>-0.67594100000000001</v>
      </c>
    </row>
    <row r="4" spans="1:20" x14ac:dyDescent="0.25">
      <c r="A4">
        <v>2002</v>
      </c>
      <c r="B4">
        <v>0.40746100000000002</v>
      </c>
      <c r="C4">
        <v>0.657775</v>
      </c>
      <c r="D4">
        <v>0.20314199999999999</v>
      </c>
      <c r="E4">
        <v>0.321328</v>
      </c>
      <c r="F4">
        <v>0.35422399999999998</v>
      </c>
      <c r="G4">
        <v>0.80119300000000004</v>
      </c>
      <c r="H4">
        <v>0.12751299999999999</v>
      </c>
      <c r="I4">
        <v>-1.4108309999999999</v>
      </c>
      <c r="J4">
        <v>-1.4867760000000001</v>
      </c>
      <c r="K4">
        <v>-1.501476</v>
      </c>
      <c r="L4">
        <v>-1.3863829999999999</v>
      </c>
      <c r="M4">
        <v>-0.98950800000000005</v>
      </c>
      <c r="N4">
        <v>-0.92141200000000001</v>
      </c>
      <c r="O4">
        <v>-0.95304999999999995</v>
      </c>
      <c r="P4">
        <v>-0.95260999999999996</v>
      </c>
      <c r="Q4">
        <v>75.882019999999997</v>
      </c>
      <c r="R4">
        <v>-0.21952099999999999</v>
      </c>
      <c r="S4">
        <v>-3.7013999999999998E-2</v>
      </c>
      <c r="T4">
        <v>-0.40120600000000001</v>
      </c>
    </row>
    <row r="5" spans="1:20" x14ac:dyDescent="0.25">
      <c r="A5">
        <v>2003</v>
      </c>
      <c r="B5">
        <v>0.64720200000000006</v>
      </c>
      <c r="C5">
        <v>1.00519</v>
      </c>
      <c r="D5">
        <v>0.405115</v>
      </c>
      <c r="E5">
        <v>0.57469300000000001</v>
      </c>
      <c r="F5">
        <v>0.59256699999999995</v>
      </c>
      <c r="G5">
        <v>1.095777</v>
      </c>
      <c r="H5">
        <v>8.0306000000000002E-2</v>
      </c>
      <c r="I5">
        <v>-2.0015269999999998</v>
      </c>
      <c r="J5">
        <v>-2.098017</v>
      </c>
      <c r="K5">
        <v>-2.1007069999999999</v>
      </c>
      <c r="L5">
        <v>-1.9703470000000001</v>
      </c>
      <c r="M5">
        <v>-1.4414480000000001</v>
      </c>
      <c r="N5">
        <v>-1.364655</v>
      </c>
      <c r="O5">
        <v>-1.358036</v>
      </c>
      <c r="P5">
        <v>-0.75381799999999999</v>
      </c>
      <c r="Q5">
        <v>138.61879999999999</v>
      </c>
      <c r="R5">
        <v>-0.39017499999999999</v>
      </c>
      <c r="S5">
        <v>-3.9646000000000001E-2</v>
      </c>
      <c r="T5">
        <v>-0.198965</v>
      </c>
    </row>
    <row r="6" spans="1:20" x14ac:dyDescent="0.25">
      <c r="A6">
        <v>2005</v>
      </c>
      <c r="B6">
        <v>0.99487499999999995</v>
      </c>
      <c r="C6">
        <v>1.426693</v>
      </c>
      <c r="D6">
        <v>0.74197400000000002</v>
      </c>
      <c r="E6">
        <v>1.1154269999999999</v>
      </c>
      <c r="F6">
        <v>0.94266000000000005</v>
      </c>
      <c r="G6">
        <v>1.398909</v>
      </c>
      <c r="H6">
        <v>-2.4556999999999999E-2</v>
      </c>
      <c r="I6">
        <v>-2.9023979999999998</v>
      </c>
      <c r="J6">
        <v>-3.014602</v>
      </c>
      <c r="K6">
        <v>-2.9836499999999999</v>
      </c>
      <c r="L6">
        <v>-2.8594469999999998</v>
      </c>
      <c r="M6">
        <v>-2.140104</v>
      </c>
      <c r="N6">
        <v>-2.0616249999999998</v>
      </c>
      <c r="O6">
        <v>-2.1273900000000001</v>
      </c>
      <c r="P6">
        <v>-0.63169200000000003</v>
      </c>
      <c r="Q6">
        <v>261.72629999999998</v>
      </c>
      <c r="R6">
        <v>-0.70448999999999995</v>
      </c>
      <c r="S6">
        <v>-2.9399999999999999E-4</v>
      </c>
      <c r="T6">
        <v>1.3266999999999999E-2</v>
      </c>
    </row>
    <row r="7" spans="1:20" x14ac:dyDescent="0.25">
      <c r="A7">
        <v>2010</v>
      </c>
      <c r="B7">
        <v>1.223136</v>
      </c>
      <c r="C7">
        <v>1.4288460000000001</v>
      </c>
      <c r="D7">
        <v>0.80618400000000001</v>
      </c>
      <c r="E7">
        <v>2.1894179999999999</v>
      </c>
      <c r="F7">
        <v>1.091817</v>
      </c>
      <c r="G7">
        <v>1.3815740000000001</v>
      </c>
      <c r="H7">
        <v>-4.1790000000000001E-2</v>
      </c>
      <c r="I7">
        <v>-4.2578930000000001</v>
      </c>
      <c r="J7">
        <v>-4.3963369999999999</v>
      </c>
      <c r="K7">
        <v>-4.3199680000000003</v>
      </c>
      <c r="L7">
        <v>-4.1952499999999997</v>
      </c>
      <c r="M7">
        <v>-3.1632470000000001</v>
      </c>
      <c r="N7">
        <v>-3.0742799999999999</v>
      </c>
      <c r="O7">
        <v>-3.713374</v>
      </c>
      <c r="P7">
        <v>-0.87657200000000002</v>
      </c>
      <c r="Q7">
        <v>407.38529999999997</v>
      </c>
      <c r="R7">
        <v>-1.028187</v>
      </c>
      <c r="S7">
        <v>0.20846500000000001</v>
      </c>
      <c r="T7">
        <v>3.5295E-2</v>
      </c>
    </row>
    <row r="8" spans="1:20" x14ac:dyDescent="0.25">
      <c r="A8">
        <v>2035</v>
      </c>
      <c r="B8">
        <v>1.4718340000000001</v>
      </c>
      <c r="C8">
        <v>1.6477619999999999</v>
      </c>
      <c r="D8">
        <v>0.18999199999999999</v>
      </c>
      <c r="E8">
        <v>3.467851</v>
      </c>
      <c r="F8">
        <v>1.3343290000000001</v>
      </c>
      <c r="G8">
        <v>1.6463589999999999</v>
      </c>
      <c r="H8">
        <v>-1.237E-3</v>
      </c>
      <c r="I8">
        <v>-5.5077579999999999</v>
      </c>
      <c r="J8">
        <v>-5.716259</v>
      </c>
      <c r="K8">
        <v>-5.6219739999999998</v>
      </c>
      <c r="L8">
        <v>-5.4433850000000001</v>
      </c>
      <c r="M8">
        <v>-4.1482270000000003</v>
      </c>
      <c r="N8">
        <v>-4.0428350000000002</v>
      </c>
      <c r="O8">
        <v>-5.1191449999999996</v>
      </c>
      <c r="P8">
        <v>-0.97625300000000004</v>
      </c>
      <c r="Q8">
        <v>509.63709999999998</v>
      </c>
      <c r="R8">
        <v>-1.18041</v>
      </c>
      <c r="S8">
        <v>0.44004599999999999</v>
      </c>
      <c r="T8">
        <v>0.286555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"/>
  <sheetViews>
    <sheetView workbookViewId="0">
      <selection activeCell="R17" sqref="A1:R17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G20"/>
  <sheetViews>
    <sheetView showGridLines="0" workbookViewId="0">
      <selection activeCell="B4" sqref="B4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26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TRANSPOSE(ResultsVAT!$B$3:$T$8)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G20"/>
  <sheetViews>
    <sheetView showGridLines="0" workbookViewId="0">
      <selection activeCell="G12" sqref="G12"/>
    </sheetView>
  </sheetViews>
  <sheetFormatPr baseColWidth="10" defaultColWidth="11" defaultRowHeight="15.75" x14ac:dyDescent="0.25"/>
  <cols>
    <col min="1" max="1" width="33.625" customWidth="1"/>
    <col min="2" max="7" width="16" bestFit="1" customWidth="1"/>
  </cols>
  <sheetData>
    <row r="1" spans="1:7" ht="31.5" x14ac:dyDescent="0.25">
      <c r="A1" s="4" t="s">
        <v>28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</v>
      </c>
      <c r="G1" s="5" t="s">
        <v>5</v>
      </c>
    </row>
    <row r="2" spans="1:7" x14ac:dyDescent="0.25">
      <c r="A2" s="1" t="s">
        <v>6</v>
      </c>
      <c r="B2" s="1">
        <f t="array" ref="B2:G20">TRANSPOSE(ResultsIAPU!$B$3:$T$8)</f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25">
      <c r="A3" s="2" t="s">
        <v>7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</row>
    <row r="4" spans="1:7" x14ac:dyDescent="0.25">
      <c r="A4" s="2" t="s">
        <v>8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</row>
    <row r="5" spans="1:7" x14ac:dyDescent="0.25">
      <c r="A5" s="2" t="s">
        <v>9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</row>
    <row r="6" spans="1:7" x14ac:dyDescent="0.25">
      <c r="A6" s="2" t="s">
        <v>10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</row>
    <row r="7" spans="1:7" x14ac:dyDescent="0.25">
      <c r="A7" s="2" t="s">
        <v>11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</row>
    <row r="8" spans="1:7" x14ac:dyDescent="0.25">
      <c r="A8" s="2" t="s">
        <v>12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</row>
    <row r="9" spans="1:7" x14ac:dyDescent="0.25">
      <c r="A9" s="2" t="s">
        <v>13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</row>
    <row r="10" spans="1:7" x14ac:dyDescent="0.25">
      <c r="A10" s="2" t="s">
        <v>14</v>
      </c>
      <c r="B10" s="2">
        <v>0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</row>
    <row r="11" spans="1:7" x14ac:dyDescent="0.25">
      <c r="A11" s="2" t="s">
        <v>15</v>
      </c>
      <c r="B11" s="2">
        <v>0</v>
      </c>
      <c r="C11" s="2">
        <v>0</v>
      </c>
      <c r="D11" s="2">
        <v>0</v>
      </c>
      <c r="E11" s="2">
        <v>0</v>
      </c>
      <c r="F11" s="2">
        <v>0</v>
      </c>
      <c r="G11" s="2">
        <v>0</v>
      </c>
    </row>
    <row r="12" spans="1:7" x14ac:dyDescent="0.25">
      <c r="A12" s="2" t="s">
        <v>16</v>
      </c>
      <c r="B12" s="2">
        <v>0</v>
      </c>
      <c r="C12" s="2">
        <v>0</v>
      </c>
      <c r="D12" s="2">
        <v>0</v>
      </c>
      <c r="E12" s="2">
        <v>0</v>
      </c>
      <c r="F12" s="2">
        <v>0</v>
      </c>
      <c r="G12" s="2">
        <v>0</v>
      </c>
    </row>
    <row r="13" spans="1:7" x14ac:dyDescent="0.25">
      <c r="A13" s="2" t="s">
        <v>17</v>
      </c>
      <c r="B13" s="2">
        <v>0</v>
      </c>
      <c r="C13" s="2">
        <v>0</v>
      </c>
      <c r="D13" s="2">
        <v>0</v>
      </c>
      <c r="E13" s="2">
        <v>0</v>
      </c>
      <c r="F13" s="2">
        <v>0</v>
      </c>
      <c r="G13" s="2">
        <v>0</v>
      </c>
    </row>
    <row r="14" spans="1:7" x14ac:dyDescent="0.25">
      <c r="A14" s="2" t="s">
        <v>18</v>
      </c>
      <c r="B14" s="2">
        <v>0</v>
      </c>
      <c r="C14" s="2">
        <v>0</v>
      </c>
      <c r="D14" s="2">
        <v>0</v>
      </c>
      <c r="E14" s="2">
        <v>0</v>
      </c>
      <c r="F14" s="2">
        <v>0</v>
      </c>
      <c r="G14" s="2">
        <v>0</v>
      </c>
    </row>
    <row r="15" spans="1:7" x14ac:dyDescent="0.25">
      <c r="A15" s="2" t="s">
        <v>19</v>
      </c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</row>
    <row r="16" spans="1:7" x14ac:dyDescent="0.25">
      <c r="A16" s="2" t="s">
        <v>20</v>
      </c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</row>
    <row r="17" spans="1:7" x14ac:dyDescent="0.25">
      <c r="A17" s="2" t="s">
        <v>21</v>
      </c>
      <c r="B17" s="6">
        <v>0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</row>
    <row r="18" spans="1:7" x14ac:dyDescent="0.25">
      <c r="A18" s="2" t="s">
        <v>22</v>
      </c>
      <c r="B18" s="6">
        <v>0</v>
      </c>
      <c r="C18" s="6">
        <v>0</v>
      </c>
      <c r="D18" s="6">
        <v>0</v>
      </c>
      <c r="E18" s="6">
        <v>0</v>
      </c>
      <c r="F18" s="6">
        <v>0</v>
      </c>
      <c r="G18" s="6">
        <v>0</v>
      </c>
    </row>
    <row r="19" spans="1:7" x14ac:dyDescent="0.25">
      <c r="A19" s="2" t="s">
        <v>23</v>
      </c>
      <c r="B19" s="6">
        <v>0</v>
      </c>
      <c r="C19" s="6">
        <v>0</v>
      </c>
      <c r="D19" s="6">
        <v>0</v>
      </c>
      <c r="E19" s="6">
        <v>0</v>
      </c>
      <c r="F19" s="6">
        <v>0</v>
      </c>
      <c r="G19" s="6">
        <v>0</v>
      </c>
    </row>
    <row r="20" spans="1:7" x14ac:dyDescent="0.25">
      <c r="A20" s="3" t="s">
        <v>24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"/>
  <sheetViews>
    <sheetView workbookViewId="0">
      <selection activeCell="D39" sqref="D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>
      <selection activeCell="F39" sqref="F39"/>
    </sheetView>
  </sheetViews>
  <sheetFormatPr baseColWidth="10" defaultColWidth="11" defaultRowHeight="15.7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24</vt:i4>
      </vt:variant>
    </vt:vector>
  </HeadingPairs>
  <TitlesOfParts>
    <vt:vector size="24" baseType="lpstr">
      <vt:lpstr>ResultsEXR10</vt:lpstr>
      <vt:lpstr>ResultsEXPG1</vt:lpstr>
      <vt:lpstr>ResultsRSSC1</vt:lpstr>
      <vt:lpstr>ResultsVAT1</vt:lpstr>
      <vt:lpstr>ResultsINCT1</vt:lpstr>
      <vt:lpstr>ResultsWD1</vt:lpstr>
      <vt:lpstr>ResultsFF10</vt:lpstr>
      <vt:lpstr>ResultsCT1</vt:lpstr>
      <vt:lpstr>CT1</vt:lpstr>
      <vt:lpstr>WD1</vt:lpstr>
      <vt:lpstr>FF10</vt:lpstr>
      <vt:lpstr>VAT1</vt:lpstr>
      <vt:lpstr>INCT1</vt:lpstr>
      <vt:lpstr>EXPG1</vt:lpstr>
      <vt:lpstr>CSE</vt:lpstr>
      <vt:lpstr>ELEC</vt:lpstr>
      <vt:lpstr>EXR10</vt:lpstr>
      <vt:lpstr>RSSC1</vt:lpstr>
      <vt:lpstr>ResultsCSE</vt:lpstr>
      <vt:lpstr>ResultsELEC</vt:lpstr>
      <vt:lpstr>VAT</vt:lpstr>
      <vt:lpstr>IAPU</vt:lpstr>
      <vt:lpstr>ResultsVAT</vt:lpstr>
      <vt:lpstr>ResultsIAPU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 Saussay</dc:creator>
  <cp:lastModifiedBy>Adeline</cp:lastModifiedBy>
  <dcterms:created xsi:type="dcterms:W3CDTF">2014-09-05T13:26:46Z</dcterms:created>
  <dcterms:modified xsi:type="dcterms:W3CDTF">2019-03-27T11:21:47Z</dcterms:modified>
</cp:coreProperties>
</file>