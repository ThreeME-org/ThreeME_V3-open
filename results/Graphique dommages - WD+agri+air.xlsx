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1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4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9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1.xml" ContentType="application/vnd.openxmlformats-officedocument.drawingml.chartshapes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conso éner" sheetId="28" r:id="rId5"/>
    <sheet name="GR macro ener" sheetId="30" r:id="rId6"/>
    <sheet name="Gr éner prim" sheetId="29" r:id="rId7"/>
    <sheet name="BUIL (class,base)" sheetId="25" r:id="rId8"/>
    <sheet name="BUIL (class,shock)" sheetId="26" r:id="rId9"/>
    <sheet name="Auto (class,base)" sheetId="24" r:id="rId10"/>
    <sheet name="Auto (class,shock)" sheetId="23" r:id="rId11"/>
    <sheet name="Auto (ener,shock)" sheetId="21" r:id="rId12"/>
    <sheet name="Auto (ener,base)" sheetId="22" r:id="rId13"/>
    <sheet name="Employment" sheetId="16" r:id="rId14"/>
    <sheet name="Investment" sheetId="20" r:id="rId15"/>
    <sheet name="Firms' emissions" sheetId="27" r:id="rId16"/>
    <sheet name="Capital intensity" sheetId="17" r:id="rId17"/>
    <sheet name="Energy intensity" sheetId="18" r:id="rId18"/>
    <sheet name="Gr VA secteurs (% dev)" sheetId="12" r:id="rId19"/>
    <sheet name="Gr VA secteurs (% share)" sheetId="13" r:id="rId20"/>
    <sheet name="Gr Y secteurs (% dev)" sheetId="14" r:id="rId21"/>
    <sheet name="Gr Y secteurs (% share)" sheetId="15" r:id="rId22"/>
  </sheets>
  <externalReferences>
    <externalReference r:id="rId23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523" i="2" l="1"/>
  <c r="BE523" i="2"/>
  <c r="BD523" i="2"/>
  <c r="BC523" i="2"/>
  <c r="BB523" i="2"/>
  <c r="BA523" i="2"/>
  <c r="AZ523" i="2"/>
  <c r="AY523" i="2"/>
  <c r="AX523" i="2"/>
  <c r="AW523" i="2"/>
  <c r="AV523" i="2"/>
  <c r="AU523" i="2"/>
  <c r="AT523" i="2"/>
  <c r="AS523" i="2"/>
  <c r="AR523" i="2"/>
  <c r="AQ523" i="2"/>
  <c r="AP523" i="2"/>
  <c r="AO523" i="2"/>
  <c r="AN523" i="2"/>
  <c r="AM523" i="2"/>
  <c r="AL523" i="2"/>
  <c r="AK523" i="2"/>
  <c r="AJ523" i="2"/>
  <c r="AI523" i="2"/>
  <c r="AH523" i="2"/>
  <c r="AG523" i="2"/>
  <c r="AF523" i="2"/>
  <c r="AE523" i="2"/>
  <c r="AD523" i="2"/>
  <c r="AC523" i="2"/>
  <c r="AB523" i="2"/>
  <c r="AA523" i="2"/>
  <c r="Z523" i="2"/>
  <c r="Y523" i="2"/>
  <c r="X523" i="2"/>
  <c r="W523" i="2"/>
  <c r="V523" i="2"/>
  <c r="U523" i="2"/>
  <c r="T523" i="2"/>
  <c r="S523" i="2"/>
  <c r="R523" i="2"/>
  <c r="Q523" i="2"/>
  <c r="P523" i="2"/>
  <c r="O523" i="2"/>
  <c r="N523" i="2"/>
  <c r="M523" i="2"/>
  <c r="L523" i="2"/>
  <c r="K523" i="2"/>
  <c r="J523" i="2"/>
  <c r="I523" i="2"/>
  <c r="H523" i="2"/>
  <c r="G523" i="2"/>
  <c r="F523" i="2"/>
  <c r="E523" i="2"/>
  <c r="D523" i="2"/>
  <c r="C523" i="2"/>
  <c r="B523" i="2"/>
  <c r="BF522" i="2"/>
  <c r="BE522" i="2"/>
  <c r="BD522" i="2"/>
  <c r="BC522" i="2"/>
  <c r="BB522" i="2"/>
  <c r="BA522" i="2"/>
  <c r="AZ522" i="2"/>
  <c r="AY522" i="2"/>
  <c r="AX522" i="2"/>
  <c r="AW522" i="2"/>
  <c r="AV522" i="2"/>
  <c r="AU522" i="2"/>
  <c r="AT522" i="2"/>
  <c r="AS522" i="2"/>
  <c r="AR522" i="2"/>
  <c r="AQ522" i="2"/>
  <c r="AP522" i="2"/>
  <c r="AO522" i="2"/>
  <c r="AN522" i="2"/>
  <c r="AM522" i="2"/>
  <c r="AL522" i="2"/>
  <c r="AK522" i="2"/>
  <c r="AJ522" i="2"/>
  <c r="AI522" i="2"/>
  <c r="AH522" i="2"/>
  <c r="AG522" i="2"/>
  <c r="AF522" i="2"/>
  <c r="AE522" i="2"/>
  <c r="AD522" i="2"/>
  <c r="AC522" i="2"/>
  <c r="AB522" i="2"/>
  <c r="AA522" i="2"/>
  <c r="Z522" i="2"/>
  <c r="Y522" i="2"/>
  <c r="X522" i="2"/>
  <c r="W522" i="2"/>
  <c r="V522" i="2"/>
  <c r="U522" i="2"/>
  <c r="T522" i="2"/>
  <c r="S522" i="2"/>
  <c r="R522" i="2"/>
  <c r="Q522" i="2"/>
  <c r="P522" i="2"/>
  <c r="O522" i="2"/>
  <c r="N522" i="2"/>
  <c r="M522" i="2"/>
  <c r="L522" i="2"/>
  <c r="K522" i="2"/>
  <c r="J522" i="2"/>
  <c r="I522" i="2"/>
  <c r="H522" i="2"/>
  <c r="G522" i="2"/>
  <c r="F522" i="2"/>
  <c r="E522" i="2"/>
  <c r="D522" i="2"/>
  <c r="C522" i="2"/>
  <c r="B522" i="2"/>
  <c r="BF521" i="2"/>
  <c r="BE521" i="2"/>
  <c r="BD521" i="2"/>
  <c r="BC521" i="2"/>
  <c r="BB521" i="2"/>
  <c r="BA521" i="2"/>
  <c r="AZ521" i="2"/>
  <c r="AY521" i="2"/>
  <c r="AX521" i="2"/>
  <c r="AW521" i="2"/>
  <c r="AV521" i="2"/>
  <c r="AU521" i="2"/>
  <c r="AT521" i="2"/>
  <c r="AS521" i="2"/>
  <c r="AR521" i="2"/>
  <c r="AQ521" i="2"/>
  <c r="AP521" i="2"/>
  <c r="AO521" i="2"/>
  <c r="AN521" i="2"/>
  <c r="AM521" i="2"/>
  <c r="AL521" i="2"/>
  <c r="AK521" i="2"/>
  <c r="AJ521" i="2"/>
  <c r="AI521" i="2"/>
  <c r="AH521" i="2"/>
  <c r="AG521" i="2"/>
  <c r="AF521" i="2"/>
  <c r="AE521" i="2"/>
  <c r="AD521" i="2"/>
  <c r="AC521" i="2"/>
  <c r="AB521" i="2"/>
  <c r="AA521" i="2"/>
  <c r="Z521" i="2"/>
  <c r="Y521" i="2"/>
  <c r="X521" i="2"/>
  <c r="W521" i="2"/>
  <c r="V521" i="2"/>
  <c r="U521" i="2"/>
  <c r="T521" i="2"/>
  <c r="S521" i="2"/>
  <c r="R521" i="2"/>
  <c r="Q521" i="2"/>
  <c r="P521" i="2"/>
  <c r="O521" i="2"/>
  <c r="N521" i="2"/>
  <c r="M521" i="2"/>
  <c r="L521" i="2"/>
  <c r="K521" i="2"/>
  <c r="J521" i="2"/>
  <c r="I521" i="2"/>
  <c r="H521" i="2"/>
  <c r="G521" i="2"/>
  <c r="F521" i="2"/>
  <c r="E521" i="2"/>
  <c r="D521" i="2"/>
  <c r="C521" i="2"/>
  <c r="B521" i="2"/>
  <c r="BF520" i="2"/>
  <c r="BE520" i="2"/>
  <c r="BD520" i="2"/>
  <c r="BC520" i="2"/>
  <c r="BB520" i="2"/>
  <c r="BA520" i="2"/>
  <c r="AZ520" i="2"/>
  <c r="AY520" i="2"/>
  <c r="AX520" i="2"/>
  <c r="AW520" i="2"/>
  <c r="AV520" i="2"/>
  <c r="AU520" i="2"/>
  <c r="AT520" i="2"/>
  <c r="AS520" i="2"/>
  <c r="AR520" i="2"/>
  <c r="AQ520" i="2"/>
  <c r="AP520" i="2"/>
  <c r="AO520" i="2"/>
  <c r="AN520" i="2"/>
  <c r="AM520" i="2"/>
  <c r="AL520" i="2"/>
  <c r="AK520" i="2"/>
  <c r="AJ520" i="2"/>
  <c r="AI520" i="2"/>
  <c r="AH520" i="2"/>
  <c r="AG520" i="2"/>
  <c r="AF520" i="2"/>
  <c r="AE520" i="2"/>
  <c r="AD520" i="2"/>
  <c r="AC520" i="2"/>
  <c r="AB520" i="2"/>
  <c r="AA520" i="2"/>
  <c r="Z520" i="2"/>
  <c r="Y520" i="2"/>
  <c r="X520" i="2"/>
  <c r="W520" i="2"/>
  <c r="V520" i="2"/>
  <c r="U520" i="2"/>
  <c r="T520" i="2"/>
  <c r="S520" i="2"/>
  <c r="R520" i="2"/>
  <c r="Q520" i="2"/>
  <c r="P520" i="2"/>
  <c r="O520" i="2"/>
  <c r="N520" i="2"/>
  <c r="M520" i="2"/>
  <c r="L520" i="2"/>
  <c r="K520" i="2"/>
  <c r="J520" i="2"/>
  <c r="I520" i="2"/>
  <c r="H520" i="2"/>
  <c r="G520" i="2"/>
  <c r="F520" i="2"/>
  <c r="E520" i="2"/>
  <c r="D520" i="2"/>
  <c r="C520" i="2"/>
  <c r="B520" i="2"/>
  <c r="BF519" i="2"/>
  <c r="BE519" i="2"/>
  <c r="BD519" i="2"/>
  <c r="BC519" i="2"/>
  <c r="BB519" i="2"/>
  <c r="BA519" i="2"/>
  <c r="AZ519" i="2"/>
  <c r="AY519" i="2"/>
  <c r="AX519" i="2"/>
  <c r="AW519" i="2"/>
  <c r="AV519" i="2"/>
  <c r="AU519" i="2"/>
  <c r="AT519" i="2"/>
  <c r="AS519" i="2"/>
  <c r="AR519" i="2"/>
  <c r="AQ519" i="2"/>
  <c r="AP519" i="2"/>
  <c r="AO519" i="2"/>
  <c r="AN519" i="2"/>
  <c r="AM519" i="2"/>
  <c r="AL519" i="2"/>
  <c r="AK519" i="2"/>
  <c r="AJ519" i="2"/>
  <c r="AI519" i="2"/>
  <c r="AH519" i="2"/>
  <c r="AG519" i="2"/>
  <c r="AF519" i="2"/>
  <c r="AE519" i="2"/>
  <c r="AD519" i="2"/>
  <c r="AC519" i="2"/>
  <c r="AB519" i="2"/>
  <c r="AA519" i="2"/>
  <c r="Z519" i="2"/>
  <c r="Y519" i="2"/>
  <c r="X519" i="2"/>
  <c r="W519" i="2"/>
  <c r="V519" i="2"/>
  <c r="U519" i="2"/>
  <c r="T519" i="2"/>
  <c r="S519" i="2"/>
  <c r="R519" i="2"/>
  <c r="Q519" i="2"/>
  <c r="P519" i="2"/>
  <c r="O519" i="2"/>
  <c r="N519" i="2"/>
  <c r="M519" i="2"/>
  <c r="L519" i="2"/>
  <c r="K519" i="2"/>
  <c r="J519" i="2"/>
  <c r="I519" i="2"/>
  <c r="H519" i="2"/>
  <c r="G519" i="2"/>
  <c r="F519" i="2"/>
  <c r="E519" i="2"/>
  <c r="D519" i="2"/>
  <c r="C519" i="2"/>
  <c r="B519" i="2"/>
  <c r="BF517" i="2"/>
  <c r="BE517" i="2"/>
  <c r="BD517" i="2"/>
  <c r="BC517" i="2"/>
  <c r="BB517" i="2"/>
  <c r="BA517" i="2"/>
  <c r="AZ517" i="2"/>
  <c r="AY517" i="2"/>
  <c r="AX517" i="2"/>
  <c r="AW517" i="2"/>
  <c r="AV517" i="2"/>
  <c r="AU517" i="2"/>
  <c r="AT517" i="2"/>
  <c r="AS517" i="2"/>
  <c r="AR517" i="2"/>
  <c r="AQ517" i="2"/>
  <c r="AP517" i="2"/>
  <c r="AO517" i="2"/>
  <c r="AN517" i="2"/>
  <c r="AM517" i="2"/>
  <c r="AL517" i="2"/>
  <c r="AK517" i="2"/>
  <c r="AJ517" i="2"/>
  <c r="AI517" i="2"/>
  <c r="AH517" i="2"/>
  <c r="AG517" i="2"/>
  <c r="AF517" i="2"/>
  <c r="AE517" i="2"/>
  <c r="AD517" i="2"/>
  <c r="AC517" i="2"/>
  <c r="AB517" i="2"/>
  <c r="AA517" i="2"/>
  <c r="Z517" i="2"/>
  <c r="Y517" i="2"/>
  <c r="X517" i="2"/>
  <c r="W517" i="2"/>
  <c r="V517" i="2"/>
  <c r="U517" i="2"/>
  <c r="T517" i="2"/>
  <c r="S517" i="2"/>
  <c r="R517" i="2"/>
  <c r="Q517" i="2"/>
  <c r="P517" i="2"/>
  <c r="O517" i="2"/>
  <c r="N517" i="2"/>
  <c r="M517" i="2"/>
  <c r="L517" i="2"/>
  <c r="K517" i="2"/>
  <c r="J517" i="2"/>
  <c r="I517" i="2"/>
  <c r="H517" i="2"/>
  <c r="G517" i="2"/>
  <c r="F517" i="2"/>
  <c r="E517" i="2"/>
  <c r="D517" i="2"/>
  <c r="C517" i="2"/>
  <c r="B517" i="2"/>
  <c r="BF516" i="2"/>
  <c r="BE516" i="2"/>
  <c r="BD516" i="2"/>
  <c r="BC516" i="2"/>
  <c r="BB516" i="2"/>
  <c r="BA516" i="2"/>
  <c r="AZ516" i="2"/>
  <c r="AY516" i="2"/>
  <c r="AX516" i="2"/>
  <c r="AW516" i="2"/>
  <c r="AV516" i="2"/>
  <c r="AU516" i="2"/>
  <c r="AT516" i="2"/>
  <c r="AS516" i="2"/>
  <c r="AR516" i="2"/>
  <c r="AQ516" i="2"/>
  <c r="AP516" i="2"/>
  <c r="AO516" i="2"/>
  <c r="AN516" i="2"/>
  <c r="AM516" i="2"/>
  <c r="AL516" i="2"/>
  <c r="AK516" i="2"/>
  <c r="AJ516" i="2"/>
  <c r="AI516" i="2"/>
  <c r="AH516" i="2"/>
  <c r="AG516" i="2"/>
  <c r="AF516" i="2"/>
  <c r="AE516" i="2"/>
  <c r="AD516" i="2"/>
  <c r="AC516" i="2"/>
  <c r="AB516" i="2"/>
  <c r="AA516" i="2"/>
  <c r="Z516" i="2"/>
  <c r="Y516" i="2"/>
  <c r="X516" i="2"/>
  <c r="W516" i="2"/>
  <c r="V516" i="2"/>
  <c r="U516" i="2"/>
  <c r="T516" i="2"/>
  <c r="S516" i="2"/>
  <c r="R516" i="2"/>
  <c r="Q516" i="2"/>
  <c r="P516" i="2"/>
  <c r="O516" i="2"/>
  <c r="N516" i="2"/>
  <c r="M516" i="2"/>
  <c r="L516" i="2"/>
  <c r="K516" i="2"/>
  <c r="J516" i="2"/>
  <c r="I516" i="2"/>
  <c r="H516" i="2"/>
  <c r="G516" i="2"/>
  <c r="F516" i="2"/>
  <c r="E516" i="2"/>
  <c r="D516" i="2"/>
  <c r="C516" i="2"/>
  <c r="B516" i="2"/>
  <c r="BF515" i="2"/>
  <c r="BE515" i="2"/>
  <c r="BD515" i="2"/>
  <c r="BC515" i="2"/>
  <c r="BB515" i="2"/>
  <c r="BA515" i="2"/>
  <c r="AZ515" i="2"/>
  <c r="AY515" i="2"/>
  <c r="AX515" i="2"/>
  <c r="AW515" i="2"/>
  <c r="AV515" i="2"/>
  <c r="AU515" i="2"/>
  <c r="AT515" i="2"/>
  <c r="AS515" i="2"/>
  <c r="AR515" i="2"/>
  <c r="AQ515" i="2"/>
  <c r="AP515" i="2"/>
  <c r="AO515" i="2"/>
  <c r="AN515" i="2"/>
  <c r="AM515" i="2"/>
  <c r="AL515" i="2"/>
  <c r="AK515" i="2"/>
  <c r="AJ515" i="2"/>
  <c r="AI515" i="2"/>
  <c r="AH515" i="2"/>
  <c r="AG515" i="2"/>
  <c r="AF515" i="2"/>
  <c r="AE515" i="2"/>
  <c r="AD515" i="2"/>
  <c r="AC515" i="2"/>
  <c r="AB515" i="2"/>
  <c r="AA515" i="2"/>
  <c r="Z515" i="2"/>
  <c r="Y515" i="2"/>
  <c r="X515" i="2"/>
  <c r="W515" i="2"/>
  <c r="V515" i="2"/>
  <c r="U515" i="2"/>
  <c r="T515" i="2"/>
  <c r="S515" i="2"/>
  <c r="R515" i="2"/>
  <c r="Q515" i="2"/>
  <c r="P515" i="2"/>
  <c r="O515" i="2"/>
  <c r="N515" i="2"/>
  <c r="M515" i="2"/>
  <c r="L515" i="2"/>
  <c r="K515" i="2"/>
  <c r="J515" i="2"/>
  <c r="I515" i="2"/>
  <c r="H515" i="2"/>
  <c r="G515" i="2"/>
  <c r="F515" i="2"/>
  <c r="E515" i="2"/>
  <c r="D515" i="2"/>
  <c r="C515" i="2"/>
  <c r="B515" i="2"/>
  <c r="BF514" i="2"/>
  <c r="BE514" i="2"/>
  <c r="BD514" i="2"/>
  <c r="BC514" i="2"/>
  <c r="BB514" i="2"/>
  <c r="BA514" i="2"/>
  <c r="AZ514" i="2"/>
  <c r="AY514" i="2"/>
  <c r="AX514" i="2"/>
  <c r="AW514" i="2"/>
  <c r="AV514" i="2"/>
  <c r="AU514" i="2"/>
  <c r="AT514" i="2"/>
  <c r="AS514" i="2"/>
  <c r="AR514" i="2"/>
  <c r="AQ514" i="2"/>
  <c r="AP514" i="2"/>
  <c r="AO514" i="2"/>
  <c r="AN514" i="2"/>
  <c r="AM514" i="2"/>
  <c r="AL514" i="2"/>
  <c r="AK514" i="2"/>
  <c r="AJ514" i="2"/>
  <c r="AI514" i="2"/>
  <c r="AH514" i="2"/>
  <c r="AG514" i="2"/>
  <c r="AF514" i="2"/>
  <c r="AE514" i="2"/>
  <c r="AD514" i="2"/>
  <c r="AC514" i="2"/>
  <c r="AB514" i="2"/>
  <c r="AA514" i="2"/>
  <c r="Z514" i="2"/>
  <c r="Y514" i="2"/>
  <c r="X514" i="2"/>
  <c r="W514" i="2"/>
  <c r="V514" i="2"/>
  <c r="U514" i="2"/>
  <c r="T514" i="2"/>
  <c r="S514" i="2"/>
  <c r="R514" i="2"/>
  <c r="Q514" i="2"/>
  <c r="P514" i="2"/>
  <c r="O514" i="2"/>
  <c r="N514" i="2"/>
  <c r="M514" i="2"/>
  <c r="L514" i="2"/>
  <c r="K514" i="2"/>
  <c r="J514" i="2"/>
  <c r="I514" i="2"/>
  <c r="H514" i="2"/>
  <c r="G514" i="2"/>
  <c r="F514" i="2"/>
  <c r="E514" i="2"/>
  <c r="D514" i="2"/>
  <c r="C514" i="2"/>
  <c r="B514" i="2"/>
  <c r="BF513" i="2"/>
  <c r="BE513" i="2"/>
  <c r="BD513" i="2"/>
  <c r="BC513" i="2"/>
  <c r="BB513" i="2"/>
  <c r="BA513" i="2"/>
  <c r="AZ513" i="2"/>
  <c r="AY513" i="2"/>
  <c r="AX513" i="2"/>
  <c r="AW513" i="2"/>
  <c r="AV513" i="2"/>
  <c r="AU513" i="2"/>
  <c r="AT513" i="2"/>
  <c r="AS513" i="2"/>
  <c r="AR513" i="2"/>
  <c r="AQ513" i="2"/>
  <c r="AP513" i="2"/>
  <c r="AO513" i="2"/>
  <c r="AN513" i="2"/>
  <c r="AM513" i="2"/>
  <c r="AL513" i="2"/>
  <c r="AK513" i="2"/>
  <c r="AJ513" i="2"/>
  <c r="AI513" i="2"/>
  <c r="AH513" i="2"/>
  <c r="AG513" i="2"/>
  <c r="AF513" i="2"/>
  <c r="AE513" i="2"/>
  <c r="AD513" i="2"/>
  <c r="AC513" i="2"/>
  <c r="AB513" i="2"/>
  <c r="AA513" i="2"/>
  <c r="Z513" i="2"/>
  <c r="Y513" i="2"/>
  <c r="X513" i="2"/>
  <c r="W513" i="2"/>
  <c r="V513" i="2"/>
  <c r="U513" i="2"/>
  <c r="T513" i="2"/>
  <c r="S513" i="2"/>
  <c r="R513" i="2"/>
  <c r="Q513" i="2"/>
  <c r="P513" i="2"/>
  <c r="O513" i="2"/>
  <c r="N513" i="2"/>
  <c r="M513" i="2"/>
  <c r="L513" i="2"/>
  <c r="K513" i="2"/>
  <c r="J513" i="2"/>
  <c r="I513" i="2"/>
  <c r="H513" i="2"/>
  <c r="G513" i="2"/>
  <c r="F513" i="2"/>
  <c r="E513" i="2"/>
  <c r="D513" i="2"/>
  <c r="C513" i="2"/>
  <c r="B513" i="2"/>
  <c r="BF359" i="2"/>
  <c r="BE359" i="2"/>
  <c r="BD359" i="2"/>
  <c r="BC359" i="2"/>
  <c r="BB359" i="2"/>
  <c r="BA359" i="2"/>
  <c r="AZ359" i="2"/>
  <c r="AY359" i="2"/>
  <c r="AX359" i="2"/>
  <c r="AW359" i="2"/>
  <c r="AV359" i="2"/>
  <c r="AU359" i="2"/>
  <c r="AT359" i="2"/>
  <c r="AS359" i="2"/>
  <c r="AR359" i="2"/>
  <c r="AQ359" i="2"/>
  <c r="AP359" i="2"/>
  <c r="AO359" i="2"/>
  <c r="AN359" i="2"/>
  <c r="AM359" i="2"/>
  <c r="AL359" i="2"/>
  <c r="AK359" i="2"/>
  <c r="AJ359" i="2"/>
  <c r="AI359" i="2"/>
  <c r="AH359" i="2"/>
  <c r="AG359" i="2"/>
  <c r="AF359" i="2"/>
  <c r="AE359" i="2"/>
  <c r="AD359" i="2"/>
  <c r="AC359" i="2"/>
  <c r="AB359" i="2"/>
  <c r="AA359" i="2"/>
  <c r="Z359" i="2"/>
  <c r="Y359" i="2"/>
  <c r="X359" i="2"/>
  <c r="W359" i="2"/>
  <c r="V359" i="2"/>
  <c r="U359" i="2"/>
  <c r="T359" i="2"/>
  <c r="S359" i="2"/>
  <c r="R359" i="2"/>
  <c r="Q359" i="2"/>
  <c r="P359" i="2"/>
  <c r="O359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BF358" i="2"/>
  <c r="BE358" i="2"/>
  <c r="BD358" i="2"/>
  <c r="BC358" i="2"/>
  <c r="BB358" i="2"/>
  <c r="BA358" i="2"/>
  <c r="AZ358" i="2"/>
  <c r="AY358" i="2"/>
  <c r="AX358" i="2"/>
  <c r="AW358" i="2"/>
  <c r="AV358" i="2"/>
  <c r="AU358" i="2"/>
  <c r="AT358" i="2"/>
  <c r="AS358" i="2"/>
  <c r="AR358" i="2"/>
  <c r="AQ358" i="2"/>
  <c r="AP358" i="2"/>
  <c r="AO358" i="2"/>
  <c r="AN358" i="2"/>
  <c r="AM358" i="2"/>
  <c r="AL358" i="2"/>
  <c r="AK358" i="2"/>
  <c r="AJ358" i="2"/>
  <c r="AI358" i="2"/>
  <c r="AH358" i="2"/>
  <c r="AG358" i="2"/>
  <c r="AF358" i="2"/>
  <c r="AE358" i="2"/>
  <c r="AD358" i="2"/>
  <c r="AC358" i="2"/>
  <c r="AB358" i="2"/>
  <c r="AA358" i="2"/>
  <c r="Z358" i="2"/>
  <c r="Y358" i="2"/>
  <c r="X358" i="2"/>
  <c r="W358" i="2"/>
  <c r="V358" i="2"/>
  <c r="U358" i="2"/>
  <c r="T358" i="2"/>
  <c r="S358" i="2"/>
  <c r="R358" i="2"/>
  <c r="Q358" i="2"/>
  <c r="P358" i="2"/>
  <c r="O358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BF357" i="2"/>
  <c r="BE357" i="2"/>
  <c r="BD357" i="2"/>
  <c r="BC357" i="2"/>
  <c r="BB357" i="2"/>
  <c r="BA357" i="2"/>
  <c r="AZ357" i="2"/>
  <c r="AY357" i="2"/>
  <c r="AX357" i="2"/>
  <c r="AW357" i="2"/>
  <c r="AV357" i="2"/>
  <c r="AU357" i="2"/>
  <c r="AT357" i="2"/>
  <c r="AS357" i="2"/>
  <c r="AR357" i="2"/>
  <c r="AQ357" i="2"/>
  <c r="AP357" i="2"/>
  <c r="AO357" i="2"/>
  <c r="AN357" i="2"/>
  <c r="AM357" i="2"/>
  <c r="AL357" i="2"/>
  <c r="AK357" i="2"/>
  <c r="AJ357" i="2"/>
  <c r="AI357" i="2"/>
  <c r="AH357" i="2"/>
  <c r="AG357" i="2"/>
  <c r="AF357" i="2"/>
  <c r="AE357" i="2"/>
  <c r="AD357" i="2"/>
  <c r="AC357" i="2"/>
  <c r="AB357" i="2"/>
  <c r="AA357" i="2"/>
  <c r="Z357" i="2"/>
  <c r="Y357" i="2"/>
  <c r="X357" i="2"/>
  <c r="W357" i="2"/>
  <c r="V357" i="2"/>
  <c r="U357" i="2"/>
  <c r="T357" i="2"/>
  <c r="S357" i="2"/>
  <c r="R357" i="2"/>
  <c r="Q357" i="2"/>
  <c r="P357" i="2"/>
  <c r="O357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BF356" i="2"/>
  <c r="BE356" i="2"/>
  <c r="BD356" i="2"/>
  <c r="BC356" i="2"/>
  <c r="BB356" i="2"/>
  <c r="BA356" i="2"/>
  <c r="AZ356" i="2"/>
  <c r="AY356" i="2"/>
  <c r="AX356" i="2"/>
  <c r="AW356" i="2"/>
  <c r="AV356" i="2"/>
  <c r="AU356" i="2"/>
  <c r="AT356" i="2"/>
  <c r="AS356" i="2"/>
  <c r="AR356" i="2"/>
  <c r="AQ356" i="2"/>
  <c r="AP356" i="2"/>
  <c r="AO356" i="2"/>
  <c r="AN356" i="2"/>
  <c r="AM356" i="2"/>
  <c r="AL356" i="2"/>
  <c r="AK356" i="2"/>
  <c r="AJ356" i="2"/>
  <c r="AI356" i="2"/>
  <c r="AH356" i="2"/>
  <c r="AG356" i="2"/>
  <c r="AF356" i="2"/>
  <c r="AE356" i="2"/>
  <c r="AD356" i="2"/>
  <c r="AC356" i="2"/>
  <c r="AB356" i="2"/>
  <c r="AA356" i="2"/>
  <c r="Z356" i="2"/>
  <c r="Y356" i="2"/>
  <c r="X356" i="2"/>
  <c r="W356" i="2"/>
  <c r="V356" i="2"/>
  <c r="U356" i="2"/>
  <c r="T356" i="2"/>
  <c r="S356" i="2"/>
  <c r="R356" i="2"/>
  <c r="Q356" i="2"/>
  <c r="P356" i="2"/>
  <c r="O356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BF355" i="2"/>
  <c r="BE355" i="2"/>
  <c r="BD355" i="2"/>
  <c r="BC355" i="2"/>
  <c r="BB355" i="2"/>
  <c r="BA355" i="2"/>
  <c r="AZ355" i="2"/>
  <c r="AY355" i="2"/>
  <c r="AX355" i="2"/>
  <c r="AW355" i="2"/>
  <c r="AV355" i="2"/>
  <c r="AU355" i="2"/>
  <c r="AT355" i="2"/>
  <c r="AS355" i="2"/>
  <c r="AR355" i="2"/>
  <c r="AQ355" i="2"/>
  <c r="AP355" i="2"/>
  <c r="AO355" i="2"/>
  <c r="AN355" i="2"/>
  <c r="AM355" i="2"/>
  <c r="AL355" i="2"/>
  <c r="AK355" i="2"/>
  <c r="AJ355" i="2"/>
  <c r="AI355" i="2"/>
  <c r="AH355" i="2"/>
  <c r="AG355" i="2"/>
  <c r="AF355" i="2"/>
  <c r="AE355" i="2"/>
  <c r="AD355" i="2"/>
  <c r="AC355" i="2"/>
  <c r="AB355" i="2"/>
  <c r="AA355" i="2"/>
  <c r="Z355" i="2"/>
  <c r="Y355" i="2"/>
  <c r="X355" i="2"/>
  <c r="W355" i="2"/>
  <c r="V355" i="2"/>
  <c r="U355" i="2"/>
  <c r="T355" i="2"/>
  <c r="S355" i="2"/>
  <c r="R355" i="2"/>
  <c r="Q355" i="2"/>
  <c r="P355" i="2"/>
  <c r="O355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BF354" i="2"/>
  <c r="BE354" i="2"/>
  <c r="BD354" i="2"/>
  <c r="BC354" i="2"/>
  <c r="BB354" i="2"/>
  <c r="BA354" i="2"/>
  <c r="AZ354" i="2"/>
  <c r="AY354" i="2"/>
  <c r="AX354" i="2"/>
  <c r="AW354" i="2"/>
  <c r="AV354" i="2"/>
  <c r="AU354" i="2"/>
  <c r="AT354" i="2"/>
  <c r="AS354" i="2"/>
  <c r="AR354" i="2"/>
  <c r="AQ354" i="2"/>
  <c r="AP354" i="2"/>
  <c r="AO354" i="2"/>
  <c r="AN354" i="2"/>
  <c r="AM354" i="2"/>
  <c r="AL354" i="2"/>
  <c r="AK354" i="2"/>
  <c r="AJ354" i="2"/>
  <c r="AI354" i="2"/>
  <c r="AH354" i="2"/>
  <c r="AG354" i="2"/>
  <c r="AF354" i="2"/>
  <c r="AE354" i="2"/>
  <c r="AD354" i="2"/>
  <c r="AC354" i="2"/>
  <c r="AB354" i="2"/>
  <c r="AA354" i="2"/>
  <c r="Z354" i="2"/>
  <c r="Y354" i="2"/>
  <c r="X354" i="2"/>
  <c r="W354" i="2"/>
  <c r="V354" i="2"/>
  <c r="U354" i="2"/>
  <c r="T354" i="2"/>
  <c r="S354" i="2"/>
  <c r="R354" i="2"/>
  <c r="Q354" i="2"/>
  <c r="P354" i="2"/>
  <c r="O354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BF353" i="2"/>
  <c r="BE353" i="2"/>
  <c r="BD353" i="2"/>
  <c r="BC353" i="2"/>
  <c r="BB353" i="2"/>
  <c r="BA353" i="2"/>
  <c r="AZ353" i="2"/>
  <c r="AY353" i="2"/>
  <c r="AX353" i="2"/>
  <c r="AW353" i="2"/>
  <c r="AV353" i="2"/>
  <c r="AU353" i="2"/>
  <c r="AT353" i="2"/>
  <c r="AS353" i="2"/>
  <c r="AR353" i="2"/>
  <c r="AQ353" i="2"/>
  <c r="AP353" i="2"/>
  <c r="AO353" i="2"/>
  <c r="AN353" i="2"/>
  <c r="AM353" i="2"/>
  <c r="AL353" i="2"/>
  <c r="AK353" i="2"/>
  <c r="AJ353" i="2"/>
  <c r="AI353" i="2"/>
  <c r="AH353" i="2"/>
  <c r="AG353" i="2"/>
  <c r="AF353" i="2"/>
  <c r="AE353" i="2"/>
  <c r="AD353" i="2"/>
  <c r="AC353" i="2"/>
  <c r="AB353" i="2"/>
  <c r="AA353" i="2"/>
  <c r="Z353" i="2"/>
  <c r="Y353" i="2"/>
  <c r="X353" i="2"/>
  <c r="W353" i="2"/>
  <c r="V353" i="2"/>
  <c r="U353" i="2"/>
  <c r="T353" i="2"/>
  <c r="S353" i="2"/>
  <c r="R353" i="2"/>
  <c r="Q353" i="2"/>
  <c r="P353" i="2"/>
  <c r="O353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BF352" i="2"/>
  <c r="BE352" i="2"/>
  <c r="BD352" i="2"/>
  <c r="BC352" i="2"/>
  <c r="BB352" i="2"/>
  <c r="BA352" i="2"/>
  <c r="AZ352" i="2"/>
  <c r="AY352" i="2"/>
  <c r="AX352" i="2"/>
  <c r="AW352" i="2"/>
  <c r="AV352" i="2"/>
  <c r="AU352" i="2"/>
  <c r="AT352" i="2"/>
  <c r="AS352" i="2"/>
  <c r="AR352" i="2"/>
  <c r="AQ352" i="2"/>
  <c r="AP352" i="2"/>
  <c r="AO352" i="2"/>
  <c r="AN352" i="2"/>
  <c r="AM352" i="2"/>
  <c r="AL352" i="2"/>
  <c r="AK352" i="2"/>
  <c r="AJ352" i="2"/>
  <c r="AI352" i="2"/>
  <c r="AH352" i="2"/>
  <c r="AG352" i="2"/>
  <c r="AF352" i="2"/>
  <c r="AE352" i="2"/>
  <c r="AD352" i="2"/>
  <c r="AC352" i="2"/>
  <c r="AB352" i="2"/>
  <c r="AA352" i="2"/>
  <c r="Z352" i="2"/>
  <c r="Y352" i="2"/>
  <c r="X352" i="2"/>
  <c r="W352" i="2"/>
  <c r="V352" i="2"/>
  <c r="U352" i="2"/>
  <c r="T352" i="2"/>
  <c r="S352" i="2"/>
  <c r="R352" i="2"/>
  <c r="Q352" i="2"/>
  <c r="P352" i="2"/>
  <c r="O352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BF351" i="2"/>
  <c r="BE351" i="2"/>
  <c r="BD351" i="2"/>
  <c r="BC351" i="2"/>
  <c r="BB351" i="2"/>
  <c r="BA351" i="2"/>
  <c r="AZ351" i="2"/>
  <c r="AY351" i="2"/>
  <c r="AX351" i="2"/>
  <c r="AW351" i="2"/>
  <c r="AV351" i="2"/>
  <c r="AU351" i="2"/>
  <c r="AT351" i="2"/>
  <c r="AS351" i="2"/>
  <c r="AR351" i="2"/>
  <c r="AQ351" i="2"/>
  <c r="AP351" i="2"/>
  <c r="AO351" i="2"/>
  <c r="AN351" i="2"/>
  <c r="AM351" i="2"/>
  <c r="AL351" i="2"/>
  <c r="AK351" i="2"/>
  <c r="AJ351" i="2"/>
  <c r="AI351" i="2"/>
  <c r="AH351" i="2"/>
  <c r="AG351" i="2"/>
  <c r="AF351" i="2"/>
  <c r="AE351" i="2"/>
  <c r="AD351" i="2"/>
  <c r="AC351" i="2"/>
  <c r="AB351" i="2"/>
  <c r="AA351" i="2"/>
  <c r="Z351" i="2"/>
  <c r="Y351" i="2"/>
  <c r="X351" i="2"/>
  <c r="W351" i="2"/>
  <c r="V351" i="2"/>
  <c r="U351" i="2"/>
  <c r="T351" i="2"/>
  <c r="S351" i="2"/>
  <c r="R351" i="2"/>
  <c r="Q351" i="2"/>
  <c r="P351" i="2"/>
  <c r="O351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BF350" i="2"/>
  <c r="BE350" i="2"/>
  <c r="BD350" i="2"/>
  <c r="BC350" i="2"/>
  <c r="BB350" i="2"/>
  <c r="BA350" i="2"/>
  <c r="AZ350" i="2"/>
  <c r="AY350" i="2"/>
  <c r="AX350" i="2"/>
  <c r="AW350" i="2"/>
  <c r="AV350" i="2"/>
  <c r="AU350" i="2"/>
  <c r="AT350" i="2"/>
  <c r="AS350" i="2"/>
  <c r="AR350" i="2"/>
  <c r="AQ350" i="2"/>
  <c r="AP350" i="2"/>
  <c r="AO350" i="2"/>
  <c r="AN350" i="2"/>
  <c r="AM350" i="2"/>
  <c r="AL350" i="2"/>
  <c r="AK350" i="2"/>
  <c r="AJ350" i="2"/>
  <c r="AI350" i="2"/>
  <c r="AH350" i="2"/>
  <c r="AG350" i="2"/>
  <c r="AF350" i="2"/>
  <c r="AE350" i="2"/>
  <c r="AD350" i="2"/>
  <c r="AC350" i="2"/>
  <c r="AB350" i="2"/>
  <c r="AA350" i="2"/>
  <c r="Z350" i="2"/>
  <c r="Y350" i="2"/>
  <c r="X350" i="2"/>
  <c r="W350" i="2"/>
  <c r="V350" i="2"/>
  <c r="U350" i="2"/>
  <c r="T350" i="2"/>
  <c r="S350" i="2"/>
  <c r="R350" i="2"/>
  <c r="Q350" i="2"/>
  <c r="P350" i="2"/>
  <c r="O350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BF349" i="2"/>
  <c r="BE349" i="2"/>
  <c r="BD349" i="2"/>
  <c r="BC349" i="2"/>
  <c r="BB349" i="2"/>
  <c r="BA349" i="2"/>
  <c r="AZ349" i="2"/>
  <c r="AY349" i="2"/>
  <c r="AX349" i="2"/>
  <c r="AW349" i="2"/>
  <c r="AV349" i="2"/>
  <c r="AU349" i="2"/>
  <c r="AT349" i="2"/>
  <c r="AS349" i="2"/>
  <c r="AR349" i="2"/>
  <c r="AQ349" i="2"/>
  <c r="AP349" i="2"/>
  <c r="AO349" i="2"/>
  <c r="AN349" i="2"/>
  <c r="AM349" i="2"/>
  <c r="AL349" i="2"/>
  <c r="AK349" i="2"/>
  <c r="AJ349" i="2"/>
  <c r="AI349" i="2"/>
  <c r="AH349" i="2"/>
  <c r="AG349" i="2"/>
  <c r="AF349" i="2"/>
  <c r="AE349" i="2"/>
  <c r="AD349" i="2"/>
  <c r="AC349" i="2"/>
  <c r="AB349" i="2"/>
  <c r="AA349" i="2"/>
  <c r="Z349" i="2"/>
  <c r="Y349" i="2"/>
  <c r="X349" i="2"/>
  <c r="W349" i="2"/>
  <c r="V349" i="2"/>
  <c r="U349" i="2"/>
  <c r="T349" i="2"/>
  <c r="S349" i="2"/>
  <c r="R349" i="2"/>
  <c r="Q349" i="2"/>
  <c r="P349" i="2"/>
  <c r="O349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BF348" i="2"/>
  <c r="BE348" i="2"/>
  <c r="BD348" i="2"/>
  <c r="BC348" i="2"/>
  <c r="BB348" i="2"/>
  <c r="BA348" i="2"/>
  <c r="AZ348" i="2"/>
  <c r="AY348" i="2"/>
  <c r="AX348" i="2"/>
  <c r="AW348" i="2"/>
  <c r="AV348" i="2"/>
  <c r="AU348" i="2"/>
  <c r="AT348" i="2"/>
  <c r="AS348" i="2"/>
  <c r="AR348" i="2"/>
  <c r="AQ348" i="2"/>
  <c r="AP348" i="2"/>
  <c r="AO348" i="2"/>
  <c r="AN348" i="2"/>
  <c r="AM348" i="2"/>
  <c r="AL348" i="2"/>
  <c r="AK348" i="2"/>
  <c r="AJ348" i="2"/>
  <c r="AI348" i="2"/>
  <c r="AH348" i="2"/>
  <c r="AG348" i="2"/>
  <c r="AF348" i="2"/>
  <c r="AE348" i="2"/>
  <c r="AD348" i="2"/>
  <c r="AC348" i="2"/>
  <c r="AB348" i="2"/>
  <c r="AA348" i="2"/>
  <c r="Z348" i="2"/>
  <c r="Y348" i="2"/>
  <c r="X348" i="2"/>
  <c r="W348" i="2"/>
  <c r="V348" i="2"/>
  <c r="U348" i="2"/>
  <c r="T348" i="2"/>
  <c r="S348" i="2"/>
  <c r="R348" i="2"/>
  <c r="Q348" i="2"/>
  <c r="P348" i="2"/>
  <c r="O348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BF347" i="2"/>
  <c r="BE347" i="2"/>
  <c r="BD347" i="2"/>
  <c r="BC347" i="2"/>
  <c r="BB347" i="2"/>
  <c r="BA347" i="2"/>
  <c r="AZ347" i="2"/>
  <c r="AY347" i="2"/>
  <c r="AX347" i="2"/>
  <c r="AW347" i="2"/>
  <c r="AV347" i="2"/>
  <c r="AU347" i="2"/>
  <c r="AT347" i="2"/>
  <c r="AS347" i="2"/>
  <c r="AR347" i="2"/>
  <c r="AQ347" i="2"/>
  <c r="AP347" i="2"/>
  <c r="AO347" i="2"/>
  <c r="AN347" i="2"/>
  <c r="AM347" i="2"/>
  <c r="AL347" i="2"/>
  <c r="AK347" i="2"/>
  <c r="AJ347" i="2"/>
  <c r="AI347" i="2"/>
  <c r="AH347" i="2"/>
  <c r="AG347" i="2"/>
  <c r="AF347" i="2"/>
  <c r="AE347" i="2"/>
  <c r="AD347" i="2"/>
  <c r="AC347" i="2"/>
  <c r="AB347" i="2"/>
  <c r="AA347" i="2"/>
  <c r="Z347" i="2"/>
  <c r="Y347" i="2"/>
  <c r="X347" i="2"/>
  <c r="W347" i="2"/>
  <c r="V347" i="2"/>
  <c r="U347" i="2"/>
  <c r="T347" i="2"/>
  <c r="S347" i="2"/>
  <c r="R347" i="2"/>
  <c r="Q347" i="2"/>
  <c r="P347" i="2"/>
  <c r="O347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BF346" i="2"/>
  <c r="BE346" i="2"/>
  <c r="BD346" i="2"/>
  <c r="BC346" i="2"/>
  <c r="BB346" i="2"/>
  <c r="BA346" i="2"/>
  <c r="AZ346" i="2"/>
  <c r="AY346" i="2"/>
  <c r="AX346" i="2"/>
  <c r="AW346" i="2"/>
  <c r="AV346" i="2"/>
  <c r="AU346" i="2"/>
  <c r="AT346" i="2"/>
  <c r="AS346" i="2"/>
  <c r="AR346" i="2"/>
  <c r="AQ346" i="2"/>
  <c r="AP346" i="2"/>
  <c r="AO346" i="2"/>
  <c r="AN346" i="2"/>
  <c r="AM346" i="2"/>
  <c r="AL346" i="2"/>
  <c r="AK346" i="2"/>
  <c r="AJ346" i="2"/>
  <c r="AI346" i="2"/>
  <c r="AH346" i="2"/>
  <c r="AG346" i="2"/>
  <c r="AF346" i="2"/>
  <c r="AE346" i="2"/>
  <c r="AD346" i="2"/>
  <c r="AC346" i="2"/>
  <c r="AB346" i="2"/>
  <c r="AA346" i="2"/>
  <c r="Z346" i="2"/>
  <c r="Y346" i="2"/>
  <c r="X346" i="2"/>
  <c r="W346" i="2"/>
  <c r="V346" i="2"/>
  <c r="U346" i="2"/>
  <c r="T346" i="2"/>
  <c r="S346" i="2"/>
  <c r="R346" i="2"/>
  <c r="Q346" i="2"/>
  <c r="P346" i="2"/>
  <c r="O346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BF345" i="2"/>
  <c r="BE345" i="2"/>
  <c r="BD345" i="2"/>
  <c r="BC345" i="2"/>
  <c r="BB345" i="2"/>
  <c r="BA345" i="2"/>
  <c r="AZ345" i="2"/>
  <c r="AY345" i="2"/>
  <c r="AX345" i="2"/>
  <c r="AW345" i="2"/>
  <c r="AV345" i="2"/>
  <c r="AU345" i="2"/>
  <c r="AT345" i="2"/>
  <c r="AS345" i="2"/>
  <c r="AR345" i="2"/>
  <c r="AQ345" i="2"/>
  <c r="AP345" i="2"/>
  <c r="AO345" i="2"/>
  <c r="AN345" i="2"/>
  <c r="AM345" i="2"/>
  <c r="AL345" i="2"/>
  <c r="AK345" i="2"/>
  <c r="AJ345" i="2"/>
  <c r="AI345" i="2"/>
  <c r="AH345" i="2"/>
  <c r="AG345" i="2"/>
  <c r="AF345" i="2"/>
  <c r="AE345" i="2"/>
  <c r="AD345" i="2"/>
  <c r="AC345" i="2"/>
  <c r="AB345" i="2"/>
  <c r="AA345" i="2"/>
  <c r="Z345" i="2"/>
  <c r="Y345" i="2"/>
  <c r="X345" i="2"/>
  <c r="W345" i="2"/>
  <c r="V345" i="2"/>
  <c r="U345" i="2"/>
  <c r="T345" i="2"/>
  <c r="S345" i="2"/>
  <c r="R345" i="2"/>
  <c r="Q345" i="2"/>
  <c r="P345" i="2"/>
  <c r="O345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BF344" i="2"/>
  <c r="BE344" i="2"/>
  <c r="BD344" i="2"/>
  <c r="BC344" i="2"/>
  <c r="BB344" i="2"/>
  <c r="BA344" i="2"/>
  <c r="AZ344" i="2"/>
  <c r="AY344" i="2"/>
  <c r="AX344" i="2"/>
  <c r="AW344" i="2"/>
  <c r="AV344" i="2"/>
  <c r="AU344" i="2"/>
  <c r="AT344" i="2"/>
  <c r="AS344" i="2"/>
  <c r="AR344" i="2"/>
  <c r="AQ344" i="2"/>
  <c r="AP344" i="2"/>
  <c r="AO344" i="2"/>
  <c r="AN344" i="2"/>
  <c r="AM344" i="2"/>
  <c r="AL344" i="2"/>
  <c r="AK344" i="2"/>
  <c r="AJ344" i="2"/>
  <c r="AI344" i="2"/>
  <c r="AH344" i="2"/>
  <c r="AG344" i="2"/>
  <c r="AF344" i="2"/>
  <c r="AE344" i="2"/>
  <c r="AD344" i="2"/>
  <c r="AC344" i="2"/>
  <c r="AB344" i="2"/>
  <c r="AA344" i="2"/>
  <c r="Z344" i="2"/>
  <c r="Y344" i="2"/>
  <c r="X344" i="2"/>
  <c r="W344" i="2"/>
  <c r="V344" i="2"/>
  <c r="U344" i="2"/>
  <c r="T344" i="2"/>
  <c r="S344" i="2"/>
  <c r="R344" i="2"/>
  <c r="Q344" i="2"/>
  <c r="P344" i="2"/>
  <c r="O344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BF343" i="2"/>
  <c r="BE343" i="2"/>
  <c r="BD343" i="2"/>
  <c r="BC343" i="2"/>
  <c r="BB343" i="2"/>
  <c r="BA343" i="2"/>
  <c r="AZ343" i="2"/>
  <c r="AY343" i="2"/>
  <c r="AX343" i="2"/>
  <c r="AW343" i="2"/>
  <c r="AV343" i="2"/>
  <c r="AU343" i="2"/>
  <c r="AT343" i="2"/>
  <c r="AS343" i="2"/>
  <c r="AR343" i="2"/>
  <c r="AQ343" i="2"/>
  <c r="AP343" i="2"/>
  <c r="AO343" i="2"/>
  <c r="AN343" i="2"/>
  <c r="AM343" i="2"/>
  <c r="AL343" i="2"/>
  <c r="AK343" i="2"/>
  <c r="AJ343" i="2"/>
  <c r="AI343" i="2"/>
  <c r="AH343" i="2"/>
  <c r="AG343" i="2"/>
  <c r="AF343" i="2"/>
  <c r="AE343" i="2"/>
  <c r="AD343" i="2"/>
  <c r="AC343" i="2"/>
  <c r="AB343" i="2"/>
  <c r="AA343" i="2"/>
  <c r="Z343" i="2"/>
  <c r="Y343" i="2"/>
  <c r="X343" i="2"/>
  <c r="W343" i="2"/>
  <c r="V343" i="2"/>
  <c r="U343" i="2"/>
  <c r="T343" i="2"/>
  <c r="S343" i="2"/>
  <c r="R343" i="2"/>
  <c r="Q343" i="2"/>
  <c r="P343" i="2"/>
  <c r="O343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BF342" i="2"/>
  <c r="BE342" i="2"/>
  <c r="BD342" i="2"/>
  <c r="BC342" i="2"/>
  <c r="BB342" i="2"/>
  <c r="BA342" i="2"/>
  <c r="AZ342" i="2"/>
  <c r="AY342" i="2"/>
  <c r="AX342" i="2"/>
  <c r="AW342" i="2"/>
  <c r="AV342" i="2"/>
  <c r="AU342" i="2"/>
  <c r="AT342" i="2"/>
  <c r="AS342" i="2"/>
  <c r="AR342" i="2"/>
  <c r="AQ342" i="2"/>
  <c r="AP342" i="2"/>
  <c r="AO342" i="2"/>
  <c r="AN342" i="2"/>
  <c r="AM342" i="2"/>
  <c r="AL342" i="2"/>
  <c r="AK342" i="2"/>
  <c r="AJ342" i="2"/>
  <c r="AI342" i="2"/>
  <c r="AH342" i="2"/>
  <c r="AG342" i="2"/>
  <c r="AF342" i="2"/>
  <c r="AE342" i="2"/>
  <c r="AD342" i="2"/>
  <c r="AC342" i="2"/>
  <c r="AB342" i="2"/>
  <c r="AA342" i="2"/>
  <c r="Z342" i="2"/>
  <c r="Y342" i="2"/>
  <c r="X342" i="2"/>
  <c r="W342" i="2"/>
  <c r="V342" i="2"/>
  <c r="U342" i="2"/>
  <c r="T342" i="2"/>
  <c r="S342" i="2"/>
  <c r="R342" i="2"/>
  <c r="Q342" i="2"/>
  <c r="P342" i="2"/>
  <c r="O342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BF341" i="2"/>
  <c r="BE341" i="2"/>
  <c r="BD341" i="2"/>
  <c r="BC341" i="2"/>
  <c r="BB341" i="2"/>
  <c r="BA341" i="2"/>
  <c r="AZ341" i="2"/>
  <c r="AY341" i="2"/>
  <c r="AX341" i="2"/>
  <c r="AW341" i="2"/>
  <c r="AV341" i="2"/>
  <c r="AU341" i="2"/>
  <c r="AT341" i="2"/>
  <c r="AS341" i="2"/>
  <c r="AR341" i="2"/>
  <c r="AQ341" i="2"/>
  <c r="AP341" i="2"/>
  <c r="AO341" i="2"/>
  <c r="AN341" i="2"/>
  <c r="AM341" i="2"/>
  <c r="AL341" i="2"/>
  <c r="AK341" i="2"/>
  <c r="AJ341" i="2"/>
  <c r="AI341" i="2"/>
  <c r="AH341" i="2"/>
  <c r="AG341" i="2"/>
  <c r="AF341" i="2"/>
  <c r="AE341" i="2"/>
  <c r="AD341" i="2"/>
  <c r="AC341" i="2"/>
  <c r="AB341" i="2"/>
  <c r="AA341" i="2"/>
  <c r="Z341" i="2"/>
  <c r="Y341" i="2"/>
  <c r="X341" i="2"/>
  <c r="W341" i="2"/>
  <c r="V341" i="2"/>
  <c r="U341" i="2"/>
  <c r="T341" i="2"/>
  <c r="S341" i="2"/>
  <c r="R341" i="2"/>
  <c r="Q341" i="2"/>
  <c r="P341" i="2"/>
  <c r="O341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BF340" i="2"/>
  <c r="BE340" i="2"/>
  <c r="BD340" i="2"/>
  <c r="BC340" i="2"/>
  <c r="BB340" i="2"/>
  <c r="BA340" i="2"/>
  <c r="AZ340" i="2"/>
  <c r="AY340" i="2"/>
  <c r="AX340" i="2"/>
  <c r="AW340" i="2"/>
  <c r="AV340" i="2"/>
  <c r="AU340" i="2"/>
  <c r="AT340" i="2"/>
  <c r="AS340" i="2"/>
  <c r="AR340" i="2"/>
  <c r="AQ340" i="2"/>
  <c r="AP340" i="2"/>
  <c r="AO340" i="2"/>
  <c r="AN340" i="2"/>
  <c r="AM340" i="2"/>
  <c r="AL340" i="2"/>
  <c r="AK340" i="2"/>
  <c r="AJ340" i="2"/>
  <c r="AI340" i="2"/>
  <c r="AH340" i="2"/>
  <c r="AG340" i="2"/>
  <c r="AF340" i="2"/>
  <c r="AE340" i="2"/>
  <c r="AD340" i="2"/>
  <c r="AC340" i="2"/>
  <c r="AB340" i="2"/>
  <c r="AA340" i="2"/>
  <c r="Z340" i="2"/>
  <c r="Y340" i="2"/>
  <c r="X340" i="2"/>
  <c r="W340" i="2"/>
  <c r="V340" i="2"/>
  <c r="U340" i="2"/>
  <c r="T340" i="2"/>
  <c r="S340" i="2"/>
  <c r="R340" i="2"/>
  <c r="Q340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BF339" i="2"/>
  <c r="BE339" i="2"/>
  <c r="BD339" i="2"/>
  <c r="BC339" i="2"/>
  <c r="BB339" i="2"/>
  <c r="BA339" i="2"/>
  <c r="AZ339" i="2"/>
  <c r="AY339" i="2"/>
  <c r="AX339" i="2"/>
  <c r="AW339" i="2"/>
  <c r="AV339" i="2"/>
  <c r="AU339" i="2"/>
  <c r="AT339" i="2"/>
  <c r="AS339" i="2"/>
  <c r="AR339" i="2"/>
  <c r="AQ339" i="2"/>
  <c r="AP339" i="2"/>
  <c r="AO339" i="2"/>
  <c r="AN339" i="2"/>
  <c r="AM339" i="2"/>
  <c r="AL339" i="2"/>
  <c r="AK339" i="2"/>
  <c r="AJ339" i="2"/>
  <c r="AI339" i="2"/>
  <c r="AH339" i="2"/>
  <c r="AG339" i="2"/>
  <c r="AF339" i="2"/>
  <c r="AE339" i="2"/>
  <c r="AD339" i="2"/>
  <c r="AC339" i="2"/>
  <c r="AB339" i="2"/>
  <c r="AA339" i="2"/>
  <c r="Z339" i="2"/>
  <c r="Y339" i="2"/>
  <c r="X339" i="2"/>
  <c r="W339" i="2"/>
  <c r="V339" i="2"/>
  <c r="U339" i="2"/>
  <c r="T339" i="2"/>
  <c r="S339" i="2"/>
  <c r="R339" i="2"/>
  <c r="Q339" i="2"/>
  <c r="P339" i="2"/>
  <c r="O339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BF328" i="2"/>
  <c r="BE328" i="2"/>
  <c r="BD328" i="2"/>
  <c r="BC328" i="2"/>
  <c r="BB328" i="2"/>
  <c r="BA328" i="2"/>
  <c r="AZ328" i="2"/>
  <c r="AY328" i="2"/>
  <c r="AX328" i="2"/>
  <c r="AW328" i="2"/>
  <c r="AV328" i="2"/>
  <c r="AU328" i="2"/>
  <c r="AT328" i="2"/>
  <c r="AS328" i="2"/>
  <c r="AR328" i="2"/>
  <c r="AQ328" i="2"/>
  <c r="AP328" i="2"/>
  <c r="AO328" i="2"/>
  <c r="AN328" i="2"/>
  <c r="AM328" i="2"/>
  <c r="AL328" i="2"/>
  <c r="AK328" i="2"/>
  <c r="AJ328" i="2"/>
  <c r="AI328" i="2"/>
  <c r="AH328" i="2"/>
  <c r="AG328" i="2"/>
  <c r="AF328" i="2"/>
  <c r="AE328" i="2"/>
  <c r="AD328" i="2"/>
  <c r="AC328" i="2"/>
  <c r="AB328" i="2"/>
  <c r="AA328" i="2"/>
  <c r="Z328" i="2"/>
  <c r="Y328" i="2"/>
  <c r="X328" i="2"/>
  <c r="W328" i="2"/>
  <c r="V328" i="2"/>
  <c r="U328" i="2"/>
  <c r="T328" i="2"/>
  <c r="S328" i="2"/>
  <c r="R328" i="2"/>
  <c r="Q328" i="2"/>
  <c r="P328" i="2"/>
  <c r="O328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BF327" i="2"/>
  <c r="BE327" i="2"/>
  <c r="BD327" i="2"/>
  <c r="BC327" i="2"/>
  <c r="BB327" i="2"/>
  <c r="BA327" i="2"/>
  <c r="AZ327" i="2"/>
  <c r="AY327" i="2"/>
  <c r="AX327" i="2"/>
  <c r="AW327" i="2"/>
  <c r="AV327" i="2"/>
  <c r="AU327" i="2"/>
  <c r="AT327" i="2"/>
  <c r="AS327" i="2"/>
  <c r="AR327" i="2"/>
  <c r="AQ327" i="2"/>
  <c r="AP327" i="2"/>
  <c r="AO327" i="2"/>
  <c r="AN327" i="2"/>
  <c r="AM327" i="2"/>
  <c r="AL327" i="2"/>
  <c r="AK327" i="2"/>
  <c r="AJ327" i="2"/>
  <c r="AI327" i="2"/>
  <c r="AH327" i="2"/>
  <c r="AG327" i="2"/>
  <c r="AF327" i="2"/>
  <c r="AE327" i="2"/>
  <c r="AD327" i="2"/>
  <c r="AC327" i="2"/>
  <c r="AB327" i="2"/>
  <c r="AA327" i="2"/>
  <c r="Z327" i="2"/>
  <c r="Y327" i="2"/>
  <c r="X327" i="2"/>
  <c r="W327" i="2"/>
  <c r="V327" i="2"/>
  <c r="U327" i="2"/>
  <c r="T327" i="2"/>
  <c r="S327" i="2"/>
  <c r="R327" i="2"/>
  <c r="Q327" i="2"/>
  <c r="P327" i="2"/>
  <c r="O327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BF326" i="2"/>
  <c r="BE326" i="2"/>
  <c r="BD326" i="2"/>
  <c r="BC326" i="2"/>
  <c r="BB326" i="2"/>
  <c r="BA326" i="2"/>
  <c r="AZ326" i="2"/>
  <c r="AY326" i="2"/>
  <c r="AX326" i="2"/>
  <c r="AW326" i="2"/>
  <c r="AV326" i="2"/>
  <c r="AU326" i="2"/>
  <c r="AT326" i="2"/>
  <c r="AS326" i="2"/>
  <c r="AR326" i="2"/>
  <c r="AQ326" i="2"/>
  <c r="AP326" i="2"/>
  <c r="AO326" i="2"/>
  <c r="AN326" i="2"/>
  <c r="AM326" i="2"/>
  <c r="AL326" i="2"/>
  <c r="AK326" i="2"/>
  <c r="AJ326" i="2"/>
  <c r="AI326" i="2"/>
  <c r="AH326" i="2"/>
  <c r="AG326" i="2"/>
  <c r="AF326" i="2"/>
  <c r="AE326" i="2"/>
  <c r="AD326" i="2"/>
  <c r="AC326" i="2"/>
  <c r="AB326" i="2"/>
  <c r="AA326" i="2"/>
  <c r="Z326" i="2"/>
  <c r="Y326" i="2"/>
  <c r="X326" i="2"/>
  <c r="W326" i="2"/>
  <c r="V326" i="2"/>
  <c r="U326" i="2"/>
  <c r="T326" i="2"/>
  <c r="S326" i="2"/>
  <c r="R326" i="2"/>
  <c r="Q326" i="2"/>
  <c r="P326" i="2"/>
  <c r="O326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BF325" i="2"/>
  <c r="BE325" i="2"/>
  <c r="BD325" i="2"/>
  <c r="BC325" i="2"/>
  <c r="BB325" i="2"/>
  <c r="BA325" i="2"/>
  <c r="AZ325" i="2"/>
  <c r="AY325" i="2"/>
  <c r="AX325" i="2"/>
  <c r="AW325" i="2"/>
  <c r="AV325" i="2"/>
  <c r="AU325" i="2"/>
  <c r="AT325" i="2"/>
  <c r="AS325" i="2"/>
  <c r="AR325" i="2"/>
  <c r="AQ325" i="2"/>
  <c r="AP325" i="2"/>
  <c r="AO325" i="2"/>
  <c r="AN325" i="2"/>
  <c r="AM325" i="2"/>
  <c r="AL325" i="2"/>
  <c r="AK325" i="2"/>
  <c r="AJ325" i="2"/>
  <c r="AI325" i="2"/>
  <c r="AH325" i="2"/>
  <c r="AG325" i="2"/>
  <c r="AF325" i="2"/>
  <c r="AE325" i="2"/>
  <c r="AD325" i="2"/>
  <c r="AC325" i="2"/>
  <c r="AB325" i="2"/>
  <c r="AA325" i="2"/>
  <c r="Z325" i="2"/>
  <c r="Y325" i="2"/>
  <c r="X325" i="2"/>
  <c r="W325" i="2"/>
  <c r="V325" i="2"/>
  <c r="U325" i="2"/>
  <c r="T325" i="2"/>
  <c r="S325" i="2"/>
  <c r="R325" i="2"/>
  <c r="Q325" i="2"/>
  <c r="P325" i="2"/>
  <c r="O325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BF324" i="2"/>
  <c r="BE324" i="2"/>
  <c r="BD324" i="2"/>
  <c r="BC324" i="2"/>
  <c r="BB324" i="2"/>
  <c r="BA324" i="2"/>
  <c r="AZ324" i="2"/>
  <c r="AY324" i="2"/>
  <c r="AX324" i="2"/>
  <c r="AW324" i="2"/>
  <c r="AV324" i="2"/>
  <c r="AU324" i="2"/>
  <c r="AT324" i="2"/>
  <c r="AS324" i="2"/>
  <c r="AR324" i="2"/>
  <c r="AQ324" i="2"/>
  <c r="AP324" i="2"/>
  <c r="AO324" i="2"/>
  <c r="AN324" i="2"/>
  <c r="AM324" i="2"/>
  <c r="AL324" i="2"/>
  <c r="AK324" i="2"/>
  <c r="AJ324" i="2"/>
  <c r="AI324" i="2"/>
  <c r="AH324" i="2"/>
  <c r="AG324" i="2"/>
  <c r="AF324" i="2"/>
  <c r="AE324" i="2"/>
  <c r="AD324" i="2"/>
  <c r="AC324" i="2"/>
  <c r="AB324" i="2"/>
  <c r="AA324" i="2"/>
  <c r="Z324" i="2"/>
  <c r="Y324" i="2"/>
  <c r="X324" i="2"/>
  <c r="W324" i="2"/>
  <c r="V324" i="2"/>
  <c r="U324" i="2"/>
  <c r="T324" i="2"/>
  <c r="S324" i="2"/>
  <c r="R324" i="2"/>
  <c r="Q324" i="2"/>
  <c r="P324" i="2"/>
  <c r="O324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BF323" i="2"/>
  <c r="BE323" i="2"/>
  <c r="BD323" i="2"/>
  <c r="BC323" i="2"/>
  <c r="BB323" i="2"/>
  <c r="BA323" i="2"/>
  <c r="AZ323" i="2"/>
  <c r="AY323" i="2"/>
  <c r="AX323" i="2"/>
  <c r="AW323" i="2"/>
  <c r="AV323" i="2"/>
  <c r="AU323" i="2"/>
  <c r="AT323" i="2"/>
  <c r="AS323" i="2"/>
  <c r="AR323" i="2"/>
  <c r="AQ323" i="2"/>
  <c r="AP323" i="2"/>
  <c r="AO323" i="2"/>
  <c r="AN323" i="2"/>
  <c r="AM323" i="2"/>
  <c r="AL323" i="2"/>
  <c r="AK323" i="2"/>
  <c r="AJ323" i="2"/>
  <c r="AI323" i="2"/>
  <c r="AH323" i="2"/>
  <c r="AG323" i="2"/>
  <c r="AF323" i="2"/>
  <c r="AE323" i="2"/>
  <c r="AD323" i="2"/>
  <c r="AC323" i="2"/>
  <c r="AB323" i="2"/>
  <c r="AA323" i="2"/>
  <c r="Z323" i="2"/>
  <c r="Y323" i="2"/>
  <c r="X323" i="2"/>
  <c r="W323" i="2"/>
  <c r="V323" i="2"/>
  <c r="U323" i="2"/>
  <c r="T323" i="2"/>
  <c r="S323" i="2"/>
  <c r="R323" i="2"/>
  <c r="Q323" i="2"/>
  <c r="P323" i="2"/>
  <c r="O323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BF322" i="2"/>
  <c r="BE322" i="2"/>
  <c r="BD322" i="2"/>
  <c r="BC322" i="2"/>
  <c r="BB322" i="2"/>
  <c r="BA322" i="2"/>
  <c r="AZ322" i="2"/>
  <c r="AY322" i="2"/>
  <c r="AX322" i="2"/>
  <c r="AW322" i="2"/>
  <c r="AV322" i="2"/>
  <c r="AU322" i="2"/>
  <c r="AT322" i="2"/>
  <c r="AS322" i="2"/>
  <c r="AR322" i="2"/>
  <c r="AQ322" i="2"/>
  <c r="AP322" i="2"/>
  <c r="AO322" i="2"/>
  <c r="AN322" i="2"/>
  <c r="AM322" i="2"/>
  <c r="AL322" i="2"/>
  <c r="AK322" i="2"/>
  <c r="AJ322" i="2"/>
  <c r="AI322" i="2"/>
  <c r="AH322" i="2"/>
  <c r="AG322" i="2"/>
  <c r="AF322" i="2"/>
  <c r="AE322" i="2"/>
  <c r="AD322" i="2"/>
  <c r="AC322" i="2"/>
  <c r="AB322" i="2"/>
  <c r="AA322" i="2"/>
  <c r="Z322" i="2"/>
  <c r="Y322" i="2"/>
  <c r="X322" i="2"/>
  <c r="W322" i="2"/>
  <c r="V322" i="2"/>
  <c r="U322" i="2"/>
  <c r="T322" i="2"/>
  <c r="S322" i="2"/>
  <c r="R322" i="2"/>
  <c r="Q322" i="2"/>
  <c r="P322" i="2"/>
  <c r="O322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BF321" i="2"/>
  <c r="BE321" i="2"/>
  <c r="BD321" i="2"/>
  <c r="BC321" i="2"/>
  <c r="BB321" i="2"/>
  <c r="BA321" i="2"/>
  <c r="AZ321" i="2"/>
  <c r="AY321" i="2"/>
  <c r="AX321" i="2"/>
  <c r="AW321" i="2"/>
  <c r="AV321" i="2"/>
  <c r="AU321" i="2"/>
  <c r="AT321" i="2"/>
  <c r="AS321" i="2"/>
  <c r="AR321" i="2"/>
  <c r="AQ321" i="2"/>
  <c r="AP321" i="2"/>
  <c r="AO321" i="2"/>
  <c r="AN321" i="2"/>
  <c r="AM321" i="2"/>
  <c r="AL321" i="2"/>
  <c r="AK321" i="2"/>
  <c r="AJ321" i="2"/>
  <c r="AI321" i="2"/>
  <c r="AH321" i="2"/>
  <c r="AG321" i="2"/>
  <c r="AF321" i="2"/>
  <c r="AE321" i="2"/>
  <c r="AD321" i="2"/>
  <c r="AC321" i="2"/>
  <c r="AB321" i="2"/>
  <c r="AA321" i="2"/>
  <c r="Z321" i="2"/>
  <c r="Y321" i="2"/>
  <c r="X321" i="2"/>
  <c r="W321" i="2"/>
  <c r="V321" i="2"/>
  <c r="U321" i="2"/>
  <c r="T321" i="2"/>
  <c r="S321" i="2"/>
  <c r="R321" i="2"/>
  <c r="Q321" i="2"/>
  <c r="P321" i="2"/>
  <c r="O321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BF320" i="2"/>
  <c r="BE320" i="2"/>
  <c r="BD320" i="2"/>
  <c r="BC320" i="2"/>
  <c r="BB320" i="2"/>
  <c r="BA320" i="2"/>
  <c r="AZ320" i="2"/>
  <c r="AY320" i="2"/>
  <c r="AX320" i="2"/>
  <c r="AW320" i="2"/>
  <c r="AV320" i="2"/>
  <c r="AU320" i="2"/>
  <c r="AT320" i="2"/>
  <c r="AS320" i="2"/>
  <c r="AR320" i="2"/>
  <c r="AQ320" i="2"/>
  <c r="AP320" i="2"/>
  <c r="AO320" i="2"/>
  <c r="AN320" i="2"/>
  <c r="AM320" i="2"/>
  <c r="AL320" i="2"/>
  <c r="AK320" i="2"/>
  <c r="AJ320" i="2"/>
  <c r="AI320" i="2"/>
  <c r="AH320" i="2"/>
  <c r="AG320" i="2"/>
  <c r="AF320" i="2"/>
  <c r="AE320" i="2"/>
  <c r="AD320" i="2"/>
  <c r="AC320" i="2"/>
  <c r="AB320" i="2"/>
  <c r="AA320" i="2"/>
  <c r="Z320" i="2"/>
  <c r="Y320" i="2"/>
  <c r="X320" i="2"/>
  <c r="W320" i="2"/>
  <c r="V320" i="2"/>
  <c r="U320" i="2"/>
  <c r="T320" i="2"/>
  <c r="S320" i="2"/>
  <c r="R320" i="2"/>
  <c r="Q320" i="2"/>
  <c r="P320" i="2"/>
  <c r="O320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BF319" i="2"/>
  <c r="BE319" i="2"/>
  <c r="BD319" i="2"/>
  <c r="BC319" i="2"/>
  <c r="BB319" i="2"/>
  <c r="BA319" i="2"/>
  <c r="AZ319" i="2"/>
  <c r="AY319" i="2"/>
  <c r="AX319" i="2"/>
  <c r="AW319" i="2"/>
  <c r="AV319" i="2"/>
  <c r="AU319" i="2"/>
  <c r="AT319" i="2"/>
  <c r="AS319" i="2"/>
  <c r="AR319" i="2"/>
  <c r="AQ319" i="2"/>
  <c r="AP319" i="2"/>
  <c r="AO319" i="2"/>
  <c r="AN319" i="2"/>
  <c r="AM319" i="2"/>
  <c r="AL319" i="2"/>
  <c r="AK319" i="2"/>
  <c r="AJ319" i="2"/>
  <c r="AI319" i="2"/>
  <c r="AH319" i="2"/>
  <c r="AG319" i="2"/>
  <c r="AF319" i="2"/>
  <c r="AE319" i="2"/>
  <c r="AD319" i="2"/>
  <c r="AC319" i="2"/>
  <c r="AB319" i="2"/>
  <c r="AA319" i="2"/>
  <c r="Z319" i="2"/>
  <c r="Y319" i="2"/>
  <c r="X319" i="2"/>
  <c r="W319" i="2"/>
  <c r="V319" i="2"/>
  <c r="U319" i="2"/>
  <c r="T319" i="2"/>
  <c r="S319" i="2"/>
  <c r="R319" i="2"/>
  <c r="Q319" i="2"/>
  <c r="P319" i="2"/>
  <c r="O319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BF318" i="2"/>
  <c r="BE318" i="2"/>
  <c r="BD318" i="2"/>
  <c r="BC318" i="2"/>
  <c r="BB318" i="2"/>
  <c r="BA318" i="2"/>
  <c r="AZ318" i="2"/>
  <c r="AY318" i="2"/>
  <c r="AX318" i="2"/>
  <c r="AW318" i="2"/>
  <c r="AV318" i="2"/>
  <c r="AU318" i="2"/>
  <c r="AT318" i="2"/>
  <c r="AS318" i="2"/>
  <c r="AR318" i="2"/>
  <c r="AQ318" i="2"/>
  <c r="AP318" i="2"/>
  <c r="AO318" i="2"/>
  <c r="AN318" i="2"/>
  <c r="AM318" i="2"/>
  <c r="AL318" i="2"/>
  <c r="AK318" i="2"/>
  <c r="AJ318" i="2"/>
  <c r="AI318" i="2"/>
  <c r="AH318" i="2"/>
  <c r="AG318" i="2"/>
  <c r="AF318" i="2"/>
  <c r="AE318" i="2"/>
  <c r="AD318" i="2"/>
  <c r="AC318" i="2"/>
  <c r="AB318" i="2"/>
  <c r="AA318" i="2"/>
  <c r="Z318" i="2"/>
  <c r="Y318" i="2"/>
  <c r="X318" i="2"/>
  <c r="W318" i="2"/>
  <c r="V318" i="2"/>
  <c r="U318" i="2"/>
  <c r="T318" i="2"/>
  <c r="S318" i="2"/>
  <c r="R318" i="2"/>
  <c r="Q318" i="2"/>
  <c r="P318" i="2"/>
  <c r="O318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BF317" i="2"/>
  <c r="BE317" i="2"/>
  <c r="BD317" i="2"/>
  <c r="BC317" i="2"/>
  <c r="BB317" i="2"/>
  <c r="BA317" i="2"/>
  <c r="AZ317" i="2"/>
  <c r="AY317" i="2"/>
  <c r="AX317" i="2"/>
  <c r="AW317" i="2"/>
  <c r="AV317" i="2"/>
  <c r="AU317" i="2"/>
  <c r="AT317" i="2"/>
  <c r="AS317" i="2"/>
  <c r="AR317" i="2"/>
  <c r="AQ317" i="2"/>
  <c r="AP317" i="2"/>
  <c r="AO317" i="2"/>
  <c r="AN317" i="2"/>
  <c r="AM317" i="2"/>
  <c r="AL317" i="2"/>
  <c r="AK317" i="2"/>
  <c r="AJ317" i="2"/>
  <c r="AI317" i="2"/>
  <c r="AH317" i="2"/>
  <c r="AG317" i="2"/>
  <c r="AF317" i="2"/>
  <c r="AE317" i="2"/>
  <c r="AD317" i="2"/>
  <c r="AC317" i="2"/>
  <c r="AB317" i="2"/>
  <c r="AA317" i="2"/>
  <c r="Z317" i="2"/>
  <c r="Y317" i="2"/>
  <c r="X317" i="2"/>
  <c r="W317" i="2"/>
  <c r="V317" i="2"/>
  <c r="U317" i="2"/>
  <c r="T317" i="2"/>
  <c r="S317" i="2"/>
  <c r="R317" i="2"/>
  <c r="Q317" i="2"/>
  <c r="P317" i="2"/>
  <c r="O317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BF316" i="2"/>
  <c r="BE316" i="2"/>
  <c r="BD316" i="2"/>
  <c r="BC316" i="2"/>
  <c r="BB316" i="2"/>
  <c r="BA316" i="2"/>
  <c r="AZ316" i="2"/>
  <c r="AY316" i="2"/>
  <c r="AX316" i="2"/>
  <c r="AW316" i="2"/>
  <c r="AV316" i="2"/>
  <c r="AU316" i="2"/>
  <c r="AT316" i="2"/>
  <c r="AS316" i="2"/>
  <c r="AR316" i="2"/>
  <c r="AQ316" i="2"/>
  <c r="AP316" i="2"/>
  <c r="AO316" i="2"/>
  <c r="AN316" i="2"/>
  <c r="AM316" i="2"/>
  <c r="AL316" i="2"/>
  <c r="AK316" i="2"/>
  <c r="AJ316" i="2"/>
  <c r="AI316" i="2"/>
  <c r="AH316" i="2"/>
  <c r="AG316" i="2"/>
  <c r="AF316" i="2"/>
  <c r="AE316" i="2"/>
  <c r="AD316" i="2"/>
  <c r="AC316" i="2"/>
  <c r="AB316" i="2"/>
  <c r="AA316" i="2"/>
  <c r="Z316" i="2"/>
  <c r="Y316" i="2"/>
  <c r="X316" i="2"/>
  <c r="W316" i="2"/>
  <c r="V316" i="2"/>
  <c r="U316" i="2"/>
  <c r="T316" i="2"/>
  <c r="S316" i="2"/>
  <c r="R316" i="2"/>
  <c r="Q316" i="2"/>
  <c r="P316" i="2"/>
  <c r="O316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BF315" i="2"/>
  <c r="BE315" i="2"/>
  <c r="BD315" i="2"/>
  <c r="BC315" i="2"/>
  <c r="BB315" i="2"/>
  <c r="BA315" i="2"/>
  <c r="AZ315" i="2"/>
  <c r="AY315" i="2"/>
  <c r="AX315" i="2"/>
  <c r="AW315" i="2"/>
  <c r="AV315" i="2"/>
  <c r="AU315" i="2"/>
  <c r="AT315" i="2"/>
  <c r="AS315" i="2"/>
  <c r="AR315" i="2"/>
  <c r="AQ315" i="2"/>
  <c r="AP315" i="2"/>
  <c r="AO315" i="2"/>
  <c r="AN315" i="2"/>
  <c r="AM315" i="2"/>
  <c r="AL315" i="2"/>
  <c r="AK315" i="2"/>
  <c r="AJ315" i="2"/>
  <c r="AI315" i="2"/>
  <c r="AH315" i="2"/>
  <c r="AG315" i="2"/>
  <c r="AF315" i="2"/>
  <c r="AE315" i="2"/>
  <c r="AD315" i="2"/>
  <c r="AC315" i="2"/>
  <c r="AB315" i="2"/>
  <c r="AA315" i="2"/>
  <c r="Z315" i="2"/>
  <c r="Y315" i="2"/>
  <c r="X315" i="2"/>
  <c r="W315" i="2"/>
  <c r="V315" i="2"/>
  <c r="U315" i="2"/>
  <c r="T315" i="2"/>
  <c r="S315" i="2"/>
  <c r="R315" i="2"/>
  <c r="Q315" i="2"/>
  <c r="P315" i="2"/>
  <c r="O315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BF314" i="2"/>
  <c r="BE314" i="2"/>
  <c r="BD314" i="2"/>
  <c r="BC314" i="2"/>
  <c r="BB314" i="2"/>
  <c r="BA314" i="2"/>
  <c r="AZ314" i="2"/>
  <c r="AY314" i="2"/>
  <c r="AX314" i="2"/>
  <c r="AW314" i="2"/>
  <c r="AV314" i="2"/>
  <c r="AU314" i="2"/>
  <c r="AT314" i="2"/>
  <c r="AS314" i="2"/>
  <c r="AR314" i="2"/>
  <c r="AQ314" i="2"/>
  <c r="AP314" i="2"/>
  <c r="AO314" i="2"/>
  <c r="AN314" i="2"/>
  <c r="AM314" i="2"/>
  <c r="AL314" i="2"/>
  <c r="AK314" i="2"/>
  <c r="AJ314" i="2"/>
  <c r="AI314" i="2"/>
  <c r="AH314" i="2"/>
  <c r="AG314" i="2"/>
  <c r="AF314" i="2"/>
  <c r="AE314" i="2"/>
  <c r="AD314" i="2"/>
  <c r="AC314" i="2"/>
  <c r="AB314" i="2"/>
  <c r="AA314" i="2"/>
  <c r="Z314" i="2"/>
  <c r="Y314" i="2"/>
  <c r="X314" i="2"/>
  <c r="W314" i="2"/>
  <c r="V314" i="2"/>
  <c r="U314" i="2"/>
  <c r="T314" i="2"/>
  <c r="S314" i="2"/>
  <c r="R314" i="2"/>
  <c r="Q314" i="2"/>
  <c r="P314" i="2"/>
  <c r="O314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BF313" i="2"/>
  <c r="BE313" i="2"/>
  <c r="BD313" i="2"/>
  <c r="BC313" i="2"/>
  <c r="BB313" i="2"/>
  <c r="BA313" i="2"/>
  <c r="AZ313" i="2"/>
  <c r="AY313" i="2"/>
  <c r="AX313" i="2"/>
  <c r="AW313" i="2"/>
  <c r="AV313" i="2"/>
  <c r="AU313" i="2"/>
  <c r="AT313" i="2"/>
  <c r="AS313" i="2"/>
  <c r="AR313" i="2"/>
  <c r="AQ313" i="2"/>
  <c r="AP313" i="2"/>
  <c r="AO313" i="2"/>
  <c r="AN313" i="2"/>
  <c r="AM313" i="2"/>
  <c r="AL313" i="2"/>
  <c r="AK313" i="2"/>
  <c r="AJ313" i="2"/>
  <c r="AI313" i="2"/>
  <c r="AH313" i="2"/>
  <c r="AG313" i="2"/>
  <c r="AF313" i="2"/>
  <c r="AE313" i="2"/>
  <c r="AD313" i="2"/>
  <c r="AC313" i="2"/>
  <c r="AB313" i="2"/>
  <c r="AA313" i="2"/>
  <c r="Z313" i="2"/>
  <c r="Y313" i="2"/>
  <c r="X313" i="2"/>
  <c r="W313" i="2"/>
  <c r="V313" i="2"/>
  <c r="U313" i="2"/>
  <c r="T313" i="2"/>
  <c r="S313" i="2"/>
  <c r="R313" i="2"/>
  <c r="Q313" i="2"/>
  <c r="P313" i="2"/>
  <c r="O313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BF312" i="2"/>
  <c r="BE312" i="2"/>
  <c r="BD312" i="2"/>
  <c r="BC312" i="2"/>
  <c r="BB312" i="2"/>
  <c r="BA312" i="2"/>
  <c r="AZ312" i="2"/>
  <c r="AY312" i="2"/>
  <c r="AX312" i="2"/>
  <c r="AW312" i="2"/>
  <c r="AV312" i="2"/>
  <c r="AU312" i="2"/>
  <c r="AT312" i="2"/>
  <c r="AS312" i="2"/>
  <c r="AR312" i="2"/>
  <c r="AQ312" i="2"/>
  <c r="AP312" i="2"/>
  <c r="AO312" i="2"/>
  <c r="AN312" i="2"/>
  <c r="AM312" i="2"/>
  <c r="AL312" i="2"/>
  <c r="AK312" i="2"/>
  <c r="AJ312" i="2"/>
  <c r="AI312" i="2"/>
  <c r="AH312" i="2"/>
  <c r="AG312" i="2"/>
  <c r="AF312" i="2"/>
  <c r="AE312" i="2"/>
  <c r="AD312" i="2"/>
  <c r="AC312" i="2"/>
  <c r="AB312" i="2"/>
  <c r="AA312" i="2"/>
  <c r="Z312" i="2"/>
  <c r="Y312" i="2"/>
  <c r="X312" i="2"/>
  <c r="W312" i="2"/>
  <c r="V312" i="2"/>
  <c r="U312" i="2"/>
  <c r="T312" i="2"/>
  <c r="S312" i="2"/>
  <c r="R312" i="2"/>
  <c r="Q312" i="2"/>
  <c r="P312" i="2"/>
  <c r="O312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BF311" i="2"/>
  <c r="BE311" i="2"/>
  <c r="BD311" i="2"/>
  <c r="BC311" i="2"/>
  <c r="BB311" i="2"/>
  <c r="BA311" i="2"/>
  <c r="AZ311" i="2"/>
  <c r="AY311" i="2"/>
  <c r="AX311" i="2"/>
  <c r="AW311" i="2"/>
  <c r="AV311" i="2"/>
  <c r="AU311" i="2"/>
  <c r="AT311" i="2"/>
  <c r="AS311" i="2"/>
  <c r="AR311" i="2"/>
  <c r="AQ311" i="2"/>
  <c r="AP311" i="2"/>
  <c r="AO311" i="2"/>
  <c r="AN311" i="2"/>
  <c r="AM311" i="2"/>
  <c r="AL311" i="2"/>
  <c r="AK311" i="2"/>
  <c r="AJ311" i="2"/>
  <c r="AI311" i="2"/>
  <c r="AH311" i="2"/>
  <c r="AG311" i="2"/>
  <c r="AF311" i="2"/>
  <c r="AE311" i="2"/>
  <c r="AD311" i="2"/>
  <c r="AC311" i="2"/>
  <c r="AB311" i="2"/>
  <c r="AA311" i="2"/>
  <c r="Z311" i="2"/>
  <c r="Y311" i="2"/>
  <c r="X311" i="2"/>
  <c r="W311" i="2"/>
  <c r="V311" i="2"/>
  <c r="U311" i="2"/>
  <c r="T311" i="2"/>
  <c r="S311" i="2"/>
  <c r="R311" i="2"/>
  <c r="Q311" i="2"/>
  <c r="P311" i="2"/>
  <c r="O311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BF310" i="2"/>
  <c r="BE310" i="2"/>
  <c r="BD310" i="2"/>
  <c r="BC310" i="2"/>
  <c r="BB310" i="2"/>
  <c r="BA310" i="2"/>
  <c r="AZ310" i="2"/>
  <c r="AY310" i="2"/>
  <c r="AX310" i="2"/>
  <c r="AW310" i="2"/>
  <c r="AV310" i="2"/>
  <c r="AU310" i="2"/>
  <c r="AT310" i="2"/>
  <c r="AS310" i="2"/>
  <c r="AR310" i="2"/>
  <c r="AQ310" i="2"/>
  <c r="AP310" i="2"/>
  <c r="AO310" i="2"/>
  <c r="AN310" i="2"/>
  <c r="AM310" i="2"/>
  <c r="AL310" i="2"/>
  <c r="AK310" i="2"/>
  <c r="AJ310" i="2"/>
  <c r="AI310" i="2"/>
  <c r="AH310" i="2"/>
  <c r="AG310" i="2"/>
  <c r="AF310" i="2"/>
  <c r="AE310" i="2"/>
  <c r="AD310" i="2"/>
  <c r="AC310" i="2"/>
  <c r="AB310" i="2"/>
  <c r="AA310" i="2"/>
  <c r="Z310" i="2"/>
  <c r="Y310" i="2"/>
  <c r="X310" i="2"/>
  <c r="W310" i="2"/>
  <c r="V310" i="2"/>
  <c r="U310" i="2"/>
  <c r="T310" i="2"/>
  <c r="S310" i="2"/>
  <c r="R310" i="2"/>
  <c r="Q310" i="2"/>
  <c r="P310" i="2"/>
  <c r="O310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BF309" i="2"/>
  <c r="BE309" i="2"/>
  <c r="BD309" i="2"/>
  <c r="BC309" i="2"/>
  <c r="BB309" i="2"/>
  <c r="BA309" i="2"/>
  <c r="AZ309" i="2"/>
  <c r="AY309" i="2"/>
  <c r="AX309" i="2"/>
  <c r="AW309" i="2"/>
  <c r="AV309" i="2"/>
  <c r="AU309" i="2"/>
  <c r="AT309" i="2"/>
  <c r="AS309" i="2"/>
  <c r="AR309" i="2"/>
  <c r="AQ309" i="2"/>
  <c r="AP309" i="2"/>
  <c r="AO309" i="2"/>
  <c r="AN309" i="2"/>
  <c r="AM309" i="2"/>
  <c r="AL309" i="2"/>
  <c r="AK309" i="2"/>
  <c r="AJ309" i="2"/>
  <c r="AI309" i="2"/>
  <c r="AH309" i="2"/>
  <c r="AG309" i="2"/>
  <c r="AF309" i="2"/>
  <c r="AE309" i="2"/>
  <c r="AD309" i="2"/>
  <c r="AC309" i="2"/>
  <c r="AB309" i="2"/>
  <c r="AA309" i="2"/>
  <c r="Z309" i="2"/>
  <c r="Y309" i="2"/>
  <c r="X309" i="2"/>
  <c r="W309" i="2"/>
  <c r="V309" i="2"/>
  <c r="U309" i="2"/>
  <c r="T309" i="2"/>
  <c r="S309" i="2"/>
  <c r="R309" i="2"/>
  <c r="Q309" i="2"/>
  <c r="P309" i="2"/>
  <c r="O309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BF308" i="2"/>
  <c r="BE308" i="2"/>
  <c r="BD308" i="2"/>
  <c r="BC308" i="2"/>
  <c r="BB308" i="2"/>
  <c r="BA308" i="2"/>
  <c r="AZ308" i="2"/>
  <c r="AY308" i="2"/>
  <c r="AX308" i="2"/>
  <c r="AW308" i="2"/>
  <c r="AV308" i="2"/>
  <c r="AU308" i="2"/>
  <c r="AT308" i="2"/>
  <c r="AS308" i="2"/>
  <c r="AR308" i="2"/>
  <c r="AQ308" i="2"/>
  <c r="AP308" i="2"/>
  <c r="AO308" i="2"/>
  <c r="AN308" i="2"/>
  <c r="AM308" i="2"/>
  <c r="AL308" i="2"/>
  <c r="AK308" i="2"/>
  <c r="AJ308" i="2"/>
  <c r="AI308" i="2"/>
  <c r="AH308" i="2"/>
  <c r="AG308" i="2"/>
  <c r="AF308" i="2"/>
  <c r="AE308" i="2"/>
  <c r="AD308" i="2"/>
  <c r="AC308" i="2"/>
  <c r="AB308" i="2"/>
  <c r="AA308" i="2"/>
  <c r="Z308" i="2"/>
  <c r="Y308" i="2"/>
  <c r="X308" i="2"/>
  <c r="W308" i="2"/>
  <c r="V308" i="2"/>
  <c r="U308" i="2"/>
  <c r="T308" i="2"/>
  <c r="S308" i="2"/>
  <c r="R308" i="2"/>
  <c r="Q308" i="2"/>
  <c r="P308" i="2"/>
  <c r="O308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BF181" i="2"/>
  <c r="BE181" i="2"/>
  <c r="BD181" i="2"/>
  <c r="BC181" i="2"/>
  <c r="BB181" i="2"/>
  <c r="BA181" i="2"/>
  <c r="AZ181" i="2"/>
  <c r="AY181" i="2"/>
  <c r="AX181" i="2"/>
  <c r="AW181" i="2"/>
  <c r="AV181" i="2"/>
  <c r="AU181" i="2"/>
  <c r="AT181" i="2"/>
  <c r="AS181" i="2"/>
  <c r="AR181" i="2"/>
  <c r="AQ181" i="2"/>
  <c r="AP181" i="2"/>
  <c r="AO181" i="2"/>
  <c r="AN181" i="2"/>
  <c r="AM181" i="2"/>
  <c r="AL181" i="2"/>
  <c r="AK181" i="2"/>
  <c r="AJ181" i="2"/>
  <c r="AI181" i="2"/>
  <c r="AH181" i="2"/>
  <c r="AG181" i="2"/>
  <c r="AF181" i="2"/>
  <c r="AE181" i="2"/>
  <c r="AD181" i="2"/>
  <c r="AC181" i="2"/>
  <c r="AB181" i="2"/>
  <c r="AA181" i="2"/>
  <c r="Z181" i="2"/>
  <c r="Y181" i="2"/>
  <c r="X181" i="2"/>
  <c r="W181" i="2"/>
  <c r="V181" i="2"/>
  <c r="U181" i="2"/>
  <c r="T181" i="2"/>
  <c r="S181" i="2"/>
  <c r="R181" i="2"/>
  <c r="Q181" i="2"/>
  <c r="P181" i="2"/>
  <c r="O181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F180" i="2"/>
  <c r="BE180" i="2"/>
  <c r="BD180" i="2"/>
  <c r="BC180" i="2"/>
  <c r="BB180" i="2"/>
  <c r="BA180" i="2"/>
  <c r="AZ180" i="2"/>
  <c r="AY180" i="2"/>
  <c r="AX180" i="2"/>
  <c r="AW180" i="2"/>
  <c r="AV180" i="2"/>
  <c r="AU180" i="2"/>
  <c r="AT180" i="2"/>
  <c r="AS180" i="2"/>
  <c r="AR180" i="2"/>
  <c r="AQ180" i="2"/>
  <c r="AP180" i="2"/>
  <c r="AO180" i="2"/>
  <c r="AN180" i="2"/>
  <c r="AM180" i="2"/>
  <c r="AL180" i="2"/>
  <c r="AK180" i="2"/>
  <c r="AJ180" i="2"/>
  <c r="AI180" i="2"/>
  <c r="AH180" i="2"/>
  <c r="AG180" i="2"/>
  <c r="AF180" i="2"/>
  <c r="AE180" i="2"/>
  <c r="AD180" i="2"/>
  <c r="AC180" i="2"/>
  <c r="AB180" i="2"/>
  <c r="AA180" i="2"/>
  <c r="Z180" i="2"/>
  <c r="Y180" i="2"/>
  <c r="X180" i="2"/>
  <c r="W180" i="2"/>
  <c r="V180" i="2"/>
  <c r="U180" i="2"/>
  <c r="T180" i="2"/>
  <c r="S180" i="2"/>
  <c r="R180" i="2"/>
  <c r="Q180" i="2"/>
  <c r="P180" i="2"/>
  <c r="O180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F179" i="2"/>
  <c r="BE179" i="2"/>
  <c r="BD179" i="2"/>
  <c r="BC179" i="2"/>
  <c r="BB179" i="2"/>
  <c r="BA179" i="2"/>
  <c r="AZ179" i="2"/>
  <c r="AY179" i="2"/>
  <c r="AX179" i="2"/>
  <c r="AW179" i="2"/>
  <c r="AV179" i="2"/>
  <c r="AU179" i="2"/>
  <c r="AT179" i="2"/>
  <c r="AS179" i="2"/>
  <c r="AR179" i="2"/>
  <c r="AQ179" i="2"/>
  <c r="AP179" i="2"/>
  <c r="AO179" i="2"/>
  <c r="AN179" i="2"/>
  <c r="AM179" i="2"/>
  <c r="AL179" i="2"/>
  <c r="AK179" i="2"/>
  <c r="AJ179" i="2"/>
  <c r="AI179" i="2"/>
  <c r="AH179" i="2"/>
  <c r="AG179" i="2"/>
  <c r="AF179" i="2"/>
  <c r="AE179" i="2"/>
  <c r="AD179" i="2"/>
  <c r="AC179" i="2"/>
  <c r="AB179" i="2"/>
  <c r="AA179" i="2"/>
  <c r="Z179" i="2"/>
  <c r="Y179" i="2"/>
  <c r="X179" i="2"/>
  <c r="W179" i="2"/>
  <c r="V179" i="2"/>
  <c r="U179" i="2"/>
  <c r="T179" i="2"/>
  <c r="S179" i="2"/>
  <c r="R179" i="2"/>
  <c r="Q179" i="2"/>
  <c r="P179" i="2"/>
  <c r="O179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F178" i="2"/>
  <c r="BE178" i="2"/>
  <c r="BD178" i="2"/>
  <c r="BC178" i="2"/>
  <c r="BB178" i="2"/>
  <c r="BA178" i="2"/>
  <c r="AZ178" i="2"/>
  <c r="AY178" i="2"/>
  <c r="AX178" i="2"/>
  <c r="AW178" i="2"/>
  <c r="AV178" i="2"/>
  <c r="AU178" i="2"/>
  <c r="AT178" i="2"/>
  <c r="AS178" i="2"/>
  <c r="AR178" i="2"/>
  <c r="AQ178" i="2"/>
  <c r="AP178" i="2"/>
  <c r="AO178" i="2"/>
  <c r="AN178" i="2"/>
  <c r="AM178" i="2"/>
  <c r="AL178" i="2"/>
  <c r="AK178" i="2"/>
  <c r="AJ178" i="2"/>
  <c r="AI178" i="2"/>
  <c r="AH178" i="2"/>
  <c r="AG178" i="2"/>
  <c r="AF178" i="2"/>
  <c r="AE178" i="2"/>
  <c r="AD178" i="2"/>
  <c r="AC178" i="2"/>
  <c r="AB178" i="2"/>
  <c r="AA178" i="2"/>
  <c r="Z178" i="2"/>
  <c r="Y178" i="2"/>
  <c r="X178" i="2"/>
  <c r="W178" i="2"/>
  <c r="V178" i="2"/>
  <c r="U178" i="2"/>
  <c r="T178" i="2"/>
  <c r="S178" i="2"/>
  <c r="R178" i="2"/>
  <c r="Q178" i="2"/>
  <c r="P178" i="2"/>
  <c r="O178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F177" i="2"/>
  <c r="BE177" i="2"/>
  <c r="BD177" i="2"/>
  <c r="BC177" i="2"/>
  <c r="BB177" i="2"/>
  <c r="BA177" i="2"/>
  <c r="AZ177" i="2"/>
  <c r="AY177" i="2"/>
  <c r="AX177" i="2"/>
  <c r="AW177" i="2"/>
  <c r="AV177" i="2"/>
  <c r="AU177" i="2"/>
  <c r="AT177" i="2"/>
  <c r="AS177" i="2"/>
  <c r="AR177" i="2"/>
  <c r="AQ177" i="2"/>
  <c r="AP177" i="2"/>
  <c r="AO177" i="2"/>
  <c r="AN177" i="2"/>
  <c r="AM177" i="2"/>
  <c r="AL177" i="2"/>
  <c r="AK177" i="2"/>
  <c r="AJ177" i="2"/>
  <c r="AI177" i="2"/>
  <c r="AH177" i="2"/>
  <c r="AG177" i="2"/>
  <c r="AF177" i="2"/>
  <c r="AE177" i="2"/>
  <c r="AD177" i="2"/>
  <c r="AC177" i="2"/>
  <c r="AB177" i="2"/>
  <c r="AA177" i="2"/>
  <c r="Z177" i="2"/>
  <c r="Y177" i="2"/>
  <c r="X177" i="2"/>
  <c r="W177" i="2"/>
  <c r="V177" i="2"/>
  <c r="U177" i="2"/>
  <c r="T177" i="2"/>
  <c r="S177" i="2"/>
  <c r="R177" i="2"/>
  <c r="Q177" i="2"/>
  <c r="P177" i="2"/>
  <c r="O177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F176" i="2"/>
  <c r="BE176" i="2"/>
  <c r="BD176" i="2"/>
  <c r="BC176" i="2"/>
  <c r="BB176" i="2"/>
  <c r="BA176" i="2"/>
  <c r="AZ176" i="2"/>
  <c r="AY176" i="2"/>
  <c r="AX176" i="2"/>
  <c r="AW176" i="2"/>
  <c r="AV176" i="2"/>
  <c r="AU176" i="2"/>
  <c r="AT176" i="2"/>
  <c r="AS176" i="2"/>
  <c r="AR176" i="2"/>
  <c r="AQ176" i="2"/>
  <c r="AP176" i="2"/>
  <c r="AO176" i="2"/>
  <c r="AN176" i="2"/>
  <c r="AM176" i="2"/>
  <c r="AL176" i="2"/>
  <c r="AK176" i="2"/>
  <c r="AJ176" i="2"/>
  <c r="AI176" i="2"/>
  <c r="AH176" i="2"/>
  <c r="AG176" i="2"/>
  <c r="AF176" i="2"/>
  <c r="AE176" i="2"/>
  <c r="AD176" i="2"/>
  <c r="AC176" i="2"/>
  <c r="AB176" i="2"/>
  <c r="AA176" i="2"/>
  <c r="Z176" i="2"/>
  <c r="Y176" i="2"/>
  <c r="X176" i="2"/>
  <c r="W176" i="2"/>
  <c r="V176" i="2"/>
  <c r="U176" i="2"/>
  <c r="T176" i="2"/>
  <c r="S176" i="2"/>
  <c r="R176" i="2"/>
  <c r="Q176" i="2"/>
  <c r="P176" i="2"/>
  <c r="O176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F175" i="2"/>
  <c r="BE175" i="2"/>
  <c r="BD175" i="2"/>
  <c r="BC175" i="2"/>
  <c r="BB175" i="2"/>
  <c r="BA175" i="2"/>
  <c r="AZ175" i="2"/>
  <c r="AY175" i="2"/>
  <c r="AX175" i="2"/>
  <c r="AW175" i="2"/>
  <c r="AV175" i="2"/>
  <c r="AU175" i="2"/>
  <c r="AT175" i="2"/>
  <c r="AS175" i="2"/>
  <c r="AR175" i="2"/>
  <c r="AQ175" i="2"/>
  <c r="AP175" i="2"/>
  <c r="AO175" i="2"/>
  <c r="AN175" i="2"/>
  <c r="AM175" i="2"/>
  <c r="AL175" i="2"/>
  <c r="AK175" i="2"/>
  <c r="AJ175" i="2"/>
  <c r="AI175" i="2"/>
  <c r="AH175" i="2"/>
  <c r="AG175" i="2"/>
  <c r="AF175" i="2"/>
  <c r="AE175" i="2"/>
  <c r="AD175" i="2"/>
  <c r="AC175" i="2"/>
  <c r="AB175" i="2"/>
  <c r="AA175" i="2"/>
  <c r="Z175" i="2"/>
  <c r="Y175" i="2"/>
  <c r="X175" i="2"/>
  <c r="W175" i="2"/>
  <c r="V175" i="2"/>
  <c r="U175" i="2"/>
  <c r="T175" i="2"/>
  <c r="S175" i="2"/>
  <c r="R175" i="2"/>
  <c r="Q175" i="2"/>
  <c r="P175" i="2"/>
  <c r="O175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F174" i="2"/>
  <c r="BE174" i="2"/>
  <c r="BD174" i="2"/>
  <c r="BC174" i="2"/>
  <c r="BB174" i="2"/>
  <c r="BA174" i="2"/>
  <c r="AZ174" i="2"/>
  <c r="AY174" i="2"/>
  <c r="AX174" i="2"/>
  <c r="AW174" i="2"/>
  <c r="AV174" i="2"/>
  <c r="AU174" i="2"/>
  <c r="AT174" i="2"/>
  <c r="AS174" i="2"/>
  <c r="AR174" i="2"/>
  <c r="AQ174" i="2"/>
  <c r="AP174" i="2"/>
  <c r="AO174" i="2"/>
  <c r="AN174" i="2"/>
  <c r="AM174" i="2"/>
  <c r="AL174" i="2"/>
  <c r="AK174" i="2"/>
  <c r="AJ174" i="2"/>
  <c r="AI174" i="2"/>
  <c r="AH174" i="2"/>
  <c r="AG174" i="2"/>
  <c r="AF174" i="2"/>
  <c r="AE174" i="2"/>
  <c r="AD174" i="2"/>
  <c r="AC174" i="2"/>
  <c r="AB174" i="2"/>
  <c r="AA174" i="2"/>
  <c r="Z174" i="2"/>
  <c r="Y174" i="2"/>
  <c r="X174" i="2"/>
  <c r="W174" i="2"/>
  <c r="V174" i="2"/>
  <c r="U174" i="2"/>
  <c r="T174" i="2"/>
  <c r="S174" i="2"/>
  <c r="R174" i="2"/>
  <c r="Q174" i="2"/>
  <c r="P174" i="2"/>
  <c r="O174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F171" i="2"/>
  <c r="BE171" i="2"/>
  <c r="BD171" i="2"/>
  <c r="BC171" i="2"/>
  <c r="BB171" i="2"/>
  <c r="BA171" i="2"/>
  <c r="AZ171" i="2"/>
  <c r="AY171" i="2"/>
  <c r="AX171" i="2"/>
  <c r="AW171" i="2"/>
  <c r="AV171" i="2"/>
  <c r="AU171" i="2"/>
  <c r="AT171" i="2"/>
  <c r="AS171" i="2"/>
  <c r="AR171" i="2"/>
  <c r="AQ171" i="2"/>
  <c r="AP171" i="2"/>
  <c r="AO171" i="2"/>
  <c r="AN171" i="2"/>
  <c r="AM171" i="2"/>
  <c r="AL171" i="2"/>
  <c r="AK171" i="2"/>
  <c r="AJ171" i="2"/>
  <c r="AI171" i="2"/>
  <c r="AH171" i="2"/>
  <c r="AG171" i="2"/>
  <c r="AF171" i="2"/>
  <c r="AE171" i="2"/>
  <c r="AD171" i="2"/>
  <c r="AC171" i="2"/>
  <c r="AB171" i="2"/>
  <c r="AA171" i="2"/>
  <c r="Z171" i="2"/>
  <c r="Y171" i="2"/>
  <c r="X171" i="2"/>
  <c r="W171" i="2"/>
  <c r="V171" i="2"/>
  <c r="U171" i="2"/>
  <c r="T171" i="2"/>
  <c r="S171" i="2"/>
  <c r="R171" i="2"/>
  <c r="Q171" i="2"/>
  <c r="P171" i="2"/>
  <c r="O171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F170" i="2"/>
  <c r="BE170" i="2"/>
  <c r="BD170" i="2"/>
  <c r="BC170" i="2"/>
  <c r="BB170" i="2"/>
  <c r="BA170" i="2"/>
  <c r="AZ170" i="2"/>
  <c r="AY170" i="2"/>
  <c r="AX170" i="2"/>
  <c r="AW170" i="2"/>
  <c r="AV170" i="2"/>
  <c r="AU170" i="2"/>
  <c r="AT170" i="2"/>
  <c r="AS170" i="2"/>
  <c r="AR170" i="2"/>
  <c r="AQ170" i="2"/>
  <c r="AP170" i="2"/>
  <c r="AO170" i="2"/>
  <c r="AN170" i="2"/>
  <c r="AM170" i="2"/>
  <c r="AL170" i="2"/>
  <c r="AK170" i="2"/>
  <c r="AJ170" i="2"/>
  <c r="AI170" i="2"/>
  <c r="AH170" i="2"/>
  <c r="AG170" i="2"/>
  <c r="AF170" i="2"/>
  <c r="AE170" i="2"/>
  <c r="AD170" i="2"/>
  <c r="AC170" i="2"/>
  <c r="AB170" i="2"/>
  <c r="AA170" i="2"/>
  <c r="Z170" i="2"/>
  <c r="Y170" i="2"/>
  <c r="X170" i="2"/>
  <c r="W170" i="2"/>
  <c r="V170" i="2"/>
  <c r="U170" i="2"/>
  <c r="T170" i="2"/>
  <c r="S170" i="2"/>
  <c r="R170" i="2"/>
  <c r="Q170" i="2"/>
  <c r="P170" i="2"/>
  <c r="O170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F169" i="2"/>
  <c r="BE169" i="2"/>
  <c r="BD169" i="2"/>
  <c r="BC169" i="2"/>
  <c r="BB169" i="2"/>
  <c r="BA169" i="2"/>
  <c r="AZ169" i="2"/>
  <c r="AY169" i="2"/>
  <c r="AX169" i="2"/>
  <c r="AW169" i="2"/>
  <c r="AV169" i="2"/>
  <c r="AU169" i="2"/>
  <c r="AT169" i="2"/>
  <c r="AS169" i="2"/>
  <c r="AR169" i="2"/>
  <c r="AQ169" i="2"/>
  <c r="AP169" i="2"/>
  <c r="AO169" i="2"/>
  <c r="AN169" i="2"/>
  <c r="AM169" i="2"/>
  <c r="AL169" i="2"/>
  <c r="AK169" i="2"/>
  <c r="AJ169" i="2"/>
  <c r="AI169" i="2"/>
  <c r="AH169" i="2"/>
  <c r="AG169" i="2"/>
  <c r="AF169" i="2"/>
  <c r="AE169" i="2"/>
  <c r="AD169" i="2"/>
  <c r="AC169" i="2"/>
  <c r="AB169" i="2"/>
  <c r="AA169" i="2"/>
  <c r="Z169" i="2"/>
  <c r="Y169" i="2"/>
  <c r="X169" i="2"/>
  <c r="W169" i="2"/>
  <c r="V169" i="2"/>
  <c r="U169" i="2"/>
  <c r="T169" i="2"/>
  <c r="S169" i="2"/>
  <c r="R169" i="2"/>
  <c r="Q169" i="2"/>
  <c r="P169" i="2"/>
  <c r="O169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F168" i="2"/>
  <c r="BE168" i="2"/>
  <c r="BD168" i="2"/>
  <c r="BC168" i="2"/>
  <c r="BB168" i="2"/>
  <c r="BA168" i="2"/>
  <c r="AZ168" i="2"/>
  <c r="AY168" i="2"/>
  <c r="AX168" i="2"/>
  <c r="AW168" i="2"/>
  <c r="AV168" i="2"/>
  <c r="AU168" i="2"/>
  <c r="AT168" i="2"/>
  <c r="AS168" i="2"/>
  <c r="AR168" i="2"/>
  <c r="AQ168" i="2"/>
  <c r="AP168" i="2"/>
  <c r="AO168" i="2"/>
  <c r="AN168" i="2"/>
  <c r="AM168" i="2"/>
  <c r="AL168" i="2"/>
  <c r="AK168" i="2"/>
  <c r="AJ168" i="2"/>
  <c r="AI168" i="2"/>
  <c r="AH168" i="2"/>
  <c r="AG168" i="2"/>
  <c r="AF168" i="2"/>
  <c r="AE168" i="2"/>
  <c r="AD168" i="2"/>
  <c r="AC168" i="2"/>
  <c r="AB168" i="2"/>
  <c r="AA168" i="2"/>
  <c r="Z168" i="2"/>
  <c r="Y168" i="2"/>
  <c r="X168" i="2"/>
  <c r="W168" i="2"/>
  <c r="V168" i="2"/>
  <c r="U168" i="2"/>
  <c r="T168" i="2"/>
  <c r="S168" i="2"/>
  <c r="R168" i="2"/>
  <c r="Q168" i="2"/>
  <c r="P168" i="2"/>
  <c r="O168" i="2"/>
  <c r="N168" i="2"/>
  <c r="M168" i="2"/>
  <c r="L168" i="2"/>
  <c r="K168" i="2"/>
  <c r="J168" i="2"/>
  <c r="I168" i="2"/>
  <c r="H168" i="2"/>
  <c r="G168" i="2"/>
  <c r="F168" i="2"/>
  <c r="E168" i="2"/>
  <c r="D168" i="2"/>
  <c r="C168" i="2"/>
  <c r="BF167" i="2"/>
  <c r="BE167" i="2"/>
  <c r="BD167" i="2"/>
  <c r="BC167" i="2"/>
  <c r="BB167" i="2"/>
  <c r="BA167" i="2"/>
  <c r="AZ167" i="2"/>
  <c r="AY167" i="2"/>
  <c r="AX167" i="2"/>
  <c r="AW167" i="2"/>
  <c r="AV167" i="2"/>
  <c r="AU167" i="2"/>
  <c r="AT167" i="2"/>
  <c r="AS167" i="2"/>
  <c r="AR167" i="2"/>
  <c r="AQ167" i="2"/>
  <c r="AP167" i="2"/>
  <c r="AO167" i="2"/>
  <c r="AN167" i="2"/>
  <c r="AM167" i="2"/>
  <c r="AL167" i="2"/>
  <c r="AK167" i="2"/>
  <c r="AJ167" i="2"/>
  <c r="AI167" i="2"/>
  <c r="AH167" i="2"/>
  <c r="AG167" i="2"/>
  <c r="AF167" i="2"/>
  <c r="AE167" i="2"/>
  <c r="AD167" i="2"/>
  <c r="AC167" i="2"/>
  <c r="AB167" i="2"/>
  <c r="AA167" i="2"/>
  <c r="Z167" i="2"/>
  <c r="Y167" i="2"/>
  <c r="X167" i="2"/>
  <c r="W167" i="2"/>
  <c r="V167" i="2"/>
  <c r="U167" i="2"/>
  <c r="T167" i="2"/>
  <c r="S167" i="2"/>
  <c r="R167" i="2"/>
  <c r="Q167" i="2"/>
  <c r="P167" i="2"/>
  <c r="O167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F166" i="2"/>
  <c r="BE166" i="2"/>
  <c r="BD166" i="2"/>
  <c r="BC166" i="2"/>
  <c r="BB166" i="2"/>
  <c r="BA166" i="2"/>
  <c r="AZ166" i="2"/>
  <c r="AY166" i="2"/>
  <c r="AX166" i="2"/>
  <c r="AW166" i="2"/>
  <c r="AV166" i="2"/>
  <c r="AU166" i="2"/>
  <c r="AT166" i="2"/>
  <c r="AS166" i="2"/>
  <c r="AR166" i="2"/>
  <c r="AQ166" i="2"/>
  <c r="AP166" i="2"/>
  <c r="AO166" i="2"/>
  <c r="AN166" i="2"/>
  <c r="AM166" i="2"/>
  <c r="AL166" i="2"/>
  <c r="AK166" i="2"/>
  <c r="AJ166" i="2"/>
  <c r="AI166" i="2"/>
  <c r="AH166" i="2"/>
  <c r="AG166" i="2"/>
  <c r="AF166" i="2"/>
  <c r="AE166" i="2"/>
  <c r="AD166" i="2"/>
  <c r="AC166" i="2"/>
  <c r="AB166" i="2"/>
  <c r="AA166" i="2"/>
  <c r="Z166" i="2"/>
  <c r="Y166" i="2"/>
  <c r="X166" i="2"/>
  <c r="W166" i="2"/>
  <c r="V166" i="2"/>
  <c r="U166" i="2"/>
  <c r="T166" i="2"/>
  <c r="S166" i="2"/>
  <c r="R166" i="2"/>
  <c r="Q166" i="2"/>
  <c r="P166" i="2"/>
  <c r="O166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F165" i="2"/>
  <c r="BE165" i="2"/>
  <c r="BD165" i="2"/>
  <c r="BC165" i="2"/>
  <c r="BB165" i="2"/>
  <c r="BA165" i="2"/>
  <c r="AZ165" i="2"/>
  <c r="AY165" i="2"/>
  <c r="AX165" i="2"/>
  <c r="AW165" i="2"/>
  <c r="AV165" i="2"/>
  <c r="AU165" i="2"/>
  <c r="AT165" i="2"/>
  <c r="AS165" i="2"/>
  <c r="AR165" i="2"/>
  <c r="AQ165" i="2"/>
  <c r="AP165" i="2"/>
  <c r="AO165" i="2"/>
  <c r="AN165" i="2"/>
  <c r="AM165" i="2"/>
  <c r="AL165" i="2"/>
  <c r="AK165" i="2"/>
  <c r="AJ165" i="2"/>
  <c r="AI165" i="2"/>
  <c r="AH165" i="2"/>
  <c r="AG165" i="2"/>
  <c r="AF165" i="2"/>
  <c r="AE165" i="2"/>
  <c r="AD165" i="2"/>
  <c r="AC165" i="2"/>
  <c r="AB165" i="2"/>
  <c r="AA165" i="2"/>
  <c r="Z165" i="2"/>
  <c r="Y165" i="2"/>
  <c r="X165" i="2"/>
  <c r="W165" i="2"/>
  <c r="V165" i="2"/>
  <c r="U165" i="2"/>
  <c r="T165" i="2"/>
  <c r="S165" i="2"/>
  <c r="R165" i="2"/>
  <c r="Q165" i="2"/>
  <c r="P165" i="2"/>
  <c r="O165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F164" i="2"/>
  <c r="BE164" i="2"/>
  <c r="BD164" i="2"/>
  <c r="BC164" i="2"/>
  <c r="BB164" i="2"/>
  <c r="BA164" i="2"/>
  <c r="AZ164" i="2"/>
  <c r="AY164" i="2"/>
  <c r="AX164" i="2"/>
  <c r="AW164" i="2"/>
  <c r="AV164" i="2"/>
  <c r="AU164" i="2"/>
  <c r="AT164" i="2"/>
  <c r="AS164" i="2"/>
  <c r="AR164" i="2"/>
  <c r="AQ164" i="2"/>
  <c r="AP164" i="2"/>
  <c r="AO164" i="2"/>
  <c r="AN164" i="2"/>
  <c r="AM164" i="2"/>
  <c r="AL164" i="2"/>
  <c r="AK164" i="2"/>
  <c r="AJ164" i="2"/>
  <c r="AI164" i="2"/>
  <c r="AH164" i="2"/>
  <c r="AG164" i="2"/>
  <c r="AF164" i="2"/>
  <c r="AE164" i="2"/>
  <c r="AD164" i="2"/>
  <c r="AC164" i="2"/>
  <c r="AB164" i="2"/>
  <c r="AA164" i="2"/>
  <c r="Z164" i="2"/>
  <c r="Y164" i="2"/>
  <c r="X164" i="2"/>
  <c r="W164" i="2"/>
  <c r="V164" i="2"/>
  <c r="U164" i="2"/>
  <c r="T164" i="2"/>
  <c r="S164" i="2"/>
  <c r="R164" i="2"/>
  <c r="Q164" i="2"/>
  <c r="P164" i="2"/>
  <c r="O164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F143" i="2"/>
  <c r="BE143" i="2"/>
  <c r="BD143" i="2"/>
  <c r="BC143" i="2"/>
  <c r="BB143" i="2"/>
  <c r="BA143" i="2"/>
  <c r="AZ143" i="2"/>
  <c r="AY143" i="2"/>
  <c r="AX143" i="2"/>
  <c r="AW143" i="2"/>
  <c r="AV143" i="2"/>
  <c r="AU143" i="2"/>
  <c r="AT143" i="2"/>
  <c r="AS143" i="2"/>
  <c r="AR143" i="2"/>
  <c r="AQ143" i="2"/>
  <c r="AP143" i="2"/>
  <c r="AO143" i="2"/>
  <c r="AN143" i="2"/>
  <c r="AM143" i="2"/>
  <c r="AL143" i="2"/>
  <c r="AK143" i="2"/>
  <c r="AJ143" i="2"/>
  <c r="AI143" i="2"/>
  <c r="AH143" i="2"/>
  <c r="AG143" i="2"/>
  <c r="AF143" i="2"/>
  <c r="AE143" i="2"/>
  <c r="AD143" i="2"/>
  <c r="AC143" i="2"/>
  <c r="AB143" i="2"/>
  <c r="AA143" i="2"/>
  <c r="Z143" i="2"/>
  <c r="Y143" i="2"/>
  <c r="X143" i="2"/>
  <c r="W143" i="2"/>
  <c r="V143" i="2"/>
  <c r="U143" i="2"/>
  <c r="T143" i="2"/>
  <c r="S143" i="2"/>
  <c r="R143" i="2"/>
  <c r="Q143" i="2"/>
  <c r="P143" i="2"/>
  <c r="O143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F142" i="2"/>
  <c r="BE142" i="2"/>
  <c r="BD142" i="2"/>
  <c r="BC142" i="2"/>
  <c r="BB142" i="2"/>
  <c r="BA142" i="2"/>
  <c r="AZ142" i="2"/>
  <c r="AY142" i="2"/>
  <c r="AX142" i="2"/>
  <c r="AW142" i="2"/>
  <c r="AV142" i="2"/>
  <c r="AU142" i="2"/>
  <c r="AT142" i="2"/>
  <c r="AS142" i="2"/>
  <c r="AR142" i="2"/>
  <c r="AQ142" i="2"/>
  <c r="AP142" i="2"/>
  <c r="AO142" i="2"/>
  <c r="AN142" i="2"/>
  <c r="AM142" i="2"/>
  <c r="AL142" i="2"/>
  <c r="AK142" i="2"/>
  <c r="AJ142" i="2"/>
  <c r="AI142" i="2"/>
  <c r="AH142" i="2"/>
  <c r="AG142" i="2"/>
  <c r="AF142" i="2"/>
  <c r="AE142" i="2"/>
  <c r="AD142" i="2"/>
  <c r="AC142" i="2"/>
  <c r="AB142" i="2"/>
  <c r="AA142" i="2"/>
  <c r="Z142" i="2"/>
  <c r="Y142" i="2"/>
  <c r="X142" i="2"/>
  <c r="W142" i="2"/>
  <c r="V142" i="2"/>
  <c r="U142" i="2"/>
  <c r="T142" i="2"/>
  <c r="S142" i="2"/>
  <c r="R142" i="2"/>
  <c r="Q142" i="2"/>
  <c r="P142" i="2"/>
  <c r="O142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F141" i="2"/>
  <c r="BE141" i="2"/>
  <c r="BD141" i="2"/>
  <c r="BC141" i="2"/>
  <c r="BB141" i="2"/>
  <c r="BA141" i="2"/>
  <c r="AZ141" i="2"/>
  <c r="AY141" i="2"/>
  <c r="AX141" i="2"/>
  <c r="AW141" i="2"/>
  <c r="AV141" i="2"/>
  <c r="AU141" i="2"/>
  <c r="AT141" i="2"/>
  <c r="AS141" i="2"/>
  <c r="AR141" i="2"/>
  <c r="AQ141" i="2"/>
  <c r="AP141" i="2"/>
  <c r="AO141" i="2"/>
  <c r="AN141" i="2"/>
  <c r="AM141" i="2"/>
  <c r="AL141" i="2"/>
  <c r="AK141" i="2"/>
  <c r="AJ141" i="2"/>
  <c r="AI141" i="2"/>
  <c r="AH141" i="2"/>
  <c r="AG141" i="2"/>
  <c r="AF141" i="2"/>
  <c r="AE141" i="2"/>
  <c r="AD141" i="2"/>
  <c r="AC141" i="2"/>
  <c r="AB141" i="2"/>
  <c r="AA141" i="2"/>
  <c r="Z141" i="2"/>
  <c r="Y141" i="2"/>
  <c r="X141" i="2"/>
  <c r="W141" i="2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F132" i="2"/>
  <c r="BE132" i="2"/>
  <c r="BD132" i="2"/>
  <c r="BC132" i="2"/>
  <c r="BB132" i="2"/>
  <c r="BA132" i="2"/>
  <c r="AZ132" i="2"/>
  <c r="AY132" i="2"/>
  <c r="AX132" i="2"/>
  <c r="AW132" i="2"/>
  <c r="AV132" i="2"/>
  <c r="AU132" i="2"/>
  <c r="AT132" i="2"/>
  <c r="AS132" i="2"/>
  <c r="AR132" i="2"/>
  <c r="AQ132" i="2"/>
  <c r="AP132" i="2"/>
  <c r="AO132" i="2"/>
  <c r="AN132" i="2"/>
  <c r="AM132" i="2"/>
  <c r="AL132" i="2"/>
  <c r="AK132" i="2"/>
  <c r="AJ132" i="2"/>
  <c r="AI132" i="2"/>
  <c r="AH132" i="2"/>
  <c r="AG132" i="2"/>
  <c r="AF132" i="2"/>
  <c r="AE132" i="2"/>
  <c r="AD132" i="2"/>
  <c r="AC132" i="2"/>
  <c r="AB132" i="2"/>
  <c r="AA132" i="2"/>
  <c r="Z132" i="2"/>
  <c r="Y132" i="2"/>
  <c r="X132" i="2"/>
  <c r="W132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F131" i="2"/>
  <c r="BE131" i="2"/>
  <c r="BD131" i="2"/>
  <c r="BC131" i="2"/>
  <c r="BB131" i="2"/>
  <c r="BA131" i="2"/>
  <c r="AZ131" i="2"/>
  <c r="AY131" i="2"/>
  <c r="AX131" i="2"/>
  <c r="AW131" i="2"/>
  <c r="AV131" i="2"/>
  <c r="AU131" i="2"/>
  <c r="AT131" i="2"/>
  <c r="AS131" i="2"/>
  <c r="AR131" i="2"/>
  <c r="AQ131" i="2"/>
  <c r="AP131" i="2"/>
  <c r="AO131" i="2"/>
  <c r="AN131" i="2"/>
  <c r="AM131" i="2"/>
  <c r="AL131" i="2"/>
  <c r="AK131" i="2"/>
  <c r="AJ131" i="2"/>
  <c r="AI131" i="2"/>
  <c r="AH131" i="2"/>
  <c r="AG131" i="2"/>
  <c r="AF131" i="2"/>
  <c r="AE131" i="2"/>
  <c r="AD131" i="2"/>
  <c r="AC131" i="2"/>
  <c r="AB131" i="2"/>
  <c r="AA131" i="2"/>
  <c r="Z131" i="2"/>
  <c r="Y131" i="2"/>
  <c r="X131" i="2"/>
  <c r="W131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F130" i="2"/>
  <c r="BE130" i="2"/>
  <c r="BD130" i="2"/>
  <c r="BC130" i="2"/>
  <c r="BB130" i="2"/>
  <c r="BA130" i="2"/>
  <c r="AZ130" i="2"/>
  <c r="AY130" i="2"/>
  <c r="AX130" i="2"/>
  <c r="AW130" i="2"/>
  <c r="AV130" i="2"/>
  <c r="AU130" i="2"/>
  <c r="AT130" i="2"/>
  <c r="AS130" i="2"/>
  <c r="AR130" i="2"/>
  <c r="AQ130" i="2"/>
  <c r="AP130" i="2"/>
  <c r="AO130" i="2"/>
  <c r="AN130" i="2"/>
  <c r="AM130" i="2"/>
  <c r="AL130" i="2"/>
  <c r="AK130" i="2"/>
  <c r="AJ130" i="2"/>
  <c r="AI130" i="2"/>
  <c r="AH130" i="2"/>
  <c r="AG130" i="2"/>
  <c r="AF130" i="2"/>
  <c r="AE130" i="2"/>
  <c r="AD130" i="2"/>
  <c r="AC130" i="2"/>
  <c r="AB130" i="2"/>
  <c r="AA130" i="2"/>
  <c r="Z130" i="2"/>
  <c r="Y130" i="2"/>
  <c r="X130" i="2"/>
  <c r="W130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F129" i="2"/>
  <c r="BE129" i="2"/>
  <c r="BD129" i="2"/>
  <c r="BC129" i="2"/>
  <c r="BB129" i="2"/>
  <c r="BA129" i="2"/>
  <c r="AZ129" i="2"/>
  <c r="AY129" i="2"/>
  <c r="AX129" i="2"/>
  <c r="AW129" i="2"/>
  <c r="AV129" i="2"/>
  <c r="AU129" i="2"/>
  <c r="AT129" i="2"/>
  <c r="AS129" i="2"/>
  <c r="AR129" i="2"/>
  <c r="AQ129" i="2"/>
  <c r="AP129" i="2"/>
  <c r="AO129" i="2"/>
  <c r="AN129" i="2"/>
  <c r="AM129" i="2"/>
  <c r="AL129" i="2"/>
  <c r="AK129" i="2"/>
  <c r="AJ129" i="2"/>
  <c r="AI129" i="2"/>
  <c r="AH129" i="2"/>
  <c r="AG129" i="2"/>
  <c r="AF129" i="2"/>
  <c r="AE129" i="2"/>
  <c r="AD129" i="2"/>
  <c r="AC129" i="2"/>
  <c r="AB129" i="2"/>
  <c r="AA129" i="2"/>
  <c r="Z129" i="2"/>
  <c r="Y129" i="2"/>
  <c r="X129" i="2"/>
  <c r="W129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F128" i="2"/>
  <c r="BE128" i="2"/>
  <c r="BD128" i="2"/>
  <c r="BC128" i="2"/>
  <c r="BB128" i="2"/>
  <c r="BA128" i="2"/>
  <c r="AZ128" i="2"/>
  <c r="AY128" i="2"/>
  <c r="AX128" i="2"/>
  <c r="AW128" i="2"/>
  <c r="AV128" i="2"/>
  <c r="AU128" i="2"/>
  <c r="AT128" i="2"/>
  <c r="AS128" i="2"/>
  <c r="AR128" i="2"/>
  <c r="AQ128" i="2"/>
  <c r="AP128" i="2"/>
  <c r="AO128" i="2"/>
  <c r="AN128" i="2"/>
  <c r="AM128" i="2"/>
  <c r="AL128" i="2"/>
  <c r="AK128" i="2"/>
  <c r="AJ128" i="2"/>
  <c r="AI128" i="2"/>
  <c r="AH128" i="2"/>
  <c r="AG128" i="2"/>
  <c r="AF128" i="2"/>
  <c r="AE128" i="2"/>
  <c r="AD128" i="2"/>
  <c r="AC128" i="2"/>
  <c r="AB128" i="2"/>
  <c r="AA128" i="2"/>
  <c r="Z128" i="2"/>
  <c r="Y128" i="2"/>
  <c r="X128" i="2"/>
  <c r="W128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F127" i="2"/>
  <c r="BE127" i="2"/>
  <c r="BD127" i="2"/>
  <c r="BC127" i="2"/>
  <c r="BB127" i="2"/>
  <c r="BA127" i="2"/>
  <c r="AZ127" i="2"/>
  <c r="AY127" i="2"/>
  <c r="AX127" i="2"/>
  <c r="AW127" i="2"/>
  <c r="AV127" i="2"/>
  <c r="AU127" i="2"/>
  <c r="AT127" i="2"/>
  <c r="AS127" i="2"/>
  <c r="AR127" i="2"/>
  <c r="AQ127" i="2"/>
  <c r="AP127" i="2"/>
  <c r="AO127" i="2"/>
  <c r="AN127" i="2"/>
  <c r="AM127" i="2"/>
  <c r="AL127" i="2"/>
  <c r="AK127" i="2"/>
  <c r="AJ127" i="2"/>
  <c r="AI127" i="2"/>
  <c r="AH127" i="2"/>
  <c r="AG127" i="2"/>
  <c r="AF127" i="2"/>
  <c r="AE127" i="2"/>
  <c r="AD127" i="2"/>
  <c r="AC127" i="2"/>
  <c r="AB127" i="2"/>
  <c r="AA127" i="2"/>
  <c r="Z127" i="2"/>
  <c r="Y127" i="2"/>
  <c r="X127" i="2"/>
  <c r="W127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F126" i="2"/>
  <c r="BE126" i="2"/>
  <c r="BD126" i="2"/>
  <c r="BC126" i="2"/>
  <c r="BB126" i="2"/>
  <c r="BA126" i="2"/>
  <c r="AZ126" i="2"/>
  <c r="AY126" i="2"/>
  <c r="AX126" i="2"/>
  <c r="AW126" i="2"/>
  <c r="AV126" i="2"/>
  <c r="AU126" i="2"/>
  <c r="AT126" i="2"/>
  <c r="AS126" i="2"/>
  <c r="AR126" i="2"/>
  <c r="AQ126" i="2"/>
  <c r="AP126" i="2"/>
  <c r="AO126" i="2"/>
  <c r="AN126" i="2"/>
  <c r="AM126" i="2"/>
  <c r="AL126" i="2"/>
  <c r="AK126" i="2"/>
  <c r="AJ126" i="2"/>
  <c r="AI126" i="2"/>
  <c r="AH126" i="2"/>
  <c r="AG126" i="2"/>
  <c r="AF126" i="2"/>
  <c r="AE126" i="2"/>
  <c r="AD126" i="2"/>
  <c r="AC126" i="2"/>
  <c r="AB126" i="2"/>
  <c r="AA126" i="2"/>
  <c r="Z126" i="2"/>
  <c r="Y126" i="2"/>
  <c r="X126" i="2"/>
  <c r="W126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F125" i="2"/>
  <c r="BE125" i="2"/>
  <c r="BD125" i="2"/>
  <c r="BC125" i="2"/>
  <c r="BB125" i="2"/>
  <c r="BA125" i="2"/>
  <c r="AZ125" i="2"/>
  <c r="AY125" i="2"/>
  <c r="AX125" i="2"/>
  <c r="AW125" i="2"/>
  <c r="AV125" i="2"/>
  <c r="AU125" i="2"/>
  <c r="AT125" i="2"/>
  <c r="AS125" i="2"/>
  <c r="AR125" i="2"/>
  <c r="AQ125" i="2"/>
  <c r="AP125" i="2"/>
  <c r="AO125" i="2"/>
  <c r="AN125" i="2"/>
  <c r="AM125" i="2"/>
  <c r="AL125" i="2"/>
  <c r="AK125" i="2"/>
  <c r="AJ125" i="2"/>
  <c r="AI125" i="2"/>
  <c r="AH125" i="2"/>
  <c r="AG125" i="2"/>
  <c r="AF125" i="2"/>
  <c r="AE125" i="2"/>
  <c r="AD125" i="2"/>
  <c r="AC125" i="2"/>
  <c r="AB125" i="2"/>
  <c r="AA125" i="2"/>
  <c r="Z125" i="2"/>
  <c r="Y125" i="2"/>
  <c r="X125" i="2"/>
  <c r="W125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F416" i="2"/>
  <c r="BE416" i="2"/>
  <c r="BD416" i="2"/>
  <c r="BC416" i="2"/>
  <c r="BB416" i="2"/>
  <c r="BA416" i="2"/>
  <c r="AZ416" i="2"/>
  <c r="AY416" i="2"/>
  <c r="AX416" i="2"/>
  <c r="AW416" i="2"/>
  <c r="AV416" i="2"/>
  <c r="AU416" i="2"/>
  <c r="AT416" i="2"/>
  <c r="AS416" i="2"/>
  <c r="AR416" i="2"/>
  <c r="AQ416" i="2"/>
  <c r="AP416" i="2"/>
  <c r="AO416" i="2"/>
  <c r="AN416" i="2"/>
  <c r="AM416" i="2"/>
  <c r="AL416" i="2"/>
  <c r="AK416" i="2"/>
  <c r="AJ416" i="2"/>
  <c r="AI416" i="2"/>
  <c r="AH416" i="2"/>
  <c r="AG416" i="2"/>
  <c r="AF416" i="2"/>
  <c r="AE416" i="2"/>
  <c r="AD416" i="2"/>
  <c r="AC416" i="2"/>
  <c r="AB416" i="2"/>
  <c r="AA416" i="2"/>
  <c r="Z416" i="2"/>
  <c r="Y416" i="2"/>
  <c r="X416" i="2"/>
  <c r="W416" i="2"/>
  <c r="V416" i="2"/>
  <c r="U416" i="2"/>
  <c r="T416" i="2"/>
  <c r="S416" i="2"/>
  <c r="R416" i="2"/>
  <c r="Q416" i="2"/>
  <c r="P416" i="2"/>
  <c r="O416" i="2"/>
  <c r="N416" i="2"/>
  <c r="M416" i="2"/>
  <c r="L416" i="2"/>
  <c r="K416" i="2"/>
  <c r="J416" i="2"/>
  <c r="I416" i="2"/>
  <c r="H416" i="2"/>
  <c r="G416" i="2"/>
  <c r="F416" i="2"/>
  <c r="E416" i="2"/>
  <c r="D416" i="2"/>
  <c r="C416" i="2"/>
  <c r="B416" i="2"/>
  <c r="BF415" i="2"/>
  <c r="BE415" i="2"/>
  <c r="BD415" i="2"/>
  <c r="BC415" i="2"/>
  <c r="BB415" i="2"/>
  <c r="BA415" i="2"/>
  <c r="AZ415" i="2"/>
  <c r="AY415" i="2"/>
  <c r="AX415" i="2"/>
  <c r="AW415" i="2"/>
  <c r="AV415" i="2"/>
  <c r="AU415" i="2"/>
  <c r="AT415" i="2"/>
  <c r="AS415" i="2"/>
  <c r="AR415" i="2"/>
  <c r="AQ415" i="2"/>
  <c r="AP415" i="2"/>
  <c r="AO415" i="2"/>
  <c r="AN415" i="2"/>
  <c r="AM415" i="2"/>
  <c r="AL415" i="2"/>
  <c r="AK415" i="2"/>
  <c r="AJ415" i="2"/>
  <c r="AI415" i="2"/>
  <c r="AH415" i="2"/>
  <c r="AG415" i="2"/>
  <c r="AF415" i="2"/>
  <c r="AE415" i="2"/>
  <c r="AD415" i="2"/>
  <c r="AC415" i="2"/>
  <c r="AB415" i="2"/>
  <c r="AA415" i="2"/>
  <c r="Z415" i="2"/>
  <c r="Y415" i="2"/>
  <c r="X415" i="2"/>
  <c r="W415" i="2"/>
  <c r="V415" i="2"/>
  <c r="U415" i="2"/>
  <c r="T415" i="2"/>
  <c r="S415" i="2"/>
  <c r="R415" i="2"/>
  <c r="Q415" i="2"/>
  <c r="P415" i="2"/>
  <c r="O415" i="2"/>
  <c r="N415" i="2"/>
  <c r="M415" i="2"/>
  <c r="L415" i="2"/>
  <c r="K415" i="2"/>
  <c r="J415" i="2"/>
  <c r="I415" i="2"/>
  <c r="H415" i="2"/>
  <c r="G415" i="2"/>
  <c r="F415" i="2"/>
  <c r="E415" i="2"/>
  <c r="D415" i="2"/>
  <c r="C415" i="2"/>
  <c r="B415" i="2"/>
  <c r="BF414" i="2"/>
  <c r="BE414" i="2"/>
  <c r="BD414" i="2"/>
  <c r="BC414" i="2"/>
  <c r="BB414" i="2"/>
  <c r="BA414" i="2"/>
  <c r="AZ414" i="2"/>
  <c r="AY414" i="2"/>
  <c r="AX414" i="2"/>
  <c r="AW414" i="2"/>
  <c r="AV414" i="2"/>
  <c r="AU414" i="2"/>
  <c r="AT414" i="2"/>
  <c r="AS414" i="2"/>
  <c r="AR414" i="2"/>
  <c r="AQ414" i="2"/>
  <c r="AP414" i="2"/>
  <c r="AO414" i="2"/>
  <c r="AN414" i="2"/>
  <c r="AM414" i="2"/>
  <c r="AL414" i="2"/>
  <c r="AK414" i="2"/>
  <c r="AJ414" i="2"/>
  <c r="AI414" i="2"/>
  <c r="AH414" i="2"/>
  <c r="AG414" i="2"/>
  <c r="AF414" i="2"/>
  <c r="AE414" i="2"/>
  <c r="AD414" i="2"/>
  <c r="AC414" i="2"/>
  <c r="AB414" i="2"/>
  <c r="AA414" i="2"/>
  <c r="Z414" i="2"/>
  <c r="Y414" i="2"/>
  <c r="X414" i="2"/>
  <c r="W414" i="2"/>
  <c r="V414" i="2"/>
  <c r="U414" i="2"/>
  <c r="T414" i="2"/>
  <c r="S414" i="2"/>
  <c r="R414" i="2"/>
  <c r="Q414" i="2"/>
  <c r="P414" i="2"/>
  <c r="O414" i="2"/>
  <c r="N414" i="2"/>
  <c r="M414" i="2"/>
  <c r="L414" i="2"/>
  <c r="K414" i="2"/>
  <c r="J414" i="2"/>
  <c r="I414" i="2"/>
  <c r="H414" i="2"/>
  <c r="G414" i="2"/>
  <c r="F414" i="2"/>
  <c r="E414" i="2"/>
  <c r="D414" i="2"/>
  <c r="C414" i="2"/>
  <c r="B414" i="2"/>
  <c r="BF413" i="2"/>
  <c r="BE413" i="2"/>
  <c r="BD413" i="2"/>
  <c r="BC413" i="2"/>
  <c r="BB413" i="2"/>
  <c r="BA413" i="2"/>
  <c r="AZ413" i="2"/>
  <c r="AY413" i="2"/>
  <c r="AX413" i="2"/>
  <c r="AW413" i="2"/>
  <c r="AV413" i="2"/>
  <c r="AU413" i="2"/>
  <c r="AT413" i="2"/>
  <c r="AS413" i="2"/>
  <c r="AR413" i="2"/>
  <c r="AQ413" i="2"/>
  <c r="AP413" i="2"/>
  <c r="AO413" i="2"/>
  <c r="AN413" i="2"/>
  <c r="AM413" i="2"/>
  <c r="AL413" i="2"/>
  <c r="AK413" i="2"/>
  <c r="AJ413" i="2"/>
  <c r="AI413" i="2"/>
  <c r="AH413" i="2"/>
  <c r="AG413" i="2"/>
  <c r="AF413" i="2"/>
  <c r="AE413" i="2"/>
  <c r="AD413" i="2"/>
  <c r="AC413" i="2"/>
  <c r="AB413" i="2"/>
  <c r="AA413" i="2"/>
  <c r="Z413" i="2"/>
  <c r="Y413" i="2"/>
  <c r="X413" i="2"/>
  <c r="W413" i="2"/>
  <c r="V413" i="2"/>
  <c r="U413" i="2"/>
  <c r="T413" i="2"/>
  <c r="S413" i="2"/>
  <c r="R413" i="2"/>
  <c r="Q413" i="2"/>
  <c r="P413" i="2"/>
  <c r="O413" i="2"/>
  <c r="N413" i="2"/>
  <c r="M413" i="2"/>
  <c r="L413" i="2"/>
  <c r="K413" i="2"/>
  <c r="J413" i="2"/>
  <c r="I413" i="2"/>
  <c r="H413" i="2"/>
  <c r="G413" i="2"/>
  <c r="F413" i="2"/>
  <c r="E413" i="2"/>
  <c r="D413" i="2"/>
  <c r="C413" i="2"/>
  <c r="B413" i="2"/>
  <c r="BF412" i="2"/>
  <c r="BE412" i="2"/>
  <c r="BD412" i="2"/>
  <c r="BC412" i="2"/>
  <c r="BB412" i="2"/>
  <c r="BA412" i="2"/>
  <c r="AZ412" i="2"/>
  <c r="AY412" i="2"/>
  <c r="AX412" i="2"/>
  <c r="AW412" i="2"/>
  <c r="AV412" i="2"/>
  <c r="AU412" i="2"/>
  <c r="AT412" i="2"/>
  <c r="AS412" i="2"/>
  <c r="AR412" i="2"/>
  <c r="AQ412" i="2"/>
  <c r="AP412" i="2"/>
  <c r="AO412" i="2"/>
  <c r="AN412" i="2"/>
  <c r="AM412" i="2"/>
  <c r="AL412" i="2"/>
  <c r="AK412" i="2"/>
  <c r="AJ412" i="2"/>
  <c r="AI412" i="2"/>
  <c r="AH412" i="2"/>
  <c r="AG412" i="2"/>
  <c r="AF412" i="2"/>
  <c r="AE412" i="2"/>
  <c r="AD412" i="2"/>
  <c r="AC412" i="2"/>
  <c r="AB412" i="2"/>
  <c r="AA412" i="2"/>
  <c r="Z412" i="2"/>
  <c r="Y412" i="2"/>
  <c r="X412" i="2"/>
  <c r="W412" i="2"/>
  <c r="V412" i="2"/>
  <c r="U412" i="2"/>
  <c r="T412" i="2"/>
  <c r="S412" i="2"/>
  <c r="R412" i="2"/>
  <c r="Q412" i="2"/>
  <c r="P412" i="2"/>
  <c r="O412" i="2"/>
  <c r="N412" i="2"/>
  <c r="M412" i="2"/>
  <c r="L412" i="2"/>
  <c r="K412" i="2"/>
  <c r="J412" i="2"/>
  <c r="I412" i="2"/>
  <c r="H412" i="2"/>
  <c r="G412" i="2"/>
  <c r="F412" i="2"/>
  <c r="E412" i="2"/>
  <c r="D412" i="2"/>
  <c r="C412" i="2"/>
  <c r="B412" i="2"/>
  <c r="BF411" i="2"/>
  <c r="BE411" i="2"/>
  <c r="BD411" i="2"/>
  <c r="BC411" i="2"/>
  <c r="BB411" i="2"/>
  <c r="BA411" i="2"/>
  <c r="AZ411" i="2"/>
  <c r="AY411" i="2"/>
  <c r="AX411" i="2"/>
  <c r="AW411" i="2"/>
  <c r="AV411" i="2"/>
  <c r="AU411" i="2"/>
  <c r="AT411" i="2"/>
  <c r="AS411" i="2"/>
  <c r="AR411" i="2"/>
  <c r="AQ411" i="2"/>
  <c r="AP411" i="2"/>
  <c r="AO411" i="2"/>
  <c r="AN411" i="2"/>
  <c r="AM411" i="2"/>
  <c r="AL411" i="2"/>
  <c r="AK411" i="2"/>
  <c r="AJ411" i="2"/>
  <c r="AI411" i="2"/>
  <c r="AH411" i="2"/>
  <c r="AG411" i="2"/>
  <c r="AF411" i="2"/>
  <c r="AE411" i="2"/>
  <c r="AD411" i="2"/>
  <c r="AC411" i="2"/>
  <c r="AB411" i="2"/>
  <c r="AA411" i="2"/>
  <c r="Z411" i="2"/>
  <c r="Y411" i="2"/>
  <c r="X411" i="2"/>
  <c r="W411" i="2"/>
  <c r="V411" i="2"/>
  <c r="U411" i="2"/>
  <c r="T411" i="2"/>
  <c r="S411" i="2"/>
  <c r="R411" i="2"/>
  <c r="Q411" i="2"/>
  <c r="P411" i="2"/>
  <c r="O411" i="2"/>
  <c r="N411" i="2"/>
  <c r="M411" i="2"/>
  <c r="L411" i="2"/>
  <c r="K411" i="2"/>
  <c r="J411" i="2"/>
  <c r="I411" i="2"/>
  <c r="H411" i="2"/>
  <c r="G411" i="2"/>
  <c r="F411" i="2"/>
  <c r="E411" i="2"/>
  <c r="D411" i="2"/>
  <c r="C411" i="2"/>
  <c r="B411" i="2"/>
  <c r="BF410" i="2"/>
  <c r="BE410" i="2"/>
  <c r="BD410" i="2"/>
  <c r="BC410" i="2"/>
  <c r="BB410" i="2"/>
  <c r="BA410" i="2"/>
  <c r="AZ410" i="2"/>
  <c r="AY410" i="2"/>
  <c r="AX410" i="2"/>
  <c r="AW410" i="2"/>
  <c r="AV410" i="2"/>
  <c r="AU410" i="2"/>
  <c r="AT410" i="2"/>
  <c r="AS410" i="2"/>
  <c r="AR410" i="2"/>
  <c r="AQ410" i="2"/>
  <c r="AP410" i="2"/>
  <c r="AO410" i="2"/>
  <c r="AN410" i="2"/>
  <c r="AM410" i="2"/>
  <c r="AL410" i="2"/>
  <c r="AK410" i="2"/>
  <c r="AJ410" i="2"/>
  <c r="AI410" i="2"/>
  <c r="AH410" i="2"/>
  <c r="AG410" i="2"/>
  <c r="AF410" i="2"/>
  <c r="AE410" i="2"/>
  <c r="AD410" i="2"/>
  <c r="AC410" i="2"/>
  <c r="AB410" i="2"/>
  <c r="AA410" i="2"/>
  <c r="Z410" i="2"/>
  <c r="Y410" i="2"/>
  <c r="X410" i="2"/>
  <c r="W410" i="2"/>
  <c r="V410" i="2"/>
  <c r="U410" i="2"/>
  <c r="T410" i="2"/>
  <c r="S410" i="2"/>
  <c r="R410" i="2"/>
  <c r="Q410" i="2"/>
  <c r="P410" i="2"/>
  <c r="O410" i="2"/>
  <c r="N410" i="2"/>
  <c r="M410" i="2"/>
  <c r="L410" i="2"/>
  <c r="K410" i="2"/>
  <c r="J410" i="2"/>
  <c r="I410" i="2"/>
  <c r="H410" i="2"/>
  <c r="G410" i="2"/>
  <c r="F410" i="2"/>
  <c r="E410" i="2"/>
  <c r="D410" i="2"/>
  <c r="C410" i="2"/>
  <c r="B410" i="2"/>
  <c r="BF409" i="2"/>
  <c r="BE409" i="2"/>
  <c r="BD409" i="2"/>
  <c r="BC409" i="2"/>
  <c r="BB409" i="2"/>
  <c r="BA409" i="2"/>
  <c r="AZ409" i="2"/>
  <c r="AY409" i="2"/>
  <c r="AX409" i="2"/>
  <c r="AW409" i="2"/>
  <c r="AV409" i="2"/>
  <c r="AU409" i="2"/>
  <c r="AT409" i="2"/>
  <c r="AS409" i="2"/>
  <c r="AR409" i="2"/>
  <c r="AQ409" i="2"/>
  <c r="AP409" i="2"/>
  <c r="AO409" i="2"/>
  <c r="AN409" i="2"/>
  <c r="AM409" i="2"/>
  <c r="AL409" i="2"/>
  <c r="AK409" i="2"/>
  <c r="AJ409" i="2"/>
  <c r="AI409" i="2"/>
  <c r="AH409" i="2"/>
  <c r="AG409" i="2"/>
  <c r="AF409" i="2"/>
  <c r="AE409" i="2"/>
  <c r="AD409" i="2"/>
  <c r="AC409" i="2"/>
  <c r="AB409" i="2"/>
  <c r="AA409" i="2"/>
  <c r="Z409" i="2"/>
  <c r="Y409" i="2"/>
  <c r="X409" i="2"/>
  <c r="W409" i="2"/>
  <c r="V409" i="2"/>
  <c r="U409" i="2"/>
  <c r="T409" i="2"/>
  <c r="S409" i="2"/>
  <c r="R409" i="2"/>
  <c r="Q409" i="2"/>
  <c r="P409" i="2"/>
  <c r="O409" i="2"/>
  <c r="N409" i="2"/>
  <c r="M409" i="2"/>
  <c r="L409" i="2"/>
  <c r="K409" i="2"/>
  <c r="J409" i="2"/>
  <c r="I409" i="2"/>
  <c r="H409" i="2"/>
  <c r="G409" i="2"/>
  <c r="F409" i="2"/>
  <c r="E409" i="2"/>
  <c r="D409" i="2"/>
  <c r="C409" i="2"/>
  <c r="B409" i="2"/>
  <c r="BF408" i="2"/>
  <c r="BE408" i="2"/>
  <c r="BD408" i="2"/>
  <c r="BC408" i="2"/>
  <c r="BB408" i="2"/>
  <c r="BA408" i="2"/>
  <c r="AZ408" i="2"/>
  <c r="AY408" i="2"/>
  <c r="AX408" i="2"/>
  <c r="AW408" i="2"/>
  <c r="AV408" i="2"/>
  <c r="AU408" i="2"/>
  <c r="AT408" i="2"/>
  <c r="AS408" i="2"/>
  <c r="AR408" i="2"/>
  <c r="AQ408" i="2"/>
  <c r="AP408" i="2"/>
  <c r="AO408" i="2"/>
  <c r="AN408" i="2"/>
  <c r="AM408" i="2"/>
  <c r="AL408" i="2"/>
  <c r="AK408" i="2"/>
  <c r="AJ408" i="2"/>
  <c r="AI408" i="2"/>
  <c r="AH408" i="2"/>
  <c r="AG408" i="2"/>
  <c r="AF408" i="2"/>
  <c r="AE408" i="2"/>
  <c r="AD408" i="2"/>
  <c r="AC408" i="2"/>
  <c r="AB408" i="2"/>
  <c r="AA408" i="2"/>
  <c r="Z408" i="2"/>
  <c r="Y408" i="2"/>
  <c r="X408" i="2"/>
  <c r="W408" i="2"/>
  <c r="V408" i="2"/>
  <c r="U408" i="2"/>
  <c r="T408" i="2"/>
  <c r="S408" i="2"/>
  <c r="R408" i="2"/>
  <c r="Q408" i="2"/>
  <c r="P408" i="2"/>
  <c r="O408" i="2"/>
  <c r="N408" i="2"/>
  <c r="M408" i="2"/>
  <c r="L408" i="2"/>
  <c r="K408" i="2"/>
  <c r="J408" i="2"/>
  <c r="I408" i="2"/>
  <c r="H408" i="2"/>
  <c r="G408" i="2"/>
  <c r="F408" i="2"/>
  <c r="E408" i="2"/>
  <c r="D408" i="2"/>
  <c r="C408" i="2"/>
  <c r="B408" i="2"/>
  <c r="BF407" i="2"/>
  <c r="BE407" i="2"/>
  <c r="BD407" i="2"/>
  <c r="BC407" i="2"/>
  <c r="BB407" i="2"/>
  <c r="BA407" i="2"/>
  <c r="AZ407" i="2"/>
  <c r="AY407" i="2"/>
  <c r="AX407" i="2"/>
  <c r="AW407" i="2"/>
  <c r="AV407" i="2"/>
  <c r="AU407" i="2"/>
  <c r="AT407" i="2"/>
  <c r="AS407" i="2"/>
  <c r="AR407" i="2"/>
  <c r="AQ407" i="2"/>
  <c r="AP407" i="2"/>
  <c r="AO407" i="2"/>
  <c r="AN407" i="2"/>
  <c r="AM407" i="2"/>
  <c r="AL407" i="2"/>
  <c r="AK407" i="2"/>
  <c r="AJ407" i="2"/>
  <c r="AI407" i="2"/>
  <c r="AH407" i="2"/>
  <c r="AG407" i="2"/>
  <c r="AF407" i="2"/>
  <c r="AE407" i="2"/>
  <c r="AD407" i="2"/>
  <c r="AC407" i="2"/>
  <c r="AB407" i="2"/>
  <c r="AA407" i="2"/>
  <c r="Z407" i="2"/>
  <c r="Y407" i="2"/>
  <c r="X407" i="2"/>
  <c r="W407" i="2"/>
  <c r="V407" i="2"/>
  <c r="U407" i="2"/>
  <c r="T407" i="2"/>
  <c r="S407" i="2"/>
  <c r="R407" i="2"/>
  <c r="Q407" i="2"/>
  <c r="P407" i="2"/>
  <c r="O407" i="2"/>
  <c r="N407" i="2"/>
  <c r="M407" i="2"/>
  <c r="L407" i="2"/>
  <c r="K407" i="2"/>
  <c r="J407" i="2"/>
  <c r="I407" i="2"/>
  <c r="H407" i="2"/>
  <c r="G407" i="2"/>
  <c r="F407" i="2"/>
  <c r="E407" i="2"/>
  <c r="D407" i="2"/>
  <c r="C407" i="2"/>
  <c r="B407" i="2"/>
  <c r="BF406" i="2"/>
  <c r="BE406" i="2"/>
  <c r="BD406" i="2"/>
  <c r="BC406" i="2"/>
  <c r="BB406" i="2"/>
  <c r="BA406" i="2"/>
  <c r="AZ406" i="2"/>
  <c r="AY406" i="2"/>
  <c r="AX406" i="2"/>
  <c r="AW406" i="2"/>
  <c r="AV406" i="2"/>
  <c r="AU406" i="2"/>
  <c r="AT406" i="2"/>
  <c r="AS406" i="2"/>
  <c r="AR406" i="2"/>
  <c r="AQ406" i="2"/>
  <c r="AP406" i="2"/>
  <c r="AO406" i="2"/>
  <c r="AN406" i="2"/>
  <c r="AM406" i="2"/>
  <c r="AL406" i="2"/>
  <c r="AK406" i="2"/>
  <c r="AJ406" i="2"/>
  <c r="AI406" i="2"/>
  <c r="AH406" i="2"/>
  <c r="AG406" i="2"/>
  <c r="AF406" i="2"/>
  <c r="AE406" i="2"/>
  <c r="AD406" i="2"/>
  <c r="AC406" i="2"/>
  <c r="AB406" i="2"/>
  <c r="AA406" i="2"/>
  <c r="Z406" i="2"/>
  <c r="Y406" i="2"/>
  <c r="X406" i="2"/>
  <c r="W406" i="2"/>
  <c r="V406" i="2"/>
  <c r="U406" i="2"/>
  <c r="T406" i="2"/>
  <c r="S406" i="2"/>
  <c r="R406" i="2"/>
  <c r="Q406" i="2"/>
  <c r="P406" i="2"/>
  <c r="O406" i="2"/>
  <c r="N406" i="2"/>
  <c r="M406" i="2"/>
  <c r="L406" i="2"/>
  <c r="K406" i="2"/>
  <c r="J406" i="2"/>
  <c r="I406" i="2"/>
  <c r="H406" i="2"/>
  <c r="G406" i="2"/>
  <c r="F406" i="2"/>
  <c r="E406" i="2"/>
  <c r="D406" i="2"/>
  <c r="C406" i="2"/>
  <c r="B406" i="2"/>
  <c r="BF405" i="2"/>
  <c r="BE405" i="2"/>
  <c r="BD405" i="2"/>
  <c r="BC405" i="2"/>
  <c r="BB405" i="2"/>
  <c r="BA405" i="2"/>
  <c r="AZ405" i="2"/>
  <c r="AY405" i="2"/>
  <c r="AX405" i="2"/>
  <c r="AW405" i="2"/>
  <c r="AV405" i="2"/>
  <c r="AU405" i="2"/>
  <c r="AT405" i="2"/>
  <c r="AS405" i="2"/>
  <c r="AR405" i="2"/>
  <c r="AQ405" i="2"/>
  <c r="AP405" i="2"/>
  <c r="AO405" i="2"/>
  <c r="AN405" i="2"/>
  <c r="AM405" i="2"/>
  <c r="AL405" i="2"/>
  <c r="AK405" i="2"/>
  <c r="AJ405" i="2"/>
  <c r="AI405" i="2"/>
  <c r="AH405" i="2"/>
  <c r="AG405" i="2"/>
  <c r="AF405" i="2"/>
  <c r="AE405" i="2"/>
  <c r="AD405" i="2"/>
  <c r="AC405" i="2"/>
  <c r="AB405" i="2"/>
  <c r="AA405" i="2"/>
  <c r="Z405" i="2"/>
  <c r="Y405" i="2"/>
  <c r="X405" i="2"/>
  <c r="W405" i="2"/>
  <c r="V405" i="2"/>
  <c r="U405" i="2"/>
  <c r="T405" i="2"/>
  <c r="S405" i="2"/>
  <c r="R405" i="2"/>
  <c r="Q405" i="2"/>
  <c r="P405" i="2"/>
  <c r="O405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BF404" i="2"/>
  <c r="BE404" i="2"/>
  <c r="BD404" i="2"/>
  <c r="BC404" i="2"/>
  <c r="BB404" i="2"/>
  <c r="BA404" i="2"/>
  <c r="AZ404" i="2"/>
  <c r="AY404" i="2"/>
  <c r="AX404" i="2"/>
  <c r="AW404" i="2"/>
  <c r="AV404" i="2"/>
  <c r="AU404" i="2"/>
  <c r="AT404" i="2"/>
  <c r="AS404" i="2"/>
  <c r="AR404" i="2"/>
  <c r="AQ404" i="2"/>
  <c r="AP404" i="2"/>
  <c r="AO404" i="2"/>
  <c r="AN404" i="2"/>
  <c r="AM404" i="2"/>
  <c r="AL404" i="2"/>
  <c r="AK404" i="2"/>
  <c r="AJ404" i="2"/>
  <c r="AI404" i="2"/>
  <c r="AH404" i="2"/>
  <c r="AG404" i="2"/>
  <c r="AF404" i="2"/>
  <c r="AE404" i="2"/>
  <c r="AD404" i="2"/>
  <c r="AC404" i="2"/>
  <c r="AB404" i="2"/>
  <c r="AA404" i="2"/>
  <c r="Z404" i="2"/>
  <c r="Y404" i="2"/>
  <c r="X404" i="2"/>
  <c r="W404" i="2"/>
  <c r="V404" i="2"/>
  <c r="U404" i="2"/>
  <c r="T404" i="2"/>
  <c r="S404" i="2"/>
  <c r="R404" i="2"/>
  <c r="Q404" i="2"/>
  <c r="P404" i="2"/>
  <c r="O404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BF403" i="2"/>
  <c r="BE403" i="2"/>
  <c r="BD403" i="2"/>
  <c r="BC403" i="2"/>
  <c r="BB403" i="2"/>
  <c r="BA403" i="2"/>
  <c r="AZ403" i="2"/>
  <c r="AY403" i="2"/>
  <c r="AX403" i="2"/>
  <c r="AW403" i="2"/>
  <c r="AV403" i="2"/>
  <c r="AU403" i="2"/>
  <c r="AT403" i="2"/>
  <c r="AS403" i="2"/>
  <c r="AR403" i="2"/>
  <c r="AQ403" i="2"/>
  <c r="AP403" i="2"/>
  <c r="AO403" i="2"/>
  <c r="AN403" i="2"/>
  <c r="AM403" i="2"/>
  <c r="AL403" i="2"/>
  <c r="AK403" i="2"/>
  <c r="AJ403" i="2"/>
  <c r="AI403" i="2"/>
  <c r="AH403" i="2"/>
  <c r="AG403" i="2"/>
  <c r="AF403" i="2"/>
  <c r="AE403" i="2"/>
  <c r="AD403" i="2"/>
  <c r="AC403" i="2"/>
  <c r="AB403" i="2"/>
  <c r="AA403" i="2"/>
  <c r="Z403" i="2"/>
  <c r="Y403" i="2"/>
  <c r="X403" i="2"/>
  <c r="W403" i="2"/>
  <c r="V403" i="2"/>
  <c r="U403" i="2"/>
  <c r="T403" i="2"/>
  <c r="S403" i="2"/>
  <c r="R403" i="2"/>
  <c r="Q403" i="2"/>
  <c r="P403" i="2"/>
  <c r="O403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BF402" i="2"/>
  <c r="BE402" i="2"/>
  <c r="BD402" i="2"/>
  <c r="BC402" i="2"/>
  <c r="BB402" i="2"/>
  <c r="BA402" i="2"/>
  <c r="AZ402" i="2"/>
  <c r="AY402" i="2"/>
  <c r="AX402" i="2"/>
  <c r="AW402" i="2"/>
  <c r="AV402" i="2"/>
  <c r="AU402" i="2"/>
  <c r="AT402" i="2"/>
  <c r="AS402" i="2"/>
  <c r="AR402" i="2"/>
  <c r="AQ402" i="2"/>
  <c r="AP402" i="2"/>
  <c r="AO402" i="2"/>
  <c r="AN402" i="2"/>
  <c r="AM402" i="2"/>
  <c r="AL402" i="2"/>
  <c r="AK402" i="2"/>
  <c r="AJ402" i="2"/>
  <c r="AI402" i="2"/>
  <c r="AH402" i="2"/>
  <c r="AG402" i="2"/>
  <c r="AF402" i="2"/>
  <c r="AE402" i="2"/>
  <c r="AD402" i="2"/>
  <c r="AC402" i="2"/>
  <c r="AB402" i="2"/>
  <c r="AA402" i="2"/>
  <c r="Z402" i="2"/>
  <c r="Y402" i="2"/>
  <c r="X402" i="2"/>
  <c r="W402" i="2"/>
  <c r="V402" i="2"/>
  <c r="U402" i="2"/>
  <c r="T402" i="2"/>
  <c r="S402" i="2"/>
  <c r="R402" i="2"/>
  <c r="Q402" i="2"/>
  <c r="P402" i="2"/>
  <c r="O402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BF401" i="2"/>
  <c r="BE401" i="2"/>
  <c r="BD401" i="2"/>
  <c r="BC401" i="2"/>
  <c r="BB401" i="2"/>
  <c r="BA401" i="2"/>
  <c r="AZ401" i="2"/>
  <c r="AY401" i="2"/>
  <c r="AX401" i="2"/>
  <c r="AW401" i="2"/>
  <c r="AV401" i="2"/>
  <c r="AU401" i="2"/>
  <c r="AT401" i="2"/>
  <c r="AS401" i="2"/>
  <c r="AR401" i="2"/>
  <c r="AQ401" i="2"/>
  <c r="AP401" i="2"/>
  <c r="AO401" i="2"/>
  <c r="AN401" i="2"/>
  <c r="AM401" i="2"/>
  <c r="AL401" i="2"/>
  <c r="AK401" i="2"/>
  <c r="AJ401" i="2"/>
  <c r="AI401" i="2"/>
  <c r="AH401" i="2"/>
  <c r="AG401" i="2"/>
  <c r="AF401" i="2"/>
  <c r="AE401" i="2"/>
  <c r="AD401" i="2"/>
  <c r="AC401" i="2"/>
  <c r="AB401" i="2"/>
  <c r="AA401" i="2"/>
  <c r="Z401" i="2"/>
  <c r="Y401" i="2"/>
  <c r="X401" i="2"/>
  <c r="W401" i="2"/>
  <c r="V401" i="2"/>
  <c r="U401" i="2"/>
  <c r="T401" i="2"/>
  <c r="S401" i="2"/>
  <c r="R401" i="2"/>
  <c r="Q401" i="2"/>
  <c r="P401" i="2"/>
  <c r="O401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BF400" i="2"/>
  <c r="BE400" i="2"/>
  <c r="BD400" i="2"/>
  <c r="BC400" i="2"/>
  <c r="BB400" i="2"/>
  <c r="BA400" i="2"/>
  <c r="AZ400" i="2"/>
  <c r="AY400" i="2"/>
  <c r="AX400" i="2"/>
  <c r="AW400" i="2"/>
  <c r="AV400" i="2"/>
  <c r="AU400" i="2"/>
  <c r="AT400" i="2"/>
  <c r="AS400" i="2"/>
  <c r="AR400" i="2"/>
  <c r="AQ400" i="2"/>
  <c r="AP400" i="2"/>
  <c r="AO400" i="2"/>
  <c r="AN400" i="2"/>
  <c r="AM400" i="2"/>
  <c r="AL400" i="2"/>
  <c r="AK400" i="2"/>
  <c r="AJ400" i="2"/>
  <c r="AI400" i="2"/>
  <c r="AH400" i="2"/>
  <c r="AG400" i="2"/>
  <c r="AF400" i="2"/>
  <c r="AE400" i="2"/>
  <c r="AD400" i="2"/>
  <c r="AC400" i="2"/>
  <c r="AB400" i="2"/>
  <c r="AA400" i="2"/>
  <c r="Z400" i="2"/>
  <c r="Y400" i="2"/>
  <c r="X400" i="2"/>
  <c r="W400" i="2"/>
  <c r="V400" i="2"/>
  <c r="U400" i="2"/>
  <c r="T400" i="2"/>
  <c r="S400" i="2"/>
  <c r="R400" i="2"/>
  <c r="Q400" i="2"/>
  <c r="P400" i="2"/>
  <c r="O400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BF399" i="2"/>
  <c r="BE399" i="2"/>
  <c r="BD399" i="2"/>
  <c r="BC399" i="2"/>
  <c r="BB399" i="2"/>
  <c r="BA399" i="2"/>
  <c r="AZ399" i="2"/>
  <c r="AY399" i="2"/>
  <c r="AX399" i="2"/>
  <c r="AW399" i="2"/>
  <c r="AV399" i="2"/>
  <c r="AU399" i="2"/>
  <c r="AT399" i="2"/>
  <c r="AS399" i="2"/>
  <c r="AR399" i="2"/>
  <c r="AQ399" i="2"/>
  <c r="AP399" i="2"/>
  <c r="AO399" i="2"/>
  <c r="AN399" i="2"/>
  <c r="AM399" i="2"/>
  <c r="AL399" i="2"/>
  <c r="AK399" i="2"/>
  <c r="AJ399" i="2"/>
  <c r="AI399" i="2"/>
  <c r="AH399" i="2"/>
  <c r="AG399" i="2"/>
  <c r="AF399" i="2"/>
  <c r="AE399" i="2"/>
  <c r="AD399" i="2"/>
  <c r="AC399" i="2"/>
  <c r="AB399" i="2"/>
  <c r="AA399" i="2"/>
  <c r="Z399" i="2"/>
  <c r="Y399" i="2"/>
  <c r="X399" i="2"/>
  <c r="W399" i="2"/>
  <c r="V399" i="2"/>
  <c r="U399" i="2"/>
  <c r="T399" i="2"/>
  <c r="S399" i="2"/>
  <c r="R399" i="2"/>
  <c r="Q399" i="2"/>
  <c r="P399" i="2"/>
  <c r="O399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BF398" i="2"/>
  <c r="BE398" i="2"/>
  <c r="BD398" i="2"/>
  <c r="BC398" i="2"/>
  <c r="BB398" i="2"/>
  <c r="BA398" i="2"/>
  <c r="AZ398" i="2"/>
  <c r="AY398" i="2"/>
  <c r="AX398" i="2"/>
  <c r="AW398" i="2"/>
  <c r="AV398" i="2"/>
  <c r="AU398" i="2"/>
  <c r="AT398" i="2"/>
  <c r="AS398" i="2"/>
  <c r="AR398" i="2"/>
  <c r="AQ398" i="2"/>
  <c r="AP398" i="2"/>
  <c r="AO398" i="2"/>
  <c r="AN398" i="2"/>
  <c r="AM398" i="2"/>
  <c r="AL398" i="2"/>
  <c r="AK398" i="2"/>
  <c r="AJ398" i="2"/>
  <c r="AI398" i="2"/>
  <c r="AH398" i="2"/>
  <c r="AG398" i="2"/>
  <c r="AF398" i="2"/>
  <c r="AE398" i="2"/>
  <c r="AD398" i="2"/>
  <c r="AC398" i="2"/>
  <c r="AB398" i="2"/>
  <c r="AA398" i="2"/>
  <c r="Z398" i="2"/>
  <c r="Y398" i="2"/>
  <c r="X398" i="2"/>
  <c r="W398" i="2"/>
  <c r="V398" i="2"/>
  <c r="U398" i="2"/>
  <c r="T398" i="2"/>
  <c r="S398" i="2"/>
  <c r="R398" i="2"/>
  <c r="Q398" i="2"/>
  <c r="P398" i="2"/>
  <c r="O398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BF397" i="2"/>
  <c r="BE397" i="2"/>
  <c r="BD397" i="2"/>
  <c r="BC397" i="2"/>
  <c r="BB397" i="2"/>
  <c r="BA397" i="2"/>
  <c r="AZ397" i="2"/>
  <c r="AY397" i="2"/>
  <c r="AX397" i="2"/>
  <c r="AW397" i="2"/>
  <c r="AV397" i="2"/>
  <c r="AU397" i="2"/>
  <c r="AT397" i="2"/>
  <c r="AS397" i="2"/>
  <c r="AR397" i="2"/>
  <c r="AQ397" i="2"/>
  <c r="AP397" i="2"/>
  <c r="AO397" i="2"/>
  <c r="AN397" i="2"/>
  <c r="AM397" i="2"/>
  <c r="AL397" i="2"/>
  <c r="AK397" i="2"/>
  <c r="AJ397" i="2"/>
  <c r="AI397" i="2"/>
  <c r="AH397" i="2"/>
  <c r="AG397" i="2"/>
  <c r="AF397" i="2"/>
  <c r="AE397" i="2"/>
  <c r="AD397" i="2"/>
  <c r="AC397" i="2"/>
  <c r="AB397" i="2"/>
  <c r="AA397" i="2"/>
  <c r="Z397" i="2"/>
  <c r="Y397" i="2"/>
  <c r="X397" i="2"/>
  <c r="W397" i="2"/>
  <c r="V397" i="2"/>
  <c r="U397" i="2"/>
  <c r="T397" i="2"/>
  <c r="S397" i="2"/>
  <c r="R397" i="2"/>
  <c r="Q397" i="2"/>
  <c r="P397" i="2"/>
  <c r="O397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BF396" i="2"/>
  <c r="BE396" i="2"/>
  <c r="BD396" i="2"/>
  <c r="BC396" i="2"/>
  <c r="BB396" i="2"/>
  <c r="BA396" i="2"/>
  <c r="AZ396" i="2"/>
  <c r="AY396" i="2"/>
  <c r="AX396" i="2"/>
  <c r="AW396" i="2"/>
  <c r="AV396" i="2"/>
  <c r="AU396" i="2"/>
  <c r="AT396" i="2"/>
  <c r="AS396" i="2"/>
  <c r="AR396" i="2"/>
  <c r="AQ396" i="2"/>
  <c r="AP396" i="2"/>
  <c r="AO396" i="2"/>
  <c r="AN396" i="2"/>
  <c r="AM396" i="2"/>
  <c r="AL396" i="2"/>
  <c r="AK396" i="2"/>
  <c r="AJ396" i="2"/>
  <c r="AI396" i="2"/>
  <c r="AH396" i="2"/>
  <c r="AG396" i="2"/>
  <c r="AF396" i="2"/>
  <c r="AE396" i="2"/>
  <c r="AD396" i="2"/>
  <c r="AC396" i="2"/>
  <c r="AB396" i="2"/>
  <c r="AA396" i="2"/>
  <c r="Z396" i="2"/>
  <c r="Y396" i="2"/>
  <c r="X396" i="2"/>
  <c r="W396" i="2"/>
  <c r="V396" i="2"/>
  <c r="U396" i="2"/>
  <c r="T396" i="2"/>
  <c r="S396" i="2"/>
  <c r="R396" i="2"/>
  <c r="Q396" i="2"/>
  <c r="P396" i="2"/>
  <c r="O396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BF395" i="2"/>
  <c r="BE395" i="2"/>
  <c r="BD395" i="2"/>
  <c r="BC395" i="2"/>
  <c r="BB395" i="2"/>
  <c r="BA395" i="2"/>
  <c r="AZ395" i="2"/>
  <c r="AY395" i="2"/>
  <c r="AX395" i="2"/>
  <c r="AW395" i="2"/>
  <c r="AV395" i="2"/>
  <c r="AU395" i="2"/>
  <c r="AT395" i="2"/>
  <c r="AS395" i="2"/>
  <c r="AR395" i="2"/>
  <c r="AQ395" i="2"/>
  <c r="AP395" i="2"/>
  <c r="AO395" i="2"/>
  <c r="AN395" i="2"/>
  <c r="AM395" i="2"/>
  <c r="AL395" i="2"/>
  <c r="AK395" i="2"/>
  <c r="AJ395" i="2"/>
  <c r="AI395" i="2"/>
  <c r="AH395" i="2"/>
  <c r="AG395" i="2"/>
  <c r="AF395" i="2"/>
  <c r="AE395" i="2"/>
  <c r="AD395" i="2"/>
  <c r="AC395" i="2"/>
  <c r="AB395" i="2"/>
  <c r="AA395" i="2"/>
  <c r="Z395" i="2"/>
  <c r="Y395" i="2"/>
  <c r="X395" i="2"/>
  <c r="W395" i="2"/>
  <c r="V395" i="2"/>
  <c r="U395" i="2"/>
  <c r="T395" i="2"/>
  <c r="S395" i="2"/>
  <c r="R395" i="2"/>
  <c r="Q395" i="2"/>
  <c r="P395" i="2"/>
  <c r="O395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BF394" i="2"/>
  <c r="BE394" i="2"/>
  <c r="BD394" i="2"/>
  <c r="BC394" i="2"/>
  <c r="BB394" i="2"/>
  <c r="BA394" i="2"/>
  <c r="AZ394" i="2"/>
  <c r="AY394" i="2"/>
  <c r="AX394" i="2"/>
  <c r="AW394" i="2"/>
  <c r="AV394" i="2"/>
  <c r="AU394" i="2"/>
  <c r="AT394" i="2"/>
  <c r="AS394" i="2"/>
  <c r="AR394" i="2"/>
  <c r="AQ394" i="2"/>
  <c r="AP394" i="2"/>
  <c r="AO394" i="2"/>
  <c r="AN394" i="2"/>
  <c r="AM394" i="2"/>
  <c r="AL394" i="2"/>
  <c r="AK394" i="2"/>
  <c r="AJ394" i="2"/>
  <c r="AI394" i="2"/>
  <c r="AH394" i="2"/>
  <c r="AG394" i="2"/>
  <c r="AF394" i="2"/>
  <c r="AE394" i="2"/>
  <c r="AD394" i="2"/>
  <c r="AC394" i="2"/>
  <c r="AB394" i="2"/>
  <c r="AA394" i="2"/>
  <c r="Z394" i="2"/>
  <c r="Y394" i="2"/>
  <c r="X394" i="2"/>
  <c r="W394" i="2"/>
  <c r="V394" i="2"/>
  <c r="U394" i="2"/>
  <c r="T394" i="2"/>
  <c r="S394" i="2"/>
  <c r="R394" i="2"/>
  <c r="Q394" i="2"/>
  <c r="P394" i="2"/>
  <c r="O394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BF393" i="2"/>
  <c r="BE393" i="2"/>
  <c r="BD393" i="2"/>
  <c r="BC393" i="2"/>
  <c r="BB393" i="2"/>
  <c r="BA393" i="2"/>
  <c r="AZ393" i="2"/>
  <c r="AY393" i="2"/>
  <c r="AX393" i="2"/>
  <c r="AW393" i="2"/>
  <c r="AV393" i="2"/>
  <c r="AU393" i="2"/>
  <c r="AT393" i="2"/>
  <c r="AS393" i="2"/>
  <c r="AR393" i="2"/>
  <c r="AQ393" i="2"/>
  <c r="AP393" i="2"/>
  <c r="AO393" i="2"/>
  <c r="AN393" i="2"/>
  <c r="AM393" i="2"/>
  <c r="AL393" i="2"/>
  <c r="AK393" i="2"/>
  <c r="AJ393" i="2"/>
  <c r="AI393" i="2"/>
  <c r="AH393" i="2"/>
  <c r="AG393" i="2"/>
  <c r="AF393" i="2"/>
  <c r="AE393" i="2"/>
  <c r="AD393" i="2"/>
  <c r="AC393" i="2"/>
  <c r="AB393" i="2"/>
  <c r="AA393" i="2"/>
  <c r="Z393" i="2"/>
  <c r="Y393" i="2"/>
  <c r="X393" i="2"/>
  <c r="W393" i="2"/>
  <c r="V393" i="2"/>
  <c r="U393" i="2"/>
  <c r="T393" i="2"/>
  <c r="S393" i="2"/>
  <c r="R393" i="2"/>
  <c r="Q393" i="2"/>
  <c r="P393" i="2"/>
  <c r="O393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BF392" i="2"/>
  <c r="BE392" i="2"/>
  <c r="BD392" i="2"/>
  <c r="BC392" i="2"/>
  <c r="BB392" i="2"/>
  <c r="BA392" i="2"/>
  <c r="AZ392" i="2"/>
  <c r="AY392" i="2"/>
  <c r="AX392" i="2"/>
  <c r="AW392" i="2"/>
  <c r="AV392" i="2"/>
  <c r="AU392" i="2"/>
  <c r="AT392" i="2"/>
  <c r="AS392" i="2"/>
  <c r="AR392" i="2"/>
  <c r="AQ392" i="2"/>
  <c r="AP392" i="2"/>
  <c r="AO392" i="2"/>
  <c r="AN392" i="2"/>
  <c r="AM392" i="2"/>
  <c r="AL392" i="2"/>
  <c r="AK392" i="2"/>
  <c r="AJ392" i="2"/>
  <c r="AI392" i="2"/>
  <c r="AH392" i="2"/>
  <c r="AG392" i="2"/>
  <c r="AF392" i="2"/>
  <c r="AE392" i="2"/>
  <c r="AD392" i="2"/>
  <c r="AC392" i="2"/>
  <c r="AB392" i="2"/>
  <c r="AA392" i="2"/>
  <c r="Z392" i="2"/>
  <c r="Y392" i="2"/>
  <c r="X392" i="2"/>
  <c r="W392" i="2"/>
  <c r="V392" i="2"/>
  <c r="U392" i="2"/>
  <c r="T392" i="2"/>
  <c r="S392" i="2"/>
  <c r="R392" i="2"/>
  <c r="Q392" i="2"/>
  <c r="P392" i="2"/>
  <c r="O392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BF391" i="2"/>
  <c r="BE391" i="2"/>
  <c r="BD391" i="2"/>
  <c r="BC391" i="2"/>
  <c r="BB391" i="2"/>
  <c r="BA391" i="2"/>
  <c r="AZ391" i="2"/>
  <c r="AY391" i="2"/>
  <c r="AX391" i="2"/>
  <c r="AW391" i="2"/>
  <c r="AV391" i="2"/>
  <c r="AU391" i="2"/>
  <c r="AT391" i="2"/>
  <c r="AS391" i="2"/>
  <c r="AR391" i="2"/>
  <c r="AQ391" i="2"/>
  <c r="AP391" i="2"/>
  <c r="AO391" i="2"/>
  <c r="AN391" i="2"/>
  <c r="AM391" i="2"/>
  <c r="AL391" i="2"/>
  <c r="AK391" i="2"/>
  <c r="AJ391" i="2"/>
  <c r="AI391" i="2"/>
  <c r="AH391" i="2"/>
  <c r="AG391" i="2"/>
  <c r="AF391" i="2"/>
  <c r="AE391" i="2"/>
  <c r="AD391" i="2"/>
  <c r="AC391" i="2"/>
  <c r="AB391" i="2"/>
  <c r="AA391" i="2"/>
  <c r="Z391" i="2"/>
  <c r="Y391" i="2"/>
  <c r="X391" i="2"/>
  <c r="W391" i="2"/>
  <c r="V391" i="2"/>
  <c r="U391" i="2"/>
  <c r="T391" i="2"/>
  <c r="S391" i="2"/>
  <c r="R391" i="2"/>
  <c r="Q391" i="2"/>
  <c r="P391" i="2"/>
  <c r="O391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BF390" i="2"/>
  <c r="BE390" i="2"/>
  <c r="BD390" i="2"/>
  <c r="BC390" i="2"/>
  <c r="BB390" i="2"/>
  <c r="BA390" i="2"/>
  <c r="AZ390" i="2"/>
  <c r="AY390" i="2"/>
  <c r="AX390" i="2"/>
  <c r="AW390" i="2"/>
  <c r="AV390" i="2"/>
  <c r="AU390" i="2"/>
  <c r="AT390" i="2"/>
  <c r="AS390" i="2"/>
  <c r="AR390" i="2"/>
  <c r="AQ390" i="2"/>
  <c r="AP390" i="2"/>
  <c r="AO390" i="2"/>
  <c r="AN390" i="2"/>
  <c r="AM390" i="2"/>
  <c r="AL390" i="2"/>
  <c r="AK390" i="2"/>
  <c r="AJ390" i="2"/>
  <c r="AI390" i="2"/>
  <c r="AH390" i="2"/>
  <c r="AG390" i="2"/>
  <c r="AF390" i="2"/>
  <c r="AE390" i="2"/>
  <c r="AD390" i="2"/>
  <c r="AC390" i="2"/>
  <c r="AB390" i="2"/>
  <c r="AA390" i="2"/>
  <c r="Z390" i="2"/>
  <c r="Y390" i="2"/>
  <c r="X390" i="2"/>
  <c r="W390" i="2"/>
  <c r="V390" i="2"/>
  <c r="U390" i="2"/>
  <c r="T390" i="2"/>
  <c r="S390" i="2"/>
  <c r="R390" i="2"/>
  <c r="Q390" i="2"/>
  <c r="P390" i="2"/>
  <c r="O390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BF389" i="2"/>
  <c r="BE389" i="2"/>
  <c r="BD389" i="2"/>
  <c r="BC389" i="2"/>
  <c r="BB389" i="2"/>
  <c r="BA389" i="2"/>
  <c r="AZ389" i="2"/>
  <c r="AY389" i="2"/>
  <c r="AX389" i="2"/>
  <c r="AW389" i="2"/>
  <c r="AV389" i="2"/>
  <c r="AU389" i="2"/>
  <c r="AT389" i="2"/>
  <c r="AS389" i="2"/>
  <c r="AR389" i="2"/>
  <c r="AQ389" i="2"/>
  <c r="AP389" i="2"/>
  <c r="AO389" i="2"/>
  <c r="AN389" i="2"/>
  <c r="AM389" i="2"/>
  <c r="AL389" i="2"/>
  <c r="AK389" i="2"/>
  <c r="AJ389" i="2"/>
  <c r="AI389" i="2"/>
  <c r="AH389" i="2"/>
  <c r="AG389" i="2"/>
  <c r="AF389" i="2"/>
  <c r="AE389" i="2"/>
  <c r="AD389" i="2"/>
  <c r="AC389" i="2"/>
  <c r="AB389" i="2"/>
  <c r="AA389" i="2"/>
  <c r="Z389" i="2"/>
  <c r="Y389" i="2"/>
  <c r="X389" i="2"/>
  <c r="W389" i="2"/>
  <c r="V389" i="2"/>
  <c r="U389" i="2"/>
  <c r="T389" i="2"/>
  <c r="S389" i="2"/>
  <c r="R389" i="2"/>
  <c r="Q389" i="2"/>
  <c r="P389" i="2"/>
  <c r="O389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BF388" i="2"/>
  <c r="BE388" i="2"/>
  <c r="BD388" i="2"/>
  <c r="BC388" i="2"/>
  <c r="BB388" i="2"/>
  <c r="BA388" i="2"/>
  <c r="AZ388" i="2"/>
  <c r="AY388" i="2"/>
  <c r="AX388" i="2"/>
  <c r="AW388" i="2"/>
  <c r="AV388" i="2"/>
  <c r="AU388" i="2"/>
  <c r="AT388" i="2"/>
  <c r="AS388" i="2"/>
  <c r="AR388" i="2"/>
  <c r="AQ388" i="2"/>
  <c r="AP388" i="2"/>
  <c r="AO388" i="2"/>
  <c r="AN388" i="2"/>
  <c r="AM388" i="2"/>
  <c r="AL388" i="2"/>
  <c r="AK388" i="2"/>
  <c r="AJ388" i="2"/>
  <c r="AI388" i="2"/>
  <c r="AH388" i="2"/>
  <c r="AG388" i="2"/>
  <c r="AF388" i="2"/>
  <c r="AE388" i="2"/>
  <c r="AD388" i="2"/>
  <c r="AC388" i="2"/>
  <c r="AB388" i="2"/>
  <c r="AA388" i="2"/>
  <c r="Z388" i="2"/>
  <c r="Y388" i="2"/>
  <c r="X388" i="2"/>
  <c r="W388" i="2"/>
  <c r="V388" i="2"/>
  <c r="U388" i="2"/>
  <c r="T388" i="2"/>
  <c r="S388" i="2"/>
  <c r="R388" i="2"/>
  <c r="Q388" i="2"/>
  <c r="P388" i="2"/>
  <c r="O388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BF78" i="2"/>
  <c r="BE78" i="2"/>
  <c r="BD78" i="2"/>
  <c r="BC78" i="2"/>
  <c r="BB78" i="2"/>
  <c r="BA78" i="2"/>
  <c r="AZ78" i="2"/>
  <c r="AY78" i="2"/>
  <c r="AX78" i="2"/>
  <c r="AW78" i="2"/>
  <c r="AV78" i="2"/>
  <c r="AU78" i="2"/>
  <c r="AT78" i="2"/>
  <c r="AS78" i="2"/>
  <c r="AR78" i="2"/>
  <c r="AQ78" i="2"/>
  <c r="AP78" i="2"/>
  <c r="AO78" i="2"/>
  <c r="AN78" i="2"/>
  <c r="AM78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BF70" i="2"/>
  <c r="BE70" i="2"/>
  <c r="BD70" i="2"/>
  <c r="BC70" i="2"/>
  <c r="BB70" i="2"/>
  <c r="BA70" i="2"/>
  <c r="AZ70" i="2"/>
  <c r="AY70" i="2"/>
  <c r="AX70" i="2"/>
  <c r="AW70" i="2"/>
  <c r="AV70" i="2"/>
  <c r="AU70" i="2"/>
  <c r="AT70" i="2"/>
  <c r="AS70" i="2"/>
  <c r="AR70" i="2"/>
  <c r="AQ70" i="2"/>
  <c r="AP70" i="2"/>
  <c r="AO70" i="2"/>
  <c r="AN70" i="2"/>
  <c r="AM70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BF503" i="2"/>
  <c r="BE503" i="2"/>
  <c r="BD503" i="2"/>
  <c r="BC503" i="2"/>
  <c r="BB503" i="2"/>
  <c r="BA503" i="2"/>
  <c r="AZ503" i="2"/>
  <c r="AY503" i="2"/>
  <c r="AX503" i="2"/>
  <c r="AW503" i="2"/>
  <c r="AV503" i="2"/>
  <c r="AU503" i="2"/>
  <c r="AT503" i="2"/>
  <c r="AS503" i="2"/>
  <c r="AR503" i="2"/>
  <c r="AQ503" i="2"/>
  <c r="AP503" i="2"/>
  <c r="AO503" i="2"/>
  <c r="AN503" i="2"/>
  <c r="AM503" i="2"/>
  <c r="AL503" i="2"/>
  <c r="AK503" i="2"/>
  <c r="AJ503" i="2"/>
  <c r="AI503" i="2"/>
  <c r="AH503" i="2"/>
  <c r="AG503" i="2"/>
  <c r="AF503" i="2"/>
  <c r="AE503" i="2"/>
  <c r="AD503" i="2"/>
  <c r="AC503" i="2"/>
  <c r="AB503" i="2"/>
  <c r="AA503" i="2"/>
  <c r="Z503" i="2"/>
  <c r="Y503" i="2"/>
  <c r="X503" i="2"/>
  <c r="W503" i="2"/>
  <c r="V503" i="2"/>
  <c r="U503" i="2"/>
  <c r="T503" i="2"/>
  <c r="S503" i="2"/>
  <c r="R503" i="2"/>
  <c r="Q503" i="2"/>
  <c r="P503" i="2"/>
  <c r="O503" i="2"/>
  <c r="N503" i="2"/>
  <c r="M503" i="2"/>
  <c r="L503" i="2"/>
  <c r="K503" i="2"/>
  <c r="J503" i="2"/>
  <c r="I503" i="2"/>
  <c r="H503" i="2"/>
  <c r="G503" i="2"/>
  <c r="F503" i="2"/>
  <c r="E503" i="2"/>
  <c r="D503" i="2"/>
  <c r="C503" i="2"/>
  <c r="B503" i="2"/>
  <c r="BF502" i="2"/>
  <c r="BE502" i="2"/>
  <c r="BD502" i="2"/>
  <c r="BC502" i="2"/>
  <c r="BB502" i="2"/>
  <c r="BA502" i="2"/>
  <c r="AZ502" i="2"/>
  <c r="AY502" i="2"/>
  <c r="AX502" i="2"/>
  <c r="AW502" i="2"/>
  <c r="AV502" i="2"/>
  <c r="AU502" i="2"/>
  <c r="AT502" i="2"/>
  <c r="AS502" i="2"/>
  <c r="AR502" i="2"/>
  <c r="AQ502" i="2"/>
  <c r="AP502" i="2"/>
  <c r="AO502" i="2"/>
  <c r="AN502" i="2"/>
  <c r="AM502" i="2"/>
  <c r="AL502" i="2"/>
  <c r="AK502" i="2"/>
  <c r="AJ502" i="2"/>
  <c r="AI502" i="2"/>
  <c r="AH502" i="2"/>
  <c r="AG502" i="2"/>
  <c r="AF502" i="2"/>
  <c r="AE502" i="2"/>
  <c r="AD502" i="2"/>
  <c r="AC502" i="2"/>
  <c r="AB502" i="2"/>
  <c r="AA502" i="2"/>
  <c r="Z502" i="2"/>
  <c r="Y502" i="2"/>
  <c r="X502" i="2"/>
  <c r="W502" i="2"/>
  <c r="V502" i="2"/>
  <c r="U502" i="2"/>
  <c r="T502" i="2"/>
  <c r="S502" i="2"/>
  <c r="R502" i="2"/>
  <c r="Q502" i="2"/>
  <c r="P502" i="2"/>
  <c r="O502" i="2"/>
  <c r="N502" i="2"/>
  <c r="M502" i="2"/>
  <c r="L502" i="2"/>
  <c r="K502" i="2"/>
  <c r="J502" i="2"/>
  <c r="I502" i="2"/>
  <c r="H502" i="2"/>
  <c r="G502" i="2"/>
  <c r="F502" i="2"/>
  <c r="E502" i="2"/>
  <c r="D502" i="2"/>
  <c r="C502" i="2"/>
  <c r="B502" i="2"/>
  <c r="BF501" i="2"/>
  <c r="BE501" i="2"/>
  <c r="BD501" i="2"/>
  <c r="BC501" i="2"/>
  <c r="BB501" i="2"/>
  <c r="BA501" i="2"/>
  <c r="AZ501" i="2"/>
  <c r="AY501" i="2"/>
  <c r="AX501" i="2"/>
  <c r="AW501" i="2"/>
  <c r="AV501" i="2"/>
  <c r="AU501" i="2"/>
  <c r="AT501" i="2"/>
  <c r="AS501" i="2"/>
  <c r="AR501" i="2"/>
  <c r="AQ501" i="2"/>
  <c r="AP501" i="2"/>
  <c r="AO501" i="2"/>
  <c r="AN501" i="2"/>
  <c r="AM501" i="2"/>
  <c r="AL501" i="2"/>
  <c r="AK501" i="2"/>
  <c r="AJ501" i="2"/>
  <c r="AI501" i="2"/>
  <c r="AH501" i="2"/>
  <c r="AG501" i="2"/>
  <c r="AF501" i="2"/>
  <c r="AE501" i="2"/>
  <c r="AD501" i="2"/>
  <c r="AC501" i="2"/>
  <c r="AB501" i="2"/>
  <c r="AA501" i="2"/>
  <c r="Z501" i="2"/>
  <c r="Y501" i="2"/>
  <c r="X501" i="2"/>
  <c r="W501" i="2"/>
  <c r="V501" i="2"/>
  <c r="U501" i="2"/>
  <c r="T501" i="2"/>
  <c r="S501" i="2"/>
  <c r="R501" i="2"/>
  <c r="Q501" i="2"/>
  <c r="P501" i="2"/>
  <c r="O501" i="2"/>
  <c r="N501" i="2"/>
  <c r="M501" i="2"/>
  <c r="L501" i="2"/>
  <c r="K501" i="2"/>
  <c r="J501" i="2"/>
  <c r="I501" i="2"/>
  <c r="H501" i="2"/>
  <c r="G501" i="2"/>
  <c r="F501" i="2"/>
  <c r="E501" i="2"/>
  <c r="D501" i="2"/>
  <c r="C501" i="2"/>
  <c r="B501" i="2"/>
  <c r="BF499" i="2"/>
  <c r="BE499" i="2"/>
  <c r="BD499" i="2"/>
  <c r="BC499" i="2"/>
  <c r="BB499" i="2"/>
  <c r="BA499" i="2"/>
  <c r="AZ499" i="2"/>
  <c r="AY499" i="2"/>
  <c r="AX499" i="2"/>
  <c r="AW499" i="2"/>
  <c r="AV499" i="2"/>
  <c r="AU499" i="2"/>
  <c r="AT499" i="2"/>
  <c r="AS499" i="2"/>
  <c r="AR499" i="2"/>
  <c r="AQ499" i="2"/>
  <c r="AP499" i="2"/>
  <c r="AO499" i="2"/>
  <c r="AN499" i="2"/>
  <c r="AM499" i="2"/>
  <c r="AL499" i="2"/>
  <c r="AK499" i="2"/>
  <c r="AJ499" i="2"/>
  <c r="AI499" i="2"/>
  <c r="AH499" i="2"/>
  <c r="AG499" i="2"/>
  <c r="AF499" i="2"/>
  <c r="AE499" i="2"/>
  <c r="AD499" i="2"/>
  <c r="AC499" i="2"/>
  <c r="AB499" i="2"/>
  <c r="AA499" i="2"/>
  <c r="Z499" i="2"/>
  <c r="Y499" i="2"/>
  <c r="X499" i="2"/>
  <c r="W499" i="2"/>
  <c r="V499" i="2"/>
  <c r="U499" i="2"/>
  <c r="T499" i="2"/>
  <c r="S499" i="2"/>
  <c r="R499" i="2"/>
  <c r="Q499" i="2"/>
  <c r="P499" i="2"/>
  <c r="O499" i="2"/>
  <c r="N499" i="2"/>
  <c r="M499" i="2"/>
  <c r="L499" i="2"/>
  <c r="K499" i="2"/>
  <c r="J499" i="2"/>
  <c r="I499" i="2"/>
  <c r="H499" i="2"/>
  <c r="G499" i="2"/>
  <c r="F499" i="2"/>
  <c r="E499" i="2"/>
  <c r="D499" i="2"/>
  <c r="C499" i="2"/>
  <c r="B499" i="2"/>
  <c r="BF498" i="2"/>
  <c r="BE498" i="2"/>
  <c r="BD498" i="2"/>
  <c r="BC498" i="2"/>
  <c r="BB498" i="2"/>
  <c r="BA498" i="2"/>
  <c r="AZ498" i="2"/>
  <c r="AY498" i="2"/>
  <c r="AX498" i="2"/>
  <c r="AW498" i="2"/>
  <c r="AV498" i="2"/>
  <c r="AU498" i="2"/>
  <c r="AT498" i="2"/>
  <c r="AS498" i="2"/>
  <c r="AR498" i="2"/>
  <c r="AQ498" i="2"/>
  <c r="AP498" i="2"/>
  <c r="AO498" i="2"/>
  <c r="AN498" i="2"/>
  <c r="AM498" i="2"/>
  <c r="AL498" i="2"/>
  <c r="AK498" i="2"/>
  <c r="AJ498" i="2"/>
  <c r="AI498" i="2"/>
  <c r="AH498" i="2"/>
  <c r="AG498" i="2"/>
  <c r="AF498" i="2"/>
  <c r="AE498" i="2"/>
  <c r="AD498" i="2"/>
  <c r="AC498" i="2"/>
  <c r="AB498" i="2"/>
  <c r="AA498" i="2"/>
  <c r="Z498" i="2"/>
  <c r="Y498" i="2"/>
  <c r="X498" i="2"/>
  <c r="W498" i="2"/>
  <c r="V498" i="2"/>
  <c r="U498" i="2"/>
  <c r="T498" i="2"/>
  <c r="S498" i="2"/>
  <c r="R498" i="2"/>
  <c r="Q498" i="2"/>
  <c r="P498" i="2"/>
  <c r="O498" i="2"/>
  <c r="N498" i="2"/>
  <c r="M498" i="2"/>
  <c r="L498" i="2"/>
  <c r="K498" i="2"/>
  <c r="J498" i="2"/>
  <c r="I498" i="2"/>
  <c r="H498" i="2"/>
  <c r="G498" i="2"/>
  <c r="F498" i="2"/>
  <c r="E498" i="2"/>
  <c r="D498" i="2"/>
  <c r="C498" i="2"/>
  <c r="B498" i="2"/>
  <c r="BF497" i="2"/>
  <c r="BE497" i="2"/>
  <c r="BD497" i="2"/>
  <c r="BC497" i="2"/>
  <c r="BB497" i="2"/>
  <c r="BA497" i="2"/>
  <c r="AZ497" i="2"/>
  <c r="AY497" i="2"/>
  <c r="AX497" i="2"/>
  <c r="AW497" i="2"/>
  <c r="AV497" i="2"/>
  <c r="AU497" i="2"/>
  <c r="AT497" i="2"/>
  <c r="AS497" i="2"/>
  <c r="AR497" i="2"/>
  <c r="AQ497" i="2"/>
  <c r="AP497" i="2"/>
  <c r="AO497" i="2"/>
  <c r="AN497" i="2"/>
  <c r="AM497" i="2"/>
  <c r="AL497" i="2"/>
  <c r="AK497" i="2"/>
  <c r="AJ497" i="2"/>
  <c r="AI497" i="2"/>
  <c r="AH497" i="2"/>
  <c r="AG497" i="2"/>
  <c r="AF497" i="2"/>
  <c r="AE497" i="2"/>
  <c r="AD497" i="2"/>
  <c r="AC497" i="2"/>
  <c r="AB497" i="2"/>
  <c r="AA497" i="2"/>
  <c r="Z497" i="2"/>
  <c r="Y497" i="2"/>
  <c r="X497" i="2"/>
  <c r="W497" i="2"/>
  <c r="V497" i="2"/>
  <c r="U497" i="2"/>
  <c r="T497" i="2"/>
  <c r="S497" i="2"/>
  <c r="R497" i="2"/>
  <c r="Q497" i="2"/>
  <c r="P497" i="2"/>
  <c r="O497" i="2"/>
  <c r="N497" i="2"/>
  <c r="M497" i="2"/>
  <c r="L497" i="2"/>
  <c r="K497" i="2"/>
  <c r="J497" i="2"/>
  <c r="I497" i="2"/>
  <c r="H497" i="2"/>
  <c r="G497" i="2"/>
  <c r="F497" i="2"/>
  <c r="E497" i="2"/>
  <c r="D497" i="2"/>
  <c r="C497" i="2"/>
  <c r="B497" i="2"/>
  <c r="BF496" i="2"/>
  <c r="BE496" i="2"/>
  <c r="BD496" i="2"/>
  <c r="BC496" i="2"/>
  <c r="BB496" i="2"/>
  <c r="BA496" i="2"/>
  <c r="AZ496" i="2"/>
  <c r="AY496" i="2"/>
  <c r="AX496" i="2"/>
  <c r="AW496" i="2"/>
  <c r="AV496" i="2"/>
  <c r="AU496" i="2"/>
  <c r="AT496" i="2"/>
  <c r="AS496" i="2"/>
  <c r="AR496" i="2"/>
  <c r="AQ496" i="2"/>
  <c r="AP496" i="2"/>
  <c r="AO496" i="2"/>
  <c r="AN496" i="2"/>
  <c r="AM496" i="2"/>
  <c r="AL496" i="2"/>
  <c r="AK496" i="2"/>
  <c r="AJ496" i="2"/>
  <c r="AI496" i="2"/>
  <c r="AH496" i="2"/>
  <c r="AG496" i="2"/>
  <c r="AF496" i="2"/>
  <c r="AE496" i="2"/>
  <c r="AD496" i="2"/>
  <c r="AC496" i="2"/>
  <c r="AB496" i="2"/>
  <c r="AA496" i="2"/>
  <c r="Z496" i="2"/>
  <c r="Y496" i="2"/>
  <c r="X496" i="2"/>
  <c r="W496" i="2"/>
  <c r="V496" i="2"/>
  <c r="U496" i="2"/>
  <c r="T496" i="2"/>
  <c r="S496" i="2"/>
  <c r="R496" i="2"/>
  <c r="Q496" i="2"/>
  <c r="P496" i="2"/>
  <c r="O496" i="2"/>
  <c r="N496" i="2"/>
  <c r="M496" i="2"/>
  <c r="L496" i="2"/>
  <c r="K496" i="2"/>
  <c r="J496" i="2"/>
  <c r="I496" i="2"/>
  <c r="H496" i="2"/>
  <c r="G496" i="2"/>
  <c r="F496" i="2"/>
  <c r="E496" i="2"/>
  <c r="D496" i="2"/>
  <c r="C496" i="2"/>
  <c r="B496" i="2"/>
  <c r="BF495" i="2"/>
  <c r="BE495" i="2"/>
  <c r="BD495" i="2"/>
  <c r="BC495" i="2"/>
  <c r="BB495" i="2"/>
  <c r="BA495" i="2"/>
  <c r="AZ495" i="2"/>
  <c r="AY495" i="2"/>
  <c r="AX495" i="2"/>
  <c r="AW495" i="2"/>
  <c r="AV495" i="2"/>
  <c r="AU495" i="2"/>
  <c r="AT495" i="2"/>
  <c r="AS495" i="2"/>
  <c r="AR495" i="2"/>
  <c r="AQ495" i="2"/>
  <c r="AP495" i="2"/>
  <c r="AO495" i="2"/>
  <c r="AN495" i="2"/>
  <c r="AM495" i="2"/>
  <c r="AL495" i="2"/>
  <c r="AK495" i="2"/>
  <c r="AJ495" i="2"/>
  <c r="AI495" i="2"/>
  <c r="AH495" i="2"/>
  <c r="AG495" i="2"/>
  <c r="AF495" i="2"/>
  <c r="AE495" i="2"/>
  <c r="AD495" i="2"/>
  <c r="AC495" i="2"/>
  <c r="AB495" i="2"/>
  <c r="AA495" i="2"/>
  <c r="Z495" i="2"/>
  <c r="Y495" i="2"/>
  <c r="X495" i="2"/>
  <c r="W495" i="2"/>
  <c r="V495" i="2"/>
  <c r="U495" i="2"/>
  <c r="T495" i="2"/>
  <c r="S495" i="2"/>
  <c r="R495" i="2"/>
  <c r="Q495" i="2"/>
  <c r="P495" i="2"/>
  <c r="O495" i="2"/>
  <c r="N495" i="2"/>
  <c r="M495" i="2"/>
  <c r="L495" i="2"/>
  <c r="K495" i="2"/>
  <c r="J495" i="2"/>
  <c r="I495" i="2"/>
  <c r="H495" i="2"/>
  <c r="G495" i="2"/>
  <c r="F495" i="2"/>
  <c r="E495" i="2"/>
  <c r="D495" i="2"/>
  <c r="C495" i="2"/>
  <c r="B495" i="2"/>
  <c r="BF493" i="2"/>
  <c r="BE493" i="2"/>
  <c r="BD493" i="2"/>
  <c r="BC493" i="2"/>
  <c r="BB493" i="2"/>
  <c r="BA493" i="2"/>
  <c r="AZ493" i="2"/>
  <c r="AY493" i="2"/>
  <c r="AX493" i="2"/>
  <c r="AW493" i="2"/>
  <c r="AV493" i="2"/>
  <c r="AU493" i="2"/>
  <c r="AT493" i="2"/>
  <c r="AS493" i="2"/>
  <c r="AR493" i="2"/>
  <c r="AQ493" i="2"/>
  <c r="AP493" i="2"/>
  <c r="AO493" i="2"/>
  <c r="AN493" i="2"/>
  <c r="AM493" i="2"/>
  <c r="AL493" i="2"/>
  <c r="AK493" i="2"/>
  <c r="AJ493" i="2"/>
  <c r="AI493" i="2"/>
  <c r="AH493" i="2"/>
  <c r="AG493" i="2"/>
  <c r="AF493" i="2"/>
  <c r="AE493" i="2"/>
  <c r="AD493" i="2"/>
  <c r="AC493" i="2"/>
  <c r="AB493" i="2"/>
  <c r="AA493" i="2"/>
  <c r="Z493" i="2"/>
  <c r="Y493" i="2"/>
  <c r="X493" i="2"/>
  <c r="W493" i="2"/>
  <c r="V493" i="2"/>
  <c r="U493" i="2"/>
  <c r="T493" i="2"/>
  <c r="S493" i="2"/>
  <c r="R493" i="2"/>
  <c r="Q493" i="2"/>
  <c r="P493" i="2"/>
  <c r="O493" i="2"/>
  <c r="N493" i="2"/>
  <c r="M493" i="2"/>
  <c r="L493" i="2"/>
  <c r="K493" i="2"/>
  <c r="J493" i="2"/>
  <c r="I493" i="2"/>
  <c r="H493" i="2"/>
  <c r="G493" i="2"/>
  <c r="F493" i="2"/>
  <c r="E493" i="2"/>
  <c r="D493" i="2"/>
  <c r="C493" i="2"/>
  <c r="B493" i="2"/>
  <c r="BF492" i="2"/>
  <c r="BE492" i="2"/>
  <c r="BD492" i="2"/>
  <c r="BC492" i="2"/>
  <c r="BB492" i="2"/>
  <c r="BA492" i="2"/>
  <c r="AZ492" i="2"/>
  <c r="AY492" i="2"/>
  <c r="AX492" i="2"/>
  <c r="AW492" i="2"/>
  <c r="AV492" i="2"/>
  <c r="AU492" i="2"/>
  <c r="AT492" i="2"/>
  <c r="AS492" i="2"/>
  <c r="AR492" i="2"/>
  <c r="AQ492" i="2"/>
  <c r="AP492" i="2"/>
  <c r="AO492" i="2"/>
  <c r="AN492" i="2"/>
  <c r="AM492" i="2"/>
  <c r="AL492" i="2"/>
  <c r="AK492" i="2"/>
  <c r="AJ492" i="2"/>
  <c r="AI492" i="2"/>
  <c r="AH492" i="2"/>
  <c r="AG492" i="2"/>
  <c r="AF492" i="2"/>
  <c r="AE492" i="2"/>
  <c r="AD492" i="2"/>
  <c r="AC492" i="2"/>
  <c r="AB492" i="2"/>
  <c r="AA492" i="2"/>
  <c r="Z492" i="2"/>
  <c r="Y492" i="2"/>
  <c r="X492" i="2"/>
  <c r="W492" i="2"/>
  <c r="V492" i="2"/>
  <c r="U492" i="2"/>
  <c r="T492" i="2"/>
  <c r="S492" i="2"/>
  <c r="R492" i="2"/>
  <c r="Q492" i="2"/>
  <c r="P492" i="2"/>
  <c r="O492" i="2"/>
  <c r="N492" i="2"/>
  <c r="M492" i="2"/>
  <c r="L492" i="2"/>
  <c r="K492" i="2"/>
  <c r="J492" i="2"/>
  <c r="I492" i="2"/>
  <c r="H492" i="2"/>
  <c r="G492" i="2"/>
  <c r="F492" i="2"/>
  <c r="E492" i="2"/>
  <c r="D492" i="2"/>
  <c r="C492" i="2"/>
  <c r="B492" i="2"/>
  <c r="BF490" i="2"/>
  <c r="BE490" i="2"/>
  <c r="BD490" i="2"/>
  <c r="BC490" i="2"/>
  <c r="BB490" i="2"/>
  <c r="BA490" i="2"/>
  <c r="AZ490" i="2"/>
  <c r="AY490" i="2"/>
  <c r="AX490" i="2"/>
  <c r="AW490" i="2"/>
  <c r="AV490" i="2"/>
  <c r="AU490" i="2"/>
  <c r="AT490" i="2"/>
  <c r="AS490" i="2"/>
  <c r="AR490" i="2"/>
  <c r="AQ490" i="2"/>
  <c r="AP490" i="2"/>
  <c r="AO490" i="2"/>
  <c r="AN490" i="2"/>
  <c r="AM490" i="2"/>
  <c r="AL490" i="2"/>
  <c r="AK490" i="2"/>
  <c r="AJ490" i="2"/>
  <c r="AI490" i="2"/>
  <c r="AH490" i="2"/>
  <c r="AG490" i="2"/>
  <c r="AF490" i="2"/>
  <c r="AE490" i="2"/>
  <c r="AD490" i="2"/>
  <c r="AC490" i="2"/>
  <c r="AB490" i="2"/>
  <c r="AA490" i="2"/>
  <c r="Z490" i="2"/>
  <c r="Y490" i="2"/>
  <c r="X490" i="2"/>
  <c r="W490" i="2"/>
  <c r="V490" i="2"/>
  <c r="U490" i="2"/>
  <c r="T490" i="2"/>
  <c r="S490" i="2"/>
  <c r="R490" i="2"/>
  <c r="Q490" i="2"/>
  <c r="P490" i="2"/>
  <c r="O490" i="2"/>
  <c r="N490" i="2"/>
  <c r="M490" i="2"/>
  <c r="L490" i="2"/>
  <c r="K490" i="2"/>
  <c r="J490" i="2"/>
  <c r="I490" i="2"/>
  <c r="H490" i="2"/>
  <c r="G490" i="2"/>
  <c r="F490" i="2"/>
  <c r="E490" i="2"/>
  <c r="D490" i="2"/>
  <c r="C490" i="2"/>
  <c r="B490" i="2"/>
  <c r="BF489" i="2"/>
  <c r="BE489" i="2"/>
  <c r="BD489" i="2"/>
  <c r="BC489" i="2"/>
  <c r="BB489" i="2"/>
  <c r="BA489" i="2"/>
  <c r="AZ489" i="2"/>
  <c r="AY489" i="2"/>
  <c r="AX489" i="2"/>
  <c r="AW489" i="2"/>
  <c r="AV489" i="2"/>
  <c r="AU489" i="2"/>
  <c r="AT489" i="2"/>
  <c r="AS489" i="2"/>
  <c r="AR489" i="2"/>
  <c r="AQ489" i="2"/>
  <c r="AP489" i="2"/>
  <c r="AO489" i="2"/>
  <c r="AN489" i="2"/>
  <c r="AM489" i="2"/>
  <c r="AL489" i="2"/>
  <c r="AK489" i="2"/>
  <c r="AJ489" i="2"/>
  <c r="AI489" i="2"/>
  <c r="AH489" i="2"/>
  <c r="AG489" i="2"/>
  <c r="AF489" i="2"/>
  <c r="AE489" i="2"/>
  <c r="AD489" i="2"/>
  <c r="AC489" i="2"/>
  <c r="AB489" i="2"/>
  <c r="AA489" i="2"/>
  <c r="Z489" i="2"/>
  <c r="Y489" i="2"/>
  <c r="X489" i="2"/>
  <c r="W489" i="2"/>
  <c r="V489" i="2"/>
  <c r="U489" i="2"/>
  <c r="T489" i="2"/>
  <c r="S489" i="2"/>
  <c r="R489" i="2"/>
  <c r="Q489" i="2"/>
  <c r="P489" i="2"/>
  <c r="O489" i="2"/>
  <c r="N489" i="2"/>
  <c r="M489" i="2"/>
  <c r="L489" i="2"/>
  <c r="K489" i="2"/>
  <c r="J489" i="2"/>
  <c r="I489" i="2"/>
  <c r="H489" i="2"/>
  <c r="G489" i="2"/>
  <c r="F489" i="2"/>
  <c r="E489" i="2"/>
  <c r="D489" i="2"/>
  <c r="C489" i="2"/>
  <c r="B489" i="2"/>
  <c r="BF488" i="2"/>
  <c r="BE488" i="2"/>
  <c r="BD488" i="2"/>
  <c r="BC488" i="2"/>
  <c r="BB488" i="2"/>
  <c r="BA488" i="2"/>
  <c r="AZ488" i="2"/>
  <c r="AY488" i="2"/>
  <c r="AX488" i="2"/>
  <c r="AW488" i="2"/>
  <c r="AV488" i="2"/>
  <c r="AU488" i="2"/>
  <c r="AT488" i="2"/>
  <c r="AS488" i="2"/>
  <c r="AR488" i="2"/>
  <c r="AQ488" i="2"/>
  <c r="AP488" i="2"/>
  <c r="AO488" i="2"/>
  <c r="AN488" i="2"/>
  <c r="AM488" i="2"/>
  <c r="AL488" i="2"/>
  <c r="AK488" i="2"/>
  <c r="AJ488" i="2"/>
  <c r="AI488" i="2"/>
  <c r="AH488" i="2"/>
  <c r="AG488" i="2"/>
  <c r="AF488" i="2"/>
  <c r="AE488" i="2"/>
  <c r="AD488" i="2"/>
  <c r="AC488" i="2"/>
  <c r="AB488" i="2"/>
  <c r="AA488" i="2"/>
  <c r="Z488" i="2"/>
  <c r="Y488" i="2"/>
  <c r="X488" i="2"/>
  <c r="W488" i="2"/>
  <c r="V488" i="2"/>
  <c r="U488" i="2"/>
  <c r="T488" i="2"/>
  <c r="S488" i="2"/>
  <c r="R488" i="2"/>
  <c r="Q488" i="2"/>
  <c r="P488" i="2"/>
  <c r="O488" i="2"/>
  <c r="N488" i="2"/>
  <c r="M488" i="2"/>
  <c r="L488" i="2"/>
  <c r="K488" i="2"/>
  <c r="J488" i="2"/>
  <c r="I488" i="2"/>
  <c r="H488" i="2"/>
  <c r="G488" i="2"/>
  <c r="F488" i="2"/>
  <c r="E488" i="2"/>
  <c r="D488" i="2"/>
  <c r="C488" i="2"/>
  <c r="B488" i="2"/>
  <c r="BF486" i="2"/>
  <c r="BE486" i="2"/>
  <c r="BD486" i="2"/>
  <c r="BC486" i="2"/>
  <c r="BB486" i="2"/>
  <c r="BA486" i="2"/>
  <c r="AZ486" i="2"/>
  <c r="AY486" i="2"/>
  <c r="AX486" i="2"/>
  <c r="AW486" i="2"/>
  <c r="AV486" i="2"/>
  <c r="AU486" i="2"/>
  <c r="AT486" i="2"/>
  <c r="AS486" i="2"/>
  <c r="AR486" i="2"/>
  <c r="AQ486" i="2"/>
  <c r="AP486" i="2"/>
  <c r="AO486" i="2"/>
  <c r="AN486" i="2"/>
  <c r="AM486" i="2"/>
  <c r="AL486" i="2"/>
  <c r="AK486" i="2"/>
  <c r="AJ486" i="2"/>
  <c r="AI486" i="2"/>
  <c r="AH486" i="2"/>
  <c r="AG486" i="2"/>
  <c r="AF486" i="2"/>
  <c r="AE486" i="2"/>
  <c r="AD486" i="2"/>
  <c r="AC486" i="2"/>
  <c r="AB486" i="2"/>
  <c r="AA486" i="2"/>
  <c r="Z486" i="2"/>
  <c r="Y486" i="2"/>
  <c r="X486" i="2"/>
  <c r="W486" i="2"/>
  <c r="V486" i="2"/>
  <c r="U486" i="2"/>
  <c r="T486" i="2"/>
  <c r="S486" i="2"/>
  <c r="R486" i="2"/>
  <c r="Q486" i="2"/>
  <c r="P486" i="2"/>
  <c r="O486" i="2"/>
  <c r="N486" i="2"/>
  <c r="M486" i="2"/>
  <c r="L486" i="2"/>
  <c r="K486" i="2"/>
  <c r="J486" i="2"/>
  <c r="I486" i="2"/>
  <c r="H486" i="2"/>
  <c r="G486" i="2"/>
  <c r="F486" i="2"/>
  <c r="E486" i="2"/>
  <c r="D486" i="2"/>
  <c r="C486" i="2"/>
  <c r="B486" i="2"/>
  <c r="BF485" i="2"/>
  <c r="BE485" i="2"/>
  <c r="BD485" i="2"/>
  <c r="BC485" i="2"/>
  <c r="BB485" i="2"/>
  <c r="BA485" i="2"/>
  <c r="AZ485" i="2"/>
  <c r="AY485" i="2"/>
  <c r="AX485" i="2"/>
  <c r="AW485" i="2"/>
  <c r="AV485" i="2"/>
  <c r="AU485" i="2"/>
  <c r="AT485" i="2"/>
  <c r="AS485" i="2"/>
  <c r="AR485" i="2"/>
  <c r="AQ485" i="2"/>
  <c r="AP485" i="2"/>
  <c r="AO485" i="2"/>
  <c r="AN485" i="2"/>
  <c r="AM485" i="2"/>
  <c r="AL485" i="2"/>
  <c r="AK485" i="2"/>
  <c r="AJ485" i="2"/>
  <c r="AI485" i="2"/>
  <c r="AH485" i="2"/>
  <c r="AG485" i="2"/>
  <c r="AF485" i="2"/>
  <c r="AE485" i="2"/>
  <c r="AD485" i="2"/>
  <c r="AC485" i="2"/>
  <c r="AB485" i="2"/>
  <c r="AA485" i="2"/>
  <c r="Z485" i="2"/>
  <c r="Y485" i="2"/>
  <c r="X485" i="2"/>
  <c r="W485" i="2"/>
  <c r="V485" i="2"/>
  <c r="U485" i="2"/>
  <c r="T485" i="2"/>
  <c r="S485" i="2"/>
  <c r="R485" i="2"/>
  <c r="Q485" i="2"/>
  <c r="P485" i="2"/>
  <c r="O485" i="2"/>
  <c r="N485" i="2"/>
  <c r="M485" i="2"/>
  <c r="L485" i="2"/>
  <c r="K485" i="2"/>
  <c r="J485" i="2"/>
  <c r="I485" i="2"/>
  <c r="H485" i="2"/>
  <c r="G485" i="2"/>
  <c r="F485" i="2"/>
  <c r="E485" i="2"/>
  <c r="D485" i="2"/>
  <c r="C485" i="2"/>
  <c r="B485" i="2"/>
  <c r="BF484" i="2"/>
  <c r="BE484" i="2"/>
  <c r="BD484" i="2"/>
  <c r="BC484" i="2"/>
  <c r="BB484" i="2"/>
  <c r="BA484" i="2"/>
  <c r="AZ484" i="2"/>
  <c r="AY484" i="2"/>
  <c r="AX484" i="2"/>
  <c r="AW484" i="2"/>
  <c r="AV484" i="2"/>
  <c r="AU484" i="2"/>
  <c r="AT484" i="2"/>
  <c r="AS484" i="2"/>
  <c r="AR484" i="2"/>
  <c r="AQ484" i="2"/>
  <c r="AP484" i="2"/>
  <c r="AO484" i="2"/>
  <c r="AN484" i="2"/>
  <c r="AM484" i="2"/>
  <c r="AL484" i="2"/>
  <c r="AK484" i="2"/>
  <c r="AJ484" i="2"/>
  <c r="AI484" i="2"/>
  <c r="AH484" i="2"/>
  <c r="AG484" i="2"/>
  <c r="AF484" i="2"/>
  <c r="AE484" i="2"/>
  <c r="AD484" i="2"/>
  <c r="AC484" i="2"/>
  <c r="AB484" i="2"/>
  <c r="AA484" i="2"/>
  <c r="Z484" i="2"/>
  <c r="Y484" i="2"/>
  <c r="X484" i="2"/>
  <c r="W484" i="2"/>
  <c r="V484" i="2"/>
  <c r="U484" i="2"/>
  <c r="T484" i="2"/>
  <c r="S484" i="2"/>
  <c r="R484" i="2"/>
  <c r="Q484" i="2"/>
  <c r="P484" i="2"/>
  <c r="O484" i="2"/>
  <c r="N484" i="2"/>
  <c r="M484" i="2"/>
  <c r="L484" i="2"/>
  <c r="K484" i="2"/>
  <c r="J484" i="2"/>
  <c r="I484" i="2"/>
  <c r="H484" i="2"/>
  <c r="G484" i="2"/>
  <c r="F484" i="2"/>
  <c r="E484" i="2"/>
  <c r="D484" i="2"/>
  <c r="C484" i="2"/>
  <c r="B484" i="2"/>
  <c r="BF483" i="2"/>
  <c r="BE483" i="2"/>
  <c r="BD483" i="2"/>
  <c r="BC483" i="2"/>
  <c r="BB483" i="2"/>
  <c r="BA483" i="2"/>
  <c r="AZ483" i="2"/>
  <c r="AY483" i="2"/>
  <c r="AX483" i="2"/>
  <c r="AW483" i="2"/>
  <c r="AV483" i="2"/>
  <c r="AU483" i="2"/>
  <c r="AT483" i="2"/>
  <c r="AS483" i="2"/>
  <c r="AR483" i="2"/>
  <c r="AQ483" i="2"/>
  <c r="AP483" i="2"/>
  <c r="AO483" i="2"/>
  <c r="AN483" i="2"/>
  <c r="AM483" i="2"/>
  <c r="AL483" i="2"/>
  <c r="AK483" i="2"/>
  <c r="AJ483" i="2"/>
  <c r="AI483" i="2"/>
  <c r="AH483" i="2"/>
  <c r="AG483" i="2"/>
  <c r="AF483" i="2"/>
  <c r="AE483" i="2"/>
  <c r="AD483" i="2"/>
  <c r="AC483" i="2"/>
  <c r="AB483" i="2"/>
  <c r="AA483" i="2"/>
  <c r="Z483" i="2"/>
  <c r="Y483" i="2"/>
  <c r="X483" i="2"/>
  <c r="W483" i="2"/>
  <c r="V483" i="2"/>
  <c r="U483" i="2"/>
  <c r="T483" i="2"/>
  <c r="S483" i="2"/>
  <c r="R483" i="2"/>
  <c r="Q483" i="2"/>
  <c r="P483" i="2"/>
  <c r="O483" i="2"/>
  <c r="N483" i="2"/>
  <c r="M483" i="2"/>
  <c r="L483" i="2"/>
  <c r="K483" i="2"/>
  <c r="J483" i="2"/>
  <c r="I483" i="2"/>
  <c r="H483" i="2"/>
  <c r="G483" i="2"/>
  <c r="F483" i="2"/>
  <c r="E483" i="2"/>
  <c r="D483" i="2"/>
  <c r="C483" i="2"/>
  <c r="B483" i="2"/>
  <c r="BF482" i="2"/>
  <c r="BE482" i="2"/>
  <c r="BD482" i="2"/>
  <c r="BC482" i="2"/>
  <c r="BB482" i="2"/>
  <c r="BA482" i="2"/>
  <c r="AZ482" i="2"/>
  <c r="AY482" i="2"/>
  <c r="AX482" i="2"/>
  <c r="AW482" i="2"/>
  <c r="AV482" i="2"/>
  <c r="AU482" i="2"/>
  <c r="AT482" i="2"/>
  <c r="AS482" i="2"/>
  <c r="AR482" i="2"/>
  <c r="AQ482" i="2"/>
  <c r="AP482" i="2"/>
  <c r="AO482" i="2"/>
  <c r="AN482" i="2"/>
  <c r="AM482" i="2"/>
  <c r="AL482" i="2"/>
  <c r="AK482" i="2"/>
  <c r="AJ482" i="2"/>
  <c r="AI482" i="2"/>
  <c r="AH482" i="2"/>
  <c r="AG482" i="2"/>
  <c r="AF482" i="2"/>
  <c r="AE482" i="2"/>
  <c r="AD482" i="2"/>
  <c r="AC482" i="2"/>
  <c r="AB482" i="2"/>
  <c r="AA482" i="2"/>
  <c r="Z482" i="2"/>
  <c r="Y482" i="2"/>
  <c r="X482" i="2"/>
  <c r="W482" i="2"/>
  <c r="V482" i="2"/>
  <c r="U482" i="2"/>
  <c r="T482" i="2"/>
  <c r="S482" i="2"/>
  <c r="R482" i="2"/>
  <c r="Q482" i="2"/>
  <c r="P482" i="2"/>
  <c r="O482" i="2"/>
  <c r="N482" i="2"/>
  <c r="M482" i="2"/>
  <c r="L482" i="2"/>
  <c r="K482" i="2"/>
  <c r="J482" i="2"/>
  <c r="I482" i="2"/>
  <c r="H482" i="2"/>
  <c r="G482" i="2"/>
  <c r="F482" i="2"/>
  <c r="E482" i="2"/>
  <c r="D482" i="2"/>
  <c r="C482" i="2"/>
  <c r="B482" i="2"/>
  <c r="BF480" i="2"/>
  <c r="BE480" i="2"/>
  <c r="BD480" i="2"/>
  <c r="BC480" i="2"/>
  <c r="BB480" i="2"/>
  <c r="BA480" i="2"/>
  <c r="AZ480" i="2"/>
  <c r="AY480" i="2"/>
  <c r="AX480" i="2"/>
  <c r="AW480" i="2"/>
  <c r="AV480" i="2"/>
  <c r="AU480" i="2"/>
  <c r="AT480" i="2"/>
  <c r="AS480" i="2"/>
  <c r="AR480" i="2"/>
  <c r="AQ480" i="2"/>
  <c r="AP480" i="2"/>
  <c r="AO480" i="2"/>
  <c r="AN480" i="2"/>
  <c r="AM480" i="2"/>
  <c r="AL480" i="2"/>
  <c r="AK480" i="2"/>
  <c r="AJ480" i="2"/>
  <c r="AI480" i="2"/>
  <c r="AH480" i="2"/>
  <c r="AG480" i="2"/>
  <c r="AF480" i="2"/>
  <c r="AE480" i="2"/>
  <c r="AD480" i="2"/>
  <c r="AC480" i="2"/>
  <c r="AB480" i="2"/>
  <c r="AA480" i="2"/>
  <c r="Z480" i="2"/>
  <c r="Y480" i="2"/>
  <c r="X480" i="2"/>
  <c r="W480" i="2"/>
  <c r="V480" i="2"/>
  <c r="U480" i="2"/>
  <c r="T480" i="2"/>
  <c r="S480" i="2"/>
  <c r="R480" i="2"/>
  <c r="Q480" i="2"/>
  <c r="P480" i="2"/>
  <c r="O480" i="2"/>
  <c r="N480" i="2"/>
  <c r="M480" i="2"/>
  <c r="L480" i="2"/>
  <c r="K480" i="2"/>
  <c r="J480" i="2"/>
  <c r="I480" i="2"/>
  <c r="H480" i="2"/>
  <c r="G480" i="2"/>
  <c r="F480" i="2"/>
  <c r="E480" i="2"/>
  <c r="D480" i="2"/>
  <c r="C480" i="2"/>
  <c r="B480" i="2"/>
  <c r="BF479" i="2"/>
  <c r="BE479" i="2"/>
  <c r="BD479" i="2"/>
  <c r="BC479" i="2"/>
  <c r="BB479" i="2"/>
  <c r="BA479" i="2"/>
  <c r="AZ479" i="2"/>
  <c r="AY479" i="2"/>
  <c r="AX479" i="2"/>
  <c r="AW479" i="2"/>
  <c r="AV479" i="2"/>
  <c r="AU479" i="2"/>
  <c r="AT479" i="2"/>
  <c r="AS479" i="2"/>
  <c r="AR479" i="2"/>
  <c r="AQ479" i="2"/>
  <c r="AP479" i="2"/>
  <c r="AO479" i="2"/>
  <c r="AN479" i="2"/>
  <c r="AM479" i="2"/>
  <c r="AL479" i="2"/>
  <c r="AK479" i="2"/>
  <c r="AJ479" i="2"/>
  <c r="AI479" i="2"/>
  <c r="AH479" i="2"/>
  <c r="AG479" i="2"/>
  <c r="AF479" i="2"/>
  <c r="AE479" i="2"/>
  <c r="AD479" i="2"/>
  <c r="AC479" i="2"/>
  <c r="AB479" i="2"/>
  <c r="AA479" i="2"/>
  <c r="Z479" i="2"/>
  <c r="Y479" i="2"/>
  <c r="X479" i="2"/>
  <c r="W479" i="2"/>
  <c r="V479" i="2"/>
  <c r="U479" i="2"/>
  <c r="T479" i="2"/>
  <c r="S479" i="2"/>
  <c r="R479" i="2"/>
  <c r="Q479" i="2"/>
  <c r="P479" i="2"/>
  <c r="O479" i="2"/>
  <c r="N479" i="2"/>
  <c r="M479" i="2"/>
  <c r="L479" i="2"/>
  <c r="K479" i="2"/>
  <c r="J479" i="2"/>
  <c r="I479" i="2"/>
  <c r="H479" i="2"/>
  <c r="G479" i="2"/>
  <c r="F479" i="2"/>
  <c r="E479" i="2"/>
  <c r="D479" i="2"/>
  <c r="C479" i="2"/>
  <c r="B479" i="2"/>
  <c r="BF469" i="2"/>
  <c r="BE469" i="2"/>
  <c r="BD469" i="2"/>
  <c r="BC469" i="2"/>
  <c r="BB469" i="2"/>
  <c r="BA469" i="2"/>
  <c r="AZ469" i="2"/>
  <c r="AY469" i="2"/>
  <c r="AX469" i="2"/>
  <c r="AW469" i="2"/>
  <c r="AV469" i="2"/>
  <c r="AU469" i="2"/>
  <c r="AT469" i="2"/>
  <c r="AS469" i="2"/>
  <c r="AR469" i="2"/>
  <c r="AQ469" i="2"/>
  <c r="AP469" i="2"/>
  <c r="AO469" i="2"/>
  <c r="AN469" i="2"/>
  <c r="AM469" i="2"/>
  <c r="AL469" i="2"/>
  <c r="AK469" i="2"/>
  <c r="AJ469" i="2"/>
  <c r="AI469" i="2"/>
  <c r="AH469" i="2"/>
  <c r="AG469" i="2"/>
  <c r="AF469" i="2"/>
  <c r="AE469" i="2"/>
  <c r="AD469" i="2"/>
  <c r="AC469" i="2"/>
  <c r="AB469" i="2"/>
  <c r="AA469" i="2"/>
  <c r="Z469" i="2"/>
  <c r="Y469" i="2"/>
  <c r="X469" i="2"/>
  <c r="W469" i="2"/>
  <c r="V469" i="2"/>
  <c r="U469" i="2"/>
  <c r="T469" i="2"/>
  <c r="S469" i="2"/>
  <c r="R469" i="2"/>
  <c r="Q469" i="2"/>
  <c r="P469" i="2"/>
  <c r="O469" i="2"/>
  <c r="N469" i="2"/>
  <c r="M469" i="2"/>
  <c r="L469" i="2"/>
  <c r="K469" i="2"/>
  <c r="J469" i="2"/>
  <c r="I469" i="2"/>
  <c r="H469" i="2"/>
  <c r="G469" i="2"/>
  <c r="F469" i="2"/>
  <c r="E469" i="2"/>
  <c r="D469" i="2"/>
  <c r="C469" i="2"/>
  <c r="B469" i="2"/>
  <c r="BF468" i="2"/>
  <c r="BE468" i="2"/>
  <c r="BD468" i="2"/>
  <c r="BC468" i="2"/>
  <c r="BB468" i="2"/>
  <c r="BA468" i="2"/>
  <c r="AZ468" i="2"/>
  <c r="AY468" i="2"/>
  <c r="AX468" i="2"/>
  <c r="AW468" i="2"/>
  <c r="AV468" i="2"/>
  <c r="AU468" i="2"/>
  <c r="AT468" i="2"/>
  <c r="AS468" i="2"/>
  <c r="AR468" i="2"/>
  <c r="AQ468" i="2"/>
  <c r="AP468" i="2"/>
  <c r="AO468" i="2"/>
  <c r="AN468" i="2"/>
  <c r="AM468" i="2"/>
  <c r="AL468" i="2"/>
  <c r="AK468" i="2"/>
  <c r="AJ468" i="2"/>
  <c r="AI468" i="2"/>
  <c r="AH468" i="2"/>
  <c r="AG468" i="2"/>
  <c r="AF468" i="2"/>
  <c r="AE468" i="2"/>
  <c r="AD468" i="2"/>
  <c r="AC468" i="2"/>
  <c r="AB468" i="2"/>
  <c r="AA468" i="2"/>
  <c r="Z468" i="2"/>
  <c r="Y468" i="2"/>
  <c r="X468" i="2"/>
  <c r="W468" i="2"/>
  <c r="V468" i="2"/>
  <c r="U468" i="2"/>
  <c r="T468" i="2"/>
  <c r="S468" i="2"/>
  <c r="R468" i="2"/>
  <c r="Q468" i="2"/>
  <c r="P468" i="2"/>
  <c r="O468" i="2"/>
  <c r="N468" i="2"/>
  <c r="M468" i="2"/>
  <c r="L468" i="2"/>
  <c r="K468" i="2"/>
  <c r="J468" i="2"/>
  <c r="I468" i="2"/>
  <c r="H468" i="2"/>
  <c r="G468" i="2"/>
  <c r="F468" i="2"/>
  <c r="E468" i="2"/>
  <c r="D468" i="2"/>
  <c r="C468" i="2"/>
  <c r="B468" i="2"/>
  <c r="BF467" i="2"/>
  <c r="BE467" i="2"/>
  <c r="BD467" i="2"/>
  <c r="BC467" i="2"/>
  <c r="BB467" i="2"/>
  <c r="BA467" i="2"/>
  <c r="AZ467" i="2"/>
  <c r="AY467" i="2"/>
  <c r="AX467" i="2"/>
  <c r="AW467" i="2"/>
  <c r="AV467" i="2"/>
  <c r="AU467" i="2"/>
  <c r="AT467" i="2"/>
  <c r="AS467" i="2"/>
  <c r="AR467" i="2"/>
  <c r="AQ467" i="2"/>
  <c r="AP467" i="2"/>
  <c r="AO467" i="2"/>
  <c r="AN467" i="2"/>
  <c r="AM467" i="2"/>
  <c r="AL467" i="2"/>
  <c r="AK467" i="2"/>
  <c r="AJ467" i="2"/>
  <c r="AI467" i="2"/>
  <c r="AH467" i="2"/>
  <c r="AG467" i="2"/>
  <c r="AF467" i="2"/>
  <c r="AE467" i="2"/>
  <c r="AD467" i="2"/>
  <c r="AC467" i="2"/>
  <c r="AB467" i="2"/>
  <c r="AA467" i="2"/>
  <c r="Z467" i="2"/>
  <c r="Y467" i="2"/>
  <c r="X467" i="2"/>
  <c r="W467" i="2"/>
  <c r="V467" i="2"/>
  <c r="U467" i="2"/>
  <c r="T467" i="2"/>
  <c r="S467" i="2"/>
  <c r="R467" i="2"/>
  <c r="Q467" i="2"/>
  <c r="P467" i="2"/>
  <c r="O467" i="2"/>
  <c r="N467" i="2"/>
  <c r="M467" i="2"/>
  <c r="L467" i="2"/>
  <c r="K467" i="2"/>
  <c r="J467" i="2"/>
  <c r="I467" i="2"/>
  <c r="H467" i="2"/>
  <c r="G467" i="2"/>
  <c r="F467" i="2"/>
  <c r="E467" i="2"/>
  <c r="D467" i="2"/>
  <c r="C467" i="2"/>
  <c r="B467" i="2"/>
  <c r="BF465" i="2"/>
  <c r="BE465" i="2"/>
  <c r="BD465" i="2"/>
  <c r="BC465" i="2"/>
  <c r="BB465" i="2"/>
  <c r="BA465" i="2"/>
  <c r="AZ465" i="2"/>
  <c r="AY465" i="2"/>
  <c r="AX465" i="2"/>
  <c r="AW465" i="2"/>
  <c r="AV465" i="2"/>
  <c r="AU465" i="2"/>
  <c r="AT465" i="2"/>
  <c r="AS465" i="2"/>
  <c r="AR465" i="2"/>
  <c r="AQ465" i="2"/>
  <c r="AP465" i="2"/>
  <c r="AO465" i="2"/>
  <c r="AN465" i="2"/>
  <c r="AM465" i="2"/>
  <c r="AL465" i="2"/>
  <c r="AK465" i="2"/>
  <c r="AJ465" i="2"/>
  <c r="AI465" i="2"/>
  <c r="AH465" i="2"/>
  <c r="AG465" i="2"/>
  <c r="AF465" i="2"/>
  <c r="AE465" i="2"/>
  <c r="AD465" i="2"/>
  <c r="AC465" i="2"/>
  <c r="AB465" i="2"/>
  <c r="AA465" i="2"/>
  <c r="Z465" i="2"/>
  <c r="Y465" i="2"/>
  <c r="X465" i="2"/>
  <c r="W465" i="2"/>
  <c r="V465" i="2"/>
  <c r="U465" i="2"/>
  <c r="T465" i="2"/>
  <c r="S465" i="2"/>
  <c r="R465" i="2"/>
  <c r="Q465" i="2"/>
  <c r="P465" i="2"/>
  <c r="O465" i="2"/>
  <c r="N465" i="2"/>
  <c r="M465" i="2"/>
  <c r="L465" i="2"/>
  <c r="K465" i="2"/>
  <c r="J465" i="2"/>
  <c r="I465" i="2"/>
  <c r="H465" i="2"/>
  <c r="G465" i="2"/>
  <c r="F465" i="2"/>
  <c r="E465" i="2"/>
  <c r="D465" i="2"/>
  <c r="C465" i="2"/>
  <c r="B465" i="2"/>
  <c r="BF464" i="2"/>
  <c r="BE464" i="2"/>
  <c r="BD464" i="2"/>
  <c r="BC464" i="2"/>
  <c r="BB464" i="2"/>
  <c r="BA464" i="2"/>
  <c r="AZ464" i="2"/>
  <c r="AY464" i="2"/>
  <c r="AX464" i="2"/>
  <c r="AW464" i="2"/>
  <c r="AV464" i="2"/>
  <c r="AU464" i="2"/>
  <c r="AT464" i="2"/>
  <c r="AS464" i="2"/>
  <c r="AR464" i="2"/>
  <c r="AQ464" i="2"/>
  <c r="AP464" i="2"/>
  <c r="AO464" i="2"/>
  <c r="AN464" i="2"/>
  <c r="AM464" i="2"/>
  <c r="AL464" i="2"/>
  <c r="AK464" i="2"/>
  <c r="AJ464" i="2"/>
  <c r="AI464" i="2"/>
  <c r="AH464" i="2"/>
  <c r="AG464" i="2"/>
  <c r="AF464" i="2"/>
  <c r="AE464" i="2"/>
  <c r="AD464" i="2"/>
  <c r="AC464" i="2"/>
  <c r="AB464" i="2"/>
  <c r="AA464" i="2"/>
  <c r="Z464" i="2"/>
  <c r="Y464" i="2"/>
  <c r="X464" i="2"/>
  <c r="W464" i="2"/>
  <c r="V464" i="2"/>
  <c r="U464" i="2"/>
  <c r="T464" i="2"/>
  <c r="S464" i="2"/>
  <c r="R464" i="2"/>
  <c r="Q464" i="2"/>
  <c r="P464" i="2"/>
  <c r="O464" i="2"/>
  <c r="N464" i="2"/>
  <c r="M464" i="2"/>
  <c r="L464" i="2"/>
  <c r="K464" i="2"/>
  <c r="J464" i="2"/>
  <c r="I464" i="2"/>
  <c r="H464" i="2"/>
  <c r="G464" i="2"/>
  <c r="F464" i="2"/>
  <c r="E464" i="2"/>
  <c r="D464" i="2"/>
  <c r="C464" i="2"/>
  <c r="B464" i="2"/>
  <c r="BF463" i="2"/>
  <c r="BE463" i="2"/>
  <c r="BD463" i="2"/>
  <c r="BC463" i="2"/>
  <c r="BB463" i="2"/>
  <c r="BA463" i="2"/>
  <c r="AZ463" i="2"/>
  <c r="AY463" i="2"/>
  <c r="AX463" i="2"/>
  <c r="AW463" i="2"/>
  <c r="AV463" i="2"/>
  <c r="AU463" i="2"/>
  <c r="AT463" i="2"/>
  <c r="AS463" i="2"/>
  <c r="AR463" i="2"/>
  <c r="AQ463" i="2"/>
  <c r="AP463" i="2"/>
  <c r="AO463" i="2"/>
  <c r="AN463" i="2"/>
  <c r="AM463" i="2"/>
  <c r="AL463" i="2"/>
  <c r="AK463" i="2"/>
  <c r="AJ463" i="2"/>
  <c r="AI463" i="2"/>
  <c r="AH463" i="2"/>
  <c r="AG463" i="2"/>
  <c r="AF463" i="2"/>
  <c r="AE463" i="2"/>
  <c r="AD463" i="2"/>
  <c r="AC463" i="2"/>
  <c r="AB463" i="2"/>
  <c r="AA463" i="2"/>
  <c r="Z463" i="2"/>
  <c r="Y463" i="2"/>
  <c r="X463" i="2"/>
  <c r="W463" i="2"/>
  <c r="V463" i="2"/>
  <c r="U463" i="2"/>
  <c r="T463" i="2"/>
  <c r="S463" i="2"/>
  <c r="R463" i="2"/>
  <c r="Q463" i="2"/>
  <c r="P463" i="2"/>
  <c r="O463" i="2"/>
  <c r="N463" i="2"/>
  <c r="M463" i="2"/>
  <c r="L463" i="2"/>
  <c r="K463" i="2"/>
  <c r="J463" i="2"/>
  <c r="I463" i="2"/>
  <c r="H463" i="2"/>
  <c r="G463" i="2"/>
  <c r="F463" i="2"/>
  <c r="E463" i="2"/>
  <c r="D463" i="2"/>
  <c r="C463" i="2"/>
  <c r="B463" i="2"/>
  <c r="BF462" i="2"/>
  <c r="BE462" i="2"/>
  <c r="BD462" i="2"/>
  <c r="BC462" i="2"/>
  <c r="BB462" i="2"/>
  <c r="BA462" i="2"/>
  <c r="AZ462" i="2"/>
  <c r="AY462" i="2"/>
  <c r="AX462" i="2"/>
  <c r="AW462" i="2"/>
  <c r="AV462" i="2"/>
  <c r="AU462" i="2"/>
  <c r="AT462" i="2"/>
  <c r="AS462" i="2"/>
  <c r="AR462" i="2"/>
  <c r="AQ462" i="2"/>
  <c r="AP462" i="2"/>
  <c r="AO462" i="2"/>
  <c r="AN462" i="2"/>
  <c r="AM462" i="2"/>
  <c r="AL462" i="2"/>
  <c r="AK462" i="2"/>
  <c r="AJ462" i="2"/>
  <c r="AI462" i="2"/>
  <c r="AH462" i="2"/>
  <c r="AG462" i="2"/>
  <c r="AF462" i="2"/>
  <c r="AE462" i="2"/>
  <c r="AD462" i="2"/>
  <c r="AC462" i="2"/>
  <c r="AB462" i="2"/>
  <c r="AA462" i="2"/>
  <c r="Z462" i="2"/>
  <c r="Y462" i="2"/>
  <c r="X462" i="2"/>
  <c r="W462" i="2"/>
  <c r="V462" i="2"/>
  <c r="U462" i="2"/>
  <c r="T462" i="2"/>
  <c r="S462" i="2"/>
  <c r="R462" i="2"/>
  <c r="Q462" i="2"/>
  <c r="P462" i="2"/>
  <c r="O462" i="2"/>
  <c r="N462" i="2"/>
  <c r="M462" i="2"/>
  <c r="L462" i="2"/>
  <c r="K462" i="2"/>
  <c r="J462" i="2"/>
  <c r="I462" i="2"/>
  <c r="H462" i="2"/>
  <c r="G462" i="2"/>
  <c r="F462" i="2"/>
  <c r="E462" i="2"/>
  <c r="D462" i="2"/>
  <c r="C462" i="2"/>
  <c r="B462" i="2"/>
  <c r="BF461" i="2"/>
  <c r="BE461" i="2"/>
  <c r="BD461" i="2"/>
  <c r="BC461" i="2"/>
  <c r="BB461" i="2"/>
  <c r="BA461" i="2"/>
  <c r="AZ461" i="2"/>
  <c r="AY461" i="2"/>
  <c r="AX461" i="2"/>
  <c r="AW461" i="2"/>
  <c r="AV461" i="2"/>
  <c r="AU461" i="2"/>
  <c r="AT461" i="2"/>
  <c r="AS461" i="2"/>
  <c r="AR461" i="2"/>
  <c r="AQ461" i="2"/>
  <c r="AP461" i="2"/>
  <c r="AO461" i="2"/>
  <c r="AN461" i="2"/>
  <c r="AM461" i="2"/>
  <c r="AL461" i="2"/>
  <c r="AK461" i="2"/>
  <c r="AJ461" i="2"/>
  <c r="AI461" i="2"/>
  <c r="AH461" i="2"/>
  <c r="AG461" i="2"/>
  <c r="AF461" i="2"/>
  <c r="AE461" i="2"/>
  <c r="AD461" i="2"/>
  <c r="AC461" i="2"/>
  <c r="AB461" i="2"/>
  <c r="AA461" i="2"/>
  <c r="Z461" i="2"/>
  <c r="Y461" i="2"/>
  <c r="X461" i="2"/>
  <c r="W461" i="2"/>
  <c r="V461" i="2"/>
  <c r="U461" i="2"/>
  <c r="T461" i="2"/>
  <c r="S461" i="2"/>
  <c r="R461" i="2"/>
  <c r="Q461" i="2"/>
  <c r="P461" i="2"/>
  <c r="O461" i="2"/>
  <c r="N461" i="2"/>
  <c r="M461" i="2"/>
  <c r="L461" i="2"/>
  <c r="K461" i="2"/>
  <c r="J461" i="2"/>
  <c r="I461" i="2"/>
  <c r="H461" i="2"/>
  <c r="G461" i="2"/>
  <c r="F461" i="2"/>
  <c r="E461" i="2"/>
  <c r="D461" i="2"/>
  <c r="C461" i="2"/>
  <c r="B461" i="2"/>
  <c r="BF459" i="2"/>
  <c r="BE459" i="2"/>
  <c r="BD459" i="2"/>
  <c r="BC459" i="2"/>
  <c r="BB459" i="2"/>
  <c r="BA459" i="2"/>
  <c r="AZ459" i="2"/>
  <c r="AY459" i="2"/>
  <c r="AX459" i="2"/>
  <c r="AW459" i="2"/>
  <c r="AV459" i="2"/>
  <c r="AU459" i="2"/>
  <c r="AT459" i="2"/>
  <c r="AS459" i="2"/>
  <c r="AR459" i="2"/>
  <c r="AQ459" i="2"/>
  <c r="AP459" i="2"/>
  <c r="AO459" i="2"/>
  <c r="AN459" i="2"/>
  <c r="AM459" i="2"/>
  <c r="AL459" i="2"/>
  <c r="AK459" i="2"/>
  <c r="AJ459" i="2"/>
  <c r="AI459" i="2"/>
  <c r="AH459" i="2"/>
  <c r="AG459" i="2"/>
  <c r="AF459" i="2"/>
  <c r="AE459" i="2"/>
  <c r="AD459" i="2"/>
  <c r="AC459" i="2"/>
  <c r="AB459" i="2"/>
  <c r="AA459" i="2"/>
  <c r="Z459" i="2"/>
  <c r="Y459" i="2"/>
  <c r="X459" i="2"/>
  <c r="W459" i="2"/>
  <c r="V459" i="2"/>
  <c r="U459" i="2"/>
  <c r="T459" i="2"/>
  <c r="S459" i="2"/>
  <c r="R459" i="2"/>
  <c r="Q459" i="2"/>
  <c r="P459" i="2"/>
  <c r="O459" i="2"/>
  <c r="N459" i="2"/>
  <c r="M459" i="2"/>
  <c r="L459" i="2"/>
  <c r="K459" i="2"/>
  <c r="J459" i="2"/>
  <c r="I459" i="2"/>
  <c r="H459" i="2"/>
  <c r="G459" i="2"/>
  <c r="F459" i="2"/>
  <c r="E459" i="2"/>
  <c r="D459" i="2"/>
  <c r="C459" i="2"/>
  <c r="B459" i="2"/>
  <c r="BF458" i="2"/>
  <c r="BE458" i="2"/>
  <c r="BD458" i="2"/>
  <c r="BC458" i="2"/>
  <c r="BB458" i="2"/>
  <c r="BA458" i="2"/>
  <c r="AZ458" i="2"/>
  <c r="AY458" i="2"/>
  <c r="AX458" i="2"/>
  <c r="AW458" i="2"/>
  <c r="AV458" i="2"/>
  <c r="AU458" i="2"/>
  <c r="AT458" i="2"/>
  <c r="AS458" i="2"/>
  <c r="AR458" i="2"/>
  <c r="AQ458" i="2"/>
  <c r="AP458" i="2"/>
  <c r="AO458" i="2"/>
  <c r="AN458" i="2"/>
  <c r="AM458" i="2"/>
  <c r="AL458" i="2"/>
  <c r="AK458" i="2"/>
  <c r="AJ458" i="2"/>
  <c r="AI458" i="2"/>
  <c r="AH458" i="2"/>
  <c r="AG458" i="2"/>
  <c r="AF458" i="2"/>
  <c r="AE458" i="2"/>
  <c r="AD458" i="2"/>
  <c r="AC458" i="2"/>
  <c r="AB458" i="2"/>
  <c r="AA458" i="2"/>
  <c r="Z458" i="2"/>
  <c r="Y458" i="2"/>
  <c r="X458" i="2"/>
  <c r="W458" i="2"/>
  <c r="V458" i="2"/>
  <c r="U458" i="2"/>
  <c r="T458" i="2"/>
  <c r="S458" i="2"/>
  <c r="R458" i="2"/>
  <c r="Q458" i="2"/>
  <c r="P458" i="2"/>
  <c r="O458" i="2"/>
  <c r="N458" i="2"/>
  <c r="M458" i="2"/>
  <c r="L458" i="2"/>
  <c r="K458" i="2"/>
  <c r="J458" i="2"/>
  <c r="I458" i="2"/>
  <c r="H458" i="2"/>
  <c r="G458" i="2"/>
  <c r="F458" i="2"/>
  <c r="E458" i="2"/>
  <c r="D458" i="2"/>
  <c r="C458" i="2"/>
  <c r="B458" i="2"/>
  <c r="BF456" i="2"/>
  <c r="BE456" i="2"/>
  <c r="BD456" i="2"/>
  <c r="BC456" i="2"/>
  <c r="BB456" i="2"/>
  <c r="BA456" i="2"/>
  <c r="AZ456" i="2"/>
  <c r="AY456" i="2"/>
  <c r="AX456" i="2"/>
  <c r="AW456" i="2"/>
  <c r="AV456" i="2"/>
  <c r="AU456" i="2"/>
  <c r="AT456" i="2"/>
  <c r="AS456" i="2"/>
  <c r="AR456" i="2"/>
  <c r="AQ456" i="2"/>
  <c r="AP456" i="2"/>
  <c r="AO456" i="2"/>
  <c r="AN456" i="2"/>
  <c r="AM456" i="2"/>
  <c r="AL456" i="2"/>
  <c r="AK456" i="2"/>
  <c r="AJ456" i="2"/>
  <c r="AI456" i="2"/>
  <c r="AH456" i="2"/>
  <c r="AG456" i="2"/>
  <c r="AF456" i="2"/>
  <c r="AE456" i="2"/>
  <c r="AD456" i="2"/>
  <c r="AC456" i="2"/>
  <c r="AB456" i="2"/>
  <c r="AA456" i="2"/>
  <c r="Z456" i="2"/>
  <c r="Y456" i="2"/>
  <c r="X456" i="2"/>
  <c r="W456" i="2"/>
  <c r="V456" i="2"/>
  <c r="U456" i="2"/>
  <c r="T456" i="2"/>
  <c r="S456" i="2"/>
  <c r="R456" i="2"/>
  <c r="Q456" i="2"/>
  <c r="P456" i="2"/>
  <c r="O456" i="2"/>
  <c r="N456" i="2"/>
  <c r="M456" i="2"/>
  <c r="L456" i="2"/>
  <c r="K456" i="2"/>
  <c r="J456" i="2"/>
  <c r="I456" i="2"/>
  <c r="H456" i="2"/>
  <c r="G456" i="2"/>
  <c r="F456" i="2"/>
  <c r="E456" i="2"/>
  <c r="D456" i="2"/>
  <c r="C456" i="2"/>
  <c r="B456" i="2"/>
  <c r="BF455" i="2"/>
  <c r="BE455" i="2"/>
  <c r="BD455" i="2"/>
  <c r="BC455" i="2"/>
  <c r="BB455" i="2"/>
  <c r="BA455" i="2"/>
  <c r="AZ455" i="2"/>
  <c r="AY455" i="2"/>
  <c r="AX455" i="2"/>
  <c r="AW455" i="2"/>
  <c r="AV455" i="2"/>
  <c r="AU455" i="2"/>
  <c r="AT455" i="2"/>
  <c r="AS455" i="2"/>
  <c r="AR455" i="2"/>
  <c r="AQ455" i="2"/>
  <c r="AP455" i="2"/>
  <c r="AO455" i="2"/>
  <c r="AN455" i="2"/>
  <c r="AM455" i="2"/>
  <c r="AL455" i="2"/>
  <c r="AK455" i="2"/>
  <c r="AJ455" i="2"/>
  <c r="AI455" i="2"/>
  <c r="AH455" i="2"/>
  <c r="AG455" i="2"/>
  <c r="AF455" i="2"/>
  <c r="AE455" i="2"/>
  <c r="AD455" i="2"/>
  <c r="AC455" i="2"/>
  <c r="AB455" i="2"/>
  <c r="AA455" i="2"/>
  <c r="Z455" i="2"/>
  <c r="Y455" i="2"/>
  <c r="X455" i="2"/>
  <c r="W455" i="2"/>
  <c r="V455" i="2"/>
  <c r="U455" i="2"/>
  <c r="T455" i="2"/>
  <c r="S455" i="2"/>
  <c r="R455" i="2"/>
  <c r="Q455" i="2"/>
  <c r="P455" i="2"/>
  <c r="O455" i="2"/>
  <c r="N455" i="2"/>
  <c r="M455" i="2"/>
  <c r="L455" i="2"/>
  <c r="K455" i="2"/>
  <c r="J455" i="2"/>
  <c r="I455" i="2"/>
  <c r="H455" i="2"/>
  <c r="G455" i="2"/>
  <c r="F455" i="2"/>
  <c r="E455" i="2"/>
  <c r="D455" i="2"/>
  <c r="C455" i="2"/>
  <c r="B455" i="2"/>
  <c r="BF454" i="2"/>
  <c r="BE454" i="2"/>
  <c r="BD454" i="2"/>
  <c r="BC454" i="2"/>
  <c r="BB454" i="2"/>
  <c r="BA454" i="2"/>
  <c r="AZ454" i="2"/>
  <c r="AY454" i="2"/>
  <c r="AX454" i="2"/>
  <c r="AW454" i="2"/>
  <c r="AV454" i="2"/>
  <c r="AU454" i="2"/>
  <c r="AT454" i="2"/>
  <c r="AS454" i="2"/>
  <c r="AR454" i="2"/>
  <c r="AQ454" i="2"/>
  <c r="AP454" i="2"/>
  <c r="AO454" i="2"/>
  <c r="AN454" i="2"/>
  <c r="AM454" i="2"/>
  <c r="AL454" i="2"/>
  <c r="AK454" i="2"/>
  <c r="AJ454" i="2"/>
  <c r="AI454" i="2"/>
  <c r="AH454" i="2"/>
  <c r="AG454" i="2"/>
  <c r="AF454" i="2"/>
  <c r="AE454" i="2"/>
  <c r="AD454" i="2"/>
  <c r="AC454" i="2"/>
  <c r="AB454" i="2"/>
  <c r="AA454" i="2"/>
  <c r="Z454" i="2"/>
  <c r="Y454" i="2"/>
  <c r="X454" i="2"/>
  <c r="W454" i="2"/>
  <c r="V454" i="2"/>
  <c r="U454" i="2"/>
  <c r="T454" i="2"/>
  <c r="S454" i="2"/>
  <c r="R454" i="2"/>
  <c r="Q454" i="2"/>
  <c r="P454" i="2"/>
  <c r="O454" i="2"/>
  <c r="N454" i="2"/>
  <c r="M454" i="2"/>
  <c r="L454" i="2"/>
  <c r="K454" i="2"/>
  <c r="J454" i="2"/>
  <c r="I454" i="2"/>
  <c r="H454" i="2"/>
  <c r="G454" i="2"/>
  <c r="F454" i="2"/>
  <c r="E454" i="2"/>
  <c r="D454" i="2"/>
  <c r="C454" i="2"/>
  <c r="B454" i="2"/>
  <c r="BF452" i="2"/>
  <c r="BE452" i="2"/>
  <c r="BD452" i="2"/>
  <c r="BC452" i="2"/>
  <c r="BB452" i="2"/>
  <c r="BA452" i="2"/>
  <c r="AZ452" i="2"/>
  <c r="AY452" i="2"/>
  <c r="AX452" i="2"/>
  <c r="AW452" i="2"/>
  <c r="AV452" i="2"/>
  <c r="AU452" i="2"/>
  <c r="AT452" i="2"/>
  <c r="AS452" i="2"/>
  <c r="AR452" i="2"/>
  <c r="AQ452" i="2"/>
  <c r="AP452" i="2"/>
  <c r="AO452" i="2"/>
  <c r="AN452" i="2"/>
  <c r="AM452" i="2"/>
  <c r="AL452" i="2"/>
  <c r="AK452" i="2"/>
  <c r="AJ452" i="2"/>
  <c r="AI452" i="2"/>
  <c r="AH452" i="2"/>
  <c r="AG452" i="2"/>
  <c r="AF452" i="2"/>
  <c r="AE452" i="2"/>
  <c r="AD452" i="2"/>
  <c r="AC452" i="2"/>
  <c r="AB452" i="2"/>
  <c r="AA452" i="2"/>
  <c r="Z452" i="2"/>
  <c r="Y452" i="2"/>
  <c r="X452" i="2"/>
  <c r="W452" i="2"/>
  <c r="V452" i="2"/>
  <c r="U452" i="2"/>
  <c r="T452" i="2"/>
  <c r="S452" i="2"/>
  <c r="R452" i="2"/>
  <c r="Q452" i="2"/>
  <c r="P452" i="2"/>
  <c r="O452" i="2"/>
  <c r="N452" i="2"/>
  <c r="M452" i="2"/>
  <c r="L452" i="2"/>
  <c r="K452" i="2"/>
  <c r="J452" i="2"/>
  <c r="I452" i="2"/>
  <c r="H452" i="2"/>
  <c r="G452" i="2"/>
  <c r="F452" i="2"/>
  <c r="E452" i="2"/>
  <c r="D452" i="2"/>
  <c r="C452" i="2"/>
  <c r="B452" i="2"/>
  <c r="BF451" i="2"/>
  <c r="BE451" i="2"/>
  <c r="BD451" i="2"/>
  <c r="BC451" i="2"/>
  <c r="BB451" i="2"/>
  <c r="BA451" i="2"/>
  <c r="AZ451" i="2"/>
  <c r="AY451" i="2"/>
  <c r="AX451" i="2"/>
  <c r="AW451" i="2"/>
  <c r="AV451" i="2"/>
  <c r="AU451" i="2"/>
  <c r="AT451" i="2"/>
  <c r="AS451" i="2"/>
  <c r="AR451" i="2"/>
  <c r="AQ451" i="2"/>
  <c r="AP451" i="2"/>
  <c r="AO451" i="2"/>
  <c r="AN451" i="2"/>
  <c r="AM451" i="2"/>
  <c r="AL451" i="2"/>
  <c r="AK451" i="2"/>
  <c r="AJ451" i="2"/>
  <c r="AI451" i="2"/>
  <c r="AH451" i="2"/>
  <c r="AG451" i="2"/>
  <c r="AF451" i="2"/>
  <c r="AE451" i="2"/>
  <c r="AD451" i="2"/>
  <c r="AC451" i="2"/>
  <c r="AB451" i="2"/>
  <c r="AA451" i="2"/>
  <c r="Z451" i="2"/>
  <c r="Y451" i="2"/>
  <c r="X451" i="2"/>
  <c r="W451" i="2"/>
  <c r="V451" i="2"/>
  <c r="U451" i="2"/>
  <c r="T451" i="2"/>
  <c r="S451" i="2"/>
  <c r="R451" i="2"/>
  <c r="Q451" i="2"/>
  <c r="P451" i="2"/>
  <c r="O451" i="2"/>
  <c r="N451" i="2"/>
  <c r="M451" i="2"/>
  <c r="L451" i="2"/>
  <c r="K451" i="2"/>
  <c r="J451" i="2"/>
  <c r="I451" i="2"/>
  <c r="H451" i="2"/>
  <c r="G451" i="2"/>
  <c r="F451" i="2"/>
  <c r="E451" i="2"/>
  <c r="D451" i="2"/>
  <c r="C451" i="2"/>
  <c r="B451" i="2"/>
  <c r="BF450" i="2"/>
  <c r="BE450" i="2"/>
  <c r="BD450" i="2"/>
  <c r="BC450" i="2"/>
  <c r="BB450" i="2"/>
  <c r="BA450" i="2"/>
  <c r="AZ450" i="2"/>
  <c r="AY450" i="2"/>
  <c r="AX450" i="2"/>
  <c r="AW450" i="2"/>
  <c r="AV450" i="2"/>
  <c r="AU450" i="2"/>
  <c r="AT450" i="2"/>
  <c r="AS450" i="2"/>
  <c r="AR450" i="2"/>
  <c r="AQ450" i="2"/>
  <c r="AP450" i="2"/>
  <c r="AO450" i="2"/>
  <c r="AN450" i="2"/>
  <c r="AM450" i="2"/>
  <c r="AL450" i="2"/>
  <c r="AK450" i="2"/>
  <c r="AJ450" i="2"/>
  <c r="AI450" i="2"/>
  <c r="AH450" i="2"/>
  <c r="AG450" i="2"/>
  <c r="AF450" i="2"/>
  <c r="AE450" i="2"/>
  <c r="AD450" i="2"/>
  <c r="AC450" i="2"/>
  <c r="AB450" i="2"/>
  <c r="AA450" i="2"/>
  <c r="Z450" i="2"/>
  <c r="Y450" i="2"/>
  <c r="X450" i="2"/>
  <c r="W450" i="2"/>
  <c r="V450" i="2"/>
  <c r="U450" i="2"/>
  <c r="T450" i="2"/>
  <c r="S450" i="2"/>
  <c r="R450" i="2"/>
  <c r="Q450" i="2"/>
  <c r="P450" i="2"/>
  <c r="O450" i="2"/>
  <c r="N450" i="2"/>
  <c r="M450" i="2"/>
  <c r="L450" i="2"/>
  <c r="K450" i="2"/>
  <c r="J450" i="2"/>
  <c r="I450" i="2"/>
  <c r="H450" i="2"/>
  <c r="G450" i="2"/>
  <c r="F450" i="2"/>
  <c r="E450" i="2"/>
  <c r="D450" i="2"/>
  <c r="C450" i="2"/>
  <c r="B450" i="2"/>
  <c r="BF449" i="2"/>
  <c r="BE449" i="2"/>
  <c r="BD449" i="2"/>
  <c r="BC449" i="2"/>
  <c r="BB449" i="2"/>
  <c r="BA449" i="2"/>
  <c r="AZ449" i="2"/>
  <c r="AY449" i="2"/>
  <c r="AX449" i="2"/>
  <c r="AW449" i="2"/>
  <c r="AV449" i="2"/>
  <c r="AU449" i="2"/>
  <c r="AT449" i="2"/>
  <c r="AS449" i="2"/>
  <c r="AR449" i="2"/>
  <c r="AQ449" i="2"/>
  <c r="AP449" i="2"/>
  <c r="AO449" i="2"/>
  <c r="AN449" i="2"/>
  <c r="AM449" i="2"/>
  <c r="AL449" i="2"/>
  <c r="AK449" i="2"/>
  <c r="AJ449" i="2"/>
  <c r="AI449" i="2"/>
  <c r="AH449" i="2"/>
  <c r="AG449" i="2"/>
  <c r="AF449" i="2"/>
  <c r="AE449" i="2"/>
  <c r="AD449" i="2"/>
  <c r="AC449" i="2"/>
  <c r="AB449" i="2"/>
  <c r="AA449" i="2"/>
  <c r="Z449" i="2"/>
  <c r="Y449" i="2"/>
  <c r="X449" i="2"/>
  <c r="W449" i="2"/>
  <c r="V449" i="2"/>
  <c r="U449" i="2"/>
  <c r="T449" i="2"/>
  <c r="S449" i="2"/>
  <c r="R449" i="2"/>
  <c r="Q449" i="2"/>
  <c r="P449" i="2"/>
  <c r="O449" i="2"/>
  <c r="N449" i="2"/>
  <c r="M449" i="2"/>
  <c r="L449" i="2"/>
  <c r="K449" i="2"/>
  <c r="J449" i="2"/>
  <c r="I449" i="2"/>
  <c r="H449" i="2"/>
  <c r="G449" i="2"/>
  <c r="F449" i="2"/>
  <c r="E449" i="2"/>
  <c r="D449" i="2"/>
  <c r="C449" i="2"/>
  <c r="B449" i="2"/>
  <c r="BF448" i="2"/>
  <c r="BE448" i="2"/>
  <c r="BD448" i="2"/>
  <c r="BC448" i="2"/>
  <c r="BB448" i="2"/>
  <c r="BA448" i="2"/>
  <c r="AZ448" i="2"/>
  <c r="AY448" i="2"/>
  <c r="AX448" i="2"/>
  <c r="AW448" i="2"/>
  <c r="AV448" i="2"/>
  <c r="AU448" i="2"/>
  <c r="AT448" i="2"/>
  <c r="AS448" i="2"/>
  <c r="AR448" i="2"/>
  <c r="AQ448" i="2"/>
  <c r="AP448" i="2"/>
  <c r="AO448" i="2"/>
  <c r="AN448" i="2"/>
  <c r="AM448" i="2"/>
  <c r="AL448" i="2"/>
  <c r="AK448" i="2"/>
  <c r="AJ448" i="2"/>
  <c r="AI448" i="2"/>
  <c r="AH448" i="2"/>
  <c r="AG448" i="2"/>
  <c r="AF448" i="2"/>
  <c r="AE448" i="2"/>
  <c r="AD448" i="2"/>
  <c r="AC448" i="2"/>
  <c r="AB448" i="2"/>
  <c r="AA448" i="2"/>
  <c r="Z448" i="2"/>
  <c r="Y448" i="2"/>
  <c r="X448" i="2"/>
  <c r="W448" i="2"/>
  <c r="V448" i="2"/>
  <c r="U448" i="2"/>
  <c r="T448" i="2"/>
  <c r="S448" i="2"/>
  <c r="R448" i="2"/>
  <c r="Q448" i="2"/>
  <c r="P448" i="2"/>
  <c r="O448" i="2"/>
  <c r="N448" i="2"/>
  <c r="M448" i="2"/>
  <c r="L448" i="2"/>
  <c r="K448" i="2"/>
  <c r="J448" i="2"/>
  <c r="I448" i="2"/>
  <c r="H448" i="2"/>
  <c r="G448" i="2"/>
  <c r="F448" i="2"/>
  <c r="E448" i="2"/>
  <c r="D448" i="2"/>
  <c r="C448" i="2"/>
  <c r="B448" i="2"/>
  <c r="BF446" i="2"/>
  <c r="BE446" i="2"/>
  <c r="BD446" i="2"/>
  <c r="BC446" i="2"/>
  <c r="BB446" i="2"/>
  <c r="BA446" i="2"/>
  <c r="AZ446" i="2"/>
  <c r="AY446" i="2"/>
  <c r="AX446" i="2"/>
  <c r="AW446" i="2"/>
  <c r="AV446" i="2"/>
  <c r="AU446" i="2"/>
  <c r="AT446" i="2"/>
  <c r="AS446" i="2"/>
  <c r="AR446" i="2"/>
  <c r="AQ446" i="2"/>
  <c r="AP446" i="2"/>
  <c r="AO446" i="2"/>
  <c r="AN446" i="2"/>
  <c r="AM446" i="2"/>
  <c r="AL446" i="2"/>
  <c r="AK446" i="2"/>
  <c r="AJ446" i="2"/>
  <c r="AI446" i="2"/>
  <c r="AH446" i="2"/>
  <c r="AG446" i="2"/>
  <c r="AF446" i="2"/>
  <c r="AE446" i="2"/>
  <c r="AD446" i="2"/>
  <c r="AC446" i="2"/>
  <c r="AB446" i="2"/>
  <c r="AA446" i="2"/>
  <c r="Z446" i="2"/>
  <c r="Y446" i="2"/>
  <c r="X446" i="2"/>
  <c r="W446" i="2"/>
  <c r="V446" i="2"/>
  <c r="U446" i="2"/>
  <c r="T446" i="2"/>
  <c r="S446" i="2"/>
  <c r="R446" i="2"/>
  <c r="Q446" i="2"/>
  <c r="P446" i="2"/>
  <c r="O446" i="2"/>
  <c r="N446" i="2"/>
  <c r="M446" i="2"/>
  <c r="L446" i="2"/>
  <c r="K446" i="2"/>
  <c r="J446" i="2"/>
  <c r="I446" i="2"/>
  <c r="H446" i="2"/>
  <c r="G446" i="2"/>
  <c r="F446" i="2"/>
  <c r="E446" i="2"/>
  <c r="D446" i="2"/>
  <c r="C446" i="2"/>
  <c r="B446" i="2"/>
  <c r="BF445" i="2"/>
  <c r="BE445" i="2"/>
  <c r="BD445" i="2"/>
  <c r="BC445" i="2"/>
  <c r="BB445" i="2"/>
  <c r="BA445" i="2"/>
  <c r="AZ445" i="2"/>
  <c r="AY445" i="2"/>
  <c r="AX445" i="2"/>
  <c r="AW445" i="2"/>
  <c r="AV445" i="2"/>
  <c r="AU445" i="2"/>
  <c r="AT445" i="2"/>
  <c r="AS445" i="2"/>
  <c r="AR445" i="2"/>
  <c r="AQ445" i="2"/>
  <c r="AP445" i="2"/>
  <c r="AO445" i="2"/>
  <c r="AN445" i="2"/>
  <c r="AM445" i="2"/>
  <c r="AL445" i="2"/>
  <c r="AK445" i="2"/>
  <c r="AJ445" i="2"/>
  <c r="AI445" i="2"/>
  <c r="AH445" i="2"/>
  <c r="AG445" i="2"/>
  <c r="AF445" i="2"/>
  <c r="AE445" i="2"/>
  <c r="AD445" i="2"/>
  <c r="AC445" i="2"/>
  <c r="AB445" i="2"/>
  <c r="AA445" i="2"/>
  <c r="Z445" i="2"/>
  <c r="Y445" i="2"/>
  <c r="X445" i="2"/>
  <c r="W445" i="2"/>
  <c r="V445" i="2"/>
  <c r="U445" i="2"/>
  <c r="T445" i="2"/>
  <c r="S445" i="2"/>
  <c r="R445" i="2"/>
  <c r="Q445" i="2"/>
  <c r="P445" i="2"/>
  <c r="O445" i="2"/>
  <c r="N445" i="2"/>
  <c r="M445" i="2"/>
  <c r="L445" i="2"/>
  <c r="K445" i="2"/>
  <c r="J445" i="2"/>
  <c r="I445" i="2"/>
  <c r="H445" i="2"/>
  <c r="G445" i="2"/>
  <c r="F445" i="2"/>
  <c r="E445" i="2"/>
  <c r="D445" i="2"/>
  <c r="C445" i="2"/>
  <c r="BF386" i="2"/>
  <c r="BE386" i="2"/>
  <c r="BD386" i="2"/>
  <c r="BC386" i="2"/>
  <c r="BB386" i="2"/>
  <c r="BA386" i="2"/>
  <c r="AZ386" i="2"/>
  <c r="AY386" i="2"/>
  <c r="AX386" i="2"/>
  <c r="AW386" i="2"/>
  <c r="AV386" i="2"/>
  <c r="AU386" i="2"/>
  <c r="AT386" i="2"/>
  <c r="AS386" i="2"/>
  <c r="AR386" i="2"/>
  <c r="AQ386" i="2"/>
  <c r="AP386" i="2"/>
  <c r="AO386" i="2"/>
  <c r="AN386" i="2"/>
  <c r="AM386" i="2"/>
  <c r="AL386" i="2"/>
  <c r="AK386" i="2"/>
  <c r="AJ386" i="2"/>
  <c r="AI386" i="2"/>
  <c r="AH386" i="2"/>
  <c r="AG386" i="2"/>
  <c r="AF386" i="2"/>
  <c r="AE386" i="2"/>
  <c r="AD386" i="2"/>
  <c r="AC386" i="2"/>
  <c r="AB386" i="2"/>
  <c r="AA386" i="2"/>
  <c r="Z386" i="2"/>
  <c r="Y386" i="2"/>
  <c r="X386" i="2"/>
  <c r="W386" i="2"/>
  <c r="V386" i="2"/>
  <c r="U386" i="2"/>
  <c r="T386" i="2"/>
  <c r="S386" i="2"/>
  <c r="R386" i="2"/>
  <c r="Q386" i="2"/>
  <c r="P386" i="2"/>
  <c r="O386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F385" i="2"/>
  <c r="BE385" i="2"/>
  <c r="BD385" i="2"/>
  <c r="BC385" i="2"/>
  <c r="BB385" i="2"/>
  <c r="BA385" i="2"/>
  <c r="AZ385" i="2"/>
  <c r="AY385" i="2"/>
  <c r="AX385" i="2"/>
  <c r="AW385" i="2"/>
  <c r="AV385" i="2"/>
  <c r="AU385" i="2"/>
  <c r="AT385" i="2"/>
  <c r="AS385" i="2"/>
  <c r="AR385" i="2"/>
  <c r="AQ385" i="2"/>
  <c r="AP385" i="2"/>
  <c r="AO385" i="2"/>
  <c r="AN385" i="2"/>
  <c r="AM385" i="2"/>
  <c r="AL385" i="2"/>
  <c r="AK385" i="2"/>
  <c r="AJ385" i="2"/>
  <c r="AI385" i="2"/>
  <c r="AH385" i="2"/>
  <c r="AG385" i="2"/>
  <c r="AF385" i="2"/>
  <c r="AE385" i="2"/>
  <c r="AD385" i="2"/>
  <c r="AC385" i="2"/>
  <c r="AB385" i="2"/>
  <c r="AA385" i="2"/>
  <c r="Z385" i="2"/>
  <c r="Y385" i="2"/>
  <c r="X385" i="2"/>
  <c r="W385" i="2"/>
  <c r="V385" i="2"/>
  <c r="U385" i="2"/>
  <c r="T385" i="2"/>
  <c r="S385" i="2"/>
  <c r="R385" i="2"/>
  <c r="Q385" i="2"/>
  <c r="P385" i="2"/>
  <c r="O385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F384" i="2"/>
  <c r="BE384" i="2"/>
  <c r="BD384" i="2"/>
  <c r="BC384" i="2"/>
  <c r="BB384" i="2"/>
  <c r="BA384" i="2"/>
  <c r="AZ384" i="2"/>
  <c r="AY384" i="2"/>
  <c r="AX384" i="2"/>
  <c r="AW384" i="2"/>
  <c r="AV384" i="2"/>
  <c r="AU384" i="2"/>
  <c r="AT384" i="2"/>
  <c r="AS384" i="2"/>
  <c r="AR384" i="2"/>
  <c r="AQ384" i="2"/>
  <c r="AP384" i="2"/>
  <c r="AO384" i="2"/>
  <c r="AN384" i="2"/>
  <c r="AM384" i="2"/>
  <c r="AL384" i="2"/>
  <c r="AK384" i="2"/>
  <c r="AJ384" i="2"/>
  <c r="AI384" i="2"/>
  <c r="AH384" i="2"/>
  <c r="AG384" i="2"/>
  <c r="AF384" i="2"/>
  <c r="AE384" i="2"/>
  <c r="AD384" i="2"/>
  <c r="AC384" i="2"/>
  <c r="AB384" i="2"/>
  <c r="AA384" i="2"/>
  <c r="Z384" i="2"/>
  <c r="Y384" i="2"/>
  <c r="X384" i="2"/>
  <c r="W384" i="2"/>
  <c r="V384" i="2"/>
  <c r="U384" i="2"/>
  <c r="T384" i="2"/>
  <c r="S384" i="2"/>
  <c r="R384" i="2"/>
  <c r="Q384" i="2"/>
  <c r="P384" i="2"/>
  <c r="O384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F383" i="2"/>
  <c r="BE383" i="2"/>
  <c r="BD383" i="2"/>
  <c r="BC383" i="2"/>
  <c r="BB383" i="2"/>
  <c r="BA383" i="2"/>
  <c r="AZ383" i="2"/>
  <c r="AY383" i="2"/>
  <c r="AX383" i="2"/>
  <c r="AW383" i="2"/>
  <c r="AV383" i="2"/>
  <c r="AU383" i="2"/>
  <c r="AT383" i="2"/>
  <c r="AS383" i="2"/>
  <c r="AR383" i="2"/>
  <c r="AQ383" i="2"/>
  <c r="AP383" i="2"/>
  <c r="AO383" i="2"/>
  <c r="AN383" i="2"/>
  <c r="AM383" i="2"/>
  <c r="AL383" i="2"/>
  <c r="AK383" i="2"/>
  <c r="AJ383" i="2"/>
  <c r="AI383" i="2"/>
  <c r="AH383" i="2"/>
  <c r="AG383" i="2"/>
  <c r="AF383" i="2"/>
  <c r="AE383" i="2"/>
  <c r="AD383" i="2"/>
  <c r="AC383" i="2"/>
  <c r="AB383" i="2"/>
  <c r="AA383" i="2"/>
  <c r="Z383" i="2"/>
  <c r="Y383" i="2"/>
  <c r="X383" i="2"/>
  <c r="W383" i="2"/>
  <c r="V383" i="2"/>
  <c r="U383" i="2"/>
  <c r="T383" i="2"/>
  <c r="S383" i="2"/>
  <c r="R383" i="2"/>
  <c r="Q383" i="2"/>
  <c r="P383" i="2"/>
  <c r="O383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F382" i="2"/>
  <c r="BE382" i="2"/>
  <c r="BD382" i="2"/>
  <c r="BC382" i="2"/>
  <c r="BB382" i="2"/>
  <c r="BA382" i="2"/>
  <c r="AZ382" i="2"/>
  <c r="AY382" i="2"/>
  <c r="AX382" i="2"/>
  <c r="AW382" i="2"/>
  <c r="AV382" i="2"/>
  <c r="AU382" i="2"/>
  <c r="AT382" i="2"/>
  <c r="AS382" i="2"/>
  <c r="AR382" i="2"/>
  <c r="AQ382" i="2"/>
  <c r="AP382" i="2"/>
  <c r="AO382" i="2"/>
  <c r="AN382" i="2"/>
  <c r="AM382" i="2"/>
  <c r="AL382" i="2"/>
  <c r="AK382" i="2"/>
  <c r="AJ382" i="2"/>
  <c r="AI382" i="2"/>
  <c r="AH382" i="2"/>
  <c r="AG382" i="2"/>
  <c r="AF382" i="2"/>
  <c r="AE382" i="2"/>
  <c r="AD382" i="2"/>
  <c r="AC382" i="2"/>
  <c r="AB382" i="2"/>
  <c r="AA382" i="2"/>
  <c r="Z382" i="2"/>
  <c r="Y382" i="2"/>
  <c r="X382" i="2"/>
  <c r="W382" i="2"/>
  <c r="V382" i="2"/>
  <c r="U382" i="2"/>
  <c r="T382" i="2"/>
  <c r="S382" i="2"/>
  <c r="R382" i="2"/>
  <c r="Q382" i="2"/>
  <c r="P382" i="2"/>
  <c r="O382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F381" i="2"/>
  <c r="BE381" i="2"/>
  <c r="BD381" i="2"/>
  <c r="BC381" i="2"/>
  <c r="BB381" i="2"/>
  <c r="BA381" i="2"/>
  <c r="AZ381" i="2"/>
  <c r="AY381" i="2"/>
  <c r="AX381" i="2"/>
  <c r="AW381" i="2"/>
  <c r="AV381" i="2"/>
  <c r="AU381" i="2"/>
  <c r="AT381" i="2"/>
  <c r="AS381" i="2"/>
  <c r="AR381" i="2"/>
  <c r="AQ381" i="2"/>
  <c r="AP381" i="2"/>
  <c r="AO381" i="2"/>
  <c r="AN381" i="2"/>
  <c r="AM381" i="2"/>
  <c r="AL381" i="2"/>
  <c r="AK381" i="2"/>
  <c r="AJ381" i="2"/>
  <c r="AI381" i="2"/>
  <c r="AH381" i="2"/>
  <c r="AG381" i="2"/>
  <c r="AF381" i="2"/>
  <c r="AE381" i="2"/>
  <c r="AD381" i="2"/>
  <c r="AC381" i="2"/>
  <c r="AB381" i="2"/>
  <c r="AA381" i="2"/>
  <c r="Z381" i="2"/>
  <c r="Y381" i="2"/>
  <c r="X381" i="2"/>
  <c r="W381" i="2"/>
  <c r="V381" i="2"/>
  <c r="U381" i="2"/>
  <c r="T381" i="2"/>
  <c r="S381" i="2"/>
  <c r="R381" i="2"/>
  <c r="Q381" i="2"/>
  <c r="P381" i="2"/>
  <c r="O381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F380" i="2"/>
  <c r="BE380" i="2"/>
  <c r="BD380" i="2"/>
  <c r="BC380" i="2"/>
  <c r="BB380" i="2"/>
  <c r="BA380" i="2"/>
  <c r="AZ380" i="2"/>
  <c r="AY380" i="2"/>
  <c r="AX380" i="2"/>
  <c r="AW380" i="2"/>
  <c r="AV380" i="2"/>
  <c r="AU380" i="2"/>
  <c r="AT380" i="2"/>
  <c r="AS380" i="2"/>
  <c r="AR380" i="2"/>
  <c r="AQ380" i="2"/>
  <c r="AP380" i="2"/>
  <c r="AO380" i="2"/>
  <c r="AN380" i="2"/>
  <c r="AM380" i="2"/>
  <c r="AL380" i="2"/>
  <c r="AK380" i="2"/>
  <c r="AJ380" i="2"/>
  <c r="AI380" i="2"/>
  <c r="AH380" i="2"/>
  <c r="AG380" i="2"/>
  <c r="AF380" i="2"/>
  <c r="AE380" i="2"/>
  <c r="AD380" i="2"/>
  <c r="AC380" i="2"/>
  <c r="AB380" i="2"/>
  <c r="AA380" i="2"/>
  <c r="Z380" i="2"/>
  <c r="Y380" i="2"/>
  <c r="X380" i="2"/>
  <c r="W380" i="2"/>
  <c r="V380" i="2"/>
  <c r="U380" i="2"/>
  <c r="T380" i="2"/>
  <c r="S380" i="2"/>
  <c r="R380" i="2"/>
  <c r="Q380" i="2"/>
  <c r="P380" i="2"/>
  <c r="O380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F377" i="2"/>
  <c r="BE377" i="2"/>
  <c r="BD377" i="2"/>
  <c r="BC377" i="2"/>
  <c r="BB377" i="2"/>
  <c r="BA377" i="2"/>
  <c r="AZ377" i="2"/>
  <c r="AY377" i="2"/>
  <c r="AX377" i="2"/>
  <c r="AW377" i="2"/>
  <c r="AV377" i="2"/>
  <c r="AU377" i="2"/>
  <c r="AT377" i="2"/>
  <c r="AS377" i="2"/>
  <c r="AR377" i="2"/>
  <c r="AQ377" i="2"/>
  <c r="AP377" i="2"/>
  <c r="AO377" i="2"/>
  <c r="AN377" i="2"/>
  <c r="AM377" i="2"/>
  <c r="AL377" i="2"/>
  <c r="AK377" i="2"/>
  <c r="AJ377" i="2"/>
  <c r="AI377" i="2"/>
  <c r="AH377" i="2"/>
  <c r="AG377" i="2"/>
  <c r="AF377" i="2"/>
  <c r="AE377" i="2"/>
  <c r="AD377" i="2"/>
  <c r="AC377" i="2"/>
  <c r="AB377" i="2"/>
  <c r="AA377" i="2"/>
  <c r="Z377" i="2"/>
  <c r="Y377" i="2"/>
  <c r="X377" i="2"/>
  <c r="W377" i="2"/>
  <c r="V377" i="2"/>
  <c r="U377" i="2"/>
  <c r="T377" i="2"/>
  <c r="S377" i="2"/>
  <c r="R377" i="2"/>
  <c r="Q377" i="2"/>
  <c r="P377" i="2"/>
  <c r="O377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F376" i="2"/>
  <c r="BE376" i="2"/>
  <c r="BD376" i="2"/>
  <c r="BC376" i="2"/>
  <c r="BB376" i="2"/>
  <c r="BA376" i="2"/>
  <c r="AZ376" i="2"/>
  <c r="AY376" i="2"/>
  <c r="AX376" i="2"/>
  <c r="AW376" i="2"/>
  <c r="AV376" i="2"/>
  <c r="AU376" i="2"/>
  <c r="AT376" i="2"/>
  <c r="AS376" i="2"/>
  <c r="AR376" i="2"/>
  <c r="AQ376" i="2"/>
  <c r="AP376" i="2"/>
  <c r="AO376" i="2"/>
  <c r="AN376" i="2"/>
  <c r="AM376" i="2"/>
  <c r="AL376" i="2"/>
  <c r="AK376" i="2"/>
  <c r="AJ376" i="2"/>
  <c r="AI376" i="2"/>
  <c r="AH376" i="2"/>
  <c r="AG376" i="2"/>
  <c r="AF376" i="2"/>
  <c r="AE376" i="2"/>
  <c r="AD376" i="2"/>
  <c r="AC376" i="2"/>
  <c r="AB376" i="2"/>
  <c r="AA376" i="2"/>
  <c r="Z376" i="2"/>
  <c r="Y376" i="2"/>
  <c r="X376" i="2"/>
  <c r="W376" i="2"/>
  <c r="V376" i="2"/>
  <c r="U376" i="2"/>
  <c r="T376" i="2"/>
  <c r="S376" i="2"/>
  <c r="R376" i="2"/>
  <c r="Q376" i="2"/>
  <c r="P376" i="2"/>
  <c r="O376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F375" i="2"/>
  <c r="BE375" i="2"/>
  <c r="BD375" i="2"/>
  <c r="BC375" i="2"/>
  <c r="BB375" i="2"/>
  <c r="BA375" i="2"/>
  <c r="AZ375" i="2"/>
  <c r="AY375" i="2"/>
  <c r="AX375" i="2"/>
  <c r="AW375" i="2"/>
  <c r="AV375" i="2"/>
  <c r="AU375" i="2"/>
  <c r="AT375" i="2"/>
  <c r="AS375" i="2"/>
  <c r="AR375" i="2"/>
  <c r="AQ375" i="2"/>
  <c r="AP375" i="2"/>
  <c r="AO375" i="2"/>
  <c r="AN375" i="2"/>
  <c r="AM375" i="2"/>
  <c r="AL375" i="2"/>
  <c r="AK375" i="2"/>
  <c r="AJ375" i="2"/>
  <c r="AI375" i="2"/>
  <c r="AH375" i="2"/>
  <c r="AG375" i="2"/>
  <c r="AF375" i="2"/>
  <c r="AE375" i="2"/>
  <c r="AD375" i="2"/>
  <c r="AC375" i="2"/>
  <c r="AB375" i="2"/>
  <c r="AA375" i="2"/>
  <c r="Z375" i="2"/>
  <c r="Y375" i="2"/>
  <c r="X375" i="2"/>
  <c r="W375" i="2"/>
  <c r="V375" i="2"/>
  <c r="U375" i="2"/>
  <c r="T375" i="2"/>
  <c r="S375" i="2"/>
  <c r="R375" i="2"/>
  <c r="Q375" i="2"/>
  <c r="P375" i="2"/>
  <c r="O375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F374" i="2"/>
  <c r="BE374" i="2"/>
  <c r="BD374" i="2"/>
  <c r="BC374" i="2"/>
  <c r="BB374" i="2"/>
  <c r="BA374" i="2"/>
  <c r="AZ374" i="2"/>
  <c r="AY374" i="2"/>
  <c r="AX374" i="2"/>
  <c r="AW374" i="2"/>
  <c r="AV374" i="2"/>
  <c r="AU374" i="2"/>
  <c r="AT374" i="2"/>
  <c r="AS374" i="2"/>
  <c r="AR374" i="2"/>
  <c r="AQ374" i="2"/>
  <c r="AP374" i="2"/>
  <c r="AO374" i="2"/>
  <c r="AN374" i="2"/>
  <c r="AM374" i="2"/>
  <c r="AL374" i="2"/>
  <c r="AK374" i="2"/>
  <c r="AJ374" i="2"/>
  <c r="AI374" i="2"/>
  <c r="AH374" i="2"/>
  <c r="AG374" i="2"/>
  <c r="AF374" i="2"/>
  <c r="AE374" i="2"/>
  <c r="AD374" i="2"/>
  <c r="AC374" i="2"/>
  <c r="AB374" i="2"/>
  <c r="AA374" i="2"/>
  <c r="Z374" i="2"/>
  <c r="Y374" i="2"/>
  <c r="X374" i="2"/>
  <c r="W374" i="2"/>
  <c r="V374" i="2"/>
  <c r="U374" i="2"/>
  <c r="T374" i="2"/>
  <c r="S374" i="2"/>
  <c r="R374" i="2"/>
  <c r="Q374" i="2"/>
  <c r="P374" i="2"/>
  <c r="O374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F373" i="2"/>
  <c r="BE373" i="2"/>
  <c r="BD373" i="2"/>
  <c r="BC373" i="2"/>
  <c r="BB373" i="2"/>
  <c r="BA373" i="2"/>
  <c r="AZ373" i="2"/>
  <c r="AY373" i="2"/>
  <c r="AX373" i="2"/>
  <c r="AW373" i="2"/>
  <c r="AV373" i="2"/>
  <c r="AU373" i="2"/>
  <c r="AT373" i="2"/>
  <c r="AS373" i="2"/>
  <c r="AR373" i="2"/>
  <c r="AQ373" i="2"/>
  <c r="AP373" i="2"/>
  <c r="AO373" i="2"/>
  <c r="AN373" i="2"/>
  <c r="AM373" i="2"/>
  <c r="AL373" i="2"/>
  <c r="AK373" i="2"/>
  <c r="AJ373" i="2"/>
  <c r="AI373" i="2"/>
  <c r="AH373" i="2"/>
  <c r="AG373" i="2"/>
  <c r="AF373" i="2"/>
  <c r="AE373" i="2"/>
  <c r="AD373" i="2"/>
  <c r="AC373" i="2"/>
  <c r="AB373" i="2"/>
  <c r="AA373" i="2"/>
  <c r="Z373" i="2"/>
  <c r="Y373" i="2"/>
  <c r="X373" i="2"/>
  <c r="W373" i="2"/>
  <c r="V373" i="2"/>
  <c r="U373" i="2"/>
  <c r="T373" i="2"/>
  <c r="S373" i="2"/>
  <c r="R373" i="2"/>
  <c r="Q373" i="2"/>
  <c r="P373" i="2"/>
  <c r="O373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F372" i="2"/>
  <c r="BE372" i="2"/>
  <c r="BD372" i="2"/>
  <c r="BC372" i="2"/>
  <c r="BB372" i="2"/>
  <c r="BA372" i="2"/>
  <c r="AZ372" i="2"/>
  <c r="AY372" i="2"/>
  <c r="AX372" i="2"/>
  <c r="AW372" i="2"/>
  <c r="AV372" i="2"/>
  <c r="AU372" i="2"/>
  <c r="AT372" i="2"/>
  <c r="AS372" i="2"/>
  <c r="AR372" i="2"/>
  <c r="AQ372" i="2"/>
  <c r="AP372" i="2"/>
  <c r="AO372" i="2"/>
  <c r="AN372" i="2"/>
  <c r="AM372" i="2"/>
  <c r="AL372" i="2"/>
  <c r="AK372" i="2"/>
  <c r="AJ372" i="2"/>
  <c r="AI372" i="2"/>
  <c r="AH372" i="2"/>
  <c r="AG372" i="2"/>
  <c r="AF372" i="2"/>
  <c r="AE372" i="2"/>
  <c r="AD372" i="2"/>
  <c r="AC372" i="2"/>
  <c r="AB372" i="2"/>
  <c r="AA372" i="2"/>
  <c r="Z372" i="2"/>
  <c r="Y372" i="2"/>
  <c r="X372" i="2"/>
  <c r="W372" i="2"/>
  <c r="V372" i="2"/>
  <c r="U372" i="2"/>
  <c r="T372" i="2"/>
  <c r="S372" i="2"/>
  <c r="R372" i="2"/>
  <c r="Q372" i="2"/>
  <c r="P372" i="2"/>
  <c r="O372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F371" i="2"/>
  <c r="BE371" i="2"/>
  <c r="BD371" i="2"/>
  <c r="BC371" i="2"/>
  <c r="BB371" i="2"/>
  <c r="BA371" i="2"/>
  <c r="AZ371" i="2"/>
  <c r="AY371" i="2"/>
  <c r="AX371" i="2"/>
  <c r="AW371" i="2"/>
  <c r="AV371" i="2"/>
  <c r="AU371" i="2"/>
  <c r="AT371" i="2"/>
  <c r="AS371" i="2"/>
  <c r="AR371" i="2"/>
  <c r="AQ371" i="2"/>
  <c r="AP371" i="2"/>
  <c r="AO371" i="2"/>
  <c r="AN371" i="2"/>
  <c r="AM371" i="2"/>
  <c r="AL371" i="2"/>
  <c r="AK371" i="2"/>
  <c r="AJ371" i="2"/>
  <c r="AI371" i="2"/>
  <c r="AH371" i="2"/>
  <c r="AG371" i="2"/>
  <c r="AF371" i="2"/>
  <c r="AE371" i="2"/>
  <c r="AD371" i="2"/>
  <c r="AC371" i="2"/>
  <c r="AB371" i="2"/>
  <c r="AA371" i="2"/>
  <c r="Z371" i="2"/>
  <c r="Y371" i="2"/>
  <c r="X371" i="2"/>
  <c r="W371" i="2"/>
  <c r="V371" i="2"/>
  <c r="U371" i="2"/>
  <c r="T371" i="2"/>
  <c r="S371" i="2"/>
  <c r="R371" i="2"/>
  <c r="Q371" i="2"/>
  <c r="P371" i="2"/>
  <c r="O371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F306" i="2"/>
  <c r="BE306" i="2"/>
  <c r="BD306" i="2"/>
  <c r="BC306" i="2"/>
  <c r="BB306" i="2"/>
  <c r="BA306" i="2"/>
  <c r="AZ306" i="2"/>
  <c r="AY306" i="2"/>
  <c r="AX306" i="2"/>
  <c r="AW306" i="2"/>
  <c r="AV306" i="2"/>
  <c r="AU306" i="2"/>
  <c r="AT306" i="2"/>
  <c r="AS306" i="2"/>
  <c r="AR306" i="2"/>
  <c r="AQ306" i="2"/>
  <c r="AP306" i="2"/>
  <c r="AO306" i="2"/>
  <c r="AN306" i="2"/>
  <c r="AM306" i="2"/>
  <c r="AL306" i="2"/>
  <c r="AK306" i="2"/>
  <c r="AJ306" i="2"/>
  <c r="AI306" i="2"/>
  <c r="AH306" i="2"/>
  <c r="AG306" i="2"/>
  <c r="AF306" i="2"/>
  <c r="AE306" i="2"/>
  <c r="AD306" i="2"/>
  <c r="AC306" i="2"/>
  <c r="AB306" i="2"/>
  <c r="AA306" i="2"/>
  <c r="Z306" i="2"/>
  <c r="Y306" i="2"/>
  <c r="X306" i="2"/>
  <c r="W306" i="2"/>
  <c r="V306" i="2"/>
  <c r="U306" i="2"/>
  <c r="T306" i="2"/>
  <c r="S306" i="2"/>
  <c r="R306" i="2"/>
  <c r="Q306" i="2"/>
  <c r="P306" i="2"/>
  <c r="O306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F305" i="2"/>
  <c r="BE305" i="2"/>
  <c r="BD305" i="2"/>
  <c r="BC305" i="2"/>
  <c r="BB305" i="2"/>
  <c r="BA305" i="2"/>
  <c r="AZ305" i="2"/>
  <c r="AY305" i="2"/>
  <c r="AX305" i="2"/>
  <c r="AW305" i="2"/>
  <c r="AV305" i="2"/>
  <c r="AU305" i="2"/>
  <c r="AT305" i="2"/>
  <c r="AS305" i="2"/>
  <c r="AR305" i="2"/>
  <c r="AQ305" i="2"/>
  <c r="AP305" i="2"/>
  <c r="AO305" i="2"/>
  <c r="AN305" i="2"/>
  <c r="AM305" i="2"/>
  <c r="AL305" i="2"/>
  <c r="AK305" i="2"/>
  <c r="AJ305" i="2"/>
  <c r="AI305" i="2"/>
  <c r="AH305" i="2"/>
  <c r="AG305" i="2"/>
  <c r="AF305" i="2"/>
  <c r="AE305" i="2"/>
  <c r="AD305" i="2"/>
  <c r="AC305" i="2"/>
  <c r="AB305" i="2"/>
  <c r="AA305" i="2"/>
  <c r="Z305" i="2"/>
  <c r="Y305" i="2"/>
  <c r="X305" i="2"/>
  <c r="W305" i="2"/>
  <c r="V305" i="2"/>
  <c r="U305" i="2"/>
  <c r="T305" i="2"/>
  <c r="S305" i="2"/>
  <c r="R305" i="2"/>
  <c r="Q305" i="2"/>
  <c r="P305" i="2"/>
  <c r="O305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F304" i="2"/>
  <c r="BE304" i="2"/>
  <c r="BD304" i="2"/>
  <c r="BC304" i="2"/>
  <c r="BB304" i="2"/>
  <c r="BA304" i="2"/>
  <c r="AZ304" i="2"/>
  <c r="AY304" i="2"/>
  <c r="AX304" i="2"/>
  <c r="AW304" i="2"/>
  <c r="AV304" i="2"/>
  <c r="AU304" i="2"/>
  <c r="AT304" i="2"/>
  <c r="AS304" i="2"/>
  <c r="AR304" i="2"/>
  <c r="AQ304" i="2"/>
  <c r="AP304" i="2"/>
  <c r="AO304" i="2"/>
  <c r="AN304" i="2"/>
  <c r="AM304" i="2"/>
  <c r="AL304" i="2"/>
  <c r="AK304" i="2"/>
  <c r="AJ304" i="2"/>
  <c r="AI304" i="2"/>
  <c r="AH304" i="2"/>
  <c r="AG304" i="2"/>
  <c r="AF304" i="2"/>
  <c r="AE304" i="2"/>
  <c r="AD304" i="2"/>
  <c r="AC304" i="2"/>
  <c r="AB304" i="2"/>
  <c r="AA304" i="2"/>
  <c r="Z304" i="2"/>
  <c r="Y304" i="2"/>
  <c r="X304" i="2"/>
  <c r="W304" i="2"/>
  <c r="V304" i="2"/>
  <c r="U304" i="2"/>
  <c r="T304" i="2"/>
  <c r="S304" i="2"/>
  <c r="R304" i="2"/>
  <c r="Q304" i="2"/>
  <c r="P304" i="2"/>
  <c r="O304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F303" i="2"/>
  <c r="BE303" i="2"/>
  <c r="BD303" i="2"/>
  <c r="BC303" i="2"/>
  <c r="BB303" i="2"/>
  <c r="BA303" i="2"/>
  <c r="AZ303" i="2"/>
  <c r="AY303" i="2"/>
  <c r="AX303" i="2"/>
  <c r="AW303" i="2"/>
  <c r="AV303" i="2"/>
  <c r="AU303" i="2"/>
  <c r="AT303" i="2"/>
  <c r="AS303" i="2"/>
  <c r="AR303" i="2"/>
  <c r="AQ303" i="2"/>
  <c r="AP303" i="2"/>
  <c r="AO303" i="2"/>
  <c r="AN303" i="2"/>
  <c r="AM303" i="2"/>
  <c r="AL303" i="2"/>
  <c r="AK303" i="2"/>
  <c r="AJ303" i="2"/>
  <c r="AI303" i="2"/>
  <c r="AH303" i="2"/>
  <c r="AG303" i="2"/>
  <c r="AF303" i="2"/>
  <c r="AE303" i="2"/>
  <c r="AD303" i="2"/>
  <c r="AC303" i="2"/>
  <c r="AB303" i="2"/>
  <c r="AA303" i="2"/>
  <c r="Z303" i="2"/>
  <c r="Y303" i="2"/>
  <c r="X303" i="2"/>
  <c r="W303" i="2"/>
  <c r="V303" i="2"/>
  <c r="U303" i="2"/>
  <c r="T303" i="2"/>
  <c r="S303" i="2"/>
  <c r="R303" i="2"/>
  <c r="Q303" i="2"/>
  <c r="P303" i="2"/>
  <c r="O303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F300" i="2"/>
  <c r="BE300" i="2"/>
  <c r="BD300" i="2"/>
  <c r="BC300" i="2"/>
  <c r="BB300" i="2"/>
  <c r="BA300" i="2"/>
  <c r="AZ300" i="2"/>
  <c r="AY300" i="2"/>
  <c r="AX300" i="2"/>
  <c r="AW300" i="2"/>
  <c r="AV300" i="2"/>
  <c r="AU300" i="2"/>
  <c r="AT300" i="2"/>
  <c r="AS300" i="2"/>
  <c r="AR300" i="2"/>
  <c r="AQ300" i="2"/>
  <c r="AP300" i="2"/>
  <c r="AO300" i="2"/>
  <c r="AN300" i="2"/>
  <c r="AM300" i="2"/>
  <c r="AL300" i="2"/>
  <c r="AK300" i="2"/>
  <c r="AJ300" i="2"/>
  <c r="AI300" i="2"/>
  <c r="AH300" i="2"/>
  <c r="AG300" i="2"/>
  <c r="AF300" i="2"/>
  <c r="AE300" i="2"/>
  <c r="AD300" i="2"/>
  <c r="AC300" i="2"/>
  <c r="AB300" i="2"/>
  <c r="AA300" i="2"/>
  <c r="Z300" i="2"/>
  <c r="Y300" i="2"/>
  <c r="X300" i="2"/>
  <c r="W300" i="2"/>
  <c r="V300" i="2"/>
  <c r="U300" i="2"/>
  <c r="T300" i="2"/>
  <c r="S300" i="2"/>
  <c r="R300" i="2"/>
  <c r="Q300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F299" i="2"/>
  <c r="BE299" i="2"/>
  <c r="BD299" i="2"/>
  <c r="BC299" i="2"/>
  <c r="BB299" i="2"/>
  <c r="BA299" i="2"/>
  <c r="AZ299" i="2"/>
  <c r="AY299" i="2"/>
  <c r="AX299" i="2"/>
  <c r="AW299" i="2"/>
  <c r="AV299" i="2"/>
  <c r="AU299" i="2"/>
  <c r="AT299" i="2"/>
  <c r="AS299" i="2"/>
  <c r="AR299" i="2"/>
  <c r="AQ299" i="2"/>
  <c r="AP299" i="2"/>
  <c r="AO299" i="2"/>
  <c r="AN299" i="2"/>
  <c r="AM299" i="2"/>
  <c r="AL299" i="2"/>
  <c r="AK299" i="2"/>
  <c r="AJ299" i="2"/>
  <c r="AI299" i="2"/>
  <c r="AH299" i="2"/>
  <c r="AG299" i="2"/>
  <c r="AF299" i="2"/>
  <c r="AE299" i="2"/>
  <c r="AD299" i="2"/>
  <c r="AC299" i="2"/>
  <c r="AB299" i="2"/>
  <c r="AA299" i="2"/>
  <c r="Z299" i="2"/>
  <c r="Y299" i="2"/>
  <c r="X299" i="2"/>
  <c r="W299" i="2"/>
  <c r="V299" i="2"/>
  <c r="U299" i="2"/>
  <c r="T299" i="2"/>
  <c r="S299" i="2"/>
  <c r="R299" i="2"/>
  <c r="Q299" i="2"/>
  <c r="P299" i="2"/>
  <c r="O299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F298" i="2"/>
  <c r="BE298" i="2"/>
  <c r="BD298" i="2"/>
  <c r="BC298" i="2"/>
  <c r="BB298" i="2"/>
  <c r="BA298" i="2"/>
  <c r="AZ298" i="2"/>
  <c r="AY298" i="2"/>
  <c r="AX298" i="2"/>
  <c r="AW298" i="2"/>
  <c r="AV298" i="2"/>
  <c r="AU298" i="2"/>
  <c r="AT298" i="2"/>
  <c r="AS298" i="2"/>
  <c r="AR298" i="2"/>
  <c r="AQ298" i="2"/>
  <c r="AP298" i="2"/>
  <c r="AO298" i="2"/>
  <c r="AN298" i="2"/>
  <c r="AM298" i="2"/>
  <c r="AL298" i="2"/>
  <c r="AK298" i="2"/>
  <c r="AJ298" i="2"/>
  <c r="AI298" i="2"/>
  <c r="AH298" i="2"/>
  <c r="AG298" i="2"/>
  <c r="AF298" i="2"/>
  <c r="AE298" i="2"/>
  <c r="AD298" i="2"/>
  <c r="AC298" i="2"/>
  <c r="AB298" i="2"/>
  <c r="AA298" i="2"/>
  <c r="Z298" i="2"/>
  <c r="Y298" i="2"/>
  <c r="X298" i="2"/>
  <c r="W298" i="2"/>
  <c r="V298" i="2"/>
  <c r="U298" i="2"/>
  <c r="T298" i="2"/>
  <c r="S298" i="2"/>
  <c r="R298" i="2"/>
  <c r="Q298" i="2"/>
  <c r="P298" i="2"/>
  <c r="O298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F297" i="2"/>
  <c r="BE297" i="2"/>
  <c r="BD297" i="2"/>
  <c r="BC297" i="2"/>
  <c r="BB297" i="2"/>
  <c r="BA297" i="2"/>
  <c r="AZ297" i="2"/>
  <c r="AY297" i="2"/>
  <c r="AX297" i="2"/>
  <c r="AW297" i="2"/>
  <c r="AV297" i="2"/>
  <c r="AU297" i="2"/>
  <c r="AT297" i="2"/>
  <c r="AS297" i="2"/>
  <c r="AR297" i="2"/>
  <c r="AQ297" i="2"/>
  <c r="AP297" i="2"/>
  <c r="AO297" i="2"/>
  <c r="AN297" i="2"/>
  <c r="AM297" i="2"/>
  <c r="AL297" i="2"/>
  <c r="AK297" i="2"/>
  <c r="AJ297" i="2"/>
  <c r="AI297" i="2"/>
  <c r="AH297" i="2"/>
  <c r="AG297" i="2"/>
  <c r="AF297" i="2"/>
  <c r="AE297" i="2"/>
  <c r="AD297" i="2"/>
  <c r="AC297" i="2"/>
  <c r="AB297" i="2"/>
  <c r="AA297" i="2"/>
  <c r="Z297" i="2"/>
  <c r="Y297" i="2"/>
  <c r="X297" i="2"/>
  <c r="W297" i="2"/>
  <c r="V297" i="2"/>
  <c r="U297" i="2"/>
  <c r="T297" i="2"/>
  <c r="S297" i="2"/>
  <c r="R297" i="2"/>
  <c r="Q297" i="2"/>
  <c r="P297" i="2"/>
  <c r="O297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F277" i="2"/>
  <c r="BE277" i="2"/>
  <c r="BD277" i="2"/>
  <c r="BC277" i="2"/>
  <c r="BB277" i="2"/>
  <c r="BA277" i="2"/>
  <c r="AZ277" i="2"/>
  <c r="AY277" i="2"/>
  <c r="AX277" i="2"/>
  <c r="AW277" i="2"/>
  <c r="AV277" i="2"/>
  <c r="AU277" i="2"/>
  <c r="AT277" i="2"/>
  <c r="AS277" i="2"/>
  <c r="AR277" i="2"/>
  <c r="AQ277" i="2"/>
  <c r="AP277" i="2"/>
  <c r="AO277" i="2"/>
  <c r="AN277" i="2"/>
  <c r="AM277" i="2"/>
  <c r="AL277" i="2"/>
  <c r="AK277" i="2"/>
  <c r="AJ277" i="2"/>
  <c r="AI277" i="2"/>
  <c r="AH277" i="2"/>
  <c r="AG277" i="2"/>
  <c r="AF277" i="2"/>
  <c r="AE277" i="2"/>
  <c r="AD277" i="2"/>
  <c r="AC277" i="2"/>
  <c r="AB277" i="2"/>
  <c r="AA277" i="2"/>
  <c r="Z277" i="2"/>
  <c r="Y277" i="2"/>
  <c r="X277" i="2"/>
  <c r="W277" i="2"/>
  <c r="V277" i="2"/>
  <c r="U277" i="2"/>
  <c r="T277" i="2"/>
  <c r="S277" i="2"/>
  <c r="R277" i="2"/>
  <c r="Q277" i="2"/>
  <c r="P277" i="2"/>
  <c r="O277" i="2"/>
  <c r="N277" i="2"/>
  <c r="M277" i="2"/>
  <c r="L277" i="2"/>
  <c r="K277" i="2"/>
  <c r="J277" i="2"/>
  <c r="I277" i="2"/>
  <c r="H277" i="2"/>
  <c r="G277" i="2"/>
  <c r="F277" i="2"/>
  <c r="E277" i="2"/>
  <c r="D277" i="2"/>
  <c r="C277" i="2"/>
  <c r="BF276" i="2"/>
  <c r="BE276" i="2"/>
  <c r="BD276" i="2"/>
  <c r="BC276" i="2"/>
  <c r="BB276" i="2"/>
  <c r="BA276" i="2"/>
  <c r="AZ276" i="2"/>
  <c r="AY276" i="2"/>
  <c r="AX276" i="2"/>
  <c r="AW276" i="2"/>
  <c r="AV276" i="2"/>
  <c r="AU276" i="2"/>
  <c r="AT276" i="2"/>
  <c r="AS276" i="2"/>
  <c r="AR276" i="2"/>
  <c r="AQ276" i="2"/>
  <c r="AP276" i="2"/>
  <c r="AO276" i="2"/>
  <c r="AN276" i="2"/>
  <c r="AM276" i="2"/>
  <c r="AL276" i="2"/>
  <c r="AK276" i="2"/>
  <c r="AJ276" i="2"/>
  <c r="AI276" i="2"/>
  <c r="AH276" i="2"/>
  <c r="AG276" i="2"/>
  <c r="AF276" i="2"/>
  <c r="AE276" i="2"/>
  <c r="AD276" i="2"/>
  <c r="AC276" i="2"/>
  <c r="AB276" i="2"/>
  <c r="AA276" i="2"/>
  <c r="Z276" i="2"/>
  <c r="Y276" i="2"/>
  <c r="X276" i="2"/>
  <c r="W276" i="2"/>
  <c r="V276" i="2"/>
  <c r="U276" i="2"/>
  <c r="T276" i="2"/>
  <c r="S276" i="2"/>
  <c r="R276" i="2"/>
  <c r="Q276" i="2"/>
  <c r="P276" i="2"/>
  <c r="O276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F275" i="2"/>
  <c r="BE275" i="2"/>
  <c r="BD275" i="2"/>
  <c r="BC275" i="2"/>
  <c r="BB275" i="2"/>
  <c r="BA275" i="2"/>
  <c r="AZ275" i="2"/>
  <c r="AY275" i="2"/>
  <c r="AX275" i="2"/>
  <c r="AW275" i="2"/>
  <c r="AV275" i="2"/>
  <c r="AU275" i="2"/>
  <c r="AT275" i="2"/>
  <c r="AS275" i="2"/>
  <c r="AR275" i="2"/>
  <c r="AQ275" i="2"/>
  <c r="AP275" i="2"/>
  <c r="AO275" i="2"/>
  <c r="AN275" i="2"/>
  <c r="AM275" i="2"/>
  <c r="AL275" i="2"/>
  <c r="AK275" i="2"/>
  <c r="AJ275" i="2"/>
  <c r="AI275" i="2"/>
  <c r="AH275" i="2"/>
  <c r="AG275" i="2"/>
  <c r="AF275" i="2"/>
  <c r="AE275" i="2"/>
  <c r="AD275" i="2"/>
  <c r="AC275" i="2"/>
  <c r="AB275" i="2"/>
  <c r="AA275" i="2"/>
  <c r="Z275" i="2"/>
  <c r="Y275" i="2"/>
  <c r="X275" i="2"/>
  <c r="W275" i="2"/>
  <c r="V275" i="2"/>
  <c r="U275" i="2"/>
  <c r="T275" i="2"/>
  <c r="S275" i="2"/>
  <c r="R275" i="2"/>
  <c r="Q275" i="2"/>
  <c r="P275" i="2"/>
  <c r="O275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F274" i="2"/>
  <c r="BE274" i="2"/>
  <c r="BD274" i="2"/>
  <c r="BC274" i="2"/>
  <c r="BB274" i="2"/>
  <c r="BA274" i="2"/>
  <c r="AZ274" i="2"/>
  <c r="AY274" i="2"/>
  <c r="AX274" i="2"/>
  <c r="AW274" i="2"/>
  <c r="AV274" i="2"/>
  <c r="AU274" i="2"/>
  <c r="AT274" i="2"/>
  <c r="AS274" i="2"/>
  <c r="AR274" i="2"/>
  <c r="AQ274" i="2"/>
  <c r="AP274" i="2"/>
  <c r="AO274" i="2"/>
  <c r="AN274" i="2"/>
  <c r="AM274" i="2"/>
  <c r="AL274" i="2"/>
  <c r="AK274" i="2"/>
  <c r="AJ274" i="2"/>
  <c r="AI274" i="2"/>
  <c r="AH274" i="2"/>
  <c r="AG274" i="2"/>
  <c r="AF274" i="2"/>
  <c r="AE274" i="2"/>
  <c r="AD274" i="2"/>
  <c r="AC274" i="2"/>
  <c r="AB274" i="2"/>
  <c r="AA274" i="2"/>
  <c r="Z274" i="2"/>
  <c r="Y274" i="2"/>
  <c r="X274" i="2"/>
  <c r="W274" i="2"/>
  <c r="V274" i="2"/>
  <c r="U274" i="2"/>
  <c r="T274" i="2"/>
  <c r="S274" i="2"/>
  <c r="R274" i="2"/>
  <c r="Q274" i="2"/>
  <c r="P274" i="2"/>
  <c r="O274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F273" i="2"/>
  <c r="BE273" i="2"/>
  <c r="BD273" i="2"/>
  <c r="BC273" i="2"/>
  <c r="BB273" i="2"/>
  <c r="BA273" i="2"/>
  <c r="AZ273" i="2"/>
  <c r="AY273" i="2"/>
  <c r="AX273" i="2"/>
  <c r="AW273" i="2"/>
  <c r="AV273" i="2"/>
  <c r="AU273" i="2"/>
  <c r="AT273" i="2"/>
  <c r="AS273" i="2"/>
  <c r="AR273" i="2"/>
  <c r="AQ273" i="2"/>
  <c r="AP273" i="2"/>
  <c r="AO273" i="2"/>
  <c r="AN273" i="2"/>
  <c r="AM273" i="2"/>
  <c r="AL273" i="2"/>
  <c r="AK273" i="2"/>
  <c r="AJ273" i="2"/>
  <c r="AI273" i="2"/>
  <c r="AH273" i="2"/>
  <c r="AG273" i="2"/>
  <c r="AF273" i="2"/>
  <c r="AE273" i="2"/>
  <c r="AD273" i="2"/>
  <c r="AC273" i="2"/>
  <c r="AB273" i="2"/>
  <c r="AA273" i="2"/>
  <c r="Z273" i="2"/>
  <c r="Y273" i="2"/>
  <c r="X273" i="2"/>
  <c r="W273" i="2"/>
  <c r="V273" i="2"/>
  <c r="U273" i="2"/>
  <c r="T273" i="2"/>
  <c r="S273" i="2"/>
  <c r="R273" i="2"/>
  <c r="Q273" i="2"/>
  <c r="P273" i="2"/>
  <c r="O273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F272" i="2"/>
  <c r="BE272" i="2"/>
  <c r="BD272" i="2"/>
  <c r="BC272" i="2"/>
  <c r="BB272" i="2"/>
  <c r="BA272" i="2"/>
  <c r="AZ272" i="2"/>
  <c r="AY272" i="2"/>
  <c r="AX272" i="2"/>
  <c r="AW272" i="2"/>
  <c r="AV272" i="2"/>
  <c r="AU272" i="2"/>
  <c r="AT272" i="2"/>
  <c r="AS272" i="2"/>
  <c r="AR272" i="2"/>
  <c r="AQ272" i="2"/>
  <c r="AP272" i="2"/>
  <c r="AO272" i="2"/>
  <c r="AN272" i="2"/>
  <c r="AM272" i="2"/>
  <c r="AL272" i="2"/>
  <c r="AK272" i="2"/>
  <c r="AJ272" i="2"/>
  <c r="AI272" i="2"/>
  <c r="AH272" i="2"/>
  <c r="AG272" i="2"/>
  <c r="AF272" i="2"/>
  <c r="AE272" i="2"/>
  <c r="AD272" i="2"/>
  <c r="AC272" i="2"/>
  <c r="AB272" i="2"/>
  <c r="AA272" i="2"/>
  <c r="Z272" i="2"/>
  <c r="Y272" i="2"/>
  <c r="X272" i="2"/>
  <c r="W272" i="2"/>
  <c r="V272" i="2"/>
  <c r="U272" i="2"/>
  <c r="T272" i="2"/>
  <c r="S272" i="2"/>
  <c r="R272" i="2"/>
  <c r="Q272" i="2"/>
  <c r="P272" i="2"/>
  <c r="O272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F271" i="2"/>
  <c r="BE271" i="2"/>
  <c r="BD271" i="2"/>
  <c r="BC271" i="2"/>
  <c r="BB271" i="2"/>
  <c r="BA271" i="2"/>
  <c r="AZ271" i="2"/>
  <c r="AY271" i="2"/>
  <c r="AX271" i="2"/>
  <c r="AW271" i="2"/>
  <c r="AV271" i="2"/>
  <c r="AU271" i="2"/>
  <c r="AT271" i="2"/>
  <c r="AS271" i="2"/>
  <c r="AR271" i="2"/>
  <c r="AQ271" i="2"/>
  <c r="AP271" i="2"/>
  <c r="AO271" i="2"/>
  <c r="AN271" i="2"/>
  <c r="AM271" i="2"/>
  <c r="AL271" i="2"/>
  <c r="AK271" i="2"/>
  <c r="AJ271" i="2"/>
  <c r="AI271" i="2"/>
  <c r="AH271" i="2"/>
  <c r="AG271" i="2"/>
  <c r="AF271" i="2"/>
  <c r="AE271" i="2"/>
  <c r="AD271" i="2"/>
  <c r="AC271" i="2"/>
  <c r="AB271" i="2"/>
  <c r="AA271" i="2"/>
  <c r="Z271" i="2"/>
  <c r="Y271" i="2"/>
  <c r="X271" i="2"/>
  <c r="W271" i="2"/>
  <c r="V271" i="2"/>
  <c r="U271" i="2"/>
  <c r="T271" i="2"/>
  <c r="S271" i="2"/>
  <c r="R271" i="2"/>
  <c r="Q271" i="2"/>
  <c r="P271" i="2"/>
  <c r="O271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F269" i="2"/>
  <c r="BE269" i="2"/>
  <c r="BD269" i="2"/>
  <c r="BC269" i="2"/>
  <c r="BB269" i="2"/>
  <c r="BA269" i="2"/>
  <c r="AZ269" i="2"/>
  <c r="AY269" i="2"/>
  <c r="AX269" i="2"/>
  <c r="AW269" i="2"/>
  <c r="AV269" i="2"/>
  <c r="AU269" i="2"/>
  <c r="AT269" i="2"/>
  <c r="AS269" i="2"/>
  <c r="AR269" i="2"/>
  <c r="AQ269" i="2"/>
  <c r="AP269" i="2"/>
  <c r="AO269" i="2"/>
  <c r="AN269" i="2"/>
  <c r="AM269" i="2"/>
  <c r="AL269" i="2"/>
  <c r="AK269" i="2"/>
  <c r="AJ269" i="2"/>
  <c r="AI269" i="2"/>
  <c r="AH269" i="2"/>
  <c r="AG269" i="2"/>
  <c r="AF269" i="2"/>
  <c r="AE269" i="2"/>
  <c r="AD269" i="2"/>
  <c r="AC269" i="2"/>
  <c r="AB269" i="2"/>
  <c r="AA269" i="2"/>
  <c r="Z269" i="2"/>
  <c r="Y269" i="2"/>
  <c r="X269" i="2"/>
  <c r="W269" i="2"/>
  <c r="V269" i="2"/>
  <c r="U269" i="2"/>
  <c r="T269" i="2"/>
  <c r="S269" i="2"/>
  <c r="R269" i="2"/>
  <c r="Q269" i="2"/>
  <c r="P269" i="2"/>
  <c r="O269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F268" i="2"/>
  <c r="BE268" i="2"/>
  <c r="BD268" i="2"/>
  <c r="BC268" i="2"/>
  <c r="BB268" i="2"/>
  <c r="BA268" i="2"/>
  <c r="AZ268" i="2"/>
  <c r="AY268" i="2"/>
  <c r="AX268" i="2"/>
  <c r="AW268" i="2"/>
  <c r="AV268" i="2"/>
  <c r="AU268" i="2"/>
  <c r="AT268" i="2"/>
  <c r="AS268" i="2"/>
  <c r="AR268" i="2"/>
  <c r="AQ268" i="2"/>
  <c r="AP268" i="2"/>
  <c r="AO268" i="2"/>
  <c r="AN268" i="2"/>
  <c r="AM268" i="2"/>
  <c r="AL268" i="2"/>
  <c r="AK268" i="2"/>
  <c r="AJ268" i="2"/>
  <c r="AI268" i="2"/>
  <c r="AH268" i="2"/>
  <c r="AG268" i="2"/>
  <c r="AF268" i="2"/>
  <c r="AE268" i="2"/>
  <c r="AD268" i="2"/>
  <c r="AC268" i="2"/>
  <c r="AB268" i="2"/>
  <c r="AA268" i="2"/>
  <c r="Z268" i="2"/>
  <c r="Y268" i="2"/>
  <c r="X268" i="2"/>
  <c r="W268" i="2"/>
  <c r="V268" i="2"/>
  <c r="U268" i="2"/>
  <c r="T268" i="2"/>
  <c r="S268" i="2"/>
  <c r="R268" i="2"/>
  <c r="Q268" i="2"/>
  <c r="P268" i="2"/>
  <c r="O268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F267" i="2"/>
  <c r="BE267" i="2"/>
  <c r="BD267" i="2"/>
  <c r="BC267" i="2"/>
  <c r="BB267" i="2"/>
  <c r="BA267" i="2"/>
  <c r="AZ267" i="2"/>
  <c r="AY267" i="2"/>
  <c r="AX267" i="2"/>
  <c r="AW267" i="2"/>
  <c r="AV267" i="2"/>
  <c r="AU267" i="2"/>
  <c r="AT267" i="2"/>
  <c r="AS267" i="2"/>
  <c r="AR267" i="2"/>
  <c r="AQ267" i="2"/>
  <c r="AP267" i="2"/>
  <c r="AO267" i="2"/>
  <c r="AN267" i="2"/>
  <c r="AM267" i="2"/>
  <c r="AL267" i="2"/>
  <c r="AK267" i="2"/>
  <c r="AJ267" i="2"/>
  <c r="AI267" i="2"/>
  <c r="AH267" i="2"/>
  <c r="AG267" i="2"/>
  <c r="AF267" i="2"/>
  <c r="AE267" i="2"/>
  <c r="AD267" i="2"/>
  <c r="AC267" i="2"/>
  <c r="AB267" i="2"/>
  <c r="AA267" i="2"/>
  <c r="Z267" i="2"/>
  <c r="Y267" i="2"/>
  <c r="X267" i="2"/>
  <c r="W267" i="2"/>
  <c r="V267" i="2"/>
  <c r="U267" i="2"/>
  <c r="T267" i="2"/>
  <c r="S267" i="2"/>
  <c r="R267" i="2"/>
  <c r="Q267" i="2"/>
  <c r="P267" i="2"/>
  <c r="O267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F266" i="2"/>
  <c r="BE266" i="2"/>
  <c r="BD266" i="2"/>
  <c r="BC266" i="2"/>
  <c r="BB266" i="2"/>
  <c r="BA266" i="2"/>
  <c r="AZ266" i="2"/>
  <c r="AY266" i="2"/>
  <c r="AX266" i="2"/>
  <c r="AW266" i="2"/>
  <c r="AV266" i="2"/>
  <c r="AU266" i="2"/>
  <c r="AT266" i="2"/>
  <c r="AS266" i="2"/>
  <c r="AR266" i="2"/>
  <c r="AQ266" i="2"/>
  <c r="AP266" i="2"/>
  <c r="AO266" i="2"/>
  <c r="AN266" i="2"/>
  <c r="AM266" i="2"/>
  <c r="AL266" i="2"/>
  <c r="AK266" i="2"/>
  <c r="AJ266" i="2"/>
  <c r="AI266" i="2"/>
  <c r="AH266" i="2"/>
  <c r="AG266" i="2"/>
  <c r="AF266" i="2"/>
  <c r="AE266" i="2"/>
  <c r="AD266" i="2"/>
  <c r="AC266" i="2"/>
  <c r="AB266" i="2"/>
  <c r="AA266" i="2"/>
  <c r="Z266" i="2"/>
  <c r="Y266" i="2"/>
  <c r="X266" i="2"/>
  <c r="W266" i="2"/>
  <c r="V266" i="2"/>
  <c r="U266" i="2"/>
  <c r="T266" i="2"/>
  <c r="S266" i="2"/>
  <c r="R266" i="2"/>
  <c r="Q266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F265" i="2"/>
  <c r="BE265" i="2"/>
  <c r="BD265" i="2"/>
  <c r="BC265" i="2"/>
  <c r="BB265" i="2"/>
  <c r="BA265" i="2"/>
  <c r="AZ265" i="2"/>
  <c r="AY265" i="2"/>
  <c r="AX265" i="2"/>
  <c r="AW265" i="2"/>
  <c r="AV265" i="2"/>
  <c r="AU265" i="2"/>
  <c r="AT265" i="2"/>
  <c r="AS265" i="2"/>
  <c r="AR265" i="2"/>
  <c r="AQ265" i="2"/>
  <c r="AP265" i="2"/>
  <c r="AO265" i="2"/>
  <c r="AN265" i="2"/>
  <c r="AM265" i="2"/>
  <c r="AL265" i="2"/>
  <c r="AK265" i="2"/>
  <c r="AJ265" i="2"/>
  <c r="AI265" i="2"/>
  <c r="AH265" i="2"/>
  <c r="AG265" i="2"/>
  <c r="AF265" i="2"/>
  <c r="AE265" i="2"/>
  <c r="AD265" i="2"/>
  <c r="AC265" i="2"/>
  <c r="AB265" i="2"/>
  <c r="AA265" i="2"/>
  <c r="Z265" i="2"/>
  <c r="Y265" i="2"/>
  <c r="X265" i="2"/>
  <c r="W265" i="2"/>
  <c r="V265" i="2"/>
  <c r="U265" i="2"/>
  <c r="T265" i="2"/>
  <c r="S265" i="2"/>
  <c r="R265" i="2"/>
  <c r="Q265" i="2"/>
  <c r="P265" i="2"/>
  <c r="O265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F264" i="2"/>
  <c r="BE264" i="2"/>
  <c r="BD264" i="2"/>
  <c r="BC264" i="2"/>
  <c r="BB264" i="2"/>
  <c r="BA264" i="2"/>
  <c r="AZ264" i="2"/>
  <c r="AY264" i="2"/>
  <c r="AX264" i="2"/>
  <c r="AW264" i="2"/>
  <c r="AV264" i="2"/>
  <c r="AU264" i="2"/>
  <c r="AT264" i="2"/>
  <c r="AS264" i="2"/>
  <c r="AR264" i="2"/>
  <c r="AQ264" i="2"/>
  <c r="AP264" i="2"/>
  <c r="AO264" i="2"/>
  <c r="AN264" i="2"/>
  <c r="AM264" i="2"/>
  <c r="AL264" i="2"/>
  <c r="AK264" i="2"/>
  <c r="AJ264" i="2"/>
  <c r="AI264" i="2"/>
  <c r="AH264" i="2"/>
  <c r="AG264" i="2"/>
  <c r="AF264" i="2"/>
  <c r="AE264" i="2"/>
  <c r="AD264" i="2"/>
  <c r="AC264" i="2"/>
  <c r="AB264" i="2"/>
  <c r="AA264" i="2"/>
  <c r="Z264" i="2"/>
  <c r="Y264" i="2"/>
  <c r="X264" i="2"/>
  <c r="W264" i="2"/>
  <c r="V264" i="2"/>
  <c r="U264" i="2"/>
  <c r="T264" i="2"/>
  <c r="S264" i="2"/>
  <c r="R264" i="2"/>
  <c r="Q264" i="2"/>
  <c r="P264" i="2"/>
  <c r="O264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F263" i="2"/>
  <c r="BE263" i="2"/>
  <c r="BD263" i="2"/>
  <c r="BC263" i="2"/>
  <c r="BB263" i="2"/>
  <c r="BA263" i="2"/>
  <c r="AZ263" i="2"/>
  <c r="AY263" i="2"/>
  <c r="AX263" i="2"/>
  <c r="AW263" i="2"/>
  <c r="AV263" i="2"/>
  <c r="AU263" i="2"/>
  <c r="AT263" i="2"/>
  <c r="AS263" i="2"/>
  <c r="AR263" i="2"/>
  <c r="AQ263" i="2"/>
  <c r="AP263" i="2"/>
  <c r="AO263" i="2"/>
  <c r="AN263" i="2"/>
  <c r="AM263" i="2"/>
  <c r="AL263" i="2"/>
  <c r="AK263" i="2"/>
  <c r="AJ263" i="2"/>
  <c r="AI263" i="2"/>
  <c r="AH263" i="2"/>
  <c r="AG263" i="2"/>
  <c r="AF263" i="2"/>
  <c r="AE263" i="2"/>
  <c r="AD263" i="2"/>
  <c r="AC263" i="2"/>
  <c r="AB263" i="2"/>
  <c r="AA263" i="2"/>
  <c r="Z263" i="2"/>
  <c r="Y263" i="2"/>
  <c r="X263" i="2"/>
  <c r="W263" i="2"/>
  <c r="V263" i="2"/>
  <c r="U263" i="2"/>
  <c r="T263" i="2"/>
  <c r="S263" i="2"/>
  <c r="R263" i="2"/>
  <c r="Q263" i="2"/>
  <c r="P263" i="2"/>
  <c r="O263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F251" i="2"/>
  <c r="BE251" i="2"/>
  <c r="BD251" i="2"/>
  <c r="BC251" i="2"/>
  <c r="BB251" i="2"/>
  <c r="BA251" i="2"/>
  <c r="AZ251" i="2"/>
  <c r="AY251" i="2"/>
  <c r="AX251" i="2"/>
  <c r="AW251" i="2"/>
  <c r="AV251" i="2"/>
  <c r="AU251" i="2"/>
  <c r="AT251" i="2"/>
  <c r="AS251" i="2"/>
  <c r="AR251" i="2"/>
  <c r="AQ251" i="2"/>
  <c r="AP251" i="2"/>
  <c r="AO251" i="2"/>
  <c r="AN251" i="2"/>
  <c r="AM251" i="2"/>
  <c r="AL251" i="2"/>
  <c r="AK251" i="2"/>
  <c r="AJ251" i="2"/>
  <c r="AI251" i="2"/>
  <c r="AH251" i="2"/>
  <c r="AG251" i="2"/>
  <c r="AF251" i="2"/>
  <c r="AE251" i="2"/>
  <c r="AD251" i="2"/>
  <c r="AC251" i="2"/>
  <c r="AB251" i="2"/>
  <c r="AA251" i="2"/>
  <c r="Z251" i="2"/>
  <c r="Y251" i="2"/>
  <c r="X251" i="2"/>
  <c r="W251" i="2"/>
  <c r="V251" i="2"/>
  <c r="U251" i="2"/>
  <c r="T251" i="2"/>
  <c r="S251" i="2"/>
  <c r="R251" i="2"/>
  <c r="Q251" i="2"/>
  <c r="P251" i="2"/>
  <c r="O251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F250" i="2"/>
  <c r="BE250" i="2"/>
  <c r="BD250" i="2"/>
  <c r="BC250" i="2"/>
  <c r="BB250" i="2"/>
  <c r="BA250" i="2"/>
  <c r="AZ250" i="2"/>
  <c r="AY250" i="2"/>
  <c r="AX250" i="2"/>
  <c r="AW250" i="2"/>
  <c r="AV250" i="2"/>
  <c r="AU250" i="2"/>
  <c r="AT250" i="2"/>
  <c r="AS250" i="2"/>
  <c r="AR250" i="2"/>
  <c r="AQ250" i="2"/>
  <c r="AP250" i="2"/>
  <c r="AO250" i="2"/>
  <c r="AN250" i="2"/>
  <c r="AM250" i="2"/>
  <c r="AL250" i="2"/>
  <c r="AK250" i="2"/>
  <c r="AJ250" i="2"/>
  <c r="AI250" i="2"/>
  <c r="AH250" i="2"/>
  <c r="AG250" i="2"/>
  <c r="AF250" i="2"/>
  <c r="AE250" i="2"/>
  <c r="AD250" i="2"/>
  <c r="AC250" i="2"/>
  <c r="AB250" i="2"/>
  <c r="AA250" i="2"/>
  <c r="Z250" i="2"/>
  <c r="Y250" i="2"/>
  <c r="X250" i="2"/>
  <c r="W250" i="2"/>
  <c r="V250" i="2"/>
  <c r="U250" i="2"/>
  <c r="T250" i="2"/>
  <c r="S250" i="2"/>
  <c r="R250" i="2"/>
  <c r="Q250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F249" i="2"/>
  <c r="BE249" i="2"/>
  <c r="BD249" i="2"/>
  <c r="BC249" i="2"/>
  <c r="BB249" i="2"/>
  <c r="BA249" i="2"/>
  <c r="AZ249" i="2"/>
  <c r="AY249" i="2"/>
  <c r="AX249" i="2"/>
  <c r="AW249" i="2"/>
  <c r="AV249" i="2"/>
  <c r="AU249" i="2"/>
  <c r="AT249" i="2"/>
  <c r="AS249" i="2"/>
  <c r="AR249" i="2"/>
  <c r="AQ249" i="2"/>
  <c r="AP249" i="2"/>
  <c r="AO249" i="2"/>
  <c r="AN249" i="2"/>
  <c r="AM249" i="2"/>
  <c r="AL249" i="2"/>
  <c r="AK249" i="2"/>
  <c r="AJ249" i="2"/>
  <c r="AI249" i="2"/>
  <c r="AH249" i="2"/>
  <c r="AG249" i="2"/>
  <c r="AF249" i="2"/>
  <c r="AE249" i="2"/>
  <c r="AD249" i="2"/>
  <c r="AC249" i="2"/>
  <c r="AB249" i="2"/>
  <c r="AA249" i="2"/>
  <c r="Z249" i="2"/>
  <c r="Y249" i="2"/>
  <c r="X249" i="2"/>
  <c r="W249" i="2"/>
  <c r="V249" i="2"/>
  <c r="U249" i="2"/>
  <c r="T249" i="2"/>
  <c r="S249" i="2"/>
  <c r="R249" i="2"/>
  <c r="Q249" i="2"/>
  <c r="P249" i="2"/>
  <c r="O249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F248" i="2"/>
  <c r="BE248" i="2"/>
  <c r="BD248" i="2"/>
  <c r="BC248" i="2"/>
  <c r="BB248" i="2"/>
  <c r="BA248" i="2"/>
  <c r="AZ248" i="2"/>
  <c r="AY248" i="2"/>
  <c r="AX248" i="2"/>
  <c r="AW248" i="2"/>
  <c r="AV248" i="2"/>
  <c r="AU248" i="2"/>
  <c r="AT248" i="2"/>
  <c r="AS248" i="2"/>
  <c r="AR248" i="2"/>
  <c r="AQ248" i="2"/>
  <c r="AP248" i="2"/>
  <c r="AO248" i="2"/>
  <c r="AN248" i="2"/>
  <c r="AM248" i="2"/>
  <c r="AL248" i="2"/>
  <c r="AK248" i="2"/>
  <c r="AJ248" i="2"/>
  <c r="AI248" i="2"/>
  <c r="AH248" i="2"/>
  <c r="AG248" i="2"/>
  <c r="AF248" i="2"/>
  <c r="AE248" i="2"/>
  <c r="AD248" i="2"/>
  <c r="AC248" i="2"/>
  <c r="AB248" i="2"/>
  <c r="AA248" i="2"/>
  <c r="Z248" i="2"/>
  <c r="Y248" i="2"/>
  <c r="X248" i="2"/>
  <c r="W248" i="2"/>
  <c r="V248" i="2"/>
  <c r="U248" i="2"/>
  <c r="T248" i="2"/>
  <c r="S248" i="2"/>
  <c r="R248" i="2"/>
  <c r="Q248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F247" i="2"/>
  <c r="BE247" i="2"/>
  <c r="BD247" i="2"/>
  <c r="BC247" i="2"/>
  <c r="BB247" i="2"/>
  <c r="BA247" i="2"/>
  <c r="AZ247" i="2"/>
  <c r="AY247" i="2"/>
  <c r="AX247" i="2"/>
  <c r="AW247" i="2"/>
  <c r="AV247" i="2"/>
  <c r="AU247" i="2"/>
  <c r="AT247" i="2"/>
  <c r="AS247" i="2"/>
  <c r="AR247" i="2"/>
  <c r="AQ247" i="2"/>
  <c r="AP247" i="2"/>
  <c r="AO247" i="2"/>
  <c r="AN247" i="2"/>
  <c r="AM247" i="2"/>
  <c r="AL247" i="2"/>
  <c r="AK247" i="2"/>
  <c r="AJ247" i="2"/>
  <c r="AI247" i="2"/>
  <c r="AH247" i="2"/>
  <c r="AG247" i="2"/>
  <c r="AF247" i="2"/>
  <c r="AE247" i="2"/>
  <c r="AD247" i="2"/>
  <c r="AC247" i="2"/>
  <c r="AB247" i="2"/>
  <c r="AA247" i="2"/>
  <c r="Z247" i="2"/>
  <c r="Y247" i="2"/>
  <c r="X247" i="2"/>
  <c r="W247" i="2"/>
  <c r="V247" i="2"/>
  <c r="U247" i="2"/>
  <c r="T247" i="2"/>
  <c r="S247" i="2"/>
  <c r="R247" i="2"/>
  <c r="Q247" i="2"/>
  <c r="P247" i="2"/>
  <c r="O247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F246" i="2"/>
  <c r="BE246" i="2"/>
  <c r="BD246" i="2"/>
  <c r="BC246" i="2"/>
  <c r="BB246" i="2"/>
  <c r="BA246" i="2"/>
  <c r="AZ246" i="2"/>
  <c r="AY246" i="2"/>
  <c r="AX246" i="2"/>
  <c r="AW246" i="2"/>
  <c r="AV246" i="2"/>
  <c r="AU246" i="2"/>
  <c r="AT246" i="2"/>
  <c r="AS246" i="2"/>
  <c r="AR246" i="2"/>
  <c r="AQ246" i="2"/>
  <c r="AP246" i="2"/>
  <c r="AO246" i="2"/>
  <c r="AN246" i="2"/>
  <c r="AM246" i="2"/>
  <c r="AL246" i="2"/>
  <c r="AK246" i="2"/>
  <c r="AJ246" i="2"/>
  <c r="AI246" i="2"/>
  <c r="AH246" i="2"/>
  <c r="AG246" i="2"/>
  <c r="AF246" i="2"/>
  <c r="AE246" i="2"/>
  <c r="AD246" i="2"/>
  <c r="AC246" i="2"/>
  <c r="AB246" i="2"/>
  <c r="AA246" i="2"/>
  <c r="Z246" i="2"/>
  <c r="Y246" i="2"/>
  <c r="X246" i="2"/>
  <c r="W246" i="2"/>
  <c r="V246" i="2"/>
  <c r="U246" i="2"/>
  <c r="T246" i="2"/>
  <c r="S246" i="2"/>
  <c r="R246" i="2"/>
  <c r="Q246" i="2"/>
  <c r="P246" i="2"/>
  <c r="O246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F245" i="2"/>
  <c r="BE245" i="2"/>
  <c r="BD245" i="2"/>
  <c r="BC245" i="2"/>
  <c r="BB245" i="2"/>
  <c r="BA245" i="2"/>
  <c r="AZ245" i="2"/>
  <c r="AY245" i="2"/>
  <c r="AX245" i="2"/>
  <c r="AW245" i="2"/>
  <c r="AV245" i="2"/>
  <c r="AU245" i="2"/>
  <c r="AT245" i="2"/>
  <c r="AS245" i="2"/>
  <c r="AR245" i="2"/>
  <c r="AQ245" i="2"/>
  <c r="AP245" i="2"/>
  <c r="AO245" i="2"/>
  <c r="AN245" i="2"/>
  <c r="AM245" i="2"/>
  <c r="AL245" i="2"/>
  <c r="AK245" i="2"/>
  <c r="AJ245" i="2"/>
  <c r="AI245" i="2"/>
  <c r="AH245" i="2"/>
  <c r="AG245" i="2"/>
  <c r="AF245" i="2"/>
  <c r="AE245" i="2"/>
  <c r="AD245" i="2"/>
  <c r="AC245" i="2"/>
  <c r="AB245" i="2"/>
  <c r="AA245" i="2"/>
  <c r="Z245" i="2"/>
  <c r="Y245" i="2"/>
  <c r="X245" i="2"/>
  <c r="W245" i="2"/>
  <c r="V245" i="2"/>
  <c r="U245" i="2"/>
  <c r="T245" i="2"/>
  <c r="S245" i="2"/>
  <c r="R245" i="2"/>
  <c r="Q245" i="2"/>
  <c r="P245" i="2"/>
  <c r="O245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F242" i="2"/>
  <c r="BE242" i="2"/>
  <c r="BD242" i="2"/>
  <c r="BC242" i="2"/>
  <c r="BB242" i="2"/>
  <c r="BA242" i="2"/>
  <c r="AZ242" i="2"/>
  <c r="AY242" i="2"/>
  <c r="AX242" i="2"/>
  <c r="AW242" i="2"/>
  <c r="AV242" i="2"/>
  <c r="AU242" i="2"/>
  <c r="AT242" i="2"/>
  <c r="AS242" i="2"/>
  <c r="AR242" i="2"/>
  <c r="AQ242" i="2"/>
  <c r="AP242" i="2"/>
  <c r="AO242" i="2"/>
  <c r="AN242" i="2"/>
  <c r="AM242" i="2"/>
  <c r="AL242" i="2"/>
  <c r="AK242" i="2"/>
  <c r="AJ242" i="2"/>
  <c r="AI242" i="2"/>
  <c r="AH242" i="2"/>
  <c r="AG242" i="2"/>
  <c r="AF242" i="2"/>
  <c r="AE242" i="2"/>
  <c r="AD242" i="2"/>
  <c r="AC242" i="2"/>
  <c r="AB242" i="2"/>
  <c r="AA242" i="2"/>
  <c r="Z242" i="2"/>
  <c r="Y242" i="2"/>
  <c r="X242" i="2"/>
  <c r="W242" i="2"/>
  <c r="V242" i="2"/>
  <c r="U242" i="2"/>
  <c r="T242" i="2"/>
  <c r="S242" i="2"/>
  <c r="R242" i="2"/>
  <c r="Q242" i="2"/>
  <c r="P242" i="2"/>
  <c r="O242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F241" i="2"/>
  <c r="BE241" i="2"/>
  <c r="BD241" i="2"/>
  <c r="BC241" i="2"/>
  <c r="BB241" i="2"/>
  <c r="BA241" i="2"/>
  <c r="AZ241" i="2"/>
  <c r="AY241" i="2"/>
  <c r="AX241" i="2"/>
  <c r="AW241" i="2"/>
  <c r="AV241" i="2"/>
  <c r="AU241" i="2"/>
  <c r="AT241" i="2"/>
  <c r="AS241" i="2"/>
  <c r="AR241" i="2"/>
  <c r="AQ241" i="2"/>
  <c r="AP241" i="2"/>
  <c r="AO241" i="2"/>
  <c r="AN241" i="2"/>
  <c r="AM241" i="2"/>
  <c r="AL241" i="2"/>
  <c r="AK241" i="2"/>
  <c r="AJ241" i="2"/>
  <c r="AI241" i="2"/>
  <c r="AH241" i="2"/>
  <c r="AG241" i="2"/>
  <c r="AF241" i="2"/>
  <c r="AE241" i="2"/>
  <c r="AD241" i="2"/>
  <c r="AC241" i="2"/>
  <c r="AB241" i="2"/>
  <c r="AA241" i="2"/>
  <c r="Z241" i="2"/>
  <c r="Y241" i="2"/>
  <c r="X241" i="2"/>
  <c r="W241" i="2"/>
  <c r="V241" i="2"/>
  <c r="U241" i="2"/>
  <c r="T241" i="2"/>
  <c r="S241" i="2"/>
  <c r="R241" i="2"/>
  <c r="Q241" i="2"/>
  <c r="P241" i="2"/>
  <c r="O241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F240" i="2"/>
  <c r="BE240" i="2"/>
  <c r="BD240" i="2"/>
  <c r="BC240" i="2"/>
  <c r="BB240" i="2"/>
  <c r="BA240" i="2"/>
  <c r="AZ240" i="2"/>
  <c r="AY240" i="2"/>
  <c r="AX240" i="2"/>
  <c r="AW240" i="2"/>
  <c r="AV240" i="2"/>
  <c r="AU240" i="2"/>
  <c r="AT240" i="2"/>
  <c r="AS240" i="2"/>
  <c r="AR240" i="2"/>
  <c r="AQ240" i="2"/>
  <c r="AP240" i="2"/>
  <c r="AO240" i="2"/>
  <c r="AN240" i="2"/>
  <c r="AM240" i="2"/>
  <c r="AL240" i="2"/>
  <c r="AK240" i="2"/>
  <c r="AJ240" i="2"/>
  <c r="AI240" i="2"/>
  <c r="AH240" i="2"/>
  <c r="AG240" i="2"/>
  <c r="AF240" i="2"/>
  <c r="AE240" i="2"/>
  <c r="AD240" i="2"/>
  <c r="AC240" i="2"/>
  <c r="AB240" i="2"/>
  <c r="AA240" i="2"/>
  <c r="Z240" i="2"/>
  <c r="Y240" i="2"/>
  <c r="X240" i="2"/>
  <c r="W240" i="2"/>
  <c r="V240" i="2"/>
  <c r="U240" i="2"/>
  <c r="T240" i="2"/>
  <c r="S240" i="2"/>
  <c r="R240" i="2"/>
  <c r="Q240" i="2"/>
  <c r="P240" i="2"/>
  <c r="O240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F239" i="2"/>
  <c r="BE239" i="2"/>
  <c r="BD239" i="2"/>
  <c r="BC239" i="2"/>
  <c r="BB239" i="2"/>
  <c r="BA239" i="2"/>
  <c r="AZ239" i="2"/>
  <c r="AY239" i="2"/>
  <c r="AX239" i="2"/>
  <c r="AW239" i="2"/>
  <c r="AV239" i="2"/>
  <c r="AU239" i="2"/>
  <c r="AT239" i="2"/>
  <c r="AS239" i="2"/>
  <c r="AR239" i="2"/>
  <c r="AQ239" i="2"/>
  <c r="AP239" i="2"/>
  <c r="AO239" i="2"/>
  <c r="AN239" i="2"/>
  <c r="AM239" i="2"/>
  <c r="AL239" i="2"/>
  <c r="AK239" i="2"/>
  <c r="AJ239" i="2"/>
  <c r="AI239" i="2"/>
  <c r="AH239" i="2"/>
  <c r="AG239" i="2"/>
  <c r="AF239" i="2"/>
  <c r="AE239" i="2"/>
  <c r="AD239" i="2"/>
  <c r="AC239" i="2"/>
  <c r="AB239" i="2"/>
  <c r="AA239" i="2"/>
  <c r="Z239" i="2"/>
  <c r="Y239" i="2"/>
  <c r="X239" i="2"/>
  <c r="W239" i="2"/>
  <c r="V239" i="2"/>
  <c r="U239" i="2"/>
  <c r="T239" i="2"/>
  <c r="S239" i="2"/>
  <c r="R239" i="2"/>
  <c r="Q239" i="2"/>
  <c r="P239" i="2"/>
  <c r="O239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F238" i="2"/>
  <c r="BE238" i="2"/>
  <c r="BD238" i="2"/>
  <c r="BC238" i="2"/>
  <c r="BB238" i="2"/>
  <c r="BA238" i="2"/>
  <c r="AZ238" i="2"/>
  <c r="AY238" i="2"/>
  <c r="AX238" i="2"/>
  <c r="AW238" i="2"/>
  <c r="AV238" i="2"/>
  <c r="AU238" i="2"/>
  <c r="AT238" i="2"/>
  <c r="AS238" i="2"/>
  <c r="AR238" i="2"/>
  <c r="AQ238" i="2"/>
  <c r="AP238" i="2"/>
  <c r="AO238" i="2"/>
  <c r="AN238" i="2"/>
  <c r="AM238" i="2"/>
  <c r="AL238" i="2"/>
  <c r="AK238" i="2"/>
  <c r="AJ238" i="2"/>
  <c r="AI238" i="2"/>
  <c r="AH238" i="2"/>
  <c r="AG238" i="2"/>
  <c r="AF238" i="2"/>
  <c r="AE238" i="2"/>
  <c r="AD238" i="2"/>
  <c r="AC238" i="2"/>
  <c r="AB238" i="2"/>
  <c r="AA238" i="2"/>
  <c r="Z238" i="2"/>
  <c r="Y238" i="2"/>
  <c r="X238" i="2"/>
  <c r="W238" i="2"/>
  <c r="V238" i="2"/>
  <c r="U238" i="2"/>
  <c r="T238" i="2"/>
  <c r="S238" i="2"/>
  <c r="R238" i="2"/>
  <c r="Q238" i="2"/>
  <c r="P238" i="2"/>
  <c r="O238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F237" i="2"/>
  <c r="BE237" i="2"/>
  <c r="BD237" i="2"/>
  <c r="BC237" i="2"/>
  <c r="BB237" i="2"/>
  <c r="BA237" i="2"/>
  <c r="AZ237" i="2"/>
  <c r="AY237" i="2"/>
  <c r="AX237" i="2"/>
  <c r="AW237" i="2"/>
  <c r="AV237" i="2"/>
  <c r="AU237" i="2"/>
  <c r="AT237" i="2"/>
  <c r="AS237" i="2"/>
  <c r="AR237" i="2"/>
  <c r="AQ237" i="2"/>
  <c r="AP237" i="2"/>
  <c r="AO237" i="2"/>
  <c r="AN237" i="2"/>
  <c r="AM237" i="2"/>
  <c r="AL237" i="2"/>
  <c r="AK237" i="2"/>
  <c r="AJ237" i="2"/>
  <c r="AI237" i="2"/>
  <c r="AH237" i="2"/>
  <c r="AG237" i="2"/>
  <c r="AF237" i="2"/>
  <c r="AE237" i="2"/>
  <c r="AD237" i="2"/>
  <c r="AC237" i="2"/>
  <c r="AB237" i="2"/>
  <c r="AA237" i="2"/>
  <c r="Z237" i="2"/>
  <c r="Y237" i="2"/>
  <c r="X237" i="2"/>
  <c r="W237" i="2"/>
  <c r="V237" i="2"/>
  <c r="U237" i="2"/>
  <c r="T237" i="2"/>
  <c r="S237" i="2"/>
  <c r="R237" i="2"/>
  <c r="Q237" i="2"/>
  <c r="P237" i="2"/>
  <c r="O237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F236" i="2"/>
  <c r="BE236" i="2"/>
  <c r="BD236" i="2"/>
  <c r="BC236" i="2"/>
  <c r="BB236" i="2"/>
  <c r="BA236" i="2"/>
  <c r="AZ236" i="2"/>
  <c r="AY236" i="2"/>
  <c r="AX236" i="2"/>
  <c r="AW236" i="2"/>
  <c r="AV236" i="2"/>
  <c r="AU236" i="2"/>
  <c r="AT236" i="2"/>
  <c r="AS236" i="2"/>
  <c r="AR236" i="2"/>
  <c r="AQ236" i="2"/>
  <c r="AP236" i="2"/>
  <c r="AO236" i="2"/>
  <c r="AN236" i="2"/>
  <c r="AM236" i="2"/>
  <c r="AL236" i="2"/>
  <c r="AK236" i="2"/>
  <c r="AJ236" i="2"/>
  <c r="AI236" i="2"/>
  <c r="AH236" i="2"/>
  <c r="AG236" i="2"/>
  <c r="AF236" i="2"/>
  <c r="AE236" i="2"/>
  <c r="AD236" i="2"/>
  <c r="AC236" i="2"/>
  <c r="AB236" i="2"/>
  <c r="AA236" i="2"/>
  <c r="Z236" i="2"/>
  <c r="Y236" i="2"/>
  <c r="X236" i="2"/>
  <c r="W236" i="2"/>
  <c r="V236" i="2"/>
  <c r="U236" i="2"/>
  <c r="T236" i="2"/>
  <c r="S236" i="2"/>
  <c r="R236" i="2"/>
  <c r="Q236" i="2"/>
  <c r="P236" i="2"/>
  <c r="O236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F214" i="2"/>
  <c r="BE214" i="2"/>
  <c r="BD214" i="2"/>
  <c r="BC214" i="2"/>
  <c r="BB214" i="2"/>
  <c r="BA214" i="2"/>
  <c r="AZ214" i="2"/>
  <c r="AY214" i="2"/>
  <c r="AX214" i="2"/>
  <c r="AW214" i="2"/>
  <c r="AV214" i="2"/>
  <c r="AU214" i="2"/>
  <c r="AT214" i="2"/>
  <c r="AS214" i="2"/>
  <c r="AR214" i="2"/>
  <c r="AQ214" i="2"/>
  <c r="AP214" i="2"/>
  <c r="AO214" i="2"/>
  <c r="AN214" i="2"/>
  <c r="AM214" i="2"/>
  <c r="AL214" i="2"/>
  <c r="AK214" i="2"/>
  <c r="AJ214" i="2"/>
  <c r="AI214" i="2"/>
  <c r="AH214" i="2"/>
  <c r="AG214" i="2"/>
  <c r="AF214" i="2"/>
  <c r="AE214" i="2"/>
  <c r="AD214" i="2"/>
  <c r="AC214" i="2"/>
  <c r="AB214" i="2"/>
  <c r="AA214" i="2"/>
  <c r="Z214" i="2"/>
  <c r="Y214" i="2"/>
  <c r="X214" i="2"/>
  <c r="W214" i="2"/>
  <c r="V214" i="2"/>
  <c r="U214" i="2"/>
  <c r="T214" i="2"/>
  <c r="S214" i="2"/>
  <c r="R214" i="2"/>
  <c r="Q214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F213" i="2"/>
  <c r="BE213" i="2"/>
  <c r="BD213" i="2"/>
  <c r="BC213" i="2"/>
  <c r="BB213" i="2"/>
  <c r="BA213" i="2"/>
  <c r="AZ213" i="2"/>
  <c r="AY213" i="2"/>
  <c r="AX213" i="2"/>
  <c r="AW213" i="2"/>
  <c r="AV213" i="2"/>
  <c r="AU213" i="2"/>
  <c r="AT213" i="2"/>
  <c r="AS213" i="2"/>
  <c r="AR213" i="2"/>
  <c r="AQ213" i="2"/>
  <c r="AP213" i="2"/>
  <c r="AO213" i="2"/>
  <c r="AN213" i="2"/>
  <c r="AM213" i="2"/>
  <c r="AL213" i="2"/>
  <c r="AK213" i="2"/>
  <c r="AJ213" i="2"/>
  <c r="AI213" i="2"/>
  <c r="AH213" i="2"/>
  <c r="AG213" i="2"/>
  <c r="AF213" i="2"/>
  <c r="AE213" i="2"/>
  <c r="AD213" i="2"/>
  <c r="AC213" i="2"/>
  <c r="AB213" i="2"/>
  <c r="AA213" i="2"/>
  <c r="Z213" i="2"/>
  <c r="Y213" i="2"/>
  <c r="X213" i="2"/>
  <c r="W213" i="2"/>
  <c r="V213" i="2"/>
  <c r="U213" i="2"/>
  <c r="T213" i="2"/>
  <c r="S213" i="2"/>
  <c r="R213" i="2"/>
  <c r="Q213" i="2"/>
  <c r="P213" i="2"/>
  <c r="O213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F212" i="2"/>
  <c r="BE212" i="2"/>
  <c r="BD212" i="2"/>
  <c r="BC212" i="2"/>
  <c r="BB212" i="2"/>
  <c r="BA212" i="2"/>
  <c r="AZ212" i="2"/>
  <c r="AY212" i="2"/>
  <c r="AX212" i="2"/>
  <c r="AW212" i="2"/>
  <c r="AV212" i="2"/>
  <c r="AU212" i="2"/>
  <c r="AT212" i="2"/>
  <c r="AS212" i="2"/>
  <c r="AR212" i="2"/>
  <c r="AQ212" i="2"/>
  <c r="AP212" i="2"/>
  <c r="AO212" i="2"/>
  <c r="AN212" i="2"/>
  <c r="AM212" i="2"/>
  <c r="AL212" i="2"/>
  <c r="AK212" i="2"/>
  <c r="AJ212" i="2"/>
  <c r="AI212" i="2"/>
  <c r="AH212" i="2"/>
  <c r="AG212" i="2"/>
  <c r="AF212" i="2"/>
  <c r="AE212" i="2"/>
  <c r="AD212" i="2"/>
  <c r="AC212" i="2"/>
  <c r="AB212" i="2"/>
  <c r="AA212" i="2"/>
  <c r="Z212" i="2"/>
  <c r="Y212" i="2"/>
  <c r="X212" i="2"/>
  <c r="W212" i="2"/>
  <c r="V212" i="2"/>
  <c r="U212" i="2"/>
  <c r="T212" i="2"/>
  <c r="S212" i="2"/>
  <c r="R212" i="2"/>
  <c r="Q212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F211" i="2"/>
  <c r="BE211" i="2"/>
  <c r="BD211" i="2"/>
  <c r="BC211" i="2"/>
  <c r="BB211" i="2"/>
  <c r="BA211" i="2"/>
  <c r="AZ211" i="2"/>
  <c r="AY211" i="2"/>
  <c r="AX211" i="2"/>
  <c r="AW211" i="2"/>
  <c r="AV211" i="2"/>
  <c r="AU211" i="2"/>
  <c r="AT211" i="2"/>
  <c r="AS211" i="2"/>
  <c r="AR211" i="2"/>
  <c r="AQ211" i="2"/>
  <c r="AP211" i="2"/>
  <c r="AO211" i="2"/>
  <c r="AN211" i="2"/>
  <c r="AM211" i="2"/>
  <c r="AL211" i="2"/>
  <c r="AK211" i="2"/>
  <c r="AJ211" i="2"/>
  <c r="AI211" i="2"/>
  <c r="AH211" i="2"/>
  <c r="AG211" i="2"/>
  <c r="AF211" i="2"/>
  <c r="AE211" i="2"/>
  <c r="AD211" i="2"/>
  <c r="AC211" i="2"/>
  <c r="AB211" i="2"/>
  <c r="AA211" i="2"/>
  <c r="Z211" i="2"/>
  <c r="Y211" i="2"/>
  <c r="X211" i="2"/>
  <c r="W211" i="2"/>
  <c r="V211" i="2"/>
  <c r="U211" i="2"/>
  <c r="T211" i="2"/>
  <c r="S211" i="2"/>
  <c r="R211" i="2"/>
  <c r="Q211" i="2"/>
  <c r="P211" i="2"/>
  <c r="O211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F208" i="2"/>
  <c r="BE208" i="2"/>
  <c r="BD208" i="2"/>
  <c r="BC208" i="2"/>
  <c r="BB208" i="2"/>
  <c r="BA208" i="2"/>
  <c r="AZ208" i="2"/>
  <c r="AY208" i="2"/>
  <c r="AX208" i="2"/>
  <c r="AW208" i="2"/>
  <c r="AV208" i="2"/>
  <c r="AU208" i="2"/>
  <c r="AT208" i="2"/>
  <c r="AS208" i="2"/>
  <c r="AR208" i="2"/>
  <c r="AQ208" i="2"/>
  <c r="AP208" i="2"/>
  <c r="AO208" i="2"/>
  <c r="AN208" i="2"/>
  <c r="AM208" i="2"/>
  <c r="AL208" i="2"/>
  <c r="AK208" i="2"/>
  <c r="AJ208" i="2"/>
  <c r="AI208" i="2"/>
  <c r="AH208" i="2"/>
  <c r="AG208" i="2"/>
  <c r="AF208" i="2"/>
  <c r="AE208" i="2"/>
  <c r="AD208" i="2"/>
  <c r="AC208" i="2"/>
  <c r="AB208" i="2"/>
  <c r="AA208" i="2"/>
  <c r="Z208" i="2"/>
  <c r="Y208" i="2"/>
  <c r="X208" i="2"/>
  <c r="W208" i="2"/>
  <c r="V208" i="2"/>
  <c r="U208" i="2"/>
  <c r="T208" i="2"/>
  <c r="S208" i="2"/>
  <c r="R208" i="2"/>
  <c r="Q208" i="2"/>
  <c r="P208" i="2"/>
  <c r="O208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F207" i="2"/>
  <c r="BE207" i="2"/>
  <c r="BD207" i="2"/>
  <c r="BC207" i="2"/>
  <c r="BB207" i="2"/>
  <c r="BA207" i="2"/>
  <c r="AZ207" i="2"/>
  <c r="AY207" i="2"/>
  <c r="AX207" i="2"/>
  <c r="AW207" i="2"/>
  <c r="AV207" i="2"/>
  <c r="AU207" i="2"/>
  <c r="AT207" i="2"/>
  <c r="AS207" i="2"/>
  <c r="AR207" i="2"/>
  <c r="AQ207" i="2"/>
  <c r="AP207" i="2"/>
  <c r="AO207" i="2"/>
  <c r="AN207" i="2"/>
  <c r="AM207" i="2"/>
  <c r="AL207" i="2"/>
  <c r="AK207" i="2"/>
  <c r="AJ207" i="2"/>
  <c r="AI207" i="2"/>
  <c r="AH207" i="2"/>
  <c r="AG207" i="2"/>
  <c r="AF207" i="2"/>
  <c r="AE207" i="2"/>
  <c r="AD207" i="2"/>
  <c r="AC207" i="2"/>
  <c r="AB207" i="2"/>
  <c r="AA207" i="2"/>
  <c r="Z207" i="2"/>
  <c r="Y207" i="2"/>
  <c r="X207" i="2"/>
  <c r="W207" i="2"/>
  <c r="V207" i="2"/>
  <c r="U207" i="2"/>
  <c r="T207" i="2"/>
  <c r="S207" i="2"/>
  <c r="R207" i="2"/>
  <c r="Q207" i="2"/>
  <c r="P207" i="2"/>
  <c r="O207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F206" i="2"/>
  <c r="BE206" i="2"/>
  <c r="BD206" i="2"/>
  <c r="BC206" i="2"/>
  <c r="BB206" i="2"/>
  <c r="BA206" i="2"/>
  <c r="AZ206" i="2"/>
  <c r="AY206" i="2"/>
  <c r="AX206" i="2"/>
  <c r="AW206" i="2"/>
  <c r="AV206" i="2"/>
  <c r="AU206" i="2"/>
  <c r="AT206" i="2"/>
  <c r="AS206" i="2"/>
  <c r="AR206" i="2"/>
  <c r="AQ206" i="2"/>
  <c r="AP206" i="2"/>
  <c r="AO206" i="2"/>
  <c r="AN206" i="2"/>
  <c r="AM206" i="2"/>
  <c r="AL206" i="2"/>
  <c r="AK206" i="2"/>
  <c r="AJ206" i="2"/>
  <c r="AI206" i="2"/>
  <c r="AH206" i="2"/>
  <c r="AG206" i="2"/>
  <c r="AF206" i="2"/>
  <c r="AE206" i="2"/>
  <c r="AD206" i="2"/>
  <c r="AC206" i="2"/>
  <c r="AB206" i="2"/>
  <c r="AA206" i="2"/>
  <c r="Z206" i="2"/>
  <c r="Y206" i="2"/>
  <c r="X206" i="2"/>
  <c r="W206" i="2"/>
  <c r="V206" i="2"/>
  <c r="U206" i="2"/>
  <c r="T206" i="2"/>
  <c r="S206" i="2"/>
  <c r="R206" i="2"/>
  <c r="Q206" i="2"/>
  <c r="P206" i="2"/>
  <c r="O206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F205" i="2"/>
  <c r="BE205" i="2"/>
  <c r="BD205" i="2"/>
  <c r="BC205" i="2"/>
  <c r="BB205" i="2"/>
  <c r="BA205" i="2"/>
  <c r="AZ205" i="2"/>
  <c r="AY205" i="2"/>
  <c r="AX205" i="2"/>
  <c r="AW205" i="2"/>
  <c r="AV205" i="2"/>
  <c r="AU205" i="2"/>
  <c r="AT205" i="2"/>
  <c r="AS205" i="2"/>
  <c r="AR205" i="2"/>
  <c r="AQ205" i="2"/>
  <c r="AP205" i="2"/>
  <c r="AO205" i="2"/>
  <c r="AN205" i="2"/>
  <c r="AM205" i="2"/>
  <c r="AL205" i="2"/>
  <c r="AK205" i="2"/>
  <c r="AJ205" i="2"/>
  <c r="AI205" i="2"/>
  <c r="AH205" i="2"/>
  <c r="AG205" i="2"/>
  <c r="AF205" i="2"/>
  <c r="AE205" i="2"/>
  <c r="AD205" i="2"/>
  <c r="AC205" i="2"/>
  <c r="AB205" i="2"/>
  <c r="AA205" i="2"/>
  <c r="Z205" i="2"/>
  <c r="Y205" i="2"/>
  <c r="X205" i="2"/>
  <c r="W205" i="2"/>
  <c r="V205" i="2"/>
  <c r="U205" i="2"/>
  <c r="T205" i="2"/>
  <c r="S205" i="2"/>
  <c r="R205" i="2"/>
  <c r="Q205" i="2"/>
  <c r="P205" i="2"/>
  <c r="O205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F204" i="2"/>
  <c r="BE204" i="2"/>
  <c r="BD204" i="2"/>
  <c r="BC204" i="2"/>
  <c r="BB204" i="2"/>
  <c r="BA204" i="2"/>
  <c r="AZ204" i="2"/>
  <c r="AY204" i="2"/>
  <c r="AX204" i="2"/>
  <c r="AW204" i="2"/>
  <c r="AV204" i="2"/>
  <c r="AU204" i="2"/>
  <c r="AT204" i="2"/>
  <c r="AS204" i="2"/>
  <c r="AR204" i="2"/>
  <c r="AQ204" i="2"/>
  <c r="AP204" i="2"/>
  <c r="AO204" i="2"/>
  <c r="AN204" i="2"/>
  <c r="AM204" i="2"/>
  <c r="AL204" i="2"/>
  <c r="AK204" i="2"/>
  <c r="AJ204" i="2"/>
  <c r="AI204" i="2"/>
  <c r="AH204" i="2"/>
  <c r="AG204" i="2"/>
  <c r="AF204" i="2"/>
  <c r="AE204" i="2"/>
  <c r="AD204" i="2"/>
  <c r="AC204" i="2"/>
  <c r="AB204" i="2"/>
  <c r="AA204" i="2"/>
  <c r="Z204" i="2"/>
  <c r="Y204" i="2"/>
  <c r="X204" i="2"/>
  <c r="W204" i="2"/>
  <c r="V204" i="2"/>
  <c r="U204" i="2"/>
  <c r="T204" i="2"/>
  <c r="S204" i="2"/>
  <c r="R204" i="2"/>
  <c r="Q204" i="2"/>
  <c r="P204" i="2"/>
  <c r="O204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F202" i="2"/>
  <c r="BE202" i="2"/>
  <c r="BD202" i="2"/>
  <c r="BC202" i="2"/>
  <c r="BB202" i="2"/>
  <c r="BA202" i="2"/>
  <c r="AZ202" i="2"/>
  <c r="AY202" i="2"/>
  <c r="AX202" i="2"/>
  <c r="AW202" i="2"/>
  <c r="AV202" i="2"/>
  <c r="AU202" i="2"/>
  <c r="AT202" i="2"/>
  <c r="AS202" i="2"/>
  <c r="AR202" i="2"/>
  <c r="AQ202" i="2"/>
  <c r="AP202" i="2"/>
  <c r="AO202" i="2"/>
  <c r="AN202" i="2"/>
  <c r="AM202" i="2"/>
  <c r="AL202" i="2"/>
  <c r="AK202" i="2"/>
  <c r="AJ202" i="2"/>
  <c r="AI202" i="2"/>
  <c r="AH202" i="2"/>
  <c r="AG202" i="2"/>
  <c r="AF202" i="2"/>
  <c r="AE202" i="2"/>
  <c r="AD202" i="2"/>
  <c r="AC202" i="2"/>
  <c r="AB202" i="2"/>
  <c r="AA202" i="2"/>
  <c r="Z202" i="2"/>
  <c r="Y202" i="2"/>
  <c r="X202" i="2"/>
  <c r="W202" i="2"/>
  <c r="V202" i="2"/>
  <c r="U202" i="2"/>
  <c r="T202" i="2"/>
  <c r="S202" i="2"/>
  <c r="R202" i="2"/>
  <c r="Q202" i="2"/>
  <c r="P202" i="2"/>
  <c r="O202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F201" i="2"/>
  <c r="BE201" i="2"/>
  <c r="BD201" i="2"/>
  <c r="BC201" i="2"/>
  <c r="BB201" i="2"/>
  <c r="BA201" i="2"/>
  <c r="AZ201" i="2"/>
  <c r="AY201" i="2"/>
  <c r="AX201" i="2"/>
  <c r="AW201" i="2"/>
  <c r="AV201" i="2"/>
  <c r="AU201" i="2"/>
  <c r="AT201" i="2"/>
  <c r="AS201" i="2"/>
  <c r="AR201" i="2"/>
  <c r="AQ201" i="2"/>
  <c r="AP201" i="2"/>
  <c r="AO201" i="2"/>
  <c r="AN201" i="2"/>
  <c r="AM201" i="2"/>
  <c r="AL201" i="2"/>
  <c r="AK201" i="2"/>
  <c r="AJ201" i="2"/>
  <c r="AI201" i="2"/>
  <c r="AH201" i="2"/>
  <c r="AG201" i="2"/>
  <c r="AF201" i="2"/>
  <c r="AE201" i="2"/>
  <c r="AD201" i="2"/>
  <c r="AC201" i="2"/>
  <c r="AB201" i="2"/>
  <c r="AA201" i="2"/>
  <c r="Z201" i="2"/>
  <c r="Y201" i="2"/>
  <c r="X201" i="2"/>
  <c r="W201" i="2"/>
  <c r="V201" i="2"/>
  <c r="U201" i="2"/>
  <c r="T201" i="2"/>
  <c r="S201" i="2"/>
  <c r="R201" i="2"/>
  <c r="Q201" i="2"/>
  <c r="P201" i="2"/>
  <c r="O201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F200" i="2"/>
  <c r="BE200" i="2"/>
  <c r="BD200" i="2"/>
  <c r="BC200" i="2"/>
  <c r="BB200" i="2"/>
  <c r="BA200" i="2"/>
  <c r="AZ200" i="2"/>
  <c r="AY200" i="2"/>
  <c r="AX200" i="2"/>
  <c r="AW200" i="2"/>
  <c r="AV200" i="2"/>
  <c r="AU200" i="2"/>
  <c r="AT200" i="2"/>
  <c r="AS200" i="2"/>
  <c r="AR200" i="2"/>
  <c r="AQ200" i="2"/>
  <c r="AP200" i="2"/>
  <c r="AO200" i="2"/>
  <c r="AN200" i="2"/>
  <c r="AM200" i="2"/>
  <c r="AL200" i="2"/>
  <c r="AK200" i="2"/>
  <c r="AJ200" i="2"/>
  <c r="AI200" i="2"/>
  <c r="AH200" i="2"/>
  <c r="AG200" i="2"/>
  <c r="AF200" i="2"/>
  <c r="AE200" i="2"/>
  <c r="AD200" i="2"/>
  <c r="AC200" i="2"/>
  <c r="AB200" i="2"/>
  <c r="AA200" i="2"/>
  <c r="Z200" i="2"/>
  <c r="Y200" i="2"/>
  <c r="X200" i="2"/>
  <c r="W200" i="2"/>
  <c r="V200" i="2"/>
  <c r="U200" i="2"/>
  <c r="T200" i="2"/>
  <c r="S200" i="2"/>
  <c r="R200" i="2"/>
  <c r="Q200" i="2"/>
  <c r="P200" i="2"/>
  <c r="O200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F199" i="2"/>
  <c r="BE199" i="2"/>
  <c r="BD199" i="2"/>
  <c r="BC199" i="2"/>
  <c r="BB199" i="2"/>
  <c r="BA199" i="2"/>
  <c r="AZ199" i="2"/>
  <c r="AY199" i="2"/>
  <c r="AX199" i="2"/>
  <c r="AW199" i="2"/>
  <c r="AV199" i="2"/>
  <c r="AU199" i="2"/>
  <c r="AT199" i="2"/>
  <c r="AS199" i="2"/>
  <c r="AR199" i="2"/>
  <c r="AQ199" i="2"/>
  <c r="AP199" i="2"/>
  <c r="AO199" i="2"/>
  <c r="AN199" i="2"/>
  <c r="AM199" i="2"/>
  <c r="AL199" i="2"/>
  <c r="AK199" i="2"/>
  <c r="AJ199" i="2"/>
  <c r="AI199" i="2"/>
  <c r="AH199" i="2"/>
  <c r="AG199" i="2"/>
  <c r="AF199" i="2"/>
  <c r="AE199" i="2"/>
  <c r="AD199" i="2"/>
  <c r="AC199" i="2"/>
  <c r="AB199" i="2"/>
  <c r="AA199" i="2"/>
  <c r="Z199" i="2"/>
  <c r="Y199" i="2"/>
  <c r="X199" i="2"/>
  <c r="W199" i="2"/>
  <c r="V199" i="2"/>
  <c r="U199" i="2"/>
  <c r="T199" i="2"/>
  <c r="S199" i="2"/>
  <c r="R199" i="2"/>
  <c r="Q199" i="2"/>
  <c r="P199" i="2"/>
  <c r="O199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F196" i="2"/>
  <c r="BE196" i="2"/>
  <c r="BD196" i="2"/>
  <c r="BC196" i="2"/>
  <c r="BB196" i="2"/>
  <c r="BA196" i="2"/>
  <c r="AZ196" i="2"/>
  <c r="AY196" i="2"/>
  <c r="AX196" i="2"/>
  <c r="AW196" i="2"/>
  <c r="AV196" i="2"/>
  <c r="AU196" i="2"/>
  <c r="AT196" i="2"/>
  <c r="AS196" i="2"/>
  <c r="AR196" i="2"/>
  <c r="AQ196" i="2"/>
  <c r="AP196" i="2"/>
  <c r="AO196" i="2"/>
  <c r="AN196" i="2"/>
  <c r="AM196" i="2"/>
  <c r="AL196" i="2"/>
  <c r="AK196" i="2"/>
  <c r="AJ196" i="2"/>
  <c r="AI196" i="2"/>
  <c r="AH196" i="2"/>
  <c r="AG196" i="2"/>
  <c r="AF196" i="2"/>
  <c r="AE196" i="2"/>
  <c r="AD196" i="2"/>
  <c r="AC196" i="2"/>
  <c r="AB196" i="2"/>
  <c r="AA196" i="2"/>
  <c r="Z196" i="2"/>
  <c r="Y196" i="2"/>
  <c r="X196" i="2"/>
  <c r="W196" i="2"/>
  <c r="V196" i="2"/>
  <c r="U196" i="2"/>
  <c r="T196" i="2"/>
  <c r="S196" i="2"/>
  <c r="R196" i="2"/>
  <c r="Q196" i="2"/>
  <c r="P196" i="2"/>
  <c r="O196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F195" i="2"/>
  <c r="BE195" i="2"/>
  <c r="BD195" i="2"/>
  <c r="BC195" i="2"/>
  <c r="BB195" i="2"/>
  <c r="BA195" i="2"/>
  <c r="AZ195" i="2"/>
  <c r="AY195" i="2"/>
  <c r="AX195" i="2"/>
  <c r="AW195" i="2"/>
  <c r="AV195" i="2"/>
  <c r="AU195" i="2"/>
  <c r="AT195" i="2"/>
  <c r="AS195" i="2"/>
  <c r="AR195" i="2"/>
  <c r="AQ195" i="2"/>
  <c r="AP195" i="2"/>
  <c r="AO195" i="2"/>
  <c r="AN195" i="2"/>
  <c r="AM195" i="2"/>
  <c r="AL195" i="2"/>
  <c r="AK195" i="2"/>
  <c r="AJ195" i="2"/>
  <c r="AI195" i="2"/>
  <c r="AH195" i="2"/>
  <c r="AG195" i="2"/>
  <c r="AF195" i="2"/>
  <c r="AE195" i="2"/>
  <c r="AD195" i="2"/>
  <c r="AC195" i="2"/>
  <c r="AB195" i="2"/>
  <c r="AA195" i="2"/>
  <c r="Z195" i="2"/>
  <c r="Y195" i="2"/>
  <c r="X195" i="2"/>
  <c r="W195" i="2"/>
  <c r="V195" i="2"/>
  <c r="U195" i="2"/>
  <c r="T195" i="2"/>
  <c r="S195" i="2"/>
  <c r="R195" i="2"/>
  <c r="Q195" i="2"/>
  <c r="P195" i="2"/>
  <c r="O195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F194" i="2"/>
  <c r="BE194" i="2"/>
  <c r="BD194" i="2"/>
  <c r="BC194" i="2"/>
  <c r="BB194" i="2"/>
  <c r="BA194" i="2"/>
  <c r="AZ194" i="2"/>
  <c r="AY194" i="2"/>
  <c r="AX194" i="2"/>
  <c r="AW194" i="2"/>
  <c r="AV194" i="2"/>
  <c r="AU194" i="2"/>
  <c r="AT194" i="2"/>
  <c r="AS194" i="2"/>
  <c r="AR194" i="2"/>
  <c r="AQ194" i="2"/>
  <c r="AP194" i="2"/>
  <c r="AO194" i="2"/>
  <c r="AN194" i="2"/>
  <c r="AM194" i="2"/>
  <c r="AL194" i="2"/>
  <c r="AK194" i="2"/>
  <c r="AJ194" i="2"/>
  <c r="AI194" i="2"/>
  <c r="AH194" i="2"/>
  <c r="AG194" i="2"/>
  <c r="AF194" i="2"/>
  <c r="AE194" i="2"/>
  <c r="AD194" i="2"/>
  <c r="AC194" i="2"/>
  <c r="AB194" i="2"/>
  <c r="AA194" i="2"/>
  <c r="Z194" i="2"/>
  <c r="Y194" i="2"/>
  <c r="X194" i="2"/>
  <c r="W194" i="2"/>
  <c r="V194" i="2"/>
  <c r="U194" i="2"/>
  <c r="T194" i="2"/>
  <c r="S194" i="2"/>
  <c r="R194" i="2"/>
  <c r="Q194" i="2"/>
  <c r="P194" i="2"/>
  <c r="O194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F193" i="2"/>
  <c r="BE193" i="2"/>
  <c r="BD193" i="2"/>
  <c r="BC193" i="2"/>
  <c r="BB193" i="2"/>
  <c r="BA193" i="2"/>
  <c r="AZ193" i="2"/>
  <c r="AY193" i="2"/>
  <c r="AX193" i="2"/>
  <c r="AW193" i="2"/>
  <c r="AV193" i="2"/>
  <c r="AU193" i="2"/>
  <c r="AT193" i="2"/>
  <c r="AS193" i="2"/>
  <c r="AR193" i="2"/>
  <c r="AQ193" i="2"/>
  <c r="AP193" i="2"/>
  <c r="AO193" i="2"/>
  <c r="AN193" i="2"/>
  <c r="AM193" i="2"/>
  <c r="AL193" i="2"/>
  <c r="AK193" i="2"/>
  <c r="AJ193" i="2"/>
  <c r="AI193" i="2"/>
  <c r="AH193" i="2"/>
  <c r="AG193" i="2"/>
  <c r="AF193" i="2"/>
  <c r="AE193" i="2"/>
  <c r="AD193" i="2"/>
  <c r="AC193" i="2"/>
  <c r="AB193" i="2"/>
  <c r="AA193" i="2"/>
  <c r="Z193" i="2"/>
  <c r="Y193" i="2"/>
  <c r="X193" i="2"/>
  <c r="W193" i="2"/>
  <c r="V193" i="2"/>
  <c r="U193" i="2"/>
  <c r="T193" i="2"/>
  <c r="S193" i="2"/>
  <c r="R193" i="2"/>
  <c r="Q193" i="2"/>
  <c r="P193" i="2"/>
  <c r="O193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F192" i="2"/>
  <c r="BE192" i="2"/>
  <c r="BD192" i="2"/>
  <c r="BC192" i="2"/>
  <c r="BB192" i="2"/>
  <c r="BA192" i="2"/>
  <c r="AZ192" i="2"/>
  <c r="AY192" i="2"/>
  <c r="AX192" i="2"/>
  <c r="AW192" i="2"/>
  <c r="AV192" i="2"/>
  <c r="AU192" i="2"/>
  <c r="AT192" i="2"/>
  <c r="AS192" i="2"/>
  <c r="AR192" i="2"/>
  <c r="AQ192" i="2"/>
  <c r="AP192" i="2"/>
  <c r="AO192" i="2"/>
  <c r="AN192" i="2"/>
  <c r="AM192" i="2"/>
  <c r="AL192" i="2"/>
  <c r="AK192" i="2"/>
  <c r="AJ192" i="2"/>
  <c r="AI192" i="2"/>
  <c r="AH192" i="2"/>
  <c r="AG192" i="2"/>
  <c r="AF192" i="2"/>
  <c r="AE192" i="2"/>
  <c r="AD192" i="2"/>
  <c r="AC192" i="2"/>
  <c r="AB192" i="2"/>
  <c r="AA192" i="2"/>
  <c r="Z192" i="2"/>
  <c r="Y192" i="2"/>
  <c r="X192" i="2"/>
  <c r="W192" i="2"/>
  <c r="V192" i="2"/>
  <c r="U192" i="2"/>
  <c r="T192" i="2"/>
  <c r="S192" i="2"/>
  <c r="R192" i="2"/>
  <c r="Q192" i="2"/>
  <c r="P192" i="2"/>
  <c r="O192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F103" i="2"/>
  <c r="BE103" i="2"/>
  <c r="BD103" i="2"/>
  <c r="BC103" i="2"/>
  <c r="BB103" i="2"/>
  <c r="BA103" i="2"/>
  <c r="AZ103" i="2"/>
  <c r="AY103" i="2"/>
  <c r="AX103" i="2"/>
  <c r="AW103" i="2"/>
  <c r="AV103" i="2"/>
  <c r="AU103" i="2"/>
  <c r="AT103" i="2"/>
  <c r="AS103" i="2"/>
  <c r="AR103" i="2"/>
  <c r="AQ103" i="2"/>
  <c r="AP103" i="2"/>
  <c r="AO103" i="2"/>
  <c r="AN103" i="2"/>
  <c r="AM103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F102" i="2"/>
  <c r="BE102" i="2"/>
  <c r="BD102" i="2"/>
  <c r="BC102" i="2"/>
  <c r="BB102" i="2"/>
  <c r="BA102" i="2"/>
  <c r="AZ102" i="2"/>
  <c r="AY102" i="2"/>
  <c r="AX102" i="2"/>
  <c r="AW102" i="2"/>
  <c r="AV102" i="2"/>
  <c r="AU102" i="2"/>
  <c r="AT102" i="2"/>
  <c r="AS102" i="2"/>
  <c r="AR102" i="2"/>
  <c r="AQ102" i="2"/>
  <c r="AP102" i="2"/>
  <c r="AO102" i="2"/>
  <c r="AN102" i="2"/>
  <c r="AM102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F101" i="2"/>
  <c r="BE101" i="2"/>
  <c r="BD101" i="2"/>
  <c r="BC101" i="2"/>
  <c r="BB101" i="2"/>
  <c r="BA101" i="2"/>
  <c r="AZ101" i="2"/>
  <c r="AY101" i="2"/>
  <c r="AX101" i="2"/>
  <c r="AW101" i="2"/>
  <c r="AV101" i="2"/>
  <c r="AU101" i="2"/>
  <c r="AT101" i="2"/>
  <c r="AS101" i="2"/>
  <c r="AR101" i="2"/>
  <c r="AQ101" i="2"/>
  <c r="AP101" i="2"/>
  <c r="AO101" i="2"/>
  <c r="AN101" i="2"/>
  <c r="AM101" i="2"/>
  <c r="AL101" i="2"/>
  <c r="AK101" i="2"/>
  <c r="AJ101" i="2"/>
  <c r="AI101" i="2"/>
  <c r="AH101" i="2"/>
  <c r="AG101" i="2"/>
  <c r="AF101" i="2"/>
  <c r="AE101" i="2"/>
  <c r="AD101" i="2"/>
  <c r="AC101" i="2"/>
  <c r="AB101" i="2"/>
  <c r="AA101" i="2"/>
  <c r="Z101" i="2"/>
  <c r="Y101" i="2"/>
  <c r="X101" i="2"/>
  <c r="W101" i="2"/>
  <c r="V101" i="2"/>
  <c r="U101" i="2"/>
  <c r="T101" i="2"/>
  <c r="S101" i="2"/>
  <c r="R101" i="2"/>
  <c r="Q101" i="2"/>
  <c r="P101" i="2"/>
  <c r="O101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F100" i="2"/>
  <c r="BE100" i="2"/>
  <c r="BD100" i="2"/>
  <c r="BC100" i="2"/>
  <c r="BB100" i="2"/>
  <c r="BA100" i="2"/>
  <c r="AZ100" i="2"/>
  <c r="AY100" i="2"/>
  <c r="AX100" i="2"/>
  <c r="AW100" i="2"/>
  <c r="AV100" i="2"/>
  <c r="AU100" i="2"/>
  <c r="AT100" i="2"/>
  <c r="AS100" i="2"/>
  <c r="AR100" i="2"/>
  <c r="AQ100" i="2"/>
  <c r="AP100" i="2"/>
  <c r="AO100" i="2"/>
  <c r="AN100" i="2"/>
  <c r="AM100" i="2"/>
  <c r="AL100" i="2"/>
  <c r="AK100" i="2"/>
  <c r="AJ100" i="2"/>
  <c r="AI100" i="2"/>
  <c r="AH100" i="2"/>
  <c r="AG100" i="2"/>
  <c r="AF100" i="2"/>
  <c r="AE100" i="2"/>
  <c r="AD100" i="2"/>
  <c r="AC100" i="2"/>
  <c r="AB100" i="2"/>
  <c r="AA100" i="2"/>
  <c r="Z100" i="2"/>
  <c r="Y100" i="2"/>
  <c r="X100" i="2"/>
  <c r="W100" i="2"/>
  <c r="V100" i="2"/>
  <c r="U100" i="2"/>
  <c r="T100" i="2"/>
  <c r="S100" i="2"/>
  <c r="R100" i="2"/>
  <c r="Q100" i="2"/>
  <c r="P100" i="2"/>
  <c r="O100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F97" i="2"/>
  <c r="BE97" i="2"/>
  <c r="BD97" i="2"/>
  <c r="BC97" i="2"/>
  <c r="BB97" i="2"/>
  <c r="BA97" i="2"/>
  <c r="AZ97" i="2"/>
  <c r="AY97" i="2"/>
  <c r="AX97" i="2"/>
  <c r="AW97" i="2"/>
  <c r="AV97" i="2"/>
  <c r="AU97" i="2"/>
  <c r="AT97" i="2"/>
  <c r="AS97" i="2"/>
  <c r="AR97" i="2"/>
  <c r="AQ97" i="2"/>
  <c r="AP97" i="2"/>
  <c r="AO97" i="2"/>
  <c r="AN97" i="2"/>
  <c r="AM97" i="2"/>
  <c r="AL97" i="2"/>
  <c r="AK97" i="2"/>
  <c r="AJ97" i="2"/>
  <c r="AI97" i="2"/>
  <c r="AH97" i="2"/>
  <c r="AG97" i="2"/>
  <c r="AF97" i="2"/>
  <c r="AE97" i="2"/>
  <c r="AD97" i="2"/>
  <c r="AC97" i="2"/>
  <c r="AB97" i="2"/>
  <c r="AA97" i="2"/>
  <c r="Z97" i="2"/>
  <c r="Y97" i="2"/>
  <c r="X97" i="2"/>
  <c r="W97" i="2"/>
  <c r="V97" i="2"/>
  <c r="U97" i="2"/>
  <c r="T97" i="2"/>
  <c r="S97" i="2"/>
  <c r="R97" i="2"/>
  <c r="Q97" i="2"/>
  <c r="P97" i="2"/>
  <c r="O97" i="2"/>
  <c r="N97" i="2"/>
  <c r="M97" i="2"/>
  <c r="L97" i="2"/>
  <c r="K97" i="2"/>
  <c r="J97" i="2"/>
  <c r="I97" i="2"/>
  <c r="H97" i="2"/>
  <c r="G97" i="2"/>
  <c r="F97" i="2"/>
  <c r="E97" i="2"/>
  <c r="D97" i="2"/>
  <c r="C97" i="2"/>
  <c r="BF96" i="2"/>
  <c r="BE96" i="2"/>
  <c r="BD96" i="2"/>
  <c r="BC96" i="2"/>
  <c r="BB96" i="2"/>
  <c r="BA96" i="2"/>
  <c r="AZ96" i="2"/>
  <c r="AY96" i="2"/>
  <c r="AX96" i="2"/>
  <c r="AW96" i="2"/>
  <c r="AV96" i="2"/>
  <c r="AU96" i="2"/>
  <c r="AT96" i="2"/>
  <c r="AS96" i="2"/>
  <c r="AR96" i="2"/>
  <c r="AQ96" i="2"/>
  <c r="AP96" i="2"/>
  <c r="AO96" i="2"/>
  <c r="AN96" i="2"/>
  <c r="AM96" i="2"/>
  <c r="AL96" i="2"/>
  <c r="AK96" i="2"/>
  <c r="AJ96" i="2"/>
  <c r="AI96" i="2"/>
  <c r="AH96" i="2"/>
  <c r="AG96" i="2"/>
  <c r="AF96" i="2"/>
  <c r="AE96" i="2"/>
  <c r="AD96" i="2"/>
  <c r="AC96" i="2"/>
  <c r="AB96" i="2"/>
  <c r="AA96" i="2"/>
  <c r="Z96" i="2"/>
  <c r="Y96" i="2"/>
  <c r="X96" i="2"/>
  <c r="W96" i="2"/>
  <c r="V96" i="2"/>
  <c r="U96" i="2"/>
  <c r="T96" i="2"/>
  <c r="S96" i="2"/>
  <c r="R96" i="2"/>
  <c r="Q96" i="2"/>
  <c r="P96" i="2"/>
  <c r="O96" i="2"/>
  <c r="N96" i="2"/>
  <c r="M96" i="2"/>
  <c r="L96" i="2"/>
  <c r="K96" i="2"/>
  <c r="J96" i="2"/>
  <c r="I96" i="2"/>
  <c r="H96" i="2"/>
  <c r="G96" i="2"/>
  <c r="F96" i="2"/>
  <c r="E96" i="2"/>
  <c r="D96" i="2"/>
  <c r="C96" i="2"/>
  <c r="BF95" i="2"/>
  <c r="BE95" i="2"/>
  <c r="BD95" i="2"/>
  <c r="BC95" i="2"/>
  <c r="BB95" i="2"/>
  <c r="BA95" i="2"/>
  <c r="AZ95" i="2"/>
  <c r="AY95" i="2"/>
  <c r="AX95" i="2"/>
  <c r="AW95" i="2"/>
  <c r="AV95" i="2"/>
  <c r="AU95" i="2"/>
  <c r="AT95" i="2"/>
  <c r="AS95" i="2"/>
  <c r="AR95" i="2"/>
  <c r="AQ95" i="2"/>
  <c r="AP95" i="2"/>
  <c r="AO95" i="2"/>
  <c r="AN95" i="2"/>
  <c r="AM95" i="2"/>
  <c r="AL95" i="2"/>
  <c r="AK95" i="2"/>
  <c r="AJ95" i="2"/>
  <c r="AI95" i="2"/>
  <c r="AH95" i="2"/>
  <c r="AG95" i="2"/>
  <c r="AF95" i="2"/>
  <c r="AE95" i="2"/>
  <c r="AD95" i="2"/>
  <c r="AC95" i="2"/>
  <c r="AB95" i="2"/>
  <c r="AA95" i="2"/>
  <c r="Z95" i="2"/>
  <c r="Y95" i="2"/>
  <c r="X95" i="2"/>
  <c r="W95" i="2"/>
  <c r="V95" i="2"/>
  <c r="U95" i="2"/>
  <c r="T95" i="2"/>
  <c r="S95" i="2"/>
  <c r="R95" i="2"/>
  <c r="Q95" i="2"/>
  <c r="P95" i="2"/>
  <c r="O95" i="2"/>
  <c r="N95" i="2"/>
  <c r="M95" i="2"/>
  <c r="L95" i="2"/>
  <c r="K95" i="2"/>
  <c r="J95" i="2"/>
  <c r="I95" i="2"/>
  <c r="H95" i="2"/>
  <c r="G95" i="2"/>
  <c r="F95" i="2"/>
  <c r="E95" i="2"/>
  <c r="D95" i="2"/>
  <c r="C95" i="2"/>
  <c r="BF94" i="2"/>
  <c r="BE94" i="2"/>
  <c r="BD94" i="2"/>
  <c r="BC94" i="2"/>
  <c r="BB94" i="2"/>
  <c r="BA94" i="2"/>
  <c r="AZ94" i="2"/>
  <c r="AY94" i="2"/>
  <c r="AX94" i="2"/>
  <c r="AW94" i="2"/>
  <c r="AV94" i="2"/>
  <c r="AU94" i="2"/>
  <c r="AT94" i="2"/>
  <c r="AS94" i="2"/>
  <c r="AR94" i="2"/>
  <c r="AQ94" i="2"/>
  <c r="AP94" i="2"/>
  <c r="AO94" i="2"/>
  <c r="AN94" i="2"/>
  <c r="AM94" i="2"/>
  <c r="AL94" i="2"/>
  <c r="AK94" i="2"/>
  <c r="AJ94" i="2"/>
  <c r="AI94" i="2"/>
  <c r="AH94" i="2"/>
  <c r="AG94" i="2"/>
  <c r="AF94" i="2"/>
  <c r="AE94" i="2"/>
  <c r="AD94" i="2"/>
  <c r="AC94" i="2"/>
  <c r="AB94" i="2"/>
  <c r="AA94" i="2"/>
  <c r="Z94" i="2"/>
  <c r="Y94" i="2"/>
  <c r="X94" i="2"/>
  <c r="W94" i="2"/>
  <c r="V94" i="2"/>
  <c r="U94" i="2"/>
  <c r="T94" i="2"/>
  <c r="S94" i="2"/>
  <c r="R94" i="2"/>
  <c r="Q94" i="2"/>
  <c r="P94" i="2"/>
  <c r="O94" i="2"/>
  <c r="N94" i="2"/>
  <c r="M94" i="2"/>
  <c r="L94" i="2"/>
  <c r="K94" i="2"/>
  <c r="J94" i="2"/>
  <c r="I94" i="2"/>
  <c r="H94" i="2"/>
  <c r="G94" i="2"/>
  <c r="F94" i="2"/>
  <c r="E94" i="2"/>
  <c r="D94" i="2"/>
  <c r="C94" i="2"/>
  <c r="BF93" i="2"/>
  <c r="BE93" i="2"/>
  <c r="BD93" i="2"/>
  <c r="BC93" i="2"/>
  <c r="BB93" i="2"/>
  <c r="BA93" i="2"/>
  <c r="AZ93" i="2"/>
  <c r="AY93" i="2"/>
  <c r="AX93" i="2"/>
  <c r="AW93" i="2"/>
  <c r="AV93" i="2"/>
  <c r="AU93" i="2"/>
  <c r="AT93" i="2"/>
  <c r="AS93" i="2"/>
  <c r="AR93" i="2"/>
  <c r="AQ93" i="2"/>
  <c r="AP93" i="2"/>
  <c r="AO93" i="2"/>
  <c r="AN93" i="2"/>
  <c r="AM93" i="2"/>
  <c r="AL93" i="2"/>
  <c r="AK93" i="2"/>
  <c r="AJ93" i="2"/>
  <c r="AI93" i="2"/>
  <c r="AH93" i="2"/>
  <c r="AG93" i="2"/>
  <c r="AF93" i="2"/>
  <c r="AE93" i="2"/>
  <c r="AD93" i="2"/>
  <c r="AC93" i="2"/>
  <c r="AB93" i="2"/>
  <c r="AA93" i="2"/>
  <c r="Z93" i="2"/>
  <c r="Y93" i="2"/>
  <c r="X93" i="2"/>
  <c r="W93" i="2"/>
  <c r="V93" i="2"/>
  <c r="U93" i="2"/>
  <c r="T93" i="2"/>
  <c r="S93" i="2"/>
  <c r="R93" i="2"/>
  <c r="Q93" i="2"/>
  <c r="P93" i="2"/>
  <c r="O93" i="2"/>
  <c r="N93" i="2"/>
  <c r="M93" i="2"/>
  <c r="L93" i="2"/>
  <c r="K93" i="2"/>
  <c r="J93" i="2"/>
  <c r="I93" i="2"/>
  <c r="H93" i="2"/>
  <c r="G93" i="2"/>
  <c r="F93" i="2"/>
  <c r="E93" i="2"/>
  <c r="D93" i="2"/>
  <c r="C93" i="2"/>
  <c r="BF91" i="2"/>
  <c r="BE91" i="2"/>
  <c r="BD91" i="2"/>
  <c r="BC91" i="2"/>
  <c r="BB91" i="2"/>
  <c r="BA91" i="2"/>
  <c r="AZ91" i="2"/>
  <c r="AY91" i="2"/>
  <c r="AX91" i="2"/>
  <c r="AW91" i="2"/>
  <c r="AV91" i="2"/>
  <c r="AU91" i="2"/>
  <c r="AT91" i="2"/>
  <c r="AS91" i="2"/>
  <c r="AR91" i="2"/>
  <c r="AQ91" i="2"/>
  <c r="AP91" i="2"/>
  <c r="AO91" i="2"/>
  <c r="AN91" i="2"/>
  <c r="AM91" i="2"/>
  <c r="AL91" i="2"/>
  <c r="AK91" i="2"/>
  <c r="AJ91" i="2"/>
  <c r="AI91" i="2"/>
  <c r="AH91" i="2"/>
  <c r="AG91" i="2"/>
  <c r="AF91" i="2"/>
  <c r="AE91" i="2"/>
  <c r="AD91" i="2"/>
  <c r="AC91" i="2"/>
  <c r="AB91" i="2"/>
  <c r="AA91" i="2"/>
  <c r="Z91" i="2"/>
  <c r="Y91" i="2"/>
  <c r="X91" i="2"/>
  <c r="W91" i="2"/>
  <c r="V91" i="2"/>
  <c r="U91" i="2"/>
  <c r="T91" i="2"/>
  <c r="S91" i="2"/>
  <c r="R91" i="2"/>
  <c r="Q91" i="2"/>
  <c r="P91" i="2"/>
  <c r="O91" i="2"/>
  <c r="N91" i="2"/>
  <c r="M91" i="2"/>
  <c r="L91" i="2"/>
  <c r="K91" i="2"/>
  <c r="J91" i="2"/>
  <c r="I91" i="2"/>
  <c r="H91" i="2"/>
  <c r="G91" i="2"/>
  <c r="F91" i="2"/>
  <c r="E91" i="2"/>
  <c r="D91" i="2"/>
  <c r="C91" i="2"/>
  <c r="BF90" i="2"/>
  <c r="BE90" i="2"/>
  <c r="BD90" i="2"/>
  <c r="BC90" i="2"/>
  <c r="BB90" i="2"/>
  <c r="BA90" i="2"/>
  <c r="AZ90" i="2"/>
  <c r="AY90" i="2"/>
  <c r="AX90" i="2"/>
  <c r="AW90" i="2"/>
  <c r="AV90" i="2"/>
  <c r="AU90" i="2"/>
  <c r="AT90" i="2"/>
  <c r="AS90" i="2"/>
  <c r="AR90" i="2"/>
  <c r="AQ90" i="2"/>
  <c r="AP90" i="2"/>
  <c r="AO90" i="2"/>
  <c r="AN90" i="2"/>
  <c r="AM90" i="2"/>
  <c r="AL90" i="2"/>
  <c r="AK90" i="2"/>
  <c r="AJ90" i="2"/>
  <c r="AI90" i="2"/>
  <c r="AH90" i="2"/>
  <c r="AG90" i="2"/>
  <c r="AF90" i="2"/>
  <c r="AE90" i="2"/>
  <c r="AD90" i="2"/>
  <c r="AC90" i="2"/>
  <c r="AB90" i="2"/>
  <c r="AA90" i="2"/>
  <c r="Z90" i="2"/>
  <c r="Y90" i="2"/>
  <c r="X90" i="2"/>
  <c r="W90" i="2"/>
  <c r="V90" i="2"/>
  <c r="U90" i="2"/>
  <c r="T90" i="2"/>
  <c r="S90" i="2"/>
  <c r="R90" i="2"/>
  <c r="Q90" i="2"/>
  <c r="P90" i="2"/>
  <c r="O90" i="2"/>
  <c r="N90" i="2"/>
  <c r="M90" i="2"/>
  <c r="L90" i="2"/>
  <c r="K90" i="2"/>
  <c r="J90" i="2"/>
  <c r="I90" i="2"/>
  <c r="H90" i="2"/>
  <c r="G90" i="2"/>
  <c r="F90" i="2"/>
  <c r="E90" i="2"/>
  <c r="D90" i="2"/>
  <c r="C90" i="2"/>
  <c r="BF89" i="2"/>
  <c r="BE89" i="2"/>
  <c r="BD89" i="2"/>
  <c r="BC89" i="2"/>
  <c r="BB89" i="2"/>
  <c r="BA89" i="2"/>
  <c r="AZ89" i="2"/>
  <c r="AY89" i="2"/>
  <c r="AX89" i="2"/>
  <c r="AW89" i="2"/>
  <c r="AV89" i="2"/>
  <c r="AU89" i="2"/>
  <c r="AT89" i="2"/>
  <c r="AS89" i="2"/>
  <c r="AR89" i="2"/>
  <c r="AQ89" i="2"/>
  <c r="AP89" i="2"/>
  <c r="AO89" i="2"/>
  <c r="AN89" i="2"/>
  <c r="AM89" i="2"/>
  <c r="AL89" i="2"/>
  <c r="AK89" i="2"/>
  <c r="AJ89" i="2"/>
  <c r="AI89" i="2"/>
  <c r="AH89" i="2"/>
  <c r="AG89" i="2"/>
  <c r="AF89" i="2"/>
  <c r="AE89" i="2"/>
  <c r="AD89" i="2"/>
  <c r="AC89" i="2"/>
  <c r="AB89" i="2"/>
  <c r="AA89" i="2"/>
  <c r="Z89" i="2"/>
  <c r="Y89" i="2"/>
  <c r="X89" i="2"/>
  <c r="W89" i="2"/>
  <c r="V89" i="2"/>
  <c r="U89" i="2"/>
  <c r="T89" i="2"/>
  <c r="S89" i="2"/>
  <c r="R89" i="2"/>
  <c r="Q89" i="2"/>
  <c r="P89" i="2"/>
  <c r="O89" i="2"/>
  <c r="N89" i="2"/>
  <c r="M89" i="2"/>
  <c r="L89" i="2"/>
  <c r="K89" i="2"/>
  <c r="J89" i="2"/>
  <c r="I89" i="2"/>
  <c r="H89" i="2"/>
  <c r="G89" i="2"/>
  <c r="F89" i="2"/>
  <c r="E89" i="2"/>
  <c r="D89" i="2"/>
  <c r="C89" i="2"/>
  <c r="BF88" i="2"/>
  <c r="BE88" i="2"/>
  <c r="BD88" i="2"/>
  <c r="BC88" i="2"/>
  <c r="BB88" i="2"/>
  <c r="BA88" i="2"/>
  <c r="AZ88" i="2"/>
  <c r="AY88" i="2"/>
  <c r="AX88" i="2"/>
  <c r="AW88" i="2"/>
  <c r="AV88" i="2"/>
  <c r="AU88" i="2"/>
  <c r="AT88" i="2"/>
  <c r="AS88" i="2"/>
  <c r="AR88" i="2"/>
  <c r="AQ88" i="2"/>
  <c r="AP88" i="2"/>
  <c r="AO88" i="2"/>
  <c r="AN88" i="2"/>
  <c r="AM88" i="2"/>
  <c r="AL88" i="2"/>
  <c r="AK88" i="2"/>
  <c r="AJ88" i="2"/>
  <c r="AI88" i="2"/>
  <c r="AH88" i="2"/>
  <c r="AG88" i="2"/>
  <c r="AF88" i="2"/>
  <c r="AE88" i="2"/>
  <c r="AD88" i="2"/>
  <c r="AC88" i="2"/>
  <c r="AB88" i="2"/>
  <c r="AA88" i="2"/>
  <c r="Z88" i="2"/>
  <c r="Y88" i="2"/>
  <c r="X88" i="2"/>
  <c r="W88" i="2"/>
  <c r="V88" i="2"/>
  <c r="U88" i="2"/>
  <c r="T88" i="2"/>
  <c r="S88" i="2"/>
  <c r="R88" i="2"/>
  <c r="Q88" i="2"/>
  <c r="P88" i="2"/>
  <c r="O88" i="2"/>
  <c r="N88" i="2"/>
  <c r="M88" i="2"/>
  <c r="L88" i="2"/>
  <c r="K88" i="2"/>
  <c r="J88" i="2"/>
  <c r="I88" i="2"/>
  <c r="H88" i="2"/>
  <c r="G88" i="2"/>
  <c r="F88" i="2"/>
  <c r="E88" i="2"/>
  <c r="D88" i="2"/>
  <c r="C88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V85" i="2"/>
  <c r="U85" i="2"/>
  <c r="T85" i="2"/>
  <c r="S85" i="2"/>
  <c r="R85" i="2"/>
  <c r="Q85" i="2"/>
  <c r="P85" i="2"/>
  <c r="O85" i="2"/>
  <c r="N85" i="2"/>
  <c r="M85" i="2"/>
  <c r="L85" i="2"/>
  <c r="K85" i="2"/>
  <c r="J85" i="2"/>
  <c r="I85" i="2"/>
  <c r="H85" i="2"/>
  <c r="G85" i="2"/>
  <c r="F85" i="2"/>
  <c r="E85" i="2"/>
  <c r="D85" i="2"/>
  <c r="C85" i="2"/>
  <c r="BF84" i="2"/>
  <c r="BE84" i="2"/>
  <c r="BD84" i="2"/>
  <c r="BC84" i="2"/>
  <c r="BB84" i="2"/>
  <c r="BA84" i="2"/>
  <c r="AZ84" i="2"/>
  <c r="AY84" i="2"/>
  <c r="AX84" i="2"/>
  <c r="AW84" i="2"/>
  <c r="AV84" i="2"/>
  <c r="AU84" i="2"/>
  <c r="AT84" i="2"/>
  <c r="AS84" i="2"/>
  <c r="AR84" i="2"/>
  <c r="AQ84" i="2"/>
  <c r="AP84" i="2"/>
  <c r="AO84" i="2"/>
  <c r="AN84" i="2"/>
  <c r="AM84" i="2"/>
  <c r="AL84" i="2"/>
  <c r="AK84" i="2"/>
  <c r="AJ84" i="2"/>
  <c r="AI84" i="2"/>
  <c r="AH84" i="2"/>
  <c r="AG84" i="2"/>
  <c r="AF84" i="2"/>
  <c r="AE84" i="2"/>
  <c r="AD84" i="2"/>
  <c r="AC84" i="2"/>
  <c r="AB84" i="2"/>
  <c r="AA84" i="2"/>
  <c r="Z84" i="2"/>
  <c r="Y84" i="2"/>
  <c r="X84" i="2"/>
  <c r="W84" i="2"/>
  <c r="V84" i="2"/>
  <c r="U84" i="2"/>
  <c r="T84" i="2"/>
  <c r="S84" i="2"/>
  <c r="R84" i="2"/>
  <c r="Q84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F83" i="2"/>
  <c r="BE83" i="2"/>
  <c r="BD83" i="2"/>
  <c r="BC83" i="2"/>
  <c r="BB83" i="2"/>
  <c r="BA83" i="2"/>
  <c r="AZ83" i="2"/>
  <c r="AY83" i="2"/>
  <c r="AX83" i="2"/>
  <c r="AW83" i="2"/>
  <c r="AV83" i="2"/>
  <c r="AU83" i="2"/>
  <c r="AT83" i="2"/>
  <c r="AS83" i="2"/>
  <c r="AR83" i="2"/>
  <c r="AQ83" i="2"/>
  <c r="AP83" i="2"/>
  <c r="AO83" i="2"/>
  <c r="AN83" i="2"/>
  <c r="AM83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BF82" i="2"/>
  <c r="BE82" i="2"/>
  <c r="BD82" i="2"/>
  <c r="BC82" i="2"/>
  <c r="BB82" i="2"/>
  <c r="BA82" i="2"/>
  <c r="AZ82" i="2"/>
  <c r="AY82" i="2"/>
  <c r="AX82" i="2"/>
  <c r="AW82" i="2"/>
  <c r="AV82" i="2"/>
  <c r="AU82" i="2"/>
  <c r="AT82" i="2"/>
  <c r="AS82" i="2"/>
  <c r="AR82" i="2"/>
  <c r="AQ82" i="2"/>
  <c r="AP82" i="2"/>
  <c r="AO82" i="2"/>
  <c r="AN82" i="2"/>
  <c r="AM82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F81" i="2"/>
  <c r="BE81" i="2"/>
  <c r="BD81" i="2"/>
  <c r="BC81" i="2"/>
  <c r="BB81" i="2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C61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C59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C58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C55" i="2"/>
  <c r="B55" i="2"/>
  <c r="A55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A24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B22" i="2"/>
  <c r="A22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A14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B13" i="2"/>
  <c r="A13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A12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B11" i="2"/>
  <c r="A11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A10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B9" i="2"/>
  <c r="A9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A7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B6" i="2"/>
  <c r="A6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A5" i="2"/>
  <c r="BF216" i="2" l="1"/>
  <c r="BE217" i="2"/>
  <c r="BF218" i="2"/>
  <c r="BF219" i="2"/>
  <c r="BE210" i="2"/>
  <c r="BE209" i="2" s="1"/>
  <c r="BF281" i="2"/>
  <c r="BF284" i="2"/>
  <c r="AM223" i="2"/>
  <c r="AU87" i="2"/>
  <c r="BD87" i="2"/>
  <c r="AP279" i="2"/>
  <c r="AT64" i="2"/>
  <c r="BF60" i="2"/>
  <c r="BF65" i="2"/>
  <c r="BE69" i="2"/>
  <c r="BD75" i="2"/>
  <c r="BF75" i="2"/>
  <c r="BF99" i="2"/>
  <c r="BF258" i="2"/>
  <c r="BF186" i="2"/>
  <c r="BE188" i="2"/>
  <c r="BF188" i="2"/>
  <c r="BD189" i="2"/>
  <c r="BE189" i="2"/>
  <c r="BE190" i="2"/>
  <c r="BF190" i="2"/>
  <c r="BD184" i="2"/>
  <c r="BE184" i="2"/>
  <c r="BF184" i="2"/>
  <c r="BD185" i="2"/>
  <c r="BE185" i="2"/>
  <c r="BF185" i="2"/>
  <c r="BD186" i="2"/>
  <c r="BE186" i="2"/>
  <c r="BD187" i="2"/>
  <c r="BE187" i="2"/>
  <c r="BF187" i="2"/>
  <c r="BD188" i="2"/>
  <c r="BF189" i="2"/>
  <c r="BD190" i="2"/>
  <c r="BE223" i="2"/>
  <c r="BE198" i="2"/>
  <c r="BE216" i="2"/>
  <c r="BE258" i="2"/>
  <c r="BF279" i="2"/>
  <c r="BE282" i="2"/>
  <c r="BF331" i="2"/>
  <c r="BD332" i="2"/>
  <c r="BE332" i="2"/>
  <c r="BE334" i="2"/>
  <c r="BF334" i="2"/>
  <c r="BD337" i="2"/>
  <c r="BE337" i="2"/>
  <c r="BF337" i="2"/>
  <c r="BF332" i="2"/>
  <c r="BD333" i="2"/>
  <c r="BE335" i="2"/>
  <c r="BF335" i="2"/>
  <c r="BD331" i="2"/>
  <c r="BE331" i="2"/>
  <c r="BF333" i="2"/>
  <c r="BD334" i="2"/>
  <c r="BD336" i="2"/>
  <c r="BE336" i="2"/>
  <c r="BF336" i="2"/>
  <c r="BE333" i="2"/>
  <c r="BD335" i="2"/>
  <c r="BD363" i="2"/>
  <c r="BE368" i="2"/>
  <c r="BE364" i="2"/>
  <c r="BF364" i="2"/>
  <c r="BE367" i="2"/>
  <c r="BF365" i="2"/>
  <c r="BD367" i="2"/>
  <c r="BD418" i="2"/>
  <c r="BF419" i="2"/>
  <c r="BD421" i="2"/>
  <c r="BD422" i="2"/>
  <c r="BE422" i="2"/>
  <c r="BD424" i="2"/>
  <c r="BE424" i="2"/>
  <c r="BF424" i="2"/>
  <c r="BD426" i="2"/>
  <c r="BF425" i="2"/>
  <c r="BE427" i="2"/>
  <c r="BE428" i="2"/>
  <c r="BF428" i="2"/>
  <c r="BD428" i="2"/>
  <c r="BF418" i="2"/>
  <c r="BE418" i="2"/>
  <c r="BD419" i="2"/>
  <c r="BE419" i="2"/>
  <c r="BD420" i="2"/>
  <c r="BE420" i="2"/>
  <c r="BF420" i="2"/>
  <c r="BE421" i="2"/>
  <c r="BF421" i="2"/>
  <c r="BF422" i="2"/>
  <c r="BF423" i="2"/>
  <c r="BD425" i="2"/>
  <c r="BE425" i="2"/>
  <c r="BE426" i="2"/>
  <c r="BF426" i="2"/>
  <c r="BF427" i="2"/>
  <c r="BF466" i="2"/>
  <c r="BF507" i="2"/>
  <c r="BE481" i="2"/>
  <c r="BF509" i="2"/>
  <c r="BE506" i="2"/>
  <c r="BF506" i="2"/>
  <c r="BD526" i="2"/>
  <c r="BE529" i="2"/>
  <c r="BD529" i="2"/>
  <c r="BD528" i="2"/>
  <c r="AO60" i="2"/>
  <c r="BA65" i="2"/>
  <c r="AO69" i="2"/>
  <c r="AP69" i="2"/>
  <c r="AW69" i="2"/>
  <c r="AX69" i="2"/>
  <c r="AM75" i="2"/>
  <c r="AN75" i="2"/>
  <c r="AO75" i="2"/>
  <c r="AR75" i="2"/>
  <c r="AT75" i="2"/>
  <c r="AU75" i="2"/>
  <c r="AV75" i="2"/>
  <c r="AW75" i="2"/>
  <c r="BB75" i="2"/>
  <c r="BC75" i="2"/>
  <c r="AS75" i="2"/>
  <c r="BA75" i="2"/>
  <c r="AZ75" i="2"/>
  <c r="AO87" i="2"/>
  <c r="AQ87" i="2"/>
  <c r="AR87" i="2"/>
  <c r="AR189" i="2"/>
  <c r="AZ189" i="2"/>
  <c r="BB189" i="2"/>
  <c r="BC189" i="2"/>
  <c r="AQ189" i="2"/>
  <c r="AY189" i="2"/>
  <c r="AP190" i="2"/>
  <c r="AQ190" i="2"/>
  <c r="AR190" i="2"/>
  <c r="AS190" i="2"/>
  <c r="AX190" i="2"/>
  <c r="AY190" i="2"/>
  <c r="AZ190" i="2"/>
  <c r="BA190" i="2"/>
  <c r="AM184" i="2"/>
  <c r="AN184" i="2"/>
  <c r="AO184" i="2"/>
  <c r="AP184" i="2"/>
  <c r="AQ184" i="2"/>
  <c r="AR184" i="2"/>
  <c r="AS184" i="2"/>
  <c r="AT184" i="2"/>
  <c r="AU184" i="2"/>
  <c r="AV184" i="2"/>
  <c r="AW184" i="2"/>
  <c r="AX184" i="2"/>
  <c r="AY184" i="2"/>
  <c r="AZ184" i="2"/>
  <c r="BA184" i="2"/>
  <c r="BB184" i="2"/>
  <c r="BC184" i="2"/>
  <c r="AM185" i="2"/>
  <c r="AN185" i="2"/>
  <c r="AO185" i="2"/>
  <c r="AP185" i="2"/>
  <c r="AQ185" i="2"/>
  <c r="AR185" i="2"/>
  <c r="AS185" i="2"/>
  <c r="AT185" i="2"/>
  <c r="AU185" i="2"/>
  <c r="AV185" i="2"/>
  <c r="AW185" i="2"/>
  <c r="AX185" i="2"/>
  <c r="AY185" i="2"/>
  <c r="AZ185" i="2"/>
  <c r="BA185" i="2"/>
  <c r="BB185" i="2"/>
  <c r="BC185" i="2"/>
  <c r="AM186" i="2"/>
  <c r="AN186" i="2"/>
  <c r="AO186" i="2"/>
  <c r="AP186" i="2"/>
  <c r="AQ186" i="2"/>
  <c r="AR186" i="2"/>
  <c r="AS186" i="2"/>
  <c r="AT186" i="2"/>
  <c r="AU186" i="2"/>
  <c r="AV186" i="2"/>
  <c r="AW186" i="2"/>
  <c r="AX186" i="2"/>
  <c r="AY186" i="2"/>
  <c r="AZ186" i="2"/>
  <c r="BA186" i="2"/>
  <c r="BB186" i="2"/>
  <c r="BC186" i="2"/>
  <c r="AM187" i="2"/>
  <c r="AN187" i="2"/>
  <c r="AO187" i="2"/>
  <c r="AP187" i="2"/>
  <c r="AQ187" i="2"/>
  <c r="AR187" i="2"/>
  <c r="AS187" i="2"/>
  <c r="AT187" i="2"/>
  <c r="AU187" i="2"/>
  <c r="AV187" i="2"/>
  <c r="AW187" i="2"/>
  <c r="AX187" i="2"/>
  <c r="AY187" i="2"/>
  <c r="AZ187" i="2"/>
  <c r="BA187" i="2"/>
  <c r="BB187" i="2"/>
  <c r="BC187" i="2"/>
  <c r="AM188" i="2"/>
  <c r="AN188" i="2"/>
  <c r="AO188" i="2"/>
  <c r="AP188" i="2"/>
  <c r="AQ188" i="2"/>
  <c r="AR188" i="2"/>
  <c r="AS188" i="2"/>
  <c r="AT188" i="2"/>
  <c r="AU188" i="2"/>
  <c r="AV188" i="2"/>
  <c r="AW188" i="2"/>
  <c r="AX188" i="2"/>
  <c r="AY188" i="2"/>
  <c r="AZ188" i="2"/>
  <c r="BA188" i="2"/>
  <c r="BB188" i="2"/>
  <c r="BC188" i="2"/>
  <c r="AM189" i="2"/>
  <c r="AN189" i="2"/>
  <c r="AO189" i="2"/>
  <c r="AP189" i="2"/>
  <c r="AT189" i="2"/>
  <c r="AU189" i="2"/>
  <c r="AV189" i="2"/>
  <c r="AW189" i="2"/>
  <c r="AX189" i="2"/>
  <c r="AM190" i="2"/>
  <c r="AN190" i="2"/>
  <c r="AO190" i="2"/>
  <c r="AT190" i="2"/>
  <c r="AU190" i="2"/>
  <c r="AV190" i="2"/>
  <c r="AW190" i="2"/>
  <c r="BB190" i="2"/>
  <c r="BC190" i="2"/>
  <c r="AR216" i="2"/>
  <c r="AN217" i="2"/>
  <c r="AV217" i="2"/>
  <c r="BC217" i="2"/>
  <c r="AX218" i="2"/>
  <c r="AV220" i="2"/>
  <c r="AW216" i="2"/>
  <c r="AT218" i="2"/>
  <c r="AZ218" i="2"/>
  <c r="AO219" i="2"/>
  <c r="BB219" i="2"/>
  <c r="AO216" i="2"/>
  <c r="AZ255" i="2"/>
  <c r="AT256" i="2"/>
  <c r="AR256" i="2"/>
  <c r="AZ257" i="2"/>
  <c r="AR258" i="2"/>
  <c r="BC258" i="2"/>
  <c r="AV259" i="2"/>
  <c r="AQ256" i="2"/>
  <c r="AT283" i="2"/>
  <c r="AZ331" i="2"/>
  <c r="AQ332" i="2"/>
  <c r="AR332" i="2"/>
  <c r="AY332" i="2"/>
  <c r="AP333" i="2"/>
  <c r="AX333" i="2"/>
  <c r="AY333" i="2"/>
  <c r="AO334" i="2"/>
  <c r="AW334" i="2"/>
  <c r="AN335" i="2"/>
  <c r="AO335" i="2"/>
  <c r="AV335" i="2"/>
  <c r="AM336" i="2"/>
  <c r="AN336" i="2"/>
  <c r="AU336" i="2"/>
  <c r="BC336" i="2"/>
  <c r="AT337" i="2"/>
  <c r="BB337" i="2"/>
  <c r="AR335" i="2"/>
  <c r="AZ335" i="2"/>
  <c r="AQ336" i="2"/>
  <c r="AY336" i="2"/>
  <c r="AP337" i="2"/>
  <c r="AU337" i="2"/>
  <c r="AX337" i="2"/>
  <c r="AZ337" i="2"/>
  <c r="AS331" i="2"/>
  <c r="AT331" i="2"/>
  <c r="BB331" i="2"/>
  <c r="AS332" i="2"/>
  <c r="BA332" i="2"/>
  <c r="AR333" i="2"/>
  <c r="AZ333" i="2"/>
  <c r="AQ334" i="2"/>
  <c r="AP335" i="2"/>
  <c r="AX335" i="2"/>
  <c r="AO336" i="2"/>
  <c r="AW336" i="2"/>
  <c r="AN337" i="2"/>
  <c r="AR331" i="2"/>
  <c r="AY334" i="2"/>
  <c r="AV337" i="2"/>
  <c r="AP362" i="2"/>
  <c r="AX362" i="2"/>
  <c r="AW363" i="2"/>
  <c r="AN364" i="2"/>
  <c r="AM365" i="2"/>
  <c r="AU365" i="2"/>
  <c r="BC365" i="2"/>
  <c r="AT366" i="2"/>
  <c r="AM362" i="2"/>
  <c r="AO362" i="2"/>
  <c r="AU362" i="2"/>
  <c r="BC362" i="2"/>
  <c r="AN363" i="2"/>
  <c r="AU363" i="2"/>
  <c r="AV363" i="2"/>
  <c r="BB363" i="2"/>
  <c r="AM364" i="2"/>
  <c r="AS364" i="2"/>
  <c r="AT364" i="2"/>
  <c r="BA364" i="2"/>
  <c r="BC364" i="2"/>
  <c r="AR365" i="2"/>
  <c r="AT365" i="2"/>
  <c r="AZ365" i="2"/>
  <c r="BB365" i="2"/>
  <c r="AQ366" i="2"/>
  <c r="AS366" i="2"/>
  <c r="AX366" i="2"/>
  <c r="AY366" i="2"/>
  <c r="BA366" i="2"/>
  <c r="AR367" i="2"/>
  <c r="AX367" i="2"/>
  <c r="AZ367" i="2"/>
  <c r="AO368" i="2"/>
  <c r="AQ368" i="2"/>
  <c r="AW368" i="2"/>
  <c r="AY368" i="2"/>
  <c r="AN362" i="2"/>
  <c r="AV362" i="2"/>
  <c r="AW362" i="2"/>
  <c r="AZ362" i="2"/>
  <c r="AM363" i="2"/>
  <c r="AO363" i="2"/>
  <c r="AT363" i="2"/>
  <c r="BC363" i="2"/>
  <c r="AU364" i="2"/>
  <c r="AV364" i="2"/>
  <c r="AX364" i="2"/>
  <c r="BB364" i="2"/>
  <c r="AS365" i="2"/>
  <c r="AW365" i="2"/>
  <c r="BA365" i="2"/>
  <c r="AR366" i="2"/>
  <c r="BB366" i="2"/>
  <c r="AP367" i="2"/>
  <c r="AU367" i="2"/>
  <c r="AY367" i="2"/>
  <c r="AR419" i="2"/>
  <c r="AS419" i="2"/>
  <c r="AT419" i="2"/>
  <c r="BA419" i="2"/>
  <c r="BB419" i="2"/>
  <c r="AN423" i="2"/>
  <c r="AM421" i="2"/>
  <c r="AP421" i="2"/>
  <c r="AT421" i="2"/>
  <c r="AU421" i="2"/>
  <c r="AV421" i="2"/>
  <c r="AW421" i="2"/>
  <c r="BB421" i="2"/>
  <c r="BC421" i="2"/>
  <c r="AM422" i="2"/>
  <c r="AN422" i="2"/>
  <c r="AP422" i="2"/>
  <c r="AR422" i="2"/>
  <c r="AT422" i="2"/>
  <c r="AV422" i="2"/>
  <c r="AX422" i="2"/>
  <c r="AZ422" i="2"/>
  <c r="BA422" i="2"/>
  <c r="BB422" i="2"/>
  <c r="BC422" i="2"/>
  <c r="AQ426" i="2"/>
  <c r="AN424" i="2"/>
  <c r="AO424" i="2"/>
  <c r="AP424" i="2"/>
  <c r="AQ424" i="2"/>
  <c r="AV424" i="2"/>
  <c r="AW424" i="2"/>
  <c r="AX424" i="2"/>
  <c r="AY424" i="2"/>
  <c r="BC424" i="2"/>
  <c r="AN426" i="2"/>
  <c r="AT426" i="2"/>
  <c r="AU426" i="2"/>
  <c r="AV426" i="2"/>
  <c r="AW426" i="2"/>
  <c r="BB426" i="2"/>
  <c r="AM425" i="2"/>
  <c r="AO425" i="2"/>
  <c r="AQ425" i="2"/>
  <c r="AS425" i="2"/>
  <c r="AT425" i="2"/>
  <c r="AU425" i="2"/>
  <c r="AV425" i="2"/>
  <c r="AW425" i="2"/>
  <c r="AY425" i="2"/>
  <c r="BA425" i="2"/>
  <c r="BC425" i="2"/>
  <c r="AT427" i="2"/>
  <c r="BB427" i="2"/>
  <c r="AM428" i="2"/>
  <c r="AU428" i="2"/>
  <c r="AY428" i="2"/>
  <c r="BC428" i="2"/>
  <c r="AN428" i="2"/>
  <c r="AP428" i="2"/>
  <c r="AV428" i="2"/>
  <c r="AX428" i="2"/>
  <c r="AX429" i="2"/>
  <c r="AZ429" i="2"/>
  <c r="AY418" i="2"/>
  <c r="AX427" i="2"/>
  <c r="AO418" i="2"/>
  <c r="AQ418" i="2"/>
  <c r="AS418" i="2"/>
  <c r="AU418" i="2"/>
  <c r="AW418" i="2"/>
  <c r="AM419" i="2"/>
  <c r="AN419" i="2"/>
  <c r="AO419" i="2"/>
  <c r="AP419" i="2"/>
  <c r="AQ419" i="2"/>
  <c r="AU419" i="2"/>
  <c r="AV419" i="2"/>
  <c r="AW419" i="2"/>
  <c r="AX419" i="2"/>
  <c r="AY419" i="2"/>
  <c r="AZ419" i="2"/>
  <c r="BC419" i="2"/>
  <c r="AM420" i="2"/>
  <c r="AS420" i="2"/>
  <c r="AU420" i="2"/>
  <c r="AW420" i="2"/>
  <c r="BA420" i="2"/>
  <c r="BC420" i="2"/>
  <c r="AN421" i="2"/>
  <c r="AO421" i="2"/>
  <c r="AQ421" i="2"/>
  <c r="AR421" i="2"/>
  <c r="AS421" i="2"/>
  <c r="AX421" i="2"/>
  <c r="AY421" i="2"/>
  <c r="AZ421" i="2"/>
  <c r="BA421" i="2"/>
  <c r="AO422" i="2"/>
  <c r="AQ422" i="2"/>
  <c r="AS422" i="2"/>
  <c r="AU422" i="2"/>
  <c r="AW422" i="2"/>
  <c r="AY422" i="2"/>
  <c r="AR423" i="2"/>
  <c r="AV423" i="2"/>
  <c r="AX423" i="2"/>
  <c r="AZ423" i="2"/>
  <c r="AM424" i="2"/>
  <c r="AR424" i="2"/>
  <c r="AS424" i="2"/>
  <c r="AT424" i="2"/>
  <c r="AU424" i="2"/>
  <c r="AZ424" i="2"/>
  <c r="BA424" i="2"/>
  <c r="BB424" i="2"/>
  <c r="AN425" i="2"/>
  <c r="AP425" i="2"/>
  <c r="AR425" i="2"/>
  <c r="AX425" i="2"/>
  <c r="AZ425" i="2"/>
  <c r="BB425" i="2"/>
  <c r="AM426" i="2"/>
  <c r="AO426" i="2"/>
  <c r="AS426" i="2"/>
  <c r="AY426" i="2"/>
  <c r="BA426" i="2"/>
  <c r="BC426" i="2"/>
  <c r="AP427" i="2"/>
  <c r="AQ428" i="2"/>
  <c r="AS428" i="2"/>
  <c r="AW428" i="2"/>
  <c r="AO481" i="2"/>
  <c r="AR487" i="2"/>
  <c r="AR509" i="2"/>
  <c r="AO494" i="2"/>
  <c r="BC494" i="2"/>
  <c r="AZ510" i="2"/>
  <c r="AQ500" i="2"/>
  <c r="AM526" i="2"/>
  <c r="AS526" i="2"/>
  <c r="AU526" i="2"/>
  <c r="BA526" i="2"/>
  <c r="AR529" i="2"/>
  <c r="AZ529" i="2"/>
  <c r="AQ528" i="2"/>
  <c r="AY528" i="2"/>
  <c r="AT527" i="2"/>
  <c r="AU527" i="2"/>
  <c r="BB527" i="2"/>
  <c r="BC527" i="2"/>
  <c r="AP529" i="2"/>
  <c r="AX529" i="2"/>
  <c r="AN527" i="2"/>
  <c r="AR526" i="2"/>
  <c r="AV527" i="2"/>
  <c r="AZ526" i="2"/>
  <c r="BB528" i="2"/>
  <c r="BC526" i="2"/>
  <c r="AM527" i="2"/>
  <c r="AS528" i="2"/>
  <c r="AT528" i="2"/>
  <c r="BA528" i="2"/>
  <c r="BE510" i="2" l="1"/>
  <c r="BE476" i="2"/>
  <c r="AV279" i="2"/>
  <c r="AV526" i="2"/>
  <c r="AT466" i="2"/>
  <c r="AO473" i="2"/>
  <c r="AY420" i="2"/>
  <c r="AQ420" i="2"/>
  <c r="AU368" i="2"/>
  <c r="AS362" i="2"/>
  <c r="AV366" i="2"/>
  <c r="AY363" i="2"/>
  <c r="BE500" i="2"/>
  <c r="BE507" i="2"/>
  <c r="BE466" i="2"/>
  <c r="BF429" i="2"/>
  <c r="BD423" i="2"/>
  <c r="AY527" i="2"/>
  <c r="AQ527" i="2"/>
  <c r="AZ528" i="2"/>
  <c r="AR528" i="2"/>
  <c r="BB526" i="2"/>
  <c r="AT526" i="2"/>
  <c r="BC529" i="2"/>
  <c r="AU529" i="2"/>
  <c r="AM529" i="2"/>
  <c r="AW528" i="2"/>
  <c r="AO528" i="2"/>
  <c r="AY526" i="2"/>
  <c r="AQ526" i="2"/>
  <c r="AO466" i="2"/>
  <c r="AO476" i="2"/>
  <c r="AX420" i="2"/>
  <c r="AP420" i="2"/>
  <c r="BB368" i="2"/>
  <c r="AT368" i="2"/>
  <c r="BC367" i="2"/>
  <c r="AM367" i="2"/>
  <c r="AN366" i="2"/>
  <c r="AO365" i="2"/>
  <c r="AP364" i="2"/>
  <c r="AQ363" i="2"/>
  <c r="AR362" i="2"/>
  <c r="AU69" i="2"/>
  <c r="AV69" i="2"/>
  <c r="AN69" i="2"/>
  <c r="BE527" i="2"/>
  <c r="BF527" i="2"/>
  <c r="BF529" i="2"/>
  <c r="BD527" i="2"/>
  <c r="BE526" i="2"/>
  <c r="BE429" i="2"/>
  <c r="BD427" i="2"/>
  <c r="BE423" i="2"/>
  <c r="AO453" i="2"/>
  <c r="AZ427" i="2"/>
  <c r="AR427" i="2"/>
  <c r="AO420" i="2"/>
  <c r="AP423" i="2"/>
  <c r="BA418" i="2"/>
  <c r="BC69" i="2"/>
  <c r="AM69" i="2"/>
  <c r="BD429" i="2"/>
  <c r="BD362" i="2"/>
  <c r="AN526" i="2"/>
  <c r="AP527" i="2"/>
  <c r="AS527" i="2"/>
  <c r="AT529" i="2"/>
  <c r="AV528" i="2"/>
  <c r="AW529" i="2"/>
  <c r="AX526" i="2"/>
  <c r="AW527" i="2"/>
  <c r="AO527" i="2"/>
  <c r="AX528" i="2"/>
  <c r="AP528" i="2"/>
  <c r="AY529" i="2"/>
  <c r="AQ529" i="2"/>
  <c r="BA529" i="2"/>
  <c r="AS529" i="2"/>
  <c r="BC528" i="2"/>
  <c r="AU528" i="2"/>
  <c r="AM528" i="2"/>
  <c r="AV529" i="2"/>
  <c r="AN529" i="2"/>
  <c r="AW526" i="2"/>
  <c r="AO526" i="2"/>
  <c r="AV500" i="2"/>
  <c r="BB69" i="2"/>
  <c r="AT69" i="2"/>
  <c r="BE528" i="2"/>
  <c r="BF260" i="2"/>
  <c r="AX527" i="2"/>
  <c r="BA527" i="2"/>
  <c r="BB529" i="2"/>
  <c r="AN528" i="2"/>
  <c r="AO529" i="2"/>
  <c r="AP526" i="2"/>
  <c r="AZ466" i="2"/>
  <c r="AT472" i="2"/>
  <c r="BA189" i="2"/>
  <c r="AS189" i="2"/>
  <c r="BE260" i="2"/>
  <c r="BE256" i="2"/>
  <c r="BE75" i="2"/>
  <c r="AR472" i="2"/>
  <c r="BC337" i="2"/>
  <c r="AM337" i="2"/>
  <c r="AV336" i="2"/>
  <c r="AW335" i="2"/>
  <c r="AX334" i="2"/>
  <c r="AP334" i="2"/>
  <c r="AQ333" i="2"/>
  <c r="AZ332" i="2"/>
  <c r="BA331" i="2"/>
  <c r="BF259" i="2"/>
  <c r="BF235" i="2"/>
  <c r="BF255" i="2"/>
  <c r="BE285" i="2"/>
  <c r="BE284" i="2"/>
  <c r="BE281" i="2"/>
  <c r="BE218" i="2"/>
  <c r="AR429" i="2"/>
  <c r="BB429" i="2"/>
  <c r="AT429" i="2"/>
  <c r="AO428" i="2"/>
  <c r="AY427" i="2"/>
  <c r="AQ427" i="2"/>
  <c r="AZ418" i="2"/>
  <c r="AR418" i="2"/>
  <c r="BA368" i="2"/>
  <c r="AS368" i="2"/>
  <c r="AZ368" i="2"/>
  <c r="AR368" i="2"/>
  <c r="BA367" i="2"/>
  <c r="AS367" i="2"/>
  <c r="AW258" i="2"/>
  <c r="AZ220" i="2"/>
  <c r="AR217" i="2"/>
  <c r="AT216" i="2"/>
  <c r="BC87" i="2"/>
  <c r="BC86" i="2" s="1"/>
  <c r="AN87" i="2"/>
  <c r="AN86" i="2" s="1"/>
  <c r="BF510" i="2"/>
  <c r="BF494" i="2"/>
  <c r="BF476" i="2"/>
  <c r="BF460" i="2"/>
  <c r="BE259" i="2"/>
  <c r="BE235" i="2"/>
  <c r="BF87" i="2"/>
  <c r="BF86" i="2" s="1"/>
  <c r="AZ472" i="2"/>
  <c r="BA337" i="2"/>
  <c r="AS337" i="2"/>
  <c r="BB336" i="2"/>
  <c r="AT336" i="2"/>
  <c r="BC335" i="2"/>
  <c r="AU335" i="2"/>
  <c r="AM335" i="2"/>
  <c r="AV334" i="2"/>
  <c r="AN334" i="2"/>
  <c r="AW333" i="2"/>
  <c r="AO333" i="2"/>
  <c r="AX332" i="2"/>
  <c r="AP332" i="2"/>
  <c r="AY331" i="2"/>
  <c r="AQ331" i="2"/>
  <c r="AR337" i="2"/>
  <c r="BA336" i="2"/>
  <c r="AS336" i="2"/>
  <c r="BB335" i="2"/>
  <c r="AT335" i="2"/>
  <c r="BC334" i="2"/>
  <c r="AU334" i="2"/>
  <c r="AM334" i="2"/>
  <c r="AV333" i="2"/>
  <c r="AN333" i="2"/>
  <c r="AW332" i="2"/>
  <c r="AO332" i="2"/>
  <c r="AX331" i="2"/>
  <c r="AP331" i="2"/>
  <c r="AY337" i="2"/>
  <c r="AQ337" i="2"/>
  <c r="AZ336" i="2"/>
  <c r="AR336" i="2"/>
  <c r="BA335" i="2"/>
  <c r="AS335" i="2"/>
  <c r="BB334" i="2"/>
  <c r="AT334" i="2"/>
  <c r="BC333" i="2"/>
  <c r="AU333" i="2"/>
  <c r="AM333" i="2"/>
  <c r="AV332" i="2"/>
  <c r="AN332" i="2"/>
  <c r="AW331" i="2"/>
  <c r="AO331" i="2"/>
  <c r="AW99" i="2"/>
  <c r="AW98" i="2" s="1"/>
  <c r="BA69" i="2"/>
  <c r="AS69" i="2"/>
  <c r="BE494" i="2"/>
  <c r="BE508" i="2" s="1"/>
  <c r="BE460" i="2"/>
  <c r="BF244" i="2"/>
  <c r="BE220" i="2"/>
  <c r="BF69" i="2"/>
  <c r="AY87" i="2"/>
  <c r="AY86" i="2" s="1"/>
  <c r="AP87" i="2"/>
  <c r="AP86" i="2" s="1"/>
  <c r="AR223" i="2"/>
  <c r="AV473" i="2"/>
  <c r="AT420" i="2"/>
  <c r="AX368" i="2"/>
  <c r="AP368" i="2"/>
  <c r="AQ367" i="2"/>
  <c r="AZ366" i="2"/>
  <c r="AR255" i="2"/>
  <c r="AU218" i="2"/>
  <c r="AT99" i="2"/>
  <c r="AT98" i="2" s="1"/>
  <c r="AZ87" i="2"/>
  <c r="AZ86" i="2" s="1"/>
  <c r="AY75" i="2"/>
  <c r="AQ75" i="2"/>
  <c r="AY69" i="2"/>
  <c r="AQ69" i="2"/>
  <c r="AZ69" i="2"/>
  <c r="AR69" i="2"/>
  <c r="BF473" i="2"/>
  <c r="BE366" i="2"/>
  <c r="BF363" i="2"/>
  <c r="BD368" i="2"/>
  <c r="BE365" i="2"/>
  <c r="BF362" i="2"/>
  <c r="BE244" i="2"/>
  <c r="BE219" i="2"/>
  <c r="AX87" i="2"/>
  <c r="AX86" i="2" s="1"/>
  <c r="BA334" i="2"/>
  <c r="AS334" i="2"/>
  <c r="BB333" i="2"/>
  <c r="AT333" i="2"/>
  <c r="BC332" i="2"/>
  <c r="AU332" i="2"/>
  <c r="AM332" i="2"/>
  <c r="AV331" i="2"/>
  <c r="AN331" i="2"/>
  <c r="AW337" i="2"/>
  <c r="AO337" i="2"/>
  <c r="AX336" i="2"/>
  <c r="AP336" i="2"/>
  <c r="AY335" i="2"/>
  <c r="AQ335" i="2"/>
  <c r="AZ334" i="2"/>
  <c r="AR334" i="2"/>
  <c r="BA333" i="2"/>
  <c r="AS333" i="2"/>
  <c r="BB332" i="2"/>
  <c r="AT332" i="2"/>
  <c r="BC331" i="2"/>
  <c r="AU331" i="2"/>
  <c r="AM331" i="2"/>
  <c r="AV257" i="2"/>
  <c r="AW87" i="2"/>
  <c r="AW86" i="2" s="1"/>
  <c r="AX75" i="2"/>
  <c r="AP75" i="2"/>
  <c r="BF368" i="2"/>
  <c r="BD366" i="2"/>
  <c r="BE363" i="2"/>
  <c r="BF367" i="2"/>
  <c r="BD365" i="2"/>
  <c r="BE362" i="2"/>
  <c r="BF366" i="2"/>
  <c r="BD364" i="2"/>
  <c r="BF261" i="2"/>
  <c r="BF257" i="2"/>
  <c r="BF98" i="2"/>
  <c r="BD69" i="2"/>
  <c r="AR284" i="2"/>
  <c r="AV429" i="2"/>
  <c r="AN429" i="2"/>
  <c r="AP429" i="2"/>
  <c r="AY429" i="2"/>
  <c r="AQ429" i="2"/>
  <c r="AZ428" i="2"/>
  <c r="AR428" i="2"/>
  <c r="BA428" i="2"/>
  <c r="BC427" i="2"/>
  <c r="AU427" i="2"/>
  <c r="AM427" i="2"/>
  <c r="AV427" i="2"/>
  <c r="AN427" i="2"/>
  <c r="AX426" i="2"/>
  <c r="AP426" i="2"/>
  <c r="BB423" i="2"/>
  <c r="AT423" i="2"/>
  <c r="BC418" i="2"/>
  <c r="AM418" i="2"/>
  <c r="AV418" i="2"/>
  <c r="AN418" i="2"/>
  <c r="AV368" i="2"/>
  <c r="AN368" i="2"/>
  <c r="AW367" i="2"/>
  <c r="AO367" i="2"/>
  <c r="AP366" i="2"/>
  <c r="AY365" i="2"/>
  <c r="AQ365" i="2"/>
  <c r="AZ364" i="2"/>
  <c r="AR364" i="2"/>
  <c r="BA363" i="2"/>
  <c r="AS363" i="2"/>
  <c r="BB362" i="2"/>
  <c r="AT362" i="2"/>
  <c r="BC368" i="2"/>
  <c r="AM368" i="2"/>
  <c r="AV367" i="2"/>
  <c r="AN367" i="2"/>
  <c r="AW366" i="2"/>
  <c r="AO366" i="2"/>
  <c r="AX365" i="2"/>
  <c r="AP365" i="2"/>
  <c r="AY364" i="2"/>
  <c r="AQ364" i="2"/>
  <c r="AZ363" i="2"/>
  <c r="AR363" i="2"/>
  <c r="BA362" i="2"/>
  <c r="AP220" i="2"/>
  <c r="BE261" i="2"/>
  <c r="BE257" i="2"/>
  <c r="BE99" i="2"/>
  <c r="BE98" i="2" s="1"/>
  <c r="AV87" i="2"/>
  <c r="AM87" i="2"/>
  <c r="BF64" i="2"/>
  <c r="BF283" i="2"/>
  <c r="BF210" i="2"/>
  <c r="BF209" i="2" s="1"/>
  <c r="BF223" i="2"/>
  <c r="BF220" i="2"/>
  <c r="BF217" i="2"/>
  <c r="BF285" i="2"/>
  <c r="BF280" i="2"/>
  <c r="BE197" i="2"/>
  <c r="BE221" i="2" s="1"/>
  <c r="BE283" i="2"/>
  <c r="BF256" i="2"/>
  <c r="BF472" i="2"/>
  <c r="BE447" i="2"/>
  <c r="BE87" i="2"/>
  <c r="BE86" i="2" s="1"/>
  <c r="BE64" i="2"/>
  <c r="BF453" i="2"/>
  <c r="BF477" i="2" s="1"/>
  <c r="BF447" i="2"/>
  <c r="BE280" i="2"/>
  <c r="BE509" i="2"/>
  <c r="BE472" i="2"/>
  <c r="BE487" i="2"/>
  <c r="BE255" i="2"/>
  <c r="BE453" i="2"/>
  <c r="BF282" i="2"/>
  <c r="BF487" i="2"/>
  <c r="BF500" i="2"/>
  <c r="BF481" i="2"/>
  <c r="BE279" i="2"/>
  <c r="BF198" i="2"/>
  <c r="BD64" i="2"/>
  <c r="BD510" i="2"/>
  <c r="BD506" i="2"/>
  <c r="BD509" i="2"/>
  <c r="BD460" i="2"/>
  <c r="BD261" i="2"/>
  <c r="BD256" i="2"/>
  <c r="AT284" i="2"/>
  <c r="AR198" i="2"/>
  <c r="AN261" i="2"/>
  <c r="BB99" i="2"/>
  <c r="BB98" i="2" s="1"/>
  <c r="AV507" i="2"/>
  <c r="AT475" i="2"/>
  <c r="AO258" i="2"/>
  <c r="AZ198" i="2"/>
  <c r="AZ197" i="2" s="1"/>
  <c r="AU60" i="2"/>
  <c r="AO509" i="2"/>
  <c r="AO487" i="2"/>
  <c r="AR466" i="2"/>
  <c r="AR99" i="2"/>
  <c r="AR98" i="2" s="1"/>
  <c r="AW60" i="2"/>
  <c r="AO500" i="2"/>
  <c r="AQ481" i="2"/>
  <c r="AV453" i="2"/>
  <c r="AR244" i="2"/>
  <c r="AN500" i="2"/>
  <c r="AY509" i="2"/>
  <c r="AT453" i="2"/>
  <c r="AZ475" i="2"/>
  <c r="AQ510" i="2"/>
  <c r="AQ453" i="2"/>
  <c r="AP283" i="2"/>
  <c r="BC223" i="2"/>
  <c r="AZ99" i="2"/>
  <c r="AZ98" i="2" s="1"/>
  <c r="AZ487" i="2"/>
  <c r="AN260" i="2"/>
  <c r="AT494" i="2"/>
  <c r="AN453" i="2"/>
  <c r="BB280" i="2"/>
  <c r="AN259" i="2"/>
  <c r="AU217" i="2"/>
  <c r="AT281" i="2"/>
  <c r="AU257" i="2"/>
  <c r="BC466" i="2"/>
  <c r="BC453" i="2"/>
  <c r="AW500" i="2"/>
  <c r="BB259" i="2"/>
  <c r="AU487" i="2"/>
  <c r="AW487" i="2"/>
  <c r="BB256" i="2"/>
  <c r="BB261" i="2"/>
  <c r="BB260" i="2"/>
  <c r="AW481" i="2"/>
  <c r="AU481" i="2"/>
  <c r="BB472" i="2"/>
  <c r="AV256" i="2"/>
  <c r="AN257" i="2"/>
  <c r="AW466" i="2"/>
  <c r="AO281" i="2"/>
  <c r="AO244" i="2"/>
  <c r="AX99" i="2"/>
  <c r="AX98" i="2" s="1"/>
  <c r="AR86" i="2"/>
  <c r="AT282" i="2"/>
  <c r="AV506" i="2"/>
  <c r="AN475" i="2"/>
  <c r="AZ473" i="2"/>
  <c r="AR282" i="2"/>
  <c r="AT219" i="2"/>
  <c r="BC198" i="2"/>
  <c r="BC197" i="2" s="1"/>
  <c r="AZ217" i="2"/>
  <c r="AQ494" i="2"/>
  <c r="AV509" i="2"/>
  <c r="AR460" i="2"/>
  <c r="AV472" i="2"/>
  <c r="BC476" i="2"/>
  <c r="AY510" i="2"/>
  <c r="AU223" i="2"/>
  <c r="AX220" i="2"/>
  <c r="AV510" i="2"/>
  <c r="AN506" i="2"/>
  <c r="BC487" i="2"/>
  <c r="AT473" i="2"/>
  <c r="AR257" i="2"/>
  <c r="AT255" i="2"/>
  <c r="AP218" i="2"/>
  <c r="AZ216" i="2"/>
  <c r="AR220" i="2"/>
  <c r="AP510" i="2"/>
  <c r="AX472" i="2"/>
  <c r="AX509" i="2"/>
  <c r="BD65" i="2"/>
  <c r="AP60" i="2"/>
  <c r="AR261" i="2"/>
  <c r="BD283" i="2"/>
  <c r="BD280" i="2"/>
  <c r="AN280" i="2"/>
  <c r="AT285" i="2"/>
  <c r="BD284" i="2"/>
  <c r="AZ283" i="2"/>
  <c r="AY282" i="2"/>
  <c r="BB281" i="2"/>
  <c r="AP219" i="2"/>
  <c r="AM218" i="2"/>
  <c r="AT261" i="2"/>
  <c r="AO259" i="2"/>
  <c r="AN216" i="2"/>
  <c r="BD466" i="2"/>
  <c r="BD473" i="2"/>
  <c r="BD210" i="2"/>
  <c r="BD209" i="2" s="1"/>
  <c r="AM217" i="2"/>
  <c r="BB284" i="2"/>
  <c r="AV260" i="2"/>
  <c r="AW255" i="2"/>
  <c r="AR218" i="2"/>
  <c r="BC218" i="2"/>
  <c r="BD218" i="2"/>
  <c r="AT280" i="2"/>
  <c r="AO261" i="2"/>
  <c r="AN258" i="2"/>
  <c r="AT244" i="2"/>
  <c r="AZ256" i="2"/>
  <c r="AO256" i="2"/>
  <c r="BB216" i="2"/>
  <c r="AO99" i="2"/>
  <c r="AO98" i="2" s="1"/>
  <c r="AR64" i="2"/>
  <c r="BD472" i="2"/>
  <c r="AM244" i="2"/>
  <c r="AM258" i="2"/>
  <c r="AM261" i="2"/>
  <c r="AM466" i="2"/>
  <c r="AM453" i="2"/>
  <c r="AM487" i="2"/>
  <c r="AM494" i="2"/>
  <c r="AP285" i="2"/>
  <c r="AX60" i="2"/>
  <c r="AW509" i="2"/>
  <c r="AR506" i="2"/>
  <c r="AX475" i="2"/>
  <c r="AV475" i="2"/>
  <c r="AZ460" i="2"/>
  <c r="AX473" i="2"/>
  <c r="AW473" i="2"/>
  <c r="AN472" i="2"/>
  <c r="AP475" i="2"/>
  <c r="AZ285" i="2"/>
  <c r="BB282" i="2"/>
  <c r="AW281" i="2"/>
  <c r="AZ279" i="2"/>
  <c r="BC257" i="2"/>
  <c r="AN220" i="2"/>
  <c r="BB218" i="2"/>
  <c r="AV216" i="2"/>
  <c r="BD258" i="2"/>
  <c r="AW280" i="2"/>
  <c r="AO280" i="2"/>
  <c r="BA460" i="2"/>
  <c r="BA481" i="2"/>
  <c r="BA99" i="2"/>
  <c r="BA98" i="2" s="1"/>
  <c r="BA220" i="2"/>
  <c r="BA216" i="2"/>
  <c r="BA87" i="2"/>
  <c r="BA86" i="2" s="1"/>
  <c r="AS481" i="2"/>
  <c r="AS99" i="2"/>
  <c r="AS98" i="2" s="1"/>
  <c r="AS220" i="2"/>
  <c r="AS216" i="2"/>
  <c r="AS219" i="2"/>
  <c r="AS210" i="2"/>
  <c r="AS209" i="2" s="1"/>
  <c r="AS87" i="2"/>
  <c r="AS86" i="2" s="1"/>
  <c r="AN510" i="2"/>
  <c r="AN509" i="2"/>
  <c r="AZ506" i="2"/>
  <c r="AM476" i="2"/>
  <c r="AO279" i="2"/>
  <c r="AR260" i="2"/>
  <c r="AV261" i="2"/>
  <c r="BC259" i="2"/>
  <c r="AT258" i="2"/>
  <c r="AP255" i="2"/>
  <c r="AV99" i="2"/>
  <c r="AV98" i="2" s="1"/>
  <c r="AN282" i="2"/>
  <c r="AR279" i="2"/>
  <c r="AR510" i="2"/>
  <c r="AZ507" i="2"/>
  <c r="AW279" i="2"/>
  <c r="AN279" i="2"/>
  <c r="AT260" i="2"/>
  <c r="AT259" i="2"/>
  <c r="BB258" i="2"/>
  <c r="AO255" i="2"/>
  <c r="AZ223" i="2"/>
  <c r="AP65" i="2"/>
  <c r="AU64" i="2"/>
  <c r="AQ284" i="2"/>
  <c r="AV282" i="2"/>
  <c r="AQ210" i="2"/>
  <c r="AQ209" i="2" s="1"/>
  <c r="AY284" i="2"/>
  <c r="BD282" i="2"/>
  <c r="BD279" i="2"/>
  <c r="AY64" i="2"/>
  <c r="AY494" i="2"/>
  <c r="AQ507" i="2"/>
  <c r="AS281" i="2"/>
  <c r="AW244" i="2"/>
  <c r="AW256" i="2"/>
  <c r="AN256" i="2"/>
  <c r="AY210" i="2"/>
  <c r="AY209" i="2" s="1"/>
  <c r="AP210" i="2"/>
  <c r="AP209" i="2" s="1"/>
  <c r="AU198" i="2"/>
  <c r="AU197" i="2" s="1"/>
  <c r="AM198" i="2"/>
  <c r="AM197" i="2" s="1"/>
  <c r="AY65" i="2"/>
  <c r="AQ65" i="2"/>
  <c r="BA60" i="2"/>
  <c r="AS60" i="2"/>
  <c r="AU260" i="2"/>
  <c r="AM260" i="2"/>
  <c r="AY285" i="2"/>
  <c r="AY283" i="2"/>
  <c r="AQ283" i="2"/>
  <c r="BA281" i="2"/>
  <c r="AV281" i="2"/>
  <c r="AZ509" i="2"/>
  <c r="AY507" i="2"/>
  <c r="AU510" i="2"/>
  <c r="AR473" i="2"/>
  <c r="AQ473" i="2"/>
  <c r="AW283" i="2"/>
  <c r="AP281" i="2"/>
  <c r="AV280" i="2"/>
  <c r="BC244" i="2"/>
  <c r="AX258" i="2"/>
  <c r="AU235" i="2"/>
  <c r="AT235" i="2"/>
  <c r="AX210" i="2"/>
  <c r="AX209" i="2" s="1"/>
  <c r="AW260" i="2"/>
  <c r="AZ261" i="2"/>
  <c r="BD281" i="2"/>
  <c r="AX506" i="2"/>
  <c r="AO508" i="2"/>
  <c r="AR475" i="2"/>
  <c r="AR285" i="2"/>
  <c r="AN284" i="2"/>
  <c r="AZ281" i="2"/>
  <c r="BB255" i="2"/>
  <c r="AM257" i="2"/>
  <c r="AW65" i="2"/>
  <c r="AQ282" i="2"/>
  <c r="AY279" i="2"/>
  <c r="AQ279" i="2"/>
  <c r="AY99" i="2"/>
  <c r="AY98" i="2" s="1"/>
  <c r="AQ99" i="2"/>
  <c r="AQ98" i="2" s="1"/>
  <c r="AW210" i="2"/>
  <c r="AW209" i="2" s="1"/>
  <c r="AO210" i="2"/>
  <c r="AO209" i="2" s="1"/>
  <c r="AY220" i="2"/>
  <c r="AQ220" i="2"/>
  <c r="AQ217" i="2"/>
  <c r="AW223" i="2"/>
  <c r="AO223" i="2"/>
  <c r="AW220" i="2"/>
  <c r="AO220" i="2"/>
  <c r="AY219" i="2"/>
  <c r="AQ219" i="2"/>
  <c r="AY218" i="2"/>
  <c r="AQ218" i="2"/>
  <c r="AW217" i="2"/>
  <c r="AO217" i="2"/>
  <c r="AN99" i="2"/>
  <c r="AN98" i="2" s="1"/>
  <c r="BD223" i="2"/>
  <c r="AV223" i="2"/>
  <c r="BD220" i="2"/>
  <c r="AX219" i="2"/>
  <c r="BB223" i="2"/>
  <c r="BD198" i="2"/>
  <c r="BB220" i="2"/>
  <c r="AT220" i="2"/>
  <c r="BD219" i="2"/>
  <c r="AV218" i="2"/>
  <c r="AN218" i="2"/>
  <c r="BD216" i="2"/>
  <c r="AQ466" i="2"/>
  <c r="AY466" i="2"/>
  <c r="AY258" i="2"/>
  <c r="AQ258" i="2"/>
  <c r="AY257" i="2"/>
  <c r="AQ257" i="2"/>
  <c r="AW460" i="2"/>
  <c r="AO460" i="2"/>
  <c r="BC473" i="2"/>
  <c r="AU473" i="2"/>
  <c r="AM473" i="2"/>
  <c r="AY453" i="2"/>
  <c r="AW447" i="2"/>
  <c r="BC447" i="2"/>
  <c r="AU447" i="2"/>
  <c r="BC472" i="2"/>
  <c r="AU472" i="2"/>
  <c r="AM472" i="2"/>
  <c r="AY500" i="2"/>
  <c r="AW494" i="2"/>
  <c r="AU507" i="2"/>
  <c r="AY487" i="2"/>
  <c r="AQ487" i="2"/>
  <c r="AQ511" i="2" s="1"/>
  <c r="AY476" i="2"/>
  <c r="BC507" i="2"/>
  <c r="BC510" i="2"/>
  <c r="AM507" i="2"/>
  <c r="AM510" i="2"/>
  <c r="AX285" i="2"/>
  <c r="AX279" i="2"/>
  <c r="AY217" i="2"/>
  <c r="AU509" i="2"/>
  <c r="AO447" i="2"/>
  <c r="AO283" i="2"/>
  <c r="AV285" i="2"/>
  <c r="AS244" i="2"/>
  <c r="AM235" i="2"/>
  <c r="AM255" i="2"/>
  <c r="AM99" i="2"/>
  <c r="AM98" i="2" s="1"/>
  <c r="AQ244" i="2"/>
  <c r="BD60" i="2"/>
  <c r="BE60" i="2"/>
  <c r="AS235" i="2"/>
  <c r="AO472" i="2"/>
  <c r="AU460" i="2"/>
  <c r="BC460" i="2"/>
  <c r="AW259" i="2"/>
  <c r="BC235" i="2"/>
  <c r="BC255" i="2"/>
  <c r="AU99" i="2"/>
  <c r="AU98" i="2" s="1"/>
  <c r="AQ506" i="2"/>
  <c r="AT510" i="2"/>
  <c r="BB475" i="2"/>
  <c r="AN473" i="2"/>
  <c r="AV284" i="2"/>
  <c r="AX280" i="2"/>
  <c r="BA261" i="2"/>
  <c r="BB235" i="2"/>
  <c r="AX64" i="2"/>
  <c r="AS256" i="2"/>
  <c r="BA507" i="2"/>
  <c r="AQ285" i="2"/>
  <c r="AS65" i="2"/>
  <c r="AT65" i="2"/>
  <c r="BB64" i="2"/>
  <c r="BC64" i="2"/>
  <c r="AZ259" i="2"/>
  <c r="AZ260" i="2"/>
  <c r="AX284" i="2"/>
  <c r="AP284" i="2"/>
  <c r="AX282" i="2"/>
  <c r="AP282" i="2"/>
  <c r="BB285" i="2"/>
  <c r="BB283" i="2"/>
  <c r="AN281" i="2"/>
  <c r="AM509" i="2"/>
  <c r="BA219" i="2"/>
  <c r="AY244" i="2"/>
  <c r="BA235" i="2"/>
  <c r="AS261" i="2"/>
  <c r="AU259" i="2"/>
  <c r="AS507" i="2"/>
  <c r="AR507" i="2"/>
  <c r="AW261" i="2"/>
  <c r="AY506" i="2"/>
  <c r="AS473" i="2"/>
  <c r="AX283" i="2"/>
  <c r="AU255" i="2"/>
  <c r="AN507" i="2"/>
  <c r="AW507" i="2"/>
  <c r="AO507" i="2"/>
  <c r="AW472" i="2"/>
  <c r="AY460" i="2"/>
  <c r="AQ460" i="2"/>
  <c r="BA473" i="2"/>
  <c r="BB473" i="2"/>
  <c r="AV283" i="2"/>
  <c r="AS280" i="2"/>
  <c r="AS255" i="2"/>
  <c r="AU244" i="2"/>
  <c r="AU261" i="2"/>
  <c r="BC260" i="2"/>
  <c r="AX223" i="2"/>
  <c r="AO65" i="2"/>
  <c r="BA282" i="2"/>
  <c r="BC509" i="2"/>
  <c r="BB510" i="2"/>
  <c r="AW476" i="2"/>
  <c r="BC500" i="2"/>
  <c r="AU500" i="2"/>
  <c r="AM500" i="2"/>
  <c r="BC261" i="2"/>
  <c r="AZ284" i="2"/>
  <c r="AR281" i="2"/>
  <c r="AY280" i="2"/>
  <c r="AM259" i="2"/>
  <c r="AY256" i="2"/>
  <c r="AY198" i="2"/>
  <c r="AY197" i="2" s="1"/>
  <c r="AQ198" i="2"/>
  <c r="AQ197" i="2" s="1"/>
  <c r="AP223" i="2"/>
  <c r="BB60" i="2"/>
  <c r="BD260" i="2"/>
  <c r="BD257" i="2"/>
  <c r="AP64" i="2"/>
  <c r="AZ65" i="2"/>
  <c r="AR65" i="2"/>
  <c r="BC481" i="2"/>
  <c r="BC508" i="2" s="1"/>
  <c r="AM481" i="2"/>
  <c r="AM460" i="2"/>
  <c r="AV460" i="2"/>
  <c r="AN460" i="2"/>
  <c r="AY473" i="2"/>
  <c r="AV476" i="2"/>
  <c r="AN476" i="2"/>
  <c r="AW475" i="2"/>
  <c r="AO475" i="2"/>
  <c r="AY447" i="2"/>
  <c r="AQ447" i="2"/>
  <c r="AZ447" i="2"/>
  <c r="AR447" i="2"/>
  <c r="AN285" i="2"/>
  <c r="AW284" i="2"/>
  <c r="AO284" i="2"/>
  <c r="AN283" i="2"/>
  <c r="AW282" i="2"/>
  <c r="AO282" i="2"/>
  <c r="AX281" i="2"/>
  <c r="BB279" i="2"/>
  <c r="AT279" i="2"/>
  <c r="BB244" i="2"/>
  <c r="AU258" i="2"/>
  <c r="AV235" i="2"/>
  <c r="AN235" i="2"/>
  <c r="BA258" i="2"/>
  <c r="AS258" i="2"/>
  <c r="BB257" i="2"/>
  <c r="AT257" i="2"/>
  <c r="BC256" i="2"/>
  <c r="AU256" i="2"/>
  <c r="AM256" i="2"/>
  <c r="AV255" i="2"/>
  <c r="AN255" i="2"/>
  <c r="BB65" i="2"/>
  <c r="BD285" i="2"/>
  <c r="AN223" i="2"/>
  <c r="AT223" i="2"/>
  <c r="AS460" i="2"/>
  <c r="AZ282" i="2"/>
  <c r="BA280" i="2"/>
  <c r="AQ280" i="2"/>
  <c r="AP258" i="2"/>
  <c r="AP244" i="2"/>
  <c r="AR259" i="2"/>
  <c r="AZ258" i="2"/>
  <c r="AR235" i="2"/>
  <c r="BA210" i="2"/>
  <c r="BA209" i="2" s="1"/>
  <c r="BC99" i="2"/>
  <c r="BC98" i="2" s="1"/>
  <c r="AO260" i="2"/>
  <c r="AY481" i="2"/>
  <c r="AU453" i="2"/>
  <c r="AM447" i="2"/>
  <c r="AV447" i="2"/>
  <c r="AN447" i="2"/>
  <c r="AW285" i="2"/>
  <c r="AO285" i="2"/>
  <c r="AY281" i="2"/>
  <c r="AQ281" i="2"/>
  <c r="AZ280" i="2"/>
  <c r="AR280" i="2"/>
  <c r="AR283" i="2"/>
  <c r="AS282" i="2"/>
  <c r="AP280" i="2"/>
  <c r="AX244" i="2"/>
  <c r="AZ235" i="2"/>
  <c r="AW219" i="2"/>
  <c r="BC60" i="2"/>
  <c r="AT60" i="2"/>
  <c r="BD217" i="2"/>
  <c r="BD447" i="2"/>
  <c r="AX476" i="2"/>
  <c r="AP476" i="2"/>
  <c r="AS447" i="2"/>
  <c r="BB447" i="2"/>
  <c r="AT447" i="2"/>
  <c r="AV198" i="2"/>
  <c r="AV197" i="2" s="1"/>
  <c r="AN198" i="2"/>
  <c r="AN197" i="2" s="1"/>
  <c r="AX65" i="2"/>
  <c r="AQ64" i="2"/>
  <c r="BA64" i="2"/>
  <c r="AS64" i="2"/>
  <c r="AX460" i="2"/>
  <c r="AP460" i="2"/>
  <c r="AW453" i="2"/>
  <c r="AV258" i="2"/>
  <c r="AW235" i="2"/>
  <c r="AO235" i="2"/>
  <c r="AZ210" i="2"/>
  <c r="AZ209" i="2" s="1"/>
  <c r="AR210" i="2"/>
  <c r="AR209" i="2" s="1"/>
  <c r="AP99" i="2"/>
  <c r="AP98" i="2" s="1"/>
  <c r="AZ64" i="2"/>
  <c r="BD255" i="2"/>
  <c r="BD259" i="2"/>
  <c r="BB506" i="2"/>
  <c r="BB481" i="2"/>
  <c r="BB509" i="2"/>
  <c r="BB507" i="2"/>
  <c r="AT506" i="2"/>
  <c r="AT481" i="2"/>
  <c r="AT509" i="2"/>
  <c r="AT507" i="2"/>
  <c r="AZ219" i="2"/>
  <c r="AR219" i="2"/>
  <c r="BB217" i="2"/>
  <c r="AT217" i="2"/>
  <c r="BC216" i="2"/>
  <c r="AU216" i="2"/>
  <c r="AM216" i="2"/>
  <c r="AW198" i="2"/>
  <c r="AW197" i="2" s="1"/>
  <c r="AO198" i="2"/>
  <c r="AX198" i="2"/>
  <c r="AP198" i="2"/>
  <c r="AY223" i="2"/>
  <c r="AQ223" i="2"/>
  <c r="BC219" i="2"/>
  <c r="AU219" i="2"/>
  <c r="AM219" i="2"/>
  <c r="AX216" i="2"/>
  <c r="AP216" i="2"/>
  <c r="BD476" i="2"/>
  <c r="BD99" i="2"/>
  <c r="BD98" i="2" s="1"/>
  <c r="BD86" i="2"/>
  <c r="BE65" i="2"/>
  <c r="AV210" i="2"/>
  <c r="AV209" i="2" s="1"/>
  <c r="AN210" i="2"/>
  <c r="AN209" i="2" s="1"/>
  <c r="BC220" i="2"/>
  <c r="AU220" i="2"/>
  <c r="AM220" i="2"/>
  <c r="AV219" i="2"/>
  <c r="AN219" i="2"/>
  <c r="AW218" i="2"/>
  <c r="AO218" i="2"/>
  <c r="AX217" i="2"/>
  <c r="AP217" i="2"/>
  <c r="AY216" i="2"/>
  <c r="AQ216" i="2"/>
  <c r="BB198" i="2"/>
  <c r="BB197" i="2" s="1"/>
  <c r="AT198" i="2"/>
  <c r="AT197" i="2" s="1"/>
  <c r="AQ86" i="2"/>
  <c r="BB210" i="2"/>
  <c r="AT210" i="2"/>
  <c r="AT209" i="2" s="1"/>
  <c r="BC210" i="2"/>
  <c r="BC209" i="2" s="1"/>
  <c r="AU210" i="2"/>
  <c r="AU209" i="2" s="1"/>
  <c r="AM210" i="2"/>
  <c r="AM209" i="2" s="1"/>
  <c r="BA198" i="2"/>
  <c r="BA197" i="2" s="1"/>
  <c r="AS198" i="2"/>
  <c r="AS197" i="2" s="1"/>
  <c r="AV86" i="2"/>
  <c r="BC65" i="2"/>
  <c r="AV60" i="2"/>
  <c r="AN60" i="2"/>
  <c r="BD475" i="2"/>
  <c r="BE222" i="2"/>
  <c r="BF526" i="2"/>
  <c r="BE473" i="2"/>
  <c r="BF475" i="2"/>
  <c r="BF528" i="2"/>
  <c r="BE475" i="2"/>
  <c r="AZ420" i="2"/>
  <c r="AR420" i="2"/>
  <c r="BA423" i="2"/>
  <c r="AS423" i="2"/>
  <c r="BB500" i="2"/>
  <c r="AT500" i="2"/>
  <c r="AZ494" i="2"/>
  <c r="AR494" i="2"/>
  <c r="AX487" i="2"/>
  <c r="AP487" i="2"/>
  <c r="AV481" i="2"/>
  <c r="AN481" i="2"/>
  <c r="AW429" i="2"/>
  <c r="AO429" i="2"/>
  <c r="BA427" i="2"/>
  <c r="AS427" i="2"/>
  <c r="AY423" i="2"/>
  <c r="AQ423" i="2"/>
  <c r="BB418" i="2"/>
  <c r="AT418" i="2"/>
  <c r="AZ527" i="2"/>
  <c r="AR527" i="2"/>
  <c r="AW510" i="2"/>
  <c r="AO510" i="2"/>
  <c r="AU476" i="2"/>
  <c r="BA472" i="2"/>
  <c r="AS472" i="2"/>
  <c r="AV466" i="2"/>
  <c r="AN466" i="2"/>
  <c r="BB460" i="2"/>
  <c r="AT460" i="2"/>
  <c r="AZ453" i="2"/>
  <c r="AZ477" i="2" s="1"/>
  <c r="AR453" i="2"/>
  <c r="BB476" i="2"/>
  <c r="AT476" i="2"/>
  <c r="BC475" i="2"/>
  <c r="AU475" i="2"/>
  <c r="AM475" i="2"/>
  <c r="AX447" i="2"/>
  <c r="AP447" i="2"/>
  <c r="BC279" i="2"/>
  <c r="BC281" i="2"/>
  <c r="BC282" i="2"/>
  <c r="BC283" i="2"/>
  <c r="BC280" i="2"/>
  <c r="AU279" i="2"/>
  <c r="AU281" i="2"/>
  <c r="AU282" i="2"/>
  <c r="AU283" i="2"/>
  <c r="AU280" i="2"/>
  <c r="AM279" i="2"/>
  <c r="AM281" i="2"/>
  <c r="AM282" i="2"/>
  <c r="AM283" i="2"/>
  <c r="AM280" i="2"/>
  <c r="AW506" i="2"/>
  <c r="AO506" i="2"/>
  <c r="AZ500" i="2"/>
  <c r="AZ511" i="2" s="1"/>
  <c r="AR500" i="2"/>
  <c r="AR511" i="2" s="1"/>
  <c r="AX494" i="2"/>
  <c r="AP494" i="2"/>
  <c r="AV487" i="2"/>
  <c r="AN487" i="2"/>
  <c r="AQ509" i="2"/>
  <c r="AS476" i="2"/>
  <c r="BC429" i="2"/>
  <c r="AU429" i="2"/>
  <c r="AM429" i="2"/>
  <c r="AV420" i="2"/>
  <c r="AN420" i="2"/>
  <c r="AW423" i="2"/>
  <c r="AO423" i="2"/>
  <c r="AQ476" i="2"/>
  <c r="AY472" i="2"/>
  <c r="AQ472" i="2"/>
  <c r="AZ476" i="2"/>
  <c r="AR476" i="2"/>
  <c r="BA475" i="2"/>
  <c r="AS475" i="2"/>
  <c r="BC506" i="2"/>
  <c r="AU506" i="2"/>
  <c r="AM506" i="2"/>
  <c r="AX500" i="2"/>
  <c r="AP500" i="2"/>
  <c r="AV494" i="2"/>
  <c r="AN494" i="2"/>
  <c r="BB487" i="2"/>
  <c r="AT487" i="2"/>
  <c r="AZ481" i="2"/>
  <c r="AR481" i="2"/>
  <c r="BA429" i="2"/>
  <c r="AS429" i="2"/>
  <c r="BB428" i="2"/>
  <c r="AT428" i="2"/>
  <c r="AW427" i="2"/>
  <c r="AO427" i="2"/>
  <c r="AZ426" i="2"/>
  <c r="AR426" i="2"/>
  <c r="BB420" i="2"/>
  <c r="BC423" i="2"/>
  <c r="AU423" i="2"/>
  <c r="AM423" i="2"/>
  <c r="AX418" i="2"/>
  <c r="AP418" i="2"/>
  <c r="AY475" i="2"/>
  <c r="AQ475" i="2"/>
  <c r="AW257" i="2"/>
  <c r="AV244" i="2"/>
  <c r="AN244" i="2"/>
  <c r="AX235" i="2"/>
  <c r="AP235" i="2"/>
  <c r="AY235" i="2"/>
  <c r="AQ235" i="2"/>
  <c r="AO86" i="2"/>
  <c r="AX259" i="2"/>
  <c r="AX260" i="2"/>
  <c r="AX261" i="2"/>
  <c r="AP259" i="2"/>
  <c r="AP260" i="2"/>
  <c r="AP261" i="2"/>
  <c r="AY60" i="2"/>
  <c r="AZ60" i="2"/>
  <c r="AY259" i="2"/>
  <c r="AY260" i="2"/>
  <c r="AY261" i="2"/>
  <c r="AQ60" i="2"/>
  <c r="AR60" i="2"/>
  <c r="AQ259" i="2"/>
  <c r="AQ260" i="2"/>
  <c r="AQ261" i="2"/>
  <c r="BA255" i="2"/>
  <c r="AU86" i="2"/>
  <c r="AM86" i="2"/>
  <c r="AQ255" i="2"/>
  <c r="AZ244" i="2"/>
  <c r="AR197" i="2"/>
  <c r="AU65" i="2"/>
  <c r="AV65" i="2"/>
  <c r="AN65" i="2"/>
  <c r="AV64" i="2"/>
  <c r="AW64" i="2"/>
  <c r="AN64" i="2"/>
  <c r="AO64" i="2"/>
  <c r="AY255" i="2"/>
  <c r="BB87" i="2"/>
  <c r="BB86" i="2" s="1"/>
  <c r="AT87" i="2"/>
  <c r="AT86" i="2" s="1"/>
  <c r="AX256" i="2"/>
  <c r="BB367" i="2"/>
  <c r="AT367" i="2"/>
  <c r="BC366" i="2"/>
  <c r="AU366" i="2"/>
  <c r="AM366" i="2"/>
  <c r="AV365" i="2"/>
  <c r="AN365" i="2"/>
  <c r="AW364" i="2"/>
  <c r="AO364" i="2"/>
  <c r="AX363" i="2"/>
  <c r="AP363" i="2"/>
  <c r="AY362" i="2"/>
  <c r="AQ362" i="2"/>
  <c r="BC285" i="2"/>
  <c r="AU285" i="2"/>
  <c r="AM285" i="2"/>
  <c r="BA283" i="2"/>
  <c r="BA284" i="2"/>
  <c r="BA285" i="2"/>
  <c r="BA279" i="2"/>
  <c r="AS283" i="2"/>
  <c r="AS284" i="2"/>
  <c r="AS285" i="2"/>
  <c r="AS279" i="2"/>
  <c r="BC284" i="2"/>
  <c r="AU284" i="2"/>
  <c r="AM284" i="2"/>
  <c r="AO257" i="2"/>
  <c r="I526" i="2"/>
  <c r="Q526" i="2"/>
  <c r="Y526" i="2"/>
  <c r="AG526" i="2"/>
  <c r="I528" i="2"/>
  <c r="Q528" i="2"/>
  <c r="Y528" i="2"/>
  <c r="AG528" i="2"/>
  <c r="E527" i="2"/>
  <c r="H527" i="2"/>
  <c r="M527" i="2"/>
  <c r="U527" i="2"/>
  <c r="AC527" i="2"/>
  <c r="AK527" i="2"/>
  <c r="AW477" i="2" l="1"/>
  <c r="AN511" i="2"/>
  <c r="BB474" i="2"/>
  <c r="AR254" i="2"/>
  <c r="BC511" i="2"/>
  <c r="AR474" i="2"/>
  <c r="AO477" i="2"/>
  <c r="AY254" i="2"/>
  <c r="AV254" i="2"/>
  <c r="AR221" i="2"/>
  <c r="AW508" i="2"/>
  <c r="AT477" i="2"/>
  <c r="AU474" i="2"/>
  <c r="AW474" i="2"/>
  <c r="BF222" i="2"/>
  <c r="BE474" i="2"/>
  <c r="BF511" i="2"/>
  <c r="AS254" i="2"/>
  <c r="AY222" i="2"/>
  <c r="AZ221" i="2"/>
  <c r="AV477" i="2"/>
  <c r="AU254" i="2"/>
  <c r="AP222" i="2"/>
  <c r="AM477" i="2"/>
  <c r="BF197" i="2"/>
  <c r="BF221" i="2" s="1"/>
  <c r="AP254" i="2"/>
  <c r="AT474" i="2"/>
  <c r="AT254" i="2"/>
  <c r="BE511" i="2"/>
  <c r="AR477" i="2"/>
  <c r="AX474" i="2"/>
  <c r="AZ474" i="2"/>
  <c r="BC477" i="2"/>
  <c r="AO511" i="2"/>
  <c r="AQ508" i="2"/>
  <c r="AR508" i="2"/>
  <c r="AY477" i="2"/>
  <c r="BF474" i="2"/>
  <c r="AY508" i="2"/>
  <c r="AM254" i="2"/>
  <c r="AY511" i="2"/>
  <c r="BC254" i="2"/>
  <c r="AS222" i="2"/>
  <c r="AQ477" i="2"/>
  <c r="AN474" i="2"/>
  <c r="AM508" i="2"/>
  <c r="AT508" i="2"/>
  <c r="BD222" i="2"/>
  <c r="BF508" i="2"/>
  <c r="AV511" i="2"/>
  <c r="AQ222" i="2"/>
  <c r="AN254" i="2"/>
  <c r="AN477" i="2"/>
  <c r="AM474" i="2"/>
  <c r="AM511" i="2"/>
  <c r="AO254" i="2"/>
  <c r="BE477" i="2"/>
  <c r="AW254" i="2"/>
  <c r="AU222" i="2"/>
  <c r="AY474" i="2"/>
  <c r="AS487" i="2"/>
  <c r="AW511" i="2"/>
  <c r="BF254" i="2"/>
  <c r="BE254" i="2"/>
  <c r="AP466" i="2"/>
  <c r="AP481" i="2"/>
  <c r="AP508" i="2" s="1"/>
  <c r="BD500" i="2"/>
  <c r="BD244" i="2"/>
  <c r="BD235" i="2"/>
  <c r="BD453" i="2"/>
  <c r="BD477" i="2" s="1"/>
  <c r="BD197" i="2"/>
  <c r="BD221" i="2" s="1"/>
  <c r="BD481" i="2"/>
  <c r="BD487" i="2"/>
  <c r="BD494" i="2"/>
  <c r="BD507" i="2"/>
  <c r="AX222" i="2"/>
  <c r="AU511" i="2"/>
  <c r="AQ474" i="2"/>
  <c r="AO474" i="2"/>
  <c r="BA494" i="2"/>
  <c r="BA508" i="2" s="1"/>
  <c r="AU494" i="2"/>
  <c r="AU508" i="2" s="1"/>
  <c r="AU466" i="2"/>
  <c r="AU477" i="2" s="1"/>
  <c r="AZ254" i="2"/>
  <c r="AO222" i="2"/>
  <c r="AX254" i="2"/>
  <c r="AW222" i="2"/>
  <c r="AV474" i="2"/>
  <c r="BC221" i="2"/>
  <c r="AS474" i="2"/>
  <c r="BA223" i="2"/>
  <c r="AX466" i="2"/>
  <c r="AP453" i="2"/>
  <c r="BC222" i="2"/>
  <c r="AP474" i="2"/>
  <c r="AX453" i="2"/>
  <c r="AX481" i="2"/>
  <c r="AX508" i="2" s="1"/>
  <c r="BA500" i="2"/>
  <c r="BB453" i="2"/>
  <c r="AS509" i="2"/>
  <c r="BA218" i="2"/>
  <c r="BB494" i="2"/>
  <c r="BB508" i="2" s="1"/>
  <c r="BB466" i="2"/>
  <c r="AW221" i="2"/>
  <c r="AQ254" i="2"/>
  <c r="BA222" i="2"/>
  <c r="AS453" i="2"/>
  <c r="AS500" i="2"/>
  <c r="BA487" i="2"/>
  <c r="AO197" i="2"/>
  <c r="AO221" i="2" s="1"/>
  <c r="AP506" i="2"/>
  <c r="AX507" i="2"/>
  <c r="AP507" i="2"/>
  <c r="AX257" i="2"/>
  <c r="AS223" i="2"/>
  <c r="AS259" i="2"/>
  <c r="AP472" i="2"/>
  <c r="BD474" i="2"/>
  <c r="BC474" i="2"/>
  <c r="AS506" i="2"/>
  <c r="AP256" i="2"/>
  <c r="AP257" i="2"/>
  <c r="AP509" i="2"/>
  <c r="AS221" i="2"/>
  <c r="BA257" i="2"/>
  <c r="BA466" i="2"/>
  <c r="AX255" i="2"/>
  <c r="AX510" i="2"/>
  <c r="AP473" i="2"/>
  <c r="AS218" i="2"/>
  <c r="AS494" i="2"/>
  <c r="AS508" i="2" s="1"/>
  <c r="BA506" i="2"/>
  <c r="AQ221" i="2"/>
  <c r="BB254" i="2"/>
  <c r="AY221" i="2"/>
  <c r="BA217" i="2"/>
  <c r="BA453" i="2"/>
  <c r="AT222" i="2"/>
  <c r="BA256" i="2"/>
  <c r="BB222" i="2"/>
  <c r="AS257" i="2"/>
  <c r="BA260" i="2"/>
  <c r="AS466" i="2"/>
  <c r="BA244" i="2"/>
  <c r="BA254" i="2" s="1"/>
  <c r="BA259" i="2"/>
  <c r="BA476" i="2"/>
  <c r="BA510" i="2"/>
  <c r="AM222" i="2"/>
  <c r="BA509" i="2"/>
  <c r="AU221" i="2"/>
  <c r="AS217" i="2"/>
  <c r="AS260" i="2"/>
  <c r="AS510" i="2"/>
  <c r="BA447" i="2"/>
  <c r="BA474" i="2" s="1"/>
  <c r="BB209" i="2"/>
  <c r="BB221" i="2" s="1"/>
  <c r="BB511" i="2"/>
  <c r="AN222" i="2"/>
  <c r="AN221" i="2"/>
  <c r="AM221" i="2"/>
  <c r="AV222" i="2"/>
  <c r="AX197" i="2"/>
  <c r="AX221" i="2" s="1"/>
  <c r="BA221" i="2"/>
  <c r="AP197" i="2"/>
  <c r="AP221" i="2" s="1"/>
  <c r="AZ222" i="2"/>
  <c r="AV221" i="2"/>
  <c r="AT221" i="2"/>
  <c r="AR222" i="2"/>
  <c r="AV508" i="2"/>
  <c r="AP511" i="2"/>
  <c r="AX511" i="2"/>
  <c r="AZ508" i="2"/>
  <c r="AT511" i="2"/>
  <c r="AN508" i="2"/>
  <c r="AL528" i="2"/>
  <c r="AD528" i="2"/>
  <c r="V528" i="2"/>
  <c r="N528" i="2"/>
  <c r="F528" i="2"/>
  <c r="AL526" i="2"/>
  <c r="AD526" i="2"/>
  <c r="V526" i="2"/>
  <c r="N526" i="2"/>
  <c r="F526" i="2"/>
  <c r="AK528" i="2"/>
  <c r="AC528" i="2"/>
  <c r="U528" i="2"/>
  <c r="M528" i="2"/>
  <c r="E528" i="2"/>
  <c r="X527" i="2"/>
  <c r="AF527" i="2"/>
  <c r="P527" i="2"/>
  <c r="AI528" i="2"/>
  <c r="AA528" i="2"/>
  <c r="S528" i="2"/>
  <c r="K528" i="2"/>
  <c r="C528" i="2"/>
  <c r="AI526" i="2"/>
  <c r="AA526" i="2"/>
  <c r="S526" i="2"/>
  <c r="K526" i="2"/>
  <c r="C526" i="2"/>
  <c r="AF528" i="2"/>
  <c r="X528" i="2"/>
  <c r="P528" i="2"/>
  <c r="H528" i="2"/>
  <c r="AF526" i="2"/>
  <c r="X526" i="2"/>
  <c r="P526" i="2"/>
  <c r="H526" i="2"/>
  <c r="AJ529" i="2"/>
  <c r="AB529" i="2"/>
  <c r="T529" i="2"/>
  <c r="L529" i="2"/>
  <c r="D529" i="2"/>
  <c r="AJ528" i="2"/>
  <c r="AB528" i="2"/>
  <c r="T528" i="2"/>
  <c r="L528" i="2"/>
  <c r="D528" i="2"/>
  <c r="AJ526" i="2"/>
  <c r="AB526" i="2"/>
  <c r="T526" i="2"/>
  <c r="L526" i="2"/>
  <c r="D526" i="2"/>
  <c r="AI529" i="2"/>
  <c r="AA529" i="2"/>
  <c r="S529" i="2"/>
  <c r="K529" i="2"/>
  <c r="C529" i="2"/>
  <c r="AE527" i="2"/>
  <c r="W527" i="2"/>
  <c r="O527" i="2"/>
  <c r="G527" i="2"/>
  <c r="AH529" i="2"/>
  <c r="Z529" i="2"/>
  <c r="R529" i="2"/>
  <c r="J529" i="2"/>
  <c r="AL527" i="2"/>
  <c r="AD527" i="2"/>
  <c r="V527" i="2"/>
  <c r="N527" i="2"/>
  <c r="F527" i="2"/>
  <c r="AH528" i="2"/>
  <c r="Z528" i="2"/>
  <c r="R528" i="2"/>
  <c r="J528" i="2"/>
  <c r="AH526" i="2"/>
  <c r="Z526" i="2"/>
  <c r="R526" i="2"/>
  <c r="J526" i="2"/>
  <c r="AG529" i="2"/>
  <c r="Y529" i="2"/>
  <c r="Q529" i="2"/>
  <c r="I529" i="2"/>
  <c r="AF529" i="2"/>
  <c r="X529" i="2"/>
  <c r="P529" i="2"/>
  <c r="H529" i="2"/>
  <c r="AJ527" i="2"/>
  <c r="AB527" i="2"/>
  <c r="T527" i="2"/>
  <c r="L527" i="2"/>
  <c r="D527" i="2"/>
  <c r="AE529" i="2"/>
  <c r="W529" i="2"/>
  <c r="O529" i="2"/>
  <c r="G529" i="2"/>
  <c r="AI527" i="2"/>
  <c r="AA527" i="2"/>
  <c r="S527" i="2"/>
  <c r="K527" i="2"/>
  <c r="C527" i="2"/>
  <c r="AE528" i="2"/>
  <c r="W528" i="2"/>
  <c r="O528" i="2"/>
  <c r="G528" i="2"/>
  <c r="AE526" i="2"/>
  <c r="W526" i="2"/>
  <c r="O526" i="2"/>
  <c r="G526" i="2"/>
  <c r="AL529" i="2"/>
  <c r="AD529" i="2"/>
  <c r="V529" i="2"/>
  <c r="N529" i="2"/>
  <c r="F529" i="2"/>
  <c r="AH527" i="2"/>
  <c r="Z527" i="2"/>
  <c r="R527" i="2"/>
  <c r="J527" i="2"/>
  <c r="AK529" i="2"/>
  <c r="AC529" i="2"/>
  <c r="U529" i="2"/>
  <c r="M529" i="2"/>
  <c r="E529" i="2"/>
  <c r="AG527" i="2"/>
  <c r="Y527" i="2"/>
  <c r="Q527" i="2"/>
  <c r="I527" i="2"/>
  <c r="AK526" i="2"/>
  <c r="AC526" i="2"/>
  <c r="U526" i="2"/>
  <c r="M526" i="2"/>
  <c r="E526" i="2"/>
  <c r="C506" i="2"/>
  <c r="G506" i="2"/>
  <c r="O506" i="2"/>
  <c r="W506" i="2"/>
  <c r="AE506" i="2"/>
  <c r="K510" i="2"/>
  <c r="BA511" i="2" l="1"/>
  <c r="AS511" i="2"/>
  <c r="AP477" i="2"/>
  <c r="BD254" i="2"/>
  <c r="BD508" i="2"/>
  <c r="BD511" i="2"/>
  <c r="AX477" i="2"/>
  <c r="BB477" i="2"/>
  <c r="BA477" i="2"/>
  <c r="AS477" i="2"/>
  <c r="F507" i="2"/>
  <c r="AF510" i="2"/>
  <c r="X510" i="2"/>
  <c r="P510" i="2"/>
  <c r="H510" i="2"/>
  <c r="AF506" i="2"/>
  <c r="X506" i="2"/>
  <c r="P506" i="2"/>
  <c r="H506" i="2"/>
  <c r="C509" i="2"/>
  <c r="AH509" i="2"/>
  <c r="R509" i="2"/>
  <c r="Z509" i="2"/>
  <c r="J509" i="2"/>
  <c r="AI510" i="2"/>
  <c r="AA510" i="2"/>
  <c r="S510" i="2"/>
  <c r="AI506" i="2"/>
  <c r="AA506" i="2"/>
  <c r="S506" i="2"/>
  <c r="K506" i="2"/>
  <c r="AD507" i="2"/>
  <c r="V507" i="2"/>
  <c r="N507" i="2"/>
  <c r="AG507" i="2"/>
  <c r="Y507" i="2"/>
  <c r="Q507" i="2"/>
  <c r="I507" i="2"/>
  <c r="AG510" i="2"/>
  <c r="Y510" i="2"/>
  <c r="Q510" i="2"/>
  <c r="I510" i="2"/>
  <c r="AK509" i="2"/>
  <c r="AC509" i="2"/>
  <c r="U509" i="2"/>
  <c r="M509" i="2"/>
  <c r="E509" i="2"/>
  <c r="AK507" i="2"/>
  <c r="AC507" i="2"/>
  <c r="U507" i="2"/>
  <c r="M507" i="2"/>
  <c r="E507" i="2"/>
  <c r="AG506" i="2"/>
  <c r="Y506" i="2"/>
  <c r="Q506" i="2"/>
  <c r="I506" i="2"/>
  <c r="AJ509" i="2"/>
  <c r="AB509" i="2"/>
  <c r="T509" i="2"/>
  <c r="L509" i="2"/>
  <c r="D509" i="2"/>
  <c r="AE510" i="2"/>
  <c r="W510" i="2"/>
  <c r="O510" i="2"/>
  <c r="G510" i="2"/>
  <c r="AI509" i="2"/>
  <c r="AA509" i="2"/>
  <c r="S509" i="2"/>
  <c r="K509" i="2"/>
  <c r="AI507" i="2"/>
  <c r="AA507" i="2"/>
  <c r="S507" i="2"/>
  <c r="K507" i="2"/>
  <c r="AD510" i="2"/>
  <c r="V510" i="2"/>
  <c r="N510" i="2"/>
  <c r="F510" i="2"/>
  <c r="AH507" i="2"/>
  <c r="Z507" i="2"/>
  <c r="R507" i="2"/>
  <c r="J507" i="2"/>
  <c r="AD506" i="2"/>
  <c r="V506" i="2"/>
  <c r="N506" i="2"/>
  <c r="F506" i="2"/>
  <c r="AK510" i="2"/>
  <c r="AC510" i="2"/>
  <c r="U510" i="2"/>
  <c r="M510" i="2"/>
  <c r="E510" i="2"/>
  <c r="AG509" i="2"/>
  <c r="Y509" i="2"/>
  <c r="Q509" i="2"/>
  <c r="I509" i="2"/>
  <c r="AK506" i="2"/>
  <c r="AC506" i="2"/>
  <c r="U506" i="2"/>
  <c r="M506" i="2"/>
  <c r="E506" i="2"/>
  <c r="AJ507" i="2"/>
  <c r="AB507" i="2"/>
  <c r="T507" i="2"/>
  <c r="L507" i="2"/>
  <c r="D507" i="2"/>
  <c r="AJ510" i="2"/>
  <c r="AB510" i="2"/>
  <c r="T510" i="2"/>
  <c r="L510" i="2"/>
  <c r="D510" i="2"/>
  <c r="AF509" i="2"/>
  <c r="X509" i="2"/>
  <c r="P509" i="2"/>
  <c r="H509" i="2"/>
  <c r="AF507" i="2"/>
  <c r="X507" i="2"/>
  <c r="P507" i="2"/>
  <c r="H507" i="2"/>
  <c r="AJ506" i="2"/>
  <c r="AB506" i="2"/>
  <c r="T506" i="2"/>
  <c r="L506" i="2"/>
  <c r="D506" i="2"/>
  <c r="C510" i="2"/>
  <c r="AE509" i="2"/>
  <c r="W509" i="2"/>
  <c r="O509" i="2"/>
  <c r="G509" i="2"/>
  <c r="AE507" i="2"/>
  <c r="W507" i="2"/>
  <c r="O507" i="2"/>
  <c r="G507" i="2"/>
  <c r="AH510" i="2"/>
  <c r="Z510" i="2"/>
  <c r="R510" i="2"/>
  <c r="J510" i="2"/>
  <c r="AD509" i="2"/>
  <c r="V509" i="2"/>
  <c r="N509" i="2"/>
  <c r="F509" i="2"/>
  <c r="AH506" i="2"/>
  <c r="Z506" i="2"/>
  <c r="R506" i="2"/>
  <c r="J506" i="2"/>
  <c r="C507" i="2"/>
  <c r="AH494" i="2"/>
  <c r="R500" i="2"/>
  <c r="M494" i="2"/>
  <c r="AJ500" i="2"/>
  <c r="AB500" i="2"/>
  <c r="T500" i="2"/>
  <c r="L500" i="2"/>
  <c r="D500" i="2"/>
  <c r="AI500" i="2"/>
  <c r="AA500" i="2"/>
  <c r="S500" i="2"/>
  <c r="K500" i="2"/>
  <c r="C500" i="2"/>
  <c r="AA487" i="2"/>
  <c r="AE481" i="2"/>
  <c r="J500" i="2"/>
  <c r="AG500" i="2"/>
  <c r="Y500" i="2"/>
  <c r="Q500" i="2"/>
  <c r="I500" i="2"/>
  <c r="AK494" i="2"/>
  <c r="AC494" i="2"/>
  <c r="U494" i="2"/>
  <c r="E494" i="2"/>
  <c r="AF500" i="2"/>
  <c r="X500" i="2"/>
  <c r="P500" i="2"/>
  <c r="H500" i="2"/>
  <c r="AE500" i="2"/>
  <c r="W500" i="2"/>
  <c r="O500" i="2"/>
  <c r="G500" i="2"/>
  <c r="Z500" i="2"/>
  <c r="AD500" i="2"/>
  <c r="V500" i="2"/>
  <c r="N500" i="2"/>
  <c r="F500" i="2"/>
  <c r="Z494" i="2"/>
  <c r="R494" i="2"/>
  <c r="J494" i="2"/>
  <c r="AH500" i="2"/>
  <c r="AK500" i="2"/>
  <c r="AC500" i="2"/>
  <c r="U500" i="2"/>
  <c r="M500" i="2"/>
  <c r="E500" i="2"/>
  <c r="AG494" i="2"/>
  <c r="Y494" i="2"/>
  <c r="Q494" i="2"/>
  <c r="I494" i="2"/>
  <c r="AI487" i="2"/>
  <c r="AD494" i="2"/>
  <c r="V494" i="2"/>
  <c r="N494" i="2"/>
  <c r="F494" i="2"/>
  <c r="S487" i="2"/>
  <c r="W494" i="2"/>
  <c r="G481" i="2"/>
  <c r="AJ494" i="2"/>
  <c r="AB494" i="2"/>
  <c r="T494" i="2"/>
  <c r="L494" i="2"/>
  <c r="D494" i="2"/>
  <c r="AE494" i="2"/>
  <c r="AI494" i="2"/>
  <c r="AA494" i="2"/>
  <c r="S494" i="2"/>
  <c r="K494" i="2"/>
  <c r="C494" i="2"/>
  <c r="C481" i="2"/>
  <c r="G494" i="2"/>
  <c r="O481" i="2"/>
  <c r="O494" i="2"/>
  <c r="W481" i="2"/>
  <c r="K487" i="2"/>
  <c r="AF494" i="2"/>
  <c r="X494" i="2"/>
  <c r="P494" i="2"/>
  <c r="H494" i="2"/>
  <c r="AF481" i="2"/>
  <c r="X481" i="2"/>
  <c r="P481" i="2"/>
  <c r="H481" i="2"/>
  <c r="AK487" i="2"/>
  <c r="AC487" i="2"/>
  <c r="U487" i="2"/>
  <c r="M487" i="2"/>
  <c r="E487" i="2"/>
  <c r="AG481" i="2"/>
  <c r="Y481" i="2"/>
  <c r="Q481" i="2"/>
  <c r="I481" i="2"/>
  <c r="AH487" i="2"/>
  <c r="Z487" i="2"/>
  <c r="R487" i="2"/>
  <c r="J487" i="2"/>
  <c r="AD481" i="2"/>
  <c r="V481" i="2"/>
  <c r="N481" i="2"/>
  <c r="F481" i="2"/>
  <c r="AG487" i="2"/>
  <c r="Y487" i="2"/>
  <c r="Q487" i="2"/>
  <c r="I487" i="2"/>
  <c r="AK481" i="2"/>
  <c r="AC481" i="2"/>
  <c r="U481" i="2"/>
  <c r="M481" i="2"/>
  <c r="E481" i="2"/>
  <c r="AJ487" i="2"/>
  <c r="AB487" i="2"/>
  <c r="T487" i="2"/>
  <c r="L487" i="2"/>
  <c r="AF487" i="2"/>
  <c r="X487" i="2"/>
  <c r="P487" i="2"/>
  <c r="H487" i="2"/>
  <c r="AJ481" i="2"/>
  <c r="AB481" i="2"/>
  <c r="T481" i="2"/>
  <c r="L481" i="2"/>
  <c r="D481" i="2"/>
  <c r="C487" i="2"/>
  <c r="AE487" i="2"/>
  <c r="W487" i="2"/>
  <c r="O487" i="2"/>
  <c r="G487" i="2"/>
  <c r="AI481" i="2"/>
  <c r="AA481" i="2"/>
  <c r="S481" i="2"/>
  <c r="K481" i="2"/>
  <c r="D487" i="2"/>
  <c r="AD487" i="2"/>
  <c r="V487" i="2"/>
  <c r="N487" i="2"/>
  <c r="F487" i="2"/>
  <c r="AH481" i="2"/>
  <c r="Z481" i="2"/>
  <c r="R481" i="2"/>
  <c r="J481" i="2"/>
  <c r="AE476" i="2"/>
  <c r="AD453" i="2"/>
  <c r="V453" i="2"/>
  <c r="N453" i="2"/>
  <c r="F453" i="2"/>
  <c r="AI472" i="2"/>
  <c r="AA472" i="2"/>
  <c r="S472" i="2"/>
  <c r="K472" i="2"/>
  <c r="AE473" i="2"/>
  <c r="W473" i="2"/>
  <c r="O473" i="2"/>
  <c r="G473" i="2"/>
  <c r="AH472" i="2"/>
  <c r="Z472" i="2"/>
  <c r="R472" i="2"/>
  <c r="J472" i="2"/>
  <c r="C472" i="2"/>
  <c r="C475" i="2"/>
  <c r="AI466" i="2"/>
  <c r="AA466" i="2"/>
  <c r="S466" i="2"/>
  <c r="K466" i="2"/>
  <c r="AD466" i="2"/>
  <c r="V466" i="2"/>
  <c r="N466" i="2"/>
  <c r="F466" i="2"/>
  <c r="AK460" i="2"/>
  <c r="AC460" i="2"/>
  <c r="U460" i="2"/>
  <c r="M460" i="2"/>
  <c r="E460" i="2"/>
  <c r="AJ453" i="2"/>
  <c r="AB453" i="2"/>
  <c r="T453" i="2"/>
  <c r="L453" i="2"/>
  <c r="D453" i="2"/>
  <c r="W476" i="2"/>
  <c r="O476" i="2"/>
  <c r="G476" i="2"/>
  <c r="AH475" i="2"/>
  <c r="Z475" i="2"/>
  <c r="R475" i="2"/>
  <c r="J475" i="2"/>
  <c r="AD473" i="2"/>
  <c r="V473" i="2"/>
  <c r="N473" i="2"/>
  <c r="F473" i="2"/>
  <c r="AG472" i="2"/>
  <c r="Y472" i="2"/>
  <c r="Q472" i="2"/>
  <c r="I472" i="2"/>
  <c r="AE475" i="2"/>
  <c r="W475" i="2"/>
  <c r="O475" i="2"/>
  <c r="G475" i="2"/>
  <c r="AD472" i="2"/>
  <c r="V472" i="2"/>
  <c r="N472" i="2"/>
  <c r="F472" i="2"/>
  <c r="AG476" i="2"/>
  <c r="Y476" i="2"/>
  <c r="Q476" i="2"/>
  <c r="I476" i="2"/>
  <c r="AJ475" i="2"/>
  <c r="AB475" i="2"/>
  <c r="T475" i="2"/>
  <c r="L475" i="2"/>
  <c r="D475" i="2"/>
  <c r="AF473" i="2"/>
  <c r="X473" i="2"/>
  <c r="P473" i="2"/>
  <c r="H473" i="2"/>
  <c r="C476" i="2"/>
  <c r="AD476" i="2"/>
  <c r="V476" i="2"/>
  <c r="N476" i="2"/>
  <c r="F476" i="2"/>
  <c r="AG475" i="2"/>
  <c r="Y475" i="2"/>
  <c r="Q475" i="2"/>
  <c r="I475" i="2"/>
  <c r="AK473" i="2"/>
  <c r="AC473" i="2"/>
  <c r="U473" i="2"/>
  <c r="M473" i="2"/>
  <c r="E473" i="2"/>
  <c r="AF472" i="2"/>
  <c r="X472" i="2"/>
  <c r="P472" i="2"/>
  <c r="H472" i="2"/>
  <c r="AJ473" i="2"/>
  <c r="AB473" i="2"/>
  <c r="T473" i="2"/>
  <c r="L473" i="2"/>
  <c r="D473" i="2"/>
  <c r="AE472" i="2"/>
  <c r="W472" i="2"/>
  <c r="O472" i="2"/>
  <c r="G472" i="2"/>
  <c r="AJ476" i="2"/>
  <c r="AB476" i="2"/>
  <c r="T476" i="2"/>
  <c r="L476" i="2"/>
  <c r="D476" i="2"/>
  <c r="AI473" i="2"/>
  <c r="AA473" i="2"/>
  <c r="S473" i="2"/>
  <c r="K473" i="2"/>
  <c r="AK476" i="2"/>
  <c r="U476" i="2"/>
  <c r="E476" i="2"/>
  <c r="X475" i="2"/>
  <c r="P475" i="2"/>
  <c r="AI476" i="2"/>
  <c r="AA476" i="2"/>
  <c r="S476" i="2"/>
  <c r="K476" i="2"/>
  <c r="AD475" i="2"/>
  <c r="V475" i="2"/>
  <c r="N475" i="2"/>
  <c r="F475" i="2"/>
  <c r="AH473" i="2"/>
  <c r="Z473" i="2"/>
  <c r="R473" i="2"/>
  <c r="J473" i="2"/>
  <c r="AK472" i="2"/>
  <c r="AC472" i="2"/>
  <c r="U472" i="2"/>
  <c r="M472" i="2"/>
  <c r="E472" i="2"/>
  <c r="AC476" i="2"/>
  <c r="M476" i="2"/>
  <c r="AF475" i="2"/>
  <c r="H475" i="2"/>
  <c r="AE453" i="2"/>
  <c r="W453" i="2"/>
  <c r="O453" i="2"/>
  <c r="G453" i="2"/>
  <c r="AH476" i="2"/>
  <c r="Z476" i="2"/>
  <c r="R476" i="2"/>
  <c r="J476" i="2"/>
  <c r="AK475" i="2"/>
  <c r="AC475" i="2"/>
  <c r="U475" i="2"/>
  <c r="M475" i="2"/>
  <c r="E475" i="2"/>
  <c r="AG473" i="2"/>
  <c r="Y473" i="2"/>
  <c r="Q473" i="2"/>
  <c r="I473" i="2"/>
  <c r="AJ472" i="2"/>
  <c r="AB472" i="2"/>
  <c r="T472" i="2"/>
  <c r="L472" i="2"/>
  <c r="D472" i="2"/>
  <c r="AF476" i="2"/>
  <c r="X476" i="2"/>
  <c r="P476" i="2"/>
  <c r="H476" i="2"/>
  <c r="AI475" i="2"/>
  <c r="AA475" i="2"/>
  <c r="S475" i="2"/>
  <c r="K475" i="2"/>
  <c r="AE466" i="2"/>
  <c r="W466" i="2"/>
  <c r="O466" i="2"/>
  <c r="G466" i="2"/>
  <c r="AH453" i="2"/>
  <c r="Z453" i="2"/>
  <c r="R453" i="2"/>
  <c r="J453" i="2"/>
  <c r="AK453" i="2"/>
  <c r="AC453" i="2"/>
  <c r="U453" i="2"/>
  <c r="M453" i="2"/>
  <c r="E453" i="2"/>
  <c r="AF466" i="2"/>
  <c r="AI453" i="2"/>
  <c r="AA453" i="2"/>
  <c r="S453" i="2"/>
  <c r="K453" i="2"/>
  <c r="H466" i="2"/>
  <c r="P466" i="2"/>
  <c r="C453" i="2"/>
  <c r="AG453" i="2"/>
  <c r="Y453" i="2"/>
  <c r="Q453" i="2"/>
  <c r="I453" i="2"/>
  <c r="AF453" i="2"/>
  <c r="X453" i="2"/>
  <c r="P453" i="2"/>
  <c r="H453" i="2"/>
  <c r="X466" i="2"/>
  <c r="C473" i="2"/>
  <c r="C466" i="2"/>
  <c r="AK466" i="2"/>
  <c r="AC466" i="2"/>
  <c r="U466" i="2"/>
  <c r="M466" i="2"/>
  <c r="E466" i="2"/>
  <c r="AJ460" i="2"/>
  <c r="AB460" i="2"/>
  <c r="T460" i="2"/>
  <c r="L460" i="2"/>
  <c r="D460" i="2"/>
  <c r="AJ466" i="2"/>
  <c r="AB466" i="2"/>
  <c r="T466" i="2"/>
  <c r="L466" i="2"/>
  <c r="D466" i="2"/>
  <c r="AH466" i="2"/>
  <c r="Z466" i="2"/>
  <c r="R466" i="2"/>
  <c r="J466" i="2"/>
  <c r="C447" i="2"/>
  <c r="AG466" i="2"/>
  <c r="Y466" i="2"/>
  <c r="Q466" i="2"/>
  <c r="I466" i="2"/>
  <c r="AI460" i="2"/>
  <c r="AA460" i="2"/>
  <c r="S460" i="2"/>
  <c r="K460" i="2"/>
  <c r="AE460" i="2"/>
  <c r="W460" i="2"/>
  <c r="O460" i="2"/>
  <c r="G460" i="2"/>
  <c r="AH460" i="2"/>
  <c r="Z460" i="2"/>
  <c r="R460" i="2"/>
  <c r="J460" i="2"/>
  <c r="AH447" i="2"/>
  <c r="Z447" i="2"/>
  <c r="R447" i="2"/>
  <c r="J447" i="2"/>
  <c r="AF447" i="2"/>
  <c r="X447" i="2"/>
  <c r="P447" i="2"/>
  <c r="H447" i="2"/>
  <c r="I460" i="2"/>
  <c r="H460" i="2"/>
  <c r="Y460" i="2"/>
  <c r="P460" i="2"/>
  <c r="AG460" i="2"/>
  <c r="Q460" i="2"/>
  <c r="AF460" i="2"/>
  <c r="X460" i="2"/>
  <c r="C460" i="2"/>
  <c r="AD460" i="2"/>
  <c r="V460" i="2"/>
  <c r="N460" i="2"/>
  <c r="F460" i="2"/>
  <c r="AE447" i="2"/>
  <c r="W447" i="2"/>
  <c r="O447" i="2"/>
  <c r="G447" i="2"/>
  <c r="AK447" i="2"/>
  <c r="AC447" i="2"/>
  <c r="U447" i="2"/>
  <c r="M447" i="2"/>
  <c r="E447" i="2"/>
  <c r="AD447" i="2"/>
  <c r="V447" i="2"/>
  <c r="N447" i="2"/>
  <c r="F447" i="2"/>
  <c r="AG447" i="2"/>
  <c r="Y447" i="2"/>
  <c r="Q447" i="2"/>
  <c r="I447" i="2"/>
  <c r="AJ447" i="2"/>
  <c r="AB447" i="2"/>
  <c r="T447" i="2"/>
  <c r="L447" i="2"/>
  <c r="D447" i="2"/>
  <c r="AI447" i="2"/>
  <c r="AA447" i="2"/>
  <c r="S447" i="2"/>
  <c r="K447" i="2"/>
  <c r="AI508" i="2" l="1"/>
  <c r="S508" i="2"/>
  <c r="E508" i="2"/>
  <c r="K508" i="2"/>
  <c r="AA508" i="2"/>
  <c r="M508" i="2"/>
  <c r="P511" i="2"/>
  <c r="I508" i="2"/>
  <c r="AK511" i="2"/>
  <c r="AD511" i="2"/>
  <c r="AC511" i="2"/>
  <c r="X511" i="2"/>
  <c r="AH508" i="2"/>
  <c r="D508" i="2"/>
  <c r="AF511" i="2"/>
  <c r="N508" i="2"/>
  <c r="Q508" i="2"/>
  <c r="L508" i="2"/>
  <c r="AG508" i="2"/>
  <c r="G511" i="2"/>
  <c r="J511" i="2"/>
  <c r="R508" i="2"/>
  <c r="D511" i="2"/>
  <c r="AH511" i="2"/>
  <c r="V508" i="2"/>
  <c r="H508" i="2"/>
  <c r="K511" i="2"/>
  <c r="L511" i="2"/>
  <c r="Z508" i="2"/>
  <c r="T508" i="2"/>
  <c r="I511" i="2"/>
  <c r="X508" i="2"/>
  <c r="C511" i="2"/>
  <c r="O511" i="2"/>
  <c r="AJ511" i="2"/>
  <c r="U508" i="2"/>
  <c r="AJ508" i="2"/>
  <c r="AE511" i="2"/>
  <c r="F508" i="2"/>
  <c r="AC508" i="2"/>
  <c r="F511" i="2"/>
  <c r="AK508" i="2"/>
  <c r="AD508" i="2"/>
  <c r="Y508" i="2"/>
  <c r="G508" i="2"/>
  <c r="AI511" i="2"/>
  <c r="N511" i="2"/>
  <c r="T511" i="2"/>
  <c r="V511" i="2"/>
  <c r="AB508" i="2"/>
  <c r="AB511" i="2"/>
  <c r="Q511" i="2"/>
  <c r="E511" i="2"/>
  <c r="AF508" i="2"/>
  <c r="O508" i="2"/>
  <c r="S511" i="2"/>
  <c r="J508" i="2"/>
  <c r="W511" i="2"/>
  <c r="H511" i="2"/>
  <c r="AG511" i="2"/>
  <c r="Z511" i="2"/>
  <c r="U511" i="2"/>
  <c r="C508" i="2"/>
  <c r="AE508" i="2"/>
  <c r="AA511" i="2"/>
  <c r="P508" i="2"/>
  <c r="W508" i="2"/>
  <c r="Y511" i="2"/>
  <c r="R511" i="2"/>
  <c r="M511" i="2"/>
  <c r="U474" i="2"/>
  <c r="T477" i="2"/>
  <c r="L477" i="2"/>
  <c r="P477" i="2"/>
  <c r="I477" i="2"/>
  <c r="S477" i="2"/>
  <c r="F477" i="2"/>
  <c r="M474" i="2"/>
  <c r="K477" i="2"/>
  <c r="N477" i="2"/>
  <c r="V477" i="2"/>
  <c r="AD477" i="2"/>
  <c r="AA474" i="2"/>
  <c r="Q474" i="2"/>
  <c r="E474" i="2"/>
  <c r="AJ477" i="2"/>
  <c r="O477" i="2"/>
  <c r="AE477" i="2"/>
  <c r="AA477" i="2"/>
  <c r="AK474" i="2"/>
  <c r="AI477" i="2"/>
  <c r="G477" i="2"/>
  <c r="W477" i="2"/>
  <c r="AC474" i="2"/>
  <c r="D477" i="2"/>
  <c r="Z474" i="2"/>
  <c r="K474" i="2"/>
  <c r="AB477" i="2"/>
  <c r="AG474" i="2"/>
  <c r="T474" i="2"/>
  <c r="AB474" i="2"/>
  <c r="V474" i="2"/>
  <c r="G474" i="2"/>
  <c r="AG477" i="2"/>
  <c r="Z477" i="2"/>
  <c r="C477" i="2"/>
  <c r="L474" i="2"/>
  <c r="AD474" i="2"/>
  <c r="AH474" i="2"/>
  <c r="AE474" i="2"/>
  <c r="P474" i="2"/>
  <c r="O474" i="2"/>
  <c r="AH477" i="2"/>
  <c r="AI474" i="2"/>
  <c r="Y474" i="2"/>
  <c r="X474" i="2"/>
  <c r="AJ474" i="2"/>
  <c r="H477" i="2"/>
  <c r="E477" i="2"/>
  <c r="S474" i="2"/>
  <c r="I474" i="2"/>
  <c r="W474" i="2"/>
  <c r="H474" i="2"/>
  <c r="C474" i="2"/>
  <c r="M477" i="2"/>
  <c r="AF474" i="2"/>
  <c r="AK477" i="2"/>
  <c r="U477" i="2"/>
  <c r="AF477" i="2"/>
  <c r="AC477" i="2"/>
  <c r="D474" i="2"/>
  <c r="F474" i="2"/>
  <c r="J474" i="2"/>
  <c r="Q477" i="2"/>
  <c r="J477" i="2"/>
  <c r="X477" i="2"/>
  <c r="N474" i="2"/>
  <c r="R474" i="2"/>
  <c r="Y477" i="2"/>
  <c r="R477" i="2"/>
  <c r="C419" i="2" l="1"/>
  <c r="D419" i="2"/>
  <c r="E419" i="2"/>
  <c r="F419" i="2"/>
  <c r="G419" i="2"/>
  <c r="H419" i="2"/>
  <c r="C433" i="2" s="1"/>
  <c r="I419" i="2"/>
  <c r="J419" i="2"/>
  <c r="K419" i="2"/>
  <c r="L419" i="2"/>
  <c r="M419" i="2"/>
  <c r="N419" i="2"/>
  <c r="O419" i="2"/>
  <c r="P419" i="2"/>
  <c r="Q419" i="2"/>
  <c r="R419" i="2"/>
  <c r="D433" i="2" s="1"/>
  <c r="S419" i="2"/>
  <c r="T419" i="2"/>
  <c r="U419" i="2"/>
  <c r="V419" i="2"/>
  <c r="W419" i="2"/>
  <c r="X419" i="2"/>
  <c r="Y419" i="2"/>
  <c r="Z419" i="2"/>
  <c r="AA419" i="2"/>
  <c r="AB419" i="2"/>
  <c r="E433" i="2" s="1"/>
  <c r="AC419" i="2"/>
  <c r="AD419" i="2"/>
  <c r="AE419" i="2"/>
  <c r="AF419" i="2"/>
  <c r="AG419" i="2"/>
  <c r="AH419" i="2"/>
  <c r="AI419" i="2"/>
  <c r="AJ419" i="2"/>
  <c r="AK419" i="2"/>
  <c r="AL419" i="2"/>
  <c r="F433" i="2" s="1"/>
  <c r="C421" i="2"/>
  <c r="D421" i="2"/>
  <c r="E421" i="2"/>
  <c r="F421" i="2"/>
  <c r="G421" i="2"/>
  <c r="H421" i="2"/>
  <c r="C435" i="2" s="1"/>
  <c r="I421" i="2"/>
  <c r="J421" i="2"/>
  <c r="K421" i="2"/>
  <c r="L421" i="2"/>
  <c r="M421" i="2"/>
  <c r="N421" i="2"/>
  <c r="O421" i="2"/>
  <c r="P421" i="2"/>
  <c r="Q421" i="2"/>
  <c r="R421" i="2"/>
  <c r="D435" i="2" s="1"/>
  <c r="S421" i="2"/>
  <c r="T421" i="2"/>
  <c r="U421" i="2"/>
  <c r="V421" i="2"/>
  <c r="W421" i="2"/>
  <c r="X421" i="2"/>
  <c r="Y421" i="2"/>
  <c r="Z421" i="2"/>
  <c r="AA421" i="2"/>
  <c r="AB421" i="2"/>
  <c r="E435" i="2" s="1"/>
  <c r="AC421" i="2"/>
  <c r="AD421" i="2"/>
  <c r="AE421" i="2"/>
  <c r="AF421" i="2"/>
  <c r="AG421" i="2"/>
  <c r="AH421" i="2"/>
  <c r="AI421" i="2"/>
  <c r="AJ421" i="2"/>
  <c r="AK421" i="2"/>
  <c r="AL421" i="2"/>
  <c r="F435" i="2" s="1"/>
  <c r="C422" i="2"/>
  <c r="D422" i="2"/>
  <c r="E422" i="2"/>
  <c r="F422" i="2"/>
  <c r="G422" i="2"/>
  <c r="H422" i="2"/>
  <c r="C436" i="2" s="1"/>
  <c r="I422" i="2"/>
  <c r="J422" i="2"/>
  <c r="K422" i="2"/>
  <c r="L422" i="2"/>
  <c r="M422" i="2"/>
  <c r="N422" i="2"/>
  <c r="O422" i="2"/>
  <c r="P422" i="2"/>
  <c r="Q422" i="2"/>
  <c r="R422" i="2"/>
  <c r="D436" i="2" s="1"/>
  <c r="S422" i="2"/>
  <c r="T422" i="2"/>
  <c r="U422" i="2"/>
  <c r="V422" i="2"/>
  <c r="W422" i="2"/>
  <c r="X422" i="2"/>
  <c r="Y422" i="2"/>
  <c r="Z422" i="2"/>
  <c r="AA422" i="2"/>
  <c r="AB422" i="2"/>
  <c r="E436" i="2" s="1"/>
  <c r="AC422" i="2"/>
  <c r="AD422" i="2"/>
  <c r="AE422" i="2"/>
  <c r="AF422" i="2"/>
  <c r="AG422" i="2"/>
  <c r="AH422" i="2"/>
  <c r="AI422" i="2"/>
  <c r="AJ422" i="2"/>
  <c r="AK422" i="2"/>
  <c r="AL422" i="2"/>
  <c r="F436" i="2" s="1"/>
  <c r="C424" i="2"/>
  <c r="D424" i="2"/>
  <c r="E424" i="2"/>
  <c r="F424" i="2"/>
  <c r="G424" i="2"/>
  <c r="H424" i="2"/>
  <c r="C438" i="2" s="1"/>
  <c r="I424" i="2"/>
  <c r="J424" i="2"/>
  <c r="K424" i="2"/>
  <c r="L424" i="2"/>
  <c r="M424" i="2"/>
  <c r="N424" i="2"/>
  <c r="O424" i="2"/>
  <c r="P424" i="2"/>
  <c r="Q424" i="2"/>
  <c r="R424" i="2"/>
  <c r="D438" i="2" s="1"/>
  <c r="S424" i="2"/>
  <c r="T424" i="2"/>
  <c r="U424" i="2"/>
  <c r="V424" i="2"/>
  <c r="W424" i="2"/>
  <c r="X424" i="2"/>
  <c r="Y424" i="2"/>
  <c r="Z424" i="2"/>
  <c r="AA424" i="2"/>
  <c r="AB424" i="2"/>
  <c r="E438" i="2" s="1"/>
  <c r="AC424" i="2"/>
  <c r="AD424" i="2"/>
  <c r="AE424" i="2"/>
  <c r="AF424" i="2"/>
  <c r="AG424" i="2"/>
  <c r="AH424" i="2"/>
  <c r="AI424" i="2"/>
  <c r="AJ424" i="2"/>
  <c r="AK424" i="2"/>
  <c r="AL424" i="2"/>
  <c r="F438" i="2" s="1"/>
  <c r="C426" i="2"/>
  <c r="D426" i="2"/>
  <c r="E426" i="2"/>
  <c r="F426" i="2"/>
  <c r="G426" i="2"/>
  <c r="H426" i="2"/>
  <c r="C440" i="2" s="1"/>
  <c r="I426" i="2"/>
  <c r="J426" i="2"/>
  <c r="K426" i="2"/>
  <c r="L426" i="2"/>
  <c r="M426" i="2"/>
  <c r="N426" i="2"/>
  <c r="O426" i="2"/>
  <c r="P426" i="2"/>
  <c r="Q426" i="2"/>
  <c r="R426" i="2"/>
  <c r="D440" i="2" s="1"/>
  <c r="S426" i="2"/>
  <c r="T426" i="2"/>
  <c r="U426" i="2"/>
  <c r="V426" i="2"/>
  <c r="W426" i="2"/>
  <c r="X426" i="2"/>
  <c r="Y426" i="2"/>
  <c r="Z426" i="2"/>
  <c r="AA426" i="2"/>
  <c r="AB426" i="2"/>
  <c r="E440" i="2" s="1"/>
  <c r="AC426" i="2"/>
  <c r="AD426" i="2"/>
  <c r="AE426" i="2"/>
  <c r="AF426" i="2"/>
  <c r="AG426" i="2"/>
  <c r="AH426" i="2"/>
  <c r="AI426" i="2"/>
  <c r="AJ426" i="2"/>
  <c r="AK426" i="2"/>
  <c r="AL426" i="2"/>
  <c r="F440" i="2" s="1"/>
  <c r="C425" i="2"/>
  <c r="D425" i="2"/>
  <c r="E425" i="2"/>
  <c r="F425" i="2"/>
  <c r="G425" i="2"/>
  <c r="H425" i="2"/>
  <c r="C439" i="2" s="1"/>
  <c r="I425" i="2"/>
  <c r="J425" i="2"/>
  <c r="K425" i="2"/>
  <c r="L425" i="2"/>
  <c r="M425" i="2"/>
  <c r="N425" i="2"/>
  <c r="O425" i="2"/>
  <c r="P425" i="2"/>
  <c r="Q425" i="2"/>
  <c r="R425" i="2"/>
  <c r="D439" i="2" s="1"/>
  <c r="S425" i="2"/>
  <c r="T425" i="2"/>
  <c r="U425" i="2"/>
  <c r="V425" i="2"/>
  <c r="W425" i="2"/>
  <c r="X425" i="2"/>
  <c r="Y425" i="2"/>
  <c r="Z425" i="2"/>
  <c r="AA425" i="2"/>
  <c r="AB425" i="2"/>
  <c r="E439" i="2" s="1"/>
  <c r="AC425" i="2"/>
  <c r="AD425" i="2"/>
  <c r="AE425" i="2"/>
  <c r="AF425" i="2"/>
  <c r="AG425" i="2"/>
  <c r="AH425" i="2"/>
  <c r="AI425" i="2"/>
  <c r="AJ425" i="2"/>
  <c r="AK425" i="2"/>
  <c r="AL425" i="2"/>
  <c r="F439" i="2" s="1"/>
  <c r="AJ428" i="2" l="1"/>
  <c r="AB428" i="2"/>
  <c r="E442" i="2" s="1"/>
  <c r="T428" i="2"/>
  <c r="L428" i="2"/>
  <c r="D428" i="2"/>
  <c r="AL428" i="2"/>
  <c r="F442" i="2" s="1"/>
  <c r="AD428" i="2"/>
  <c r="V428" i="2"/>
  <c r="N428" i="2"/>
  <c r="F428" i="2"/>
  <c r="AH427" i="2"/>
  <c r="Z427" i="2"/>
  <c r="R427" i="2"/>
  <c r="D441" i="2" s="1"/>
  <c r="J427" i="2"/>
  <c r="AH418" i="2"/>
  <c r="J418" i="2"/>
  <c r="AI428" i="2"/>
  <c r="AA428" i="2"/>
  <c r="S428" i="2"/>
  <c r="K428" i="2"/>
  <c r="C428" i="2"/>
  <c r="AE427" i="2"/>
  <c r="W427" i="2"/>
  <c r="O427" i="2"/>
  <c r="G427" i="2"/>
  <c r="AK429" i="2"/>
  <c r="AC429" i="2"/>
  <c r="U429" i="2"/>
  <c r="M429" i="2"/>
  <c r="E429" i="2"/>
  <c r="AK428" i="2"/>
  <c r="AC428" i="2"/>
  <c r="U428" i="2"/>
  <c r="M428" i="2"/>
  <c r="E428" i="2"/>
  <c r="AG427" i="2"/>
  <c r="Y427" i="2"/>
  <c r="Q427" i="2"/>
  <c r="I427" i="2"/>
  <c r="AG420" i="2"/>
  <c r="Y420" i="2"/>
  <c r="Q420" i="2"/>
  <c r="I420" i="2"/>
  <c r="AK423" i="2"/>
  <c r="AC423" i="2"/>
  <c r="U423" i="2"/>
  <c r="M423" i="2"/>
  <c r="E423" i="2"/>
  <c r="AG418" i="2"/>
  <c r="Y418" i="2"/>
  <c r="Q418" i="2"/>
  <c r="I418" i="2"/>
  <c r="V429" i="2"/>
  <c r="Z420" i="2"/>
  <c r="AD423" i="2"/>
  <c r="AJ429" i="2"/>
  <c r="AB429" i="2"/>
  <c r="E443" i="2" s="1"/>
  <c r="T429" i="2"/>
  <c r="L429" i="2"/>
  <c r="D429" i="2"/>
  <c r="AF427" i="2"/>
  <c r="X427" i="2"/>
  <c r="P427" i="2"/>
  <c r="H427" i="2"/>
  <c r="C441" i="2" s="1"/>
  <c r="AF420" i="2"/>
  <c r="X420" i="2"/>
  <c r="P420" i="2"/>
  <c r="H420" i="2"/>
  <c r="C434" i="2" s="1"/>
  <c r="AJ423" i="2"/>
  <c r="AB423" i="2"/>
  <c r="E437" i="2" s="1"/>
  <c r="T423" i="2"/>
  <c r="L423" i="2"/>
  <c r="D423" i="2"/>
  <c r="AF418" i="2"/>
  <c r="X418" i="2"/>
  <c r="P418" i="2"/>
  <c r="H418" i="2"/>
  <c r="C432" i="2" s="1"/>
  <c r="AI429" i="2"/>
  <c r="K429" i="2"/>
  <c r="AE420" i="2"/>
  <c r="O420" i="2"/>
  <c r="AI423" i="2"/>
  <c r="S423" i="2"/>
  <c r="K423" i="2"/>
  <c r="AE418" i="2"/>
  <c r="G418" i="2"/>
  <c r="AL429" i="2"/>
  <c r="F443" i="2" s="1"/>
  <c r="F429" i="2"/>
  <c r="AH420" i="2"/>
  <c r="AL423" i="2"/>
  <c r="F437" i="2" s="1"/>
  <c r="F423" i="2"/>
  <c r="S429" i="2"/>
  <c r="W420" i="2"/>
  <c r="G420" i="2"/>
  <c r="AA423" i="2"/>
  <c r="C423" i="2"/>
  <c r="O418" i="2"/>
  <c r="AH429" i="2"/>
  <c r="Z429" i="2"/>
  <c r="R429" i="2"/>
  <c r="D443" i="2" s="1"/>
  <c r="J429" i="2"/>
  <c r="AH428" i="2"/>
  <c r="Z428" i="2"/>
  <c r="R428" i="2"/>
  <c r="D442" i="2" s="1"/>
  <c r="J428" i="2"/>
  <c r="AL427" i="2"/>
  <c r="F441" i="2" s="1"/>
  <c r="AD427" i="2"/>
  <c r="V427" i="2"/>
  <c r="N427" i="2"/>
  <c r="F427" i="2"/>
  <c r="AL420" i="2"/>
  <c r="F434" i="2" s="1"/>
  <c r="AD420" i="2"/>
  <c r="V420" i="2"/>
  <c r="N420" i="2"/>
  <c r="F420" i="2"/>
  <c r="AH423" i="2"/>
  <c r="Z423" i="2"/>
  <c r="R423" i="2"/>
  <c r="D437" i="2" s="1"/>
  <c r="J423" i="2"/>
  <c r="AL418" i="2"/>
  <c r="F432" i="2" s="1"/>
  <c r="AD418" i="2"/>
  <c r="V418" i="2"/>
  <c r="N418" i="2"/>
  <c r="F418" i="2"/>
  <c r="AD429" i="2"/>
  <c r="J420" i="2"/>
  <c r="N423" i="2"/>
  <c r="R418" i="2"/>
  <c r="D432" i="2" s="1"/>
  <c r="AA429" i="2"/>
  <c r="C429" i="2"/>
  <c r="W418" i="2"/>
  <c r="AG429" i="2"/>
  <c r="Y429" i="2"/>
  <c r="Q429" i="2"/>
  <c r="I429" i="2"/>
  <c r="AG428" i="2"/>
  <c r="Y428" i="2"/>
  <c r="Q428" i="2"/>
  <c r="I428" i="2"/>
  <c r="AK427" i="2"/>
  <c r="AC427" i="2"/>
  <c r="U427" i="2"/>
  <c r="M427" i="2"/>
  <c r="E427" i="2"/>
  <c r="AK420" i="2"/>
  <c r="AC420" i="2"/>
  <c r="U420" i="2"/>
  <c r="M420" i="2"/>
  <c r="E420" i="2"/>
  <c r="AG423" i="2"/>
  <c r="Y423" i="2"/>
  <c r="Q423" i="2"/>
  <c r="I423" i="2"/>
  <c r="AK418" i="2"/>
  <c r="AC418" i="2"/>
  <c r="U418" i="2"/>
  <c r="M418" i="2"/>
  <c r="E418" i="2"/>
  <c r="AF429" i="2"/>
  <c r="X429" i="2"/>
  <c r="P429" i="2"/>
  <c r="H429" i="2"/>
  <c r="C443" i="2" s="1"/>
  <c r="AF428" i="2"/>
  <c r="X428" i="2"/>
  <c r="P428" i="2"/>
  <c r="H428" i="2"/>
  <c r="C442" i="2" s="1"/>
  <c r="AJ427" i="2"/>
  <c r="AB427" i="2"/>
  <c r="E441" i="2" s="1"/>
  <c r="T427" i="2"/>
  <c r="L427" i="2"/>
  <c r="D427" i="2"/>
  <c r="AJ420" i="2"/>
  <c r="AB420" i="2"/>
  <c r="E434" i="2" s="1"/>
  <c r="T420" i="2"/>
  <c r="L420" i="2"/>
  <c r="D420" i="2"/>
  <c r="AF423" i="2"/>
  <c r="X423" i="2"/>
  <c r="P423" i="2"/>
  <c r="H423" i="2"/>
  <c r="C437" i="2" s="1"/>
  <c r="AJ418" i="2"/>
  <c r="AB418" i="2"/>
  <c r="E432" i="2" s="1"/>
  <c r="T418" i="2"/>
  <c r="L418" i="2"/>
  <c r="D418" i="2"/>
  <c r="N429" i="2"/>
  <c r="R420" i="2"/>
  <c r="D434" i="2" s="1"/>
  <c r="V423" i="2"/>
  <c r="Z418" i="2"/>
  <c r="AE429" i="2"/>
  <c r="W429" i="2"/>
  <c r="O429" i="2"/>
  <c r="G429" i="2"/>
  <c r="AE428" i="2"/>
  <c r="W428" i="2"/>
  <c r="O428" i="2"/>
  <c r="G428" i="2"/>
  <c r="AI427" i="2"/>
  <c r="AA427" i="2"/>
  <c r="S427" i="2"/>
  <c r="K427" i="2"/>
  <c r="C427" i="2"/>
  <c r="AI420" i="2"/>
  <c r="AA420" i="2"/>
  <c r="S420" i="2"/>
  <c r="K420" i="2"/>
  <c r="C420" i="2"/>
  <c r="AE423" i="2"/>
  <c r="W423" i="2"/>
  <c r="O423" i="2"/>
  <c r="G423" i="2"/>
  <c r="AI418" i="2"/>
  <c r="AA418" i="2"/>
  <c r="S418" i="2"/>
  <c r="K418" i="2"/>
  <c r="C418" i="2"/>
  <c r="D362" i="2"/>
  <c r="T365" i="2"/>
  <c r="L367" i="2"/>
  <c r="AB363" i="2"/>
  <c r="X368" i="2"/>
  <c r="P368" i="2"/>
  <c r="AJ367" i="2"/>
  <c r="AB367" i="2"/>
  <c r="T367" i="2"/>
  <c r="AF366" i="2"/>
  <c r="X366" i="2"/>
  <c r="H366" i="2"/>
  <c r="AJ365" i="2"/>
  <c r="AB365" i="2"/>
  <c r="D365" i="2"/>
  <c r="AF364" i="2"/>
  <c r="P364" i="2"/>
  <c r="H364" i="2"/>
  <c r="AJ363" i="2"/>
  <c r="L363" i="2"/>
  <c r="D363" i="2"/>
  <c r="X362" i="2"/>
  <c r="P362" i="2"/>
  <c r="H362" i="2"/>
  <c r="AF368" i="2"/>
  <c r="H368" i="2"/>
  <c r="D367" i="2"/>
  <c r="P366" i="2"/>
  <c r="L365" i="2"/>
  <c r="X364" i="2"/>
  <c r="T363" i="2"/>
  <c r="AF362" i="2"/>
  <c r="AE362" i="2"/>
  <c r="W362" i="2"/>
  <c r="O362" i="2"/>
  <c r="G362" i="2"/>
  <c r="AI368" i="2"/>
  <c r="AA368" i="2"/>
  <c r="S368" i="2"/>
  <c r="K368" i="2"/>
  <c r="C368" i="2"/>
  <c r="AE367" i="2"/>
  <c r="W367" i="2"/>
  <c r="O367" i="2"/>
  <c r="G367" i="2"/>
  <c r="AI366" i="2"/>
  <c r="AA366" i="2"/>
  <c r="S366" i="2"/>
  <c r="K366" i="2"/>
  <c r="C366" i="2"/>
  <c r="AE365" i="2"/>
  <c r="W365" i="2"/>
  <c r="O365" i="2"/>
  <c r="G365" i="2"/>
  <c r="AI364" i="2"/>
  <c r="AA364" i="2"/>
  <c r="S364" i="2"/>
  <c r="K364" i="2"/>
  <c r="C364" i="2"/>
  <c r="AE363" i="2"/>
  <c r="W363" i="2"/>
  <c r="O363" i="2"/>
  <c r="G363" i="2"/>
  <c r="AI362" i="2"/>
  <c r="AA362" i="2"/>
  <c r="S362" i="2"/>
  <c r="K362" i="2"/>
  <c r="AH368" i="2"/>
  <c r="Z368" i="2"/>
  <c r="R368" i="2"/>
  <c r="J368" i="2"/>
  <c r="AL367" i="2"/>
  <c r="AD367" i="2"/>
  <c r="V367" i="2"/>
  <c r="N367" i="2"/>
  <c r="F367" i="2"/>
  <c r="AH366" i="2"/>
  <c r="Z366" i="2"/>
  <c r="R366" i="2"/>
  <c r="J366" i="2"/>
  <c r="AL365" i="2"/>
  <c r="AD365" i="2"/>
  <c r="V365" i="2"/>
  <c r="N365" i="2"/>
  <c r="F365" i="2"/>
  <c r="AH364" i="2"/>
  <c r="Z364" i="2"/>
  <c r="R364" i="2"/>
  <c r="J364" i="2"/>
  <c r="AL363" i="2"/>
  <c r="AD363" i="2"/>
  <c r="V363" i="2"/>
  <c r="N363" i="2"/>
  <c r="F363" i="2"/>
  <c r="AH362" i="2"/>
  <c r="Z362" i="2"/>
  <c r="R362" i="2"/>
  <c r="J362" i="2"/>
  <c r="AG368" i="2"/>
  <c r="Y368" i="2"/>
  <c r="Q368" i="2"/>
  <c r="I368" i="2"/>
  <c r="AK367" i="2"/>
  <c r="AC367" i="2"/>
  <c r="U367" i="2"/>
  <c r="M367" i="2"/>
  <c r="E367" i="2"/>
  <c r="AG366" i="2"/>
  <c r="Y366" i="2"/>
  <c r="Q366" i="2"/>
  <c r="I366" i="2"/>
  <c r="AK365" i="2"/>
  <c r="AC365" i="2"/>
  <c r="U365" i="2"/>
  <c r="M365" i="2"/>
  <c r="E365" i="2"/>
  <c r="AG364" i="2"/>
  <c r="Y364" i="2"/>
  <c r="Q364" i="2"/>
  <c r="I364" i="2"/>
  <c r="AK363" i="2"/>
  <c r="AC363" i="2"/>
  <c r="U363" i="2"/>
  <c r="M363" i="2"/>
  <c r="E363" i="2"/>
  <c r="AG362" i="2"/>
  <c r="Y362" i="2"/>
  <c r="Q362" i="2"/>
  <c r="I362" i="2"/>
  <c r="AJ364" i="2"/>
  <c r="AB364" i="2"/>
  <c r="T364" i="2"/>
  <c r="L364" i="2"/>
  <c r="D364" i="2"/>
  <c r="AF363" i="2"/>
  <c r="X363" i="2"/>
  <c r="P363" i="2"/>
  <c r="H363" i="2"/>
  <c r="AJ362" i="2"/>
  <c r="AB362" i="2"/>
  <c r="T362" i="2"/>
  <c r="L362" i="2"/>
  <c r="C362" i="2"/>
  <c r="AE368" i="2"/>
  <c r="W368" i="2"/>
  <c r="O368" i="2"/>
  <c r="G368" i="2"/>
  <c r="AI367" i="2"/>
  <c r="AA367" i="2"/>
  <c r="S367" i="2"/>
  <c r="K367" i="2"/>
  <c r="C367" i="2"/>
  <c r="AE366" i="2"/>
  <c r="W366" i="2"/>
  <c r="O366" i="2"/>
  <c r="G366" i="2"/>
  <c r="AI365" i="2"/>
  <c r="AA365" i="2"/>
  <c r="S365" i="2"/>
  <c r="K365" i="2"/>
  <c r="C365" i="2"/>
  <c r="AE364" i="2"/>
  <c r="W364" i="2"/>
  <c r="O364" i="2"/>
  <c r="G364" i="2"/>
  <c r="AI363" i="2"/>
  <c r="AA363" i="2"/>
  <c r="S363" i="2"/>
  <c r="K363" i="2"/>
  <c r="C363" i="2"/>
  <c r="AL368" i="2"/>
  <c r="AD368" i="2"/>
  <c r="V368" i="2"/>
  <c r="N368" i="2"/>
  <c r="F368" i="2"/>
  <c r="AH367" i="2"/>
  <c r="Z367" i="2"/>
  <c r="R367" i="2"/>
  <c r="J367" i="2"/>
  <c r="AL366" i="2"/>
  <c r="AD366" i="2"/>
  <c r="V366" i="2"/>
  <c r="N366" i="2"/>
  <c r="F366" i="2"/>
  <c r="AH365" i="2"/>
  <c r="Z365" i="2"/>
  <c r="R365" i="2"/>
  <c r="J365" i="2"/>
  <c r="AL364" i="2"/>
  <c r="AD364" i="2"/>
  <c r="V364" i="2"/>
  <c r="N364" i="2"/>
  <c r="F364" i="2"/>
  <c r="AH363" i="2"/>
  <c r="Z363" i="2"/>
  <c r="R363" i="2"/>
  <c r="J363" i="2"/>
  <c r="AL362" i="2"/>
  <c r="AD362" i="2"/>
  <c r="V362" i="2"/>
  <c r="N362" i="2"/>
  <c r="F362" i="2"/>
  <c r="AK368" i="2"/>
  <c r="AC368" i="2"/>
  <c r="U368" i="2"/>
  <c r="M368" i="2"/>
  <c r="E368" i="2"/>
  <c r="AG367" i="2"/>
  <c r="Y367" i="2"/>
  <c r="Q367" i="2"/>
  <c r="I367" i="2"/>
  <c r="AK366" i="2"/>
  <c r="AC366" i="2"/>
  <c r="U366" i="2"/>
  <c r="M366" i="2"/>
  <c r="E366" i="2"/>
  <c r="AG365" i="2"/>
  <c r="Y365" i="2"/>
  <c r="Q365" i="2"/>
  <c r="I365" i="2"/>
  <c r="AK364" i="2"/>
  <c r="AC364" i="2"/>
  <c r="U364" i="2"/>
  <c r="M364" i="2"/>
  <c r="E364" i="2"/>
  <c r="AG363" i="2"/>
  <c r="Y363" i="2"/>
  <c r="Q363" i="2"/>
  <c r="I363" i="2"/>
  <c r="AK362" i="2"/>
  <c r="AC362" i="2"/>
  <c r="U362" i="2"/>
  <c r="M362" i="2"/>
  <c r="E362" i="2"/>
  <c r="AJ368" i="2"/>
  <c r="AB368" i="2"/>
  <c r="T368" i="2"/>
  <c r="L368" i="2"/>
  <c r="D368" i="2"/>
  <c r="AF367" i="2"/>
  <c r="X367" i="2"/>
  <c r="P367" i="2"/>
  <c r="H367" i="2"/>
  <c r="AJ366" i="2"/>
  <c r="AB366" i="2"/>
  <c r="T366" i="2"/>
  <c r="L366" i="2"/>
  <c r="D366" i="2"/>
  <c r="AF365" i="2"/>
  <c r="X365" i="2"/>
  <c r="P365" i="2"/>
  <c r="H365" i="2"/>
  <c r="AF337" i="2"/>
  <c r="X337" i="2"/>
  <c r="P337" i="2"/>
  <c r="H337" i="2"/>
  <c r="AJ336" i="2"/>
  <c r="AB336" i="2"/>
  <c r="T336" i="2"/>
  <c r="L336" i="2"/>
  <c r="D336" i="2"/>
  <c r="AF335" i="2"/>
  <c r="X335" i="2"/>
  <c r="P335" i="2"/>
  <c r="H335" i="2"/>
  <c r="AJ334" i="2"/>
  <c r="AB334" i="2"/>
  <c r="T334" i="2"/>
  <c r="L334" i="2"/>
  <c r="D334" i="2"/>
  <c r="AF333" i="2"/>
  <c r="X333" i="2"/>
  <c r="P333" i="2"/>
  <c r="H333" i="2"/>
  <c r="O334" i="2"/>
  <c r="AI333" i="2"/>
  <c r="U336" i="2"/>
  <c r="M336" i="2"/>
  <c r="E336" i="2"/>
  <c r="AG335" i="2"/>
  <c r="Y335" i="2"/>
  <c r="Q335" i="2"/>
  <c r="I335" i="2"/>
  <c r="AK334" i="2"/>
  <c r="AC334" i="2"/>
  <c r="U334" i="2"/>
  <c r="M334" i="2"/>
  <c r="E334" i="2"/>
  <c r="AG333" i="2"/>
  <c r="Y333" i="2"/>
  <c r="Q333" i="2"/>
  <c r="I333" i="2"/>
  <c r="AK332" i="2"/>
  <c r="AC332" i="2"/>
  <c r="U332" i="2"/>
  <c r="M332" i="2"/>
  <c r="E332" i="2"/>
  <c r="AG331" i="2"/>
  <c r="Y331" i="2"/>
  <c r="Q331" i="2"/>
  <c r="I331" i="2"/>
  <c r="S337" i="2"/>
  <c r="K337" i="2"/>
  <c r="W332" i="2"/>
  <c r="G332" i="2"/>
  <c r="G336" i="2"/>
  <c r="AA335" i="2"/>
  <c r="S335" i="2"/>
  <c r="AA333" i="2"/>
  <c r="AI331" i="2"/>
  <c r="AI337" i="2"/>
  <c r="AA337" i="2"/>
  <c r="C337" i="2"/>
  <c r="AE336" i="2"/>
  <c r="W336" i="2"/>
  <c r="O336" i="2"/>
  <c r="AI335" i="2"/>
  <c r="K335" i="2"/>
  <c r="C335" i="2"/>
  <c r="AE334" i="2"/>
  <c r="W334" i="2"/>
  <c r="G334" i="2"/>
  <c r="S333" i="2"/>
  <c r="K333" i="2"/>
  <c r="C333" i="2"/>
  <c r="AE332" i="2"/>
  <c r="O332" i="2"/>
  <c r="AA331" i="2"/>
  <c r="S331" i="2"/>
  <c r="K331" i="2"/>
  <c r="C331" i="2"/>
  <c r="AL331" i="2"/>
  <c r="V337" i="2"/>
  <c r="Z336" i="2"/>
  <c r="AD335" i="2"/>
  <c r="N335" i="2"/>
  <c r="J334" i="2"/>
  <c r="V333" i="2"/>
  <c r="AH332" i="2"/>
  <c r="J332" i="2"/>
  <c r="N331" i="2"/>
  <c r="AK337" i="2"/>
  <c r="AC337" i="2"/>
  <c r="U337" i="2"/>
  <c r="M337" i="2"/>
  <c r="E337" i="2"/>
  <c r="AG336" i="2"/>
  <c r="Y336" i="2"/>
  <c r="Q336" i="2"/>
  <c r="I336" i="2"/>
  <c r="AK335" i="2"/>
  <c r="AC335" i="2"/>
  <c r="U335" i="2"/>
  <c r="M335" i="2"/>
  <c r="E335" i="2"/>
  <c r="F337" i="2"/>
  <c r="J336" i="2"/>
  <c r="AH334" i="2"/>
  <c r="AL333" i="2"/>
  <c r="Z332" i="2"/>
  <c r="N337" i="2"/>
  <c r="R336" i="2"/>
  <c r="V335" i="2"/>
  <c r="F335" i="2"/>
  <c r="R334" i="2"/>
  <c r="AD333" i="2"/>
  <c r="F333" i="2"/>
  <c r="R332" i="2"/>
  <c r="F331" i="2"/>
  <c r="AL337" i="2"/>
  <c r="AD331" i="2"/>
  <c r="AD337" i="2"/>
  <c r="AH336" i="2"/>
  <c r="AL335" i="2"/>
  <c r="Z334" i="2"/>
  <c r="N333" i="2"/>
  <c r="V331" i="2"/>
  <c r="AG334" i="2"/>
  <c r="Y334" i="2"/>
  <c r="Q334" i="2"/>
  <c r="I334" i="2"/>
  <c r="AK333" i="2"/>
  <c r="AC333" i="2"/>
  <c r="U333" i="2"/>
  <c r="M333" i="2"/>
  <c r="E333" i="2"/>
  <c r="AG332" i="2"/>
  <c r="Y332" i="2"/>
  <c r="Q332" i="2"/>
  <c r="I332" i="2"/>
  <c r="AK331" i="2"/>
  <c r="AC331" i="2"/>
  <c r="U331" i="2"/>
  <c r="M331" i="2"/>
  <c r="E331" i="2"/>
  <c r="AJ337" i="2"/>
  <c r="AB337" i="2"/>
  <c r="T337" i="2"/>
  <c r="L337" i="2"/>
  <c r="D337" i="2"/>
  <c r="AF336" i="2"/>
  <c r="X336" i="2"/>
  <c r="P336" i="2"/>
  <c r="H336" i="2"/>
  <c r="AJ335" i="2"/>
  <c r="AB335" i="2"/>
  <c r="T335" i="2"/>
  <c r="L335" i="2"/>
  <c r="D335" i="2"/>
  <c r="AF334" i="2"/>
  <c r="X334" i="2"/>
  <c r="P334" i="2"/>
  <c r="H334" i="2"/>
  <c r="AJ333" i="2"/>
  <c r="AB333" i="2"/>
  <c r="T333" i="2"/>
  <c r="L333" i="2"/>
  <c r="D333" i="2"/>
  <c r="AF332" i="2"/>
  <c r="X332" i="2"/>
  <c r="P332" i="2"/>
  <c r="H332" i="2"/>
  <c r="AJ331" i="2"/>
  <c r="AB331" i="2"/>
  <c r="T331" i="2"/>
  <c r="L331" i="2"/>
  <c r="D331" i="2"/>
  <c r="AH337" i="2"/>
  <c r="Z337" i="2"/>
  <c r="R337" i="2"/>
  <c r="J337" i="2"/>
  <c r="AL336" i="2"/>
  <c r="AD336" i="2"/>
  <c r="V336" i="2"/>
  <c r="N336" i="2"/>
  <c r="F336" i="2"/>
  <c r="AH335" i="2"/>
  <c r="Z335" i="2"/>
  <c r="R335" i="2"/>
  <c r="J335" i="2"/>
  <c r="AL334" i="2"/>
  <c r="AD334" i="2"/>
  <c r="V334" i="2"/>
  <c r="N334" i="2"/>
  <c r="F334" i="2"/>
  <c r="AH333" i="2"/>
  <c r="Z333" i="2"/>
  <c r="R333" i="2"/>
  <c r="J333" i="2"/>
  <c r="AL332" i="2"/>
  <c r="AD332" i="2"/>
  <c r="V332" i="2"/>
  <c r="N332" i="2"/>
  <c r="F332" i="2"/>
  <c r="AH331" i="2"/>
  <c r="Z331" i="2"/>
  <c r="R331" i="2"/>
  <c r="J331" i="2"/>
  <c r="AG337" i="2"/>
  <c r="Y337" i="2"/>
  <c r="Q337" i="2"/>
  <c r="I337" i="2"/>
  <c r="AK336" i="2"/>
  <c r="AC336" i="2"/>
  <c r="AE337" i="2"/>
  <c r="W337" i="2"/>
  <c r="O337" i="2"/>
  <c r="G337" i="2"/>
  <c r="AI336" i="2"/>
  <c r="AA336" i="2"/>
  <c r="S336" i="2"/>
  <c r="K336" i="2"/>
  <c r="C336" i="2"/>
  <c r="AE335" i="2"/>
  <c r="W335" i="2"/>
  <c r="O335" i="2"/>
  <c r="G335" i="2"/>
  <c r="AI334" i="2"/>
  <c r="AA334" i="2"/>
  <c r="S334" i="2"/>
  <c r="K334" i="2"/>
  <c r="C334" i="2"/>
  <c r="AE333" i="2"/>
  <c r="W333" i="2"/>
  <c r="O333" i="2"/>
  <c r="G333" i="2"/>
  <c r="AI332" i="2"/>
  <c r="AA332" i="2"/>
  <c r="S332" i="2"/>
  <c r="K332" i="2"/>
  <c r="C332" i="2"/>
  <c r="G331" i="2"/>
  <c r="O331" i="2"/>
  <c r="W331" i="2"/>
  <c r="AE331" i="2"/>
  <c r="H331" i="2"/>
  <c r="P331" i="2"/>
  <c r="X331" i="2"/>
  <c r="AF331" i="2"/>
  <c r="D332" i="2"/>
  <c r="L332" i="2"/>
  <c r="T332" i="2"/>
  <c r="AB332" i="2"/>
  <c r="AJ332" i="2"/>
  <c r="C283" i="2"/>
  <c r="AE283" i="2"/>
  <c r="W283" i="2"/>
  <c r="O283" i="2"/>
  <c r="G283" i="2"/>
  <c r="AI279" i="2"/>
  <c r="AA279" i="2"/>
  <c r="S279" i="2"/>
  <c r="K279" i="2"/>
  <c r="AI280" i="2"/>
  <c r="S280" i="2"/>
  <c r="K280" i="2"/>
  <c r="C281" i="2"/>
  <c r="C279" i="2"/>
  <c r="AH280" i="2"/>
  <c r="Z280" i="2"/>
  <c r="R280" i="2"/>
  <c r="C289" i="2" s="1"/>
  <c r="J280" i="2"/>
  <c r="AH282" i="2"/>
  <c r="Z282" i="2"/>
  <c r="R282" i="2"/>
  <c r="C291" i="2" s="1"/>
  <c r="J282" i="2"/>
  <c r="C284" i="2"/>
  <c r="AI284" i="2"/>
  <c r="AA284" i="2"/>
  <c r="S284" i="2"/>
  <c r="K284" i="2"/>
  <c r="AD283" i="2"/>
  <c r="V283" i="2"/>
  <c r="N283" i="2"/>
  <c r="F283" i="2"/>
  <c r="AH279" i="2"/>
  <c r="Z279" i="2"/>
  <c r="R279" i="2"/>
  <c r="C288" i="2" s="1"/>
  <c r="J279" i="2"/>
  <c r="AH284" i="2"/>
  <c r="AG285" i="2"/>
  <c r="Y285" i="2"/>
  <c r="Q285" i="2"/>
  <c r="I285" i="2"/>
  <c r="AF280" i="2"/>
  <c r="X280" i="2"/>
  <c r="P280" i="2"/>
  <c r="H280" i="2"/>
  <c r="AF285" i="2"/>
  <c r="X285" i="2"/>
  <c r="P285" i="2"/>
  <c r="H285" i="2"/>
  <c r="AG282" i="2"/>
  <c r="Y282" i="2"/>
  <c r="Q282" i="2"/>
  <c r="I282" i="2"/>
  <c r="C285" i="2"/>
  <c r="Z284" i="2"/>
  <c r="R284" i="2"/>
  <c r="C293" i="2" s="1"/>
  <c r="J284" i="2"/>
  <c r="AK283" i="2"/>
  <c r="AC283" i="2"/>
  <c r="U283" i="2"/>
  <c r="M283" i="2"/>
  <c r="E283" i="2"/>
  <c r="AF282" i="2"/>
  <c r="X282" i="2"/>
  <c r="P282" i="2"/>
  <c r="H282" i="2"/>
  <c r="AI281" i="2"/>
  <c r="AA281" i="2"/>
  <c r="S281" i="2"/>
  <c r="K281" i="2"/>
  <c r="AG279" i="2"/>
  <c r="Y279" i="2"/>
  <c r="Q279" i="2"/>
  <c r="I279" i="2"/>
  <c r="AG284" i="2"/>
  <c r="Y284" i="2"/>
  <c r="Q284" i="2"/>
  <c r="I284" i="2"/>
  <c r="AJ283" i="2"/>
  <c r="AB283" i="2"/>
  <c r="D292" i="2" s="1"/>
  <c r="T283" i="2"/>
  <c r="L283" i="2"/>
  <c r="D283" i="2"/>
  <c r="AE282" i="2"/>
  <c r="W282" i="2"/>
  <c r="O282" i="2"/>
  <c r="G282" i="2"/>
  <c r="AH281" i="2"/>
  <c r="Z281" i="2"/>
  <c r="R281" i="2"/>
  <c r="C290" i="2" s="1"/>
  <c r="J281" i="2"/>
  <c r="AK280" i="2"/>
  <c r="AC280" i="2"/>
  <c r="U280" i="2"/>
  <c r="M280" i="2"/>
  <c r="E280" i="2"/>
  <c r="AF279" i="2"/>
  <c r="X279" i="2"/>
  <c r="P279" i="2"/>
  <c r="H279" i="2"/>
  <c r="AF284" i="2"/>
  <c r="X284" i="2"/>
  <c r="P284" i="2"/>
  <c r="H284" i="2"/>
  <c r="AI283" i="2"/>
  <c r="AA283" i="2"/>
  <c r="S283" i="2"/>
  <c r="K283" i="2"/>
  <c r="AG281" i="2"/>
  <c r="Y281" i="2"/>
  <c r="Q281" i="2"/>
  <c r="I281" i="2"/>
  <c r="AE279" i="2"/>
  <c r="W279" i="2"/>
  <c r="O279" i="2"/>
  <c r="G279" i="2"/>
  <c r="C282" i="2"/>
  <c r="AJ281" i="2"/>
  <c r="AB281" i="2"/>
  <c r="D290" i="2" s="1"/>
  <c r="T281" i="2"/>
  <c r="L281" i="2"/>
  <c r="D281" i="2"/>
  <c r="AE280" i="2"/>
  <c r="W280" i="2"/>
  <c r="O280" i="2"/>
  <c r="G280" i="2"/>
  <c r="AA280" i="2"/>
  <c r="AK285" i="2"/>
  <c r="AC285" i="2"/>
  <c r="U285" i="2"/>
  <c r="M285" i="2"/>
  <c r="E285" i="2"/>
  <c r="AD282" i="2"/>
  <c r="V282" i="2"/>
  <c r="N282" i="2"/>
  <c r="F282" i="2"/>
  <c r="AJ280" i="2"/>
  <c r="AB280" i="2"/>
  <c r="D289" i="2" s="1"/>
  <c r="T280" i="2"/>
  <c r="L280" i="2"/>
  <c r="D280" i="2"/>
  <c r="AJ285" i="2"/>
  <c r="AB285" i="2"/>
  <c r="D294" i="2" s="1"/>
  <c r="T285" i="2"/>
  <c r="L285" i="2"/>
  <c r="D285" i="2"/>
  <c r="AE284" i="2"/>
  <c r="W284" i="2"/>
  <c r="O284" i="2"/>
  <c r="G284" i="2"/>
  <c r="AH283" i="2"/>
  <c r="Z283" i="2"/>
  <c r="R283" i="2"/>
  <c r="C292" i="2" s="1"/>
  <c r="J283" i="2"/>
  <c r="AK282" i="2"/>
  <c r="AC282" i="2"/>
  <c r="U282" i="2"/>
  <c r="M282" i="2"/>
  <c r="E282" i="2"/>
  <c r="AF281" i="2"/>
  <c r="X281" i="2"/>
  <c r="P281" i="2"/>
  <c r="H281" i="2"/>
  <c r="AD279" i="2"/>
  <c r="V279" i="2"/>
  <c r="N279" i="2"/>
  <c r="F279" i="2"/>
  <c r="AI285" i="2"/>
  <c r="AA285" i="2"/>
  <c r="S285" i="2"/>
  <c r="K285" i="2"/>
  <c r="AD284" i="2"/>
  <c r="V284" i="2"/>
  <c r="N284" i="2"/>
  <c r="F284" i="2"/>
  <c r="AG283" i="2"/>
  <c r="Y283" i="2"/>
  <c r="Q283" i="2"/>
  <c r="I283" i="2"/>
  <c r="AJ282" i="2"/>
  <c r="AB282" i="2"/>
  <c r="D291" i="2" s="1"/>
  <c r="T282" i="2"/>
  <c r="L282" i="2"/>
  <c r="D282" i="2"/>
  <c r="AK279" i="2"/>
  <c r="AC279" i="2"/>
  <c r="U279" i="2"/>
  <c r="M279" i="2"/>
  <c r="E279" i="2"/>
  <c r="AH285" i="2"/>
  <c r="Z285" i="2"/>
  <c r="R285" i="2"/>
  <c r="C294" i="2" s="1"/>
  <c r="J285" i="2"/>
  <c r="AK284" i="2"/>
  <c r="AC284" i="2"/>
  <c r="U284" i="2"/>
  <c r="M284" i="2"/>
  <c r="E284" i="2"/>
  <c r="AF283" i="2"/>
  <c r="X283" i="2"/>
  <c r="P283" i="2"/>
  <c r="H283" i="2"/>
  <c r="AI282" i="2"/>
  <c r="AA282" i="2"/>
  <c r="S282" i="2"/>
  <c r="K282" i="2"/>
  <c r="AD281" i="2"/>
  <c r="V281" i="2"/>
  <c r="N281" i="2"/>
  <c r="F281" i="2"/>
  <c r="AG280" i="2"/>
  <c r="Y280" i="2"/>
  <c r="Q280" i="2"/>
  <c r="I280" i="2"/>
  <c r="AJ279" i="2"/>
  <c r="AB279" i="2"/>
  <c r="D288" i="2" s="1"/>
  <c r="T279" i="2"/>
  <c r="L279" i="2"/>
  <c r="D279" i="2"/>
  <c r="AD285" i="2"/>
  <c r="V285" i="2"/>
  <c r="N285" i="2"/>
  <c r="F285" i="2"/>
  <c r="AJ284" i="2"/>
  <c r="AB284" i="2"/>
  <c r="D293" i="2" s="1"/>
  <c r="T284" i="2"/>
  <c r="L284" i="2"/>
  <c r="D284" i="2"/>
  <c r="AK281" i="2"/>
  <c r="AC281" i="2"/>
  <c r="U281" i="2"/>
  <c r="M281" i="2"/>
  <c r="E281" i="2"/>
  <c r="C280" i="2"/>
  <c r="AE285" i="2"/>
  <c r="W285" i="2"/>
  <c r="O285" i="2"/>
  <c r="G285" i="2"/>
  <c r="AD280" i="2"/>
  <c r="V280" i="2"/>
  <c r="N280" i="2"/>
  <c r="F280" i="2"/>
  <c r="G281" i="2"/>
  <c r="O281" i="2"/>
  <c r="W281" i="2"/>
  <c r="AE281" i="2"/>
  <c r="F69" i="2" l="1"/>
  <c r="J69" i="2"/>
  <c r="N69" i="2"/>
  <c r="R69" i="2"/>
  <c r="V69" i="2"/>
  <c r="Z69" i="2"/>
  <c r="AD69" i="2"/>
  <c r="AH69" i="2"/>
  <c r="AL69" i="2"/>
  <c r="G69" i="2"/>
  <c r="K69" i="2"/>
  <c r="O69" i="2"/>
  <c r="S69" i="2"/>
  <c r="W69" i="2"/>
  <c r="AA69" i="2"/>
  <c r="AE69" i="2"/>
  <c r="AI69" i="2"/>
  <c r="D69" i="2"/>
  <c r="H69" i="2"/>
  <c r="L69" i="2"/>
  <c r="P69" i="2"/>
  <c r="T69" i="2"/>
  <c r="X69" i="2"/>
  <c r="AB69" i="2"/>
  <c r="AF69" i="2"/>
  <c r="AJ69" i="2"/>
  <c r="E69" i="2"/>
  <c r="I69" i="2"/>
  <c r="M69" i="2"/>
  <c r="Q69" i="2"/>
  <c r="U69" i="2"/>
  <c r="Y69" i="2"/>
  <c r="AC69" i="2"/>
  <c r="AG69" i="2"/>
  <c r="AK69" i="2"/>
  <c r="C69" i="2"/>
  <c r="AL190" i="2" l="1"/>
  <c r="AK190" i="2"/>
  <c r="AJ190" i="2"/>
  <c r="AI190" i="2"/>
  <c r="AH190" i="2"/>
  <c r="AG190" i="2"/>
  <c r="AF190" i="2"/>
  <c r="AE190" i="2"/>
  <c r="AD190" i="2"/>
  <c r="AC190" i="2"/>
  <c r="AB190" i="2"/>
  <c r="AA190" i="2"/>
  <c r="Z190" i="2"/>
  <c r="Y190" i="2"/>
  <c r="X190" i="2"/>
  <c r="W190" i="2"/>
  <c r="V190" i="2"/>
  <c r="U190" i="2"/>
  <c r="T190" i="2"/>
  <c r="S190" i="2"/>
  <c r="R190" i="2"/>
  <c r="Q190" i="2"/>
  <c r="P190" i="2"/>
  <c r="O190" i="2"/>
  <c r="N190" i="2"/>
  <c r="M190" i="2"/>
  <c r="L190" i="2"/>
  <c r="K190" i="2"/>
  <c r="J190" i="2"/>
  <c r="I190" i="2"/>
  <c r="H190" i="2"/>
  <c r="G190" i="2"/>
  <c r="F190" i="2"/>
  <c r="E190" i="2"/>
  <c r="D190" i="2"/>
  <c r="AL189" i="2"/>
  <c r="AK189" i="2"/>
  <c r="AJ189" i="2"/>
  <c r="AI189" i="2"/>
  <c r="AH189" i="2"/>
  <c r="AG189" i="2"/>
  <c r="AF189" i="2"/>
  <c r="AE189" i="2"/>
  <c r="AD189" i="2"/>
  <c r="AC189" i="2"/>
  <c r="AB189" i="2"/>
  <c r="AA189" i="2"/>
  <c r="Z189" i="2"/>
  <c r="Y189" i="2"/>
  <c r="X189" i="2"/>
  <c r="W189" i="2"/>
  <c r="V189" i="2"/>
  <c r="U189" i="2"/>
  <c r="T189" i="2"/>
  <c r="S189" i="2"/>
  <c r="R189" i="2"/>
  <c r="Q189" i="2"/>
  <c r="P189" i="2"/>
  <c r="O189" i="2"/>
  <c r="N189" i="2"/>
  <c r="M189" i="2"/>
  <c r="L189" i="2"/>
  <c r="K189" i="2"/>
  <c r="J189" i="2"/>
  <c r="I189" i="2"/>
  <c r="H189" i="2"/>
  <c r="G189" i="2"/>
  <c r="F189" i="2"/>
  <c r="E189" i="2"/>
  <c r="D189" i="2"/>
  <c r="AL188" i="2"/>
  <c r="AK188" i="2"/>
  <c r="AJ188" i="2"/>
  <c r="AI188" i="2"/>
  <c r="AH188" i="2"/>
  <c r="AG188" i="2"/>
  <c r="AF188" i="2"/>
  <c r="AE188" i="2"/>
  <c r="AD188" i="2"/>
  <c r="AC188" i="2"/>
  <c r="AB188" i="2"/>
  <c r="AA188" i="2"/>
  <c r="Z188" i="2"/>
  <c r="Y188" i="2"/>
  <c r="X188" i="2"/>
  <c r="W188" i="2"/>
  <c r="V188" i="2"/>
  <c r="U188" i="2"/>
  <c r="T188" i="2"/>
  <c r="S188" i="2"/>
  <c r="R188" i="2"/>
  <c r="Q188" i="2"/>
  <c r="P188" i="2"/>
  <c r="O188" i="2"/>
  <c r="N188" i="2"/>
  <c r="M188" i="2"/>
  <c r="L188" i="2"/>
  <c r="K188" i="2"/>
  <c r="J188" i="2"/>
  <c r="I188" i="2"/>
  <c r="H188" i="2"/>
  <c r="G188" i="2"/>
  <c r="F188" i="2"/>
  <c r="E188" i="2"/>
  <c r="D188" i="2"/>
  <c r="AL187" i="2"/>
  <c r="AK187" i="2"/>
  <c r="AJ187" i="2"/>
  <c r="AI187" i="2"/>
  <c r="AH187" i="2"/>
  <c r="AG187" i="2"/>
  <c r="AF187" i="2"/>
  <c r="AE187" i="2"/>
  <c r="AD187" i="2"/>
  <c r="AC187" i="2"/>
  <c r="AB187" i="2"/>
  <c r="AA187" i="2"/>
  <c r="Z187" i="2"/>
  <c r="Y187" i="2"/>
  <c r="X187" i="2"/>
  <c r="W187" i="2"/>
  <c r="V187" i="2"/>
  <c r="U187" i="2"/>
  <c r="T187" i="2"/>
  <c r="S187" i="2"/>
  <c r="R187" i="2"/>
  <c r="Q187" i="2"/>
  <c r="P187" i="2"/>
  <c r="O187" i="2"/>
  <c r="N187" i="2"/>
  <c r="M187" i="2"/>
  <c r="L187" i="2"/>
  <c r="K187" i="2"/>
  <c r="J187" i="2"/>
  <c r="I187" i="2"/>
  <c r="H187" i="2"/>
  <c r="G187" i="2"/>
  <c r="F187" i="2"/>
  <c r="E187" i="2"/>
  <c r="D187" i="2"/>
  <c r="AL186" i="2"/>
  <c r="AK186" i="2"/>
  <c r="AJ186" i="2"/>
  <c r="AI186" i="2"/>
  <c r="AH186" i="2"/>
  <c r="AG186" i="2"/>
  <c r="AF186" i="2"/>
  <c r="AE186" i="2"/>
  <c r="AD186" i="2"/>
  <c r="AC186" i="2"/>
  <c r="AB186" i="2"/>
  <c r="AA186" i="2"/>
  <c r="Z186" i="2"/>
  <c r="Y186" i="2"/>
  <c r="X186" i="2"/>
  <c r="W186" i="2"/>
  <c r="V186" i="2"/>
  <c r="U186" i="2"/>
  <c r="T186" i="2"/>
  <c r="S186" i="2"/>
  <c r="R186" i="2"/>
  <c r="Q186" i="2"/>
  <c r="P186" i="2"/>
  <c r="O186" i="2"/>
  <c r="N186" i="2"/>
  <c r="M186" i="2"/>
  <c r="L186" i="2"/>
  <c r="K186" i="2"/>
  <c r="J186" i="2"/>
  <c r="I186" i="2"/>
  <c r="H186" i="2"/>
  <c r="G186" i="2"/>
  <c r="F186" i="2"/>
  <c r="E186" i="2"/>
  <c r="D186" i="2"/>
  <c r="AL185" i="2"/>
  <c r="AK185" i="2"/>
  <c r="AJ185" i="2"/>
  <c r="AI185" i="2"/>
  <c r="AH185" i="2"/>
  <c r="AG185" i="2"/>
  <c r="AF185" i="2"/>
  <c r="AE185" i="2"/>
  <c r="AD185" i="2"/>
  <c r="AC185" i="2"/>
  <c r="AB185" i="2"/>
  <c r="AA185" i="2"/>
  <c r="Z185" i="2"/>
  <c r="Y185" i="2"/>
  <c r="X185" i="2"/>
  <c r="W185" i="2"/>
  <c r="V185" i="2"/>
  <c r="U185" i="2"/>
  <c r="T185" i="2"/>
  <c r="S185" i="2"/>
  <c r="R185" i="2"/>
  <c r="Q185" i="2"/>
  <c r="P185" i="2"/>
  <c r="O185" i="2"/>
  <c r="N185" i="2"/>
  <c r="M185" i="2"/>
  <c r="L185" i="2"/>
  <c r="K185" i="2"/>
  <c r="J185" i="2"/>
  <c r="I185" i="2"/>
  <c r="H185" i="2"/>
  <c r="G185" i="2"/>
  <c r="F185" i="2"/>
  <c r="E185" i="2"/>
  <c r="D185" i="2"/>
  <c r="AL184" i="2"/>
  <c r="AK184" i="2"/>
  <c r="AJ184" i="2"/>
  <c r="AI184" i="2"/>
  <c r="AH184" i="2"/>
  <c r="AG184" i="2"/>
  <c r="AF184" i="2"/>
  <c r="AE184" i="2"/>
  <c r="AD184" i="2"/>
  <c r="AC184" i="2"/>
  <c r="AB184" i="2"/>
  <c r="AA184" i="2"/>
  <c r="Z184" i="2"/>
  <c r="Y184" i="2"/>
  <c r="X184" i="2"/>
  <c r="W184" i="2"/>
  <c r="V184" i="2"/>
  <c r="U184" i="2"/>
  <c r="T184" i="2"/>
  <c r="S184" i="2"/>
  <c r="R184" i="2"/>
  <c r="Q184" i="2"/>
  <c r="P184" i="2"/>
  <c r="O184" i="2"/>
  <c r="N184" i="2"/>
  <c r="M184" i="2"/>
  <c r="L184" i="2"/>
  <c r="K184" i="2"/>
  <c r="J184" i="2"/>
  <c r="I184" i="2"/>
  <c r="H184" i="2"/>
  <c r="G184" i="2"/>
  <c r="F184" i="2"/>
  <c r="E184" i="2"/>
  <c r="D184" i="2"/>
  <c r="C190" i="2"/>
  <c r="C189" i="2"/>
  <c r="C188" i="2"/>
  <c r="C187" i="2"/>
  <c r="C186" i="2"/>
  <c r="C185" i="2"/>
  <c r="C184" i="2"/>
  <c r="D146" i="2"/>
  <c r="C151" i="2"/>
  <c r="D147" i="2" l="1"/>
  <c r="D152" i="2"/>
  <c r="C152" i="2"/>
  <c r="E151" i="2"/>
  <c r="D153" i="2"/>
  <c r="E152" i="2"/>
  <c r="C146" i="2"/>
  <c r="E146" i="2"/>
  <c r="D149" i="2" l="1"/>
  <c r="D151" i="2"/>
  <c r="C147" i="2"/>
  <c r="E148" i="2"/>
  <c r="C149" i="2"/>
  <c r="E150" i="2"/>
  <c r="C153" i="2"/>
  <c r="D148" i="2"/>
  <c r="D150" i="2"/>
  <c r="E147" i="2"/>
  <c r="C148" i="2"/>
  <c r="E149" i="2"/>
  <c r="C150" i="2"/>
  <c r="E153" i="2"/>
  <c r="AL75" i="2"/>
  <c r="R75" i="2"/>
  <c r="F75" i="2" l="1"/>
  <c r="AJ75" i="2"/>
  <c r="AB75" i="2"/>
  <c r="V75" i="2"/>
  <c r="AH75" i="2"/>
  <c r="T75" i="2"/>
  <c r="Z75" i="2"/>
  <c r="J75" i="2"/>
  <c r="AK75" i="2"/>
  <c r="M75" i="2"/>
  <c r="AF75" i="2"/>
  <c r="X75" i="2"/>
  <c r="P75" i="2"/>
  <c r="H75" i="2"/>
  <c r="C75" i="2"/>
  <c r="L75" i="2"/>
  <c r="D75" i="2"/>
  <c r="AE75" i="2"/>
  <c r="W75" i="2"/>
  <c r="O75" i="2"/>
  <c r="G75" i="2"/>
  <c r="AD75" i="2"/>
  <c r="N75" i="2"/>
  <c r="K75" i="2"/>
  <c r="AI75" i="2"/>
  <c r="S75" i="2"/>
  <c r="AG75" i="2"/>
  <c r="Y75" i="2"/>
  <c r="Q75" i="2"/>
  <c r="I75" i="2"/>
  <c r="AA75" i="2"/>
  <c r="AC75" i="2"/>
  <c r="U75" i="2"/>
  <c r="E75" i="2"/>
  <c r="E159" i="2" l="1"/>
  <c r="C157" i="2"/>
  <c r="E161" i="2"/>
  <c r="D161" i="2"/>
  <c r="C161" i="2"/>
  <c r="E160" i="2"/>
  <c r="C160" i="2"/>
  <c r="C159" i="2"/>
  <c r="E158" i="2"/>
  <c r="D158" i="2"/>
  <c r="C158" i="2"/>
  <c r="E157" i="2"/>
  <c r="D157" i="2"/>
  <c r="C156" i="2"/>
  <c r="D160" i="2"/>
  <c r="D156" i="2"/>
  <c r="E156" i="2" l="1"/>
  <c r="D159" i="2"/>
  <c r="B65" i="2" l="1"/>
  <c r="B73" i="2" s="1"/>
  <c r="B64" i="2"/>
  <c r="B67" i="2" s="1"/>
  <c r="AD216" i="2" l="1"/>
  <c r="AD99" i="2"/>
  <c r="AD198" i="2"/>
  <c r="Z217" i="2"/>
  <c r="R218" i="2"/>
  <c r="C228" i="2" s="1"/>
  <c r="R259" i="2"/>
  <c r="J220" i="2"/>
  <c r="J198" i="2"/>
  <c r="F219" i="2"/>
  <c r="AG210" i="2"/>
  <c r="AG256" i="2"/>
  <c r="Y256" i="2"/>
  <c r="Y258" i="2"/>
  <c r="Q220" i="2"/>
  <c r="Q210" i="2"/>
  <c r="Q209" i="2" s="1"/>
  <c r="Q258" i="2"/>
  <c r="Q256" i="2"/>
  <c r="E256" i="2"/>
  <c r="AJ219" i="2"/>
  <c r="AJ210" i="2"/>
  <c r="AF223" i="2"/>
  <c r="AF210" i="2"/>
  <c r="AF260" i="2"/>
  <c r="AF257" i="2"/>
  <c r="AF256" i="2"/>
  <c r="AF258" i="2"/>
  <c r="P257" i="2"/>
  <c r="P256" i="2"/>
  <c r="P258" i="2"/>
  <c r="H261" i="2"/>
  <c r="H257" i="2"/>
  <c r="H256" i="2"/>
  <c r="H258" i="2"/>
  <c r="D99" i="2"/>
  <c r="AH60" i="2"/>
  <c r="AH65" i="2"/>
  <c r="AH64" i="2"/>
  <c r="V198" i="2"/>
  <c r="AK60" i="2"/>
  <c r="AK65" i="2"/>
  <c r="AK64" i="2"/>
  <c r="AC60" i="2"/>
  <c r="AC65" i="2"/>
  <c r="AC64" i="2"/>
  <c r="U60" i="2"/>
  <c r="U65" i="2"/>
  <c r="U64" i="2"/>
  <c r="U210" i="2"/>
  <c r="M60" i="2"/>
  <c r="M65" i="2"/>
  <c r="M64" i="2"/>
  <c r="I60" i="2"/>
  <c r="I65" i="2"/>
  <c r="I64" i="2"/>
  <c r="I257" i="2"/>
  <c r="AI60" i="2"/>
  <c r="AI65" i="2"/>
  <c r="AI64" i="2"/>
  <c r="AE60" i="2"/>
  <c r="AE65" i="2"/>
  <c r="AE64" i="2"/>
  <c r="AA60" i="2"/>
  <c r="AA65" i="2"/>
  <c r="AA64" i="2"/>
  <c r="W60" i="2"/>
  <c r="W65" i="2"/>
  <c r="W64" i="2"/>
  <c r="S60" i="2"/>
  <c r="S65" i="2"/>
  <c r="S64" i="2"/>
  <c r="O60" i="2"/>
  <c r="O65" i="2"/>
  <c r="O64" i="2"/>
  <c r="K60" i="2"/>
  <c r="K65" i="2"/>
  <c r="K64" i="2"/>
  <c r="G65" i="2"/>
  <c r="G64" i="2"/>
  <c r="C219" i="2"/>
  <c r="AJ261" i="2" l="1"/>
  <c r="H260" i="2"/>
  <c r="AB258" i="2"/>
  <c r="AF261" i="2"/>
  <c r="AJ256" i="2"/>
  <c r="E257" i="2"/>
  <c r="AG99" i="2"/>
  <c r="AG98" i="2" s="1"/>
  <c r="AG216" i="2"/>
  <c r="F259" i="2"/>
  <c r="F210" i="2"/>
  <c r="F209" i="2" s="1"/>
  <c r="Z216" i="2"/>
  <c r="AD98" i="2"/>
  <c r="P260" i="2"/>
  <c r="T260" i="2"/>
  <c r="AF209" i="2"/>
  <c r="AF220" i="2"/>
  <c r="C259" i="2"/>
  <c r="K260" i="2"/>
  <c r="E218" i="2"/>
  <c r="Y257" i="2"/>
  <c r="Z259" i="2"/>
  <c r="AD244" i="2"/>
  <c r="AD223" i="2"/>
  <c r="O218" i="2"/>
  <c r="I261" i="2"/>
  <c r="P261" i="2"/>
  <c r="AJ209" i="2"/>
  <c r="AG218" i="2"/>
  <c r="C258" i="2"/>
  <c r="C220" i="2"/>
  <c r="S210" i="2"/>
  <c r="S209" i="2" s="1"/>
  <c r="W223" i="2"/>
  <c r="AE218" i="2"/>
  <c r="AI99" i="2"/>
  <c r="AI98" i="2" s="1"/>
  <c r="AC198" i="2"/>
  <c r="AC197" i="2" s="1"/>
  <c r="AC218" i="2"/>
  <c r="V259" i="2"/>
  <c r="D98" i="2"/>
  <c r="J218" i="2"/>
  <c r="AA256" i="2"/>
  <c r="F216" i="2"/>
  <c r="F223" i="2"/>
  <c r="Z210" i="2"/>
  <c r="Z209" i="2" s="1"/>
  <c r="Q261" i="2"/>
  <c r="J210" i="2"/>
  <c r="J222" i="2" s="1"/>
  <c r="J259" i="2"/>
  <c r="G223" i="2"/>
  <c r="U260" i="2"/>
  <c r="J219" i="2"/>
  <c r="Z244" i="2"/>
  <c r="K223" i="2"/>
  <c r="D198" i="2"/>
  <c r="D197" i="2" s="1"/>
  <c r="C210" i="2"/>
  <c r="G261" i="2"/>
  <c r="AE210" i="2"/>
  <c r="AE209" i="2" s="1"/>
  <c r="AE217" i="2"/>
  <c r="M99" i="2"/>
  <c r="M98" i="2" s="1"/>
  <c r="O99" i="2"/>
  <c r="O98" i="2" s="1"/>
  <c r="W218" i="2"/>
  <c r="AE259" i="2"/>
  <c r="U258" i="2"/>
  <c r="AC261" i="2"/>
  <c r="AK256" i="2"/>
  <c r="N217" i="2"/>
  <c r="Y220" i="2"/>
  <c r="O198" i="2"/>
  <c r="O197" i="2" s="1"/>
  <c r="L256" i="2"/>
  <c r="L217" i="2"/>
  <c r="P223" i="2"/>
  <c r="T261" i="2"/>
  <c r="X256" i="2"/>
  <c r="AG257" i="2"/>
  <c r="W256" i="2"/>
  <c r="AC220" i="2"/>
  <c r="D260" i="2"/>
  <c r="H217" i="2"/>
  <c r="AB257" i="2"/>
  <c r="AB223" i="2"/>
  <c r="D233" i="2" s="1"/>
  <c r="AJ260" i="2"/>
  <c r="AD219" i="2"/>
  <c r="K256" i="2"/>
  <c r="O210" i="2"/>
  <c r="O209" i="2" s="1"/>
  <c r="AA260" i="2"/>
  <c r="I223" i="2"/>
  <c r="U223" i="2"/>
  <c r="U209" i="2"/>
  <c r="U219" i="2"/>
  <c r="U216" i="2"/>
  <c r="AC260" i="2"/>
  <c r="AK210" i="2"/>
  <c r="AK209" i="2" s="1"/>
  <c r="N256" i="2"/>
  <c r="V257" i="2"/>
  <c r="V218" i="2"/>
  <c r="AH244" i="2"/>
  <c r="D218" i="2"/>
  <c r="P198" i="2"/>
  <c r="P197" i="2" s="1"/>
  <c r="X219" i="2"/>
  <c r="AB218" i="2"/>
  <c r="D228" i="2" s="1"/>
  <c r="Q219" i="2"/>
  <c r="Q218" i="2"/>
  <c r="Y261" i="2"/>
  <c r="U259" i="2"/>
  <c r="G256" i="2"/>
  <c r="K99" i="2"/>
  <c r="K98" i="2" s="1"/>
  <c r="O259" i="2"/>
  <c r="O219" i="2"/>
  <c r="AA99" i="2"/>
  <c r="AA98" i="2" s="1"/>
  <c r="AE219" i="2"/>
  <c r="I258" i="2"/>
  <c r="I210" i="2"/>
  <c r="I209" i="2" s="1"/>
  <c r="AK260" i="2"/>
  <c r="AK218" i="2"/>
  <c r="V256" i="2"/>
  <c r="V210" i="2"/>
  <c r="V209" i="2" s="1"/>
  <c r="AH99" i="2"/>
  <c r="AH98" i="2" s="1"/>
  <c r="AH223" i="2"/>
  <c r="D219" i="2"/>
  <c r="D223" i="2"/>
  <c r="L258" i="2"/>
  <c r="C198" i="2"/>
  <c r="C197" i="2" s="1"/>
  <c r="O261" i="2"/>
  <c r="H198" i="2"/>
  <c r="H197" i="2" s="1"/>
  <c r="H218" i="2"/>
  <c r="L261" i="2"/>
  <c r="T219" i="2"/>
  <c r="C218" i="2"/>
  <c r="G259" i="2"/>
  <c r="G217" i="2"/>
  <c r="G218" i="2"/>
  <c r="K210" i="2"/>
  <c r="K209" i="2" s="1"/>
  <c r="O216" i="2"/>
  <c r="W257" i="2"/>
  <c r="W219" i="2"/>
  <c r="W210" i="2"/>
  <c r="W209" i="2" s="1"/>
  <c r="AA223" i="2"/>
  <c r="AE261" i="2"/>
  <c r="AE198" i="2"/>
  <c r="AE197" i="2" s="1"/>
  <c r="AI257" i="2"/>
  <c r="AI198" i="2"/>
  <c r="AI197" i="2" s="1"/>
  <c r="I260" i="2"/>
  <c r="I256" i="2"/>
  <c r="M256" i="2"/>
  <c r="M244" i="2"/>
  <c r="M216" i="2"/>
  <c r="U261" i="2"/>
  <c r="U244" i="2"/>
  <c r="AC223" i="2"/>
  <c r="AC99" i="2"/>
  <c r="AC98" i="2" s="1"/>
  <c r="AK261" i="2"/>
  <c r="AK99" i="2"/>
  <c r="AK98" i="2" s="1"/>
  <c r="N258" i="2"/>
  <c r="N219" i="2"/>
  <c r="N210" i="2"/>
  <c r="N209" i="2" s="1"/>
  <c r="V216" i="2"/>
  <c r="V220" i="2"/>
  <c r="AH256" i="2"/>
  <c r="D261" i="2"/>
  <c r="H216" i="2"/>
  <c r="AB259" i="2"/>
  <c r="E210" i="2"/>
  <c r="E209" i="2" s="1"/>
  <c r="Q223" i="2"/>
  <c r="Y99" i="2"/>
  <c r="Y98" i="2" s="1"/>
  <c r="Y198" i="2"/>
  <c r="Y197" i="2" s="1"/>
  <c r="R220" i="2"/>
  <c r="C230" i="2" s="1"/>
  <c r="AD259" i="2"/>
  <c r="S99" i="2"/>
  <c r="S98" i="2" s="1"/>
  <c r="X217" i="2"/>
  <c r="AC257" i="2"/>
  <c r="L259" i="2"/>
  <c r="P218" i="2"/>
  <c r="T218" i="2"/>
  <c r="X99" i="2"/>
  <c r="X98" i="2" s="1"/>
  <c r="AB261" i="2"/>
  <c r="Z198" i="2"/>
  <c r="C256" i="2"/>
  <c r="S220" i="2"/>
  <c r="AA217" i="2"/>
  <c r="AI223" i="2"/>
  <c r="I244" i="2"/>
  <c r="I220" i="2"/>
  <c r="I219" i="2"/>
  <c r="M198" i="2"/>
  <c r="M197" i="2" s="1"/>
  <c r="AK223" i="2"/>
  <c r="AH210" i="2"/>
  <c r="AH209" i="2" s="1"/>
  <c r="D210" i="2"/>
  <c r="D209" i="2" s="1"/>
  <c r="P244" i="2"/>
  <c r="AB210" i="2"/>
  <c r="AB209" i="2" s="1"/>
  <c r="AB216" i="2"/>
  <c r="D226" i="2" s="1"/>
  <c r="E258" i="2"/>
  <c r="Q260" i="2"/>
  <c r="AG220" i="2"/>
  <c r="O258" i="2"/>
  <c r="S258" i="2"/>
  <c r="M223" i="2"/>
  <c r="AK257" i="2"/>
  <c r="AH258" i="2"/>
  <c r="L219" i="2"/>
  <c r="P219" i="2"/>
  <c r="X258" i="2"/>
  <c r="AB244" i="2"/>
  <c r="AB99" i="2"/>
  <c r="AB98" i="2" s="1"/>
  <c r="E223" i="2"/>
  <c r="C99" i="2"/>
  <c r="C98" i="2" s="1"/>
  <c r="O257" i="2"/>
  <c r="O220" i="2"/>
  <c r="AI220" i="2"/>
  <c r="R223" i="2"/>
  <c r="C233" i="2" s="1"/>
  <c r="AD220" i="2"/>
  <c r="AD217" i="2"/>
  <c r="C261" i="2"/>
  <c r="C257" i="2"/>
  <c r="C255" i="2"/>
  <c r="C235" i="2"/>
  <c r="C216" i="2"/>
  <c r="G219" i="2"/>
  <c r="G210" i="2"/>
  <c r="G209" i="2" s="1"/>
  <c r="G198" i="2"/>
  <c r="G197" i="2" s="1"/>
  <c r="K259" i="2"/>
  <c r="K217" i="2"/>
  <c r="K219" i="2"/>
  <c r="O244" i="2"/>
  <c r="S259" i="2"/>
  <c r="S261" i="2"/>
  <c r="S244" i="2"/>
  <c r="S217" i="2"/>
  <c r="S198" i="2"/>
  <c r="S216" i="2"/>
  <c r="W258" i="2"/>
  <c r="AA258" i="2"/>
  <c r="AA219" i="2"/>
  <c r="AA210" i="2"/>
  <c r="AA209" i="2" s="1"/>
  <c r="AE257" i="2"/>
  <c r="AE244" i="2"/>
  <c r="AE220" i="2"/>
  <c r="AI258" i="2"/>
  <c r="AI244" i="2"/>
  <c r="AI216" i="2"/>
  <c r="I255" i="2"/>
  <c r="I235" i="2"/>
  <c r="I99" i="2"/>
  <c r="I98" i="2" s="1"/>
  <c r="M258" i="2"/>
  <c r="M218" i="2"/>
  <c r="AC210" i="2"/>
  <c r="AC209" i="2" s="1"/>
  <c r="AK259" i="2"/>
  <c r="N198" i="2"/>
  <c r="N218" i="2"/>
  <c r="V244" i="2"/>
  <c r="V99" i="2"/>
  <c r="V98" i="2" s="1"/>
  <c r="V65" i="2"/>
  <c r="AH259" i="2"/>
  <c r="AH261" i="2"/>
  <c r="AH220" i="2"/>
  <c r="D257" i="2"/>
  <c r="D220" i="2"/>
  <c r="H259" i="2"/>
  <c r="P210" i="2"/>
  <c r="P209" i="2" s="1"/>
  <c r="P217" i="2"/>
  <c r="P60" i="2"/>
  <c r="T257" i="2"/>
  <c r="X261" i="2"/>
  <c r="X244" i="2"/>
  <c r="X210" i="2"/>
  <c r="X209" i="2" s="1"/>
  <c r="X220" i="2"/>
  <c r="X218" i="2"/>
  <c r="X64" i="2"/>
  <c r="X60" i="2"/>
  <c r="AB255" i="2"/>
  <c r="AB235" i="2"/>
  <c r="AB198" i="2"/>
  <c r="AB217" i="2"/>
  <c r="D227" i="2" s="1"/>
  <c r="AF99" i="2"/>
  <c r="AF98" i="2" s="1"/>
  <c r="AF219" i="2"/>
  <c r="AJ257" i="2"/>
  <c r="AJ99" i="2"/>
  <c r="AJ98" i="2" s="1"/>
  <c r="AJ220" i="2"/>
  <c r="AJ217" i="2"/>
  <c r="E260" i="2"/>
  <c r="E244" i="2"/>
  <c r="E65" i="2"/>
  <c r="Q257" i="2"/>
  <c r="Q217" i="2"/>
  <c r="Y260" i="2"/>
  <c r="Y210" i="2"/>
  <c r="Y209" i="2" s="1"/>
  <c r="Y219" i="2"/>
  <c r="Y216" i="2"/>
  <c r="Y65" i="2"/>
  <c r="AG260" i="2"/>
  <c r="AG209" i="2"/>
  <c r="AG198" i="2"/>
  <c r="AG222" i="2" s="1"/>
  <c r="F260" i="2"/>
  <c r="F218" i="2"/>
  <c r="J258" i="2"/>
  <c r="J216" i="2"/>
  <c r="J223" i="2"/>
  <c r="J64" i="2"/>
  <c r="J65" i="2"/>
  <c r="R258" i="2"/>
  <c r="R219" i="2"/>
  <c r="C229" i="2" s="1"/>
  <c r="Z260" i="2"/>
  <c r="AD218" i="2"/>
  <c r="C244" i="2"/>
  <c r="AI87" i="2"/>
  <c r="AI86" i="2" s="1"/>
  <c r="S87" i="2"/>
  <c r="S86" i="2" s="1"/>
  <c r="C87" i="2"/>
  <c r="C86" i="2" s="1"/>
  <c r="AH87" i="2"/>
  <c r="AH86" i="2" s="1"/>
  <c r="Z87" i="2"/>
  <c r="Z86" i="2" s="1"/>
  <c r="R87" i="2"/>
  <c r="R86" i="2" s="1"/>
  <c r="J87" i="2"/>
  <c r="J86" i="2" s="1"/>
  <c r="AG87" i="2"/>
  <c r="AG86" i="2" s="1"/>
  <c r="Y87" i="2"/>
  <c r="Y86" i="2" s="1"/>
  <c r="AF87" i="2"/>
  <c r="AF86" i="2" s="1"/>
  <c r="X87" i="2"/>
  <c r="X86" i="2" s="1"/>
  <c r="P87" i="2"/>
  <c r="P86" i="2" s="1"/>
  <c r="AE87" i="2"/>
  <c r="AE86" i="2" s="1"/>
  <c r="W87" i="2"/>
  <c r="W86" i="2" s="1"/>
  <c r="O87" i="2"/>
  <c r="O86" i="2" s="1"/>
  <c r="G87" i="2"/>
  <c r="G86" i="2" s="1"/>
  <c r="AD87" i="2"/>
  <c r="AD86" i="2" s="1"/>
  <c r="V87" i="2"/>
  <c r="V86" i="2" s="1"/>
  <c r="N87" i="2"/>
  <c r="N86" i="2" s="1"/>
  <c r="AK87" i="2"/>
  <c r="AK86" i="2" s="1"/>
  <c r="AC87" i="2"/>
  <c r="AC86" i="2" s="1"/>
  <c r="U87" i="2"/>
  <c r="U86" i="2" s="1"/>
  <c r="M87" i="2"/>
  <c r="M86" i="2" s="1"/>
  <c r="AJ87" i="2"/>
  <c r="AJ86" i="2" s="1"/>
  <c r="AB87" i="2"/>
  <c r="D87" i="2"/>
  <c r="D86" i="2" s="1"/>
  <c r="G99" i="2"/>
  <c r="G98" i="2" s="1"/>
  <c r="K258" i="2"/>
  <c r="O256" i="2"/>
  <c r="S256" i="2"/>
  <c r="AA259" i="2"/>
  <c r="AA257" i="2"/>
  <c r="AI259" i="2"/>
  <c r="U255" i="2"/>
  <c r="U235" i="2"/>
  <c r="N259" i="2"/>
  <c r="V255" i="2"/>
  <c r="V235" i="2"/>
  <c r="AH217" i="2"/>
  <c r="D244" i="2"/>
  <c r="D64" i="2"/>
  <c r="H65" i="2"/>
  <c r="L210" i="2"/>
  <c r="L209" i="2" s="1"/>
  <c r="P99" i="2"/>
  <c r="P98" i="2" s="1"/>
  <c r="T259" i="2"/>
  <c r="T244" i="2"/>
  <c r="T87" i="2"/>
  <c r="T86" i="2" s="1"/>
  <c r="T210" i="2"/>
  <c r="T209" i="2" s="1"/>
  <c r="T64" i="2"/>
  <c r="X216" i="2"/>
  <c r="AF217" i="2"/>
  <c r="E87" i="2"/>
  <c r="E86" i="2" s="1"/>
  <c r="Q60" i="2"/>
  <c r="F99" i="2"/>
  <c r="F98" i="2" s="1"/>
  <c r="F64" i="2"/>
  <c r="J257" i="2"/>
  <c r="R257" i="2"/>
  <c r="R99" i="2"/>
  <c r="AD255" i="2"/>
  <c r="AD235" i="2"/>
  <c r="AD197" i="2"/>
  <c r="G255" i="2"/>
  <c r="G235" i="2"/>
  <c r="G216" i="2"/>
  <c r="K257" i="2"/>
  <c r="O260" i="2"/>
  <c r="S260" i="2"/>
  <c r="W261" i="2"/>
  <c r="W99" i="2"/>
  <c r="W98" i="2" s="1"/>
  <c r="AA261" i="2"/>
  <c r="AA244" i="2"/>
  <c r="AE256" i="2"/>
  <c r="AI261" i="2"/>
  <c r="AI217" i="2"/>
  <c r="I259" i="2"/>
  <c r="M255" i="2"/>
  <c r="M235" i="2"/>
  <c r="U257" i="2"/>
  <c r="AC219" i="2"/>
  <c r="AK220" i="2"/>
  <c r="AK217" i="2"/>
  <c r="N257" i="2"/>
  <c r="N223" i="2"/>
  <c r="AH260" i="2"/>
  <c r="AH218" i="2"/>
  <c r="D259" i="2"/>
  <c r="D256" i="2"/>
  <c r="D65" i="2"/>
  <c r="H87" i="2"/>
  <c r="H86" i="2" s="1"/>
  <c r="H210" i="2"/>
  <c r="H209" i="2" s="1"/>
  <c r="L260" i="2"/>
  <c r="L99" i="2"/>
  <c r="L98" i="2" s="1"/>
  <c r="L223" i="2"/>
  <c r="T256" i="2"/>
  <c r="T99" i="2"/>
  <c r="T98" i="2" s="1"/>
  <c r="T198" i="2"/>
  <c r="X260" i="2"/>
  <c r="X65" i="2"/>
  <c r="D110" i="2"/>
  <c r="D119" i="2"/>
  <c r="D108" i="2"/>
  <c r="D117" i="2"/>
  <c r="AF259" i="2"/>
  <c r="AJ244" i="2"/>
  <c r="Q65" i="2"/>
  <c r="Q64" i="2"/>
  <c r="F255" i="2"/>
  <c r="F235" i="2"/>
  <c r="F87" i="2"/>
  <c r="F86" i="2" s="1"/>
  <c r="F65" i="2"/>
  <c r="J261" i="2"/>
  <c r="R261" i="2"/>
  <c r="R217" i="2"/>
  <c r="C227" i="2" s="1"/>
  <c r="R64" i="2"/>
  <c r="R65" i="2"/>
  <c r="Z255" i="2"/>
  <c r="Z235" i="2"/>
  <c r="C223" i="2"/>
  <c r="G258" i="2"/>
  <c r="G244" i="2"/>
  <c r="G220" i="2"/>
  <c r="K261" i="2"/>
  <c r="K244" i="2"/>
  <c r="K87" i="2"/>
  <c r="K86" i="2" s="1"/>
  <c r="K218" i="2"/>
  <c r="S219" i="2"/>
  <c r="S223" i="2"/>
  <c r="W244" i="2"/>
  <c r="W217" i="2"/>
  <c r="AA220" i="2"/>
  <c r="AA218" i="2"/>
  <c r="AE260" i="2"/>
  <c r="AE216" i="2"/>
  <c r="AI256" i="2"/>
  <c r="AI219" i="2"/>
  <c r="I87" i="2"/>
  <c r="I86" i="2" s="1"/>
  <c r="M260" i="2"/>
  <c r="M261" i="2"/>
  <c r="M220" i="2"/>
  <c r="U218" i="2"/>
  <c r="AC259" i="2"/>
  <c r="AC216" i="2"/>
  <c r="AK258" i="2"/>
  <c r="N261" i="2"/>
  <c r="N99" i="2"/>
  <c r="N98" i="2" s="1"/>
  <c r="V258" i="2"/>
  <c r="V217" i="2"/>
  <c r="AH216" i="2"/>
  <c r="H99" i="2"/>
  <c r="H98" i="2" s="1"/>
  <c r="H219" i="2"/>
  <c r="H223" i="2"/>
  <c r="L244" i="2"/>
  <c r="L64" i="2"/>
  <c r="L60" i="2"/>
  <c r="P220" i="2"/>
  <c r="P64" i="2"/>
  <c r="T65" i="2"/>
  <c r="T60" i="2"/>
  <c r="D114" i="2"/>
  <c r="D122" i="2"/>
  <c r="AJ64" i="2"/>
  <c r="AJ65" i="2"/>
  <c r="AJ60" i="2"/>
  <c r="Y255" i="2"/>
  <c r="Y235" i="2"/>
  <c r="Y259" i="2"/>
  <c r="Y217" i="2"/>
  <c r="Y64" i="2"/>
  <c r="AG259" i="2"/>
  <c r="AG64" i="2"/>
  <c r="F244" i="2"/>
  <c r="J244" i="2"/>
  <c r="J256" i="2"/>
  <c r="R256" i="2"/>
  <c r="C109" i="2"/>
  <c r="C118" i="2"/>
  <c r="R60" i="2"/>
  <c r="Z99" i="2"/>
  <c r="Z98" i="2" s="1"/>
  <c r="Z60" i="2"/>
  <c r="AD258" i="2"/>
  <c r="G257" i="2"/>
  <c r="K220" i="2"/>
  <c r="K216" i="2"/>
  <c r="O255" i="2"/>
  <c r="O235" i="2"/>
  <c r="O217" i="2"/>
  <c r="S255" i="2"/>
  <c r="S235" i="2"/>
  <c r="W259" i="2"/>
  <c r="W260" i="2"/>
  <c r="W220" i="2"/>
  <c r="AA87" i="2"/>
  <c r="AA86" i="2" s="1"/>
  <c r="AA216" i="2"/>
  <c r="AI260" i="2"/>
  <c r="AI210" i="2"/>
  <c r="AI209" i="2" s="1"/>
  <c r="U256" i="2"/>
  <c r="U99" i="2"/>
  <c r="U98" i="2" s="1"/>
  <c r="U198" i="2"/>
  <c r="U222" i="2" s="1"/>
  <c r="N220" i="2"/>
  <c r="V60" i="2"/>
  <c r="AH255" i="2"/>
  <c r="AH235" i="2"/>
  <c r="H255" i="2"/>
  <c r="H235" i="2"/>
  <c r="H244" i="2"/>
  <c r="L255" i="2"/>
  <c r="L235" i="2"/>
  <c r="L87" i="2"/>
  <c r="L86" i="2" s="1"/>
  <c r="L220" i="2"/>
  <c r="L218" i="2"/>
  <c r="X255" i="2"/>
  <c r="X235" i="2"/>
  <c r="X198" i="2"/>
  <c r="X197" i="2" s="1"/>
  <c r="AJ198" i="2"/>
  <c r="Q244" i="2"/>
  <c r="Q198" i="2"/>
  <c r="Q222" i="2" s="1"/>
  <c r="Y244" i="2"/>
  <c r="AG223" i="2"/>
  <c r="F258" i="2"/>
  <c r="J260" i="2"/>
  <c r="J217" i="2"/>
  <c r="R260" i="2"/>
  <c r="C110" i="2"/>
  <c r="C119" i="2"/>
  <c r="C108" i="2"/>
  <c r="C117" i="2"/>
  <c r="R216" i="2"/>
  <c r="C226" i="2" s="1"/>
  <c r="Z258" i="2"/>
  <c r="Z219" i="2"/>
  <c r="Z223" i="2"/>
  <c r="Z65" i="2"/>
  <c r="AD257" i="2"/>
  <c r="AD210" i="2"/>
  <c r="AD209" i="2" s="1"/>
  <c r="AD60" i="2"/>
  <c r="K198" i="2"/>
  <c r="K197" i="2" s="1"/>
  <c r="O223" i="2"/>
  <c r="AA198" i="2"/>
  <c r="AA197" i="2" s="1"/>
  <c r="AE255" i="2"/>
  <c r="AE235" i="2"/>
  <c r="I218" i="2"/>
  <c r="M217" i="2"/>
  <c r="U220" i="2"/>
  <c r="U217" i="2"/>
  <c r="AC256" i="2"/>
  <c r="AC255" i="2"/>
  <c r="AC235" i="2"/>
  <c r="AC217" i="2"/>
  <c r="AK255" i="2"/>
  <c r="AK235" i="2"/>
  <c r="N244" i="2"/>
  <c r="N260" i="2"/>
  <c r="N60" i="2"/>
  <c r="V261" i="2"/>
  <c r="V197" i="2"/>
  <c r="AH198" i="2"/>
  <c r="D255" i="2"/>
  <c r="D235" i="2"/>
  <c r="D216" i="2"/>
  <c r="H220" i="2"/>
  <c r="L216" i="2"/>
  <c r="P259" i="2"/>
  <c r="P255" i="2"/>
  <c r="P235" i="2"/>
  <c r="P216" i="2"/>
  <c r="T255" i="2"/>
  <c r="T235" i="2"/>
  <c r="T223" i="2"/>
  <c r="T216" i="2"/>
  <c r="X259" i="2"/>
  <c r="AB256" i="2"/>
  <c r="D109" i="2"/>
  <c r="D118" i="2"/>
  <c r="D111" i="2"/>
  <c r="D120" i="2"/>
  <c r="AB220" i="2"/>
  <c r="D230" i="2" s="1"/>
  <c r="AB64" i="2"/>
  <c r="AB65" i="2"/>
  <c r="AF218" i="2"/>
  <c r="AJ255" i="2"/>
  <c r="AJ235" i="2"/>
  <c r="AJ218" i="2"/>
  <c r="E64" i="2"/>
  <c r="Q259" i="2"/>
  <c r="Q216" i="2"/>
  <c r="Y223" i="2"/>
  <c r="AG255" i="2"/>
  <c r="AG235" i="2"/>
  <c r="AG258" i="2"/>
  <c r="AG244" i="2"/>
  <c r="AG217" i="2"/>
  <c r="AG60" i="2"/>
  <c r="F257" i="2"/>
  <c r="F198" i="2"/>
  <c r="F220" i="2"/>
  <c r="R244" i="2"/>
  <c r="C107" i="2"/>
  <c r="C114" i="2"/>
  <c r="C122" i="2"/>
  <c r="Z257" i="2"/>
  <c r="AD261" i="2"/>
  <c r="AD65" i="2"/>
  <c r="W255" i="2"/>
  <c r="W235" i="2"/>
  <c r="AA255" i="2"/>
  <c r="AA235" i="2"/>
  <c r="AE223" i="2"/>
  <c r="AI255" i="2"/>
  <c r="AI235" i="2"/>
  <c r="I216" i="2"/>
  <c r="AC258" i="2"/>
  <c r="N64" i="2"/>
  <c r="N65" i="2"/>
  <c r="L65" i="2"/>
  <c r="P65" i="2"/>
  <c r="X223" i="2"/>
  <c r="AB260" i="2"/>
  <c r="AB219" i="2"/>
  <c r="D229" i="2" s="1"/>
  <c r="D107" i="2"/>
  <c r="AF255" i="2"/>
  <c r="AF235" i="2"/>
  <c r="AF244" i="2"/>
  <c r="AF198" i="2"/>
  <c r="AF222" i="2" s="1"/>
  <c r="AF216" i="2"/>
  <c r="AF64" i="2"/>
  <c r="AF65" i="2"/>
  <c r="AF60" i="2"/>
  <c r="AJ259" i="2"/>
  <c r="AJ223" i="2"/>
  <c r="AJ216" i="2"/>
  <c r="E255" i="2"/>
  <c r="E235" i="2"/>
  <c r="E259" i="2"/>
  <c r="E198" i="2"/>
  <c r="E216" i="2"/>
  <c r="Q255" i="2"/>
  <c r="Q235" i="2"/>
  <c r="Q87" i="2"/>
  <c r="Q86" i="2" s="1"/>
  <c r="Q99" i="2"/>
  <c r="Q98" i="2" s="1"/>
  <c r="Y60" i="2"/>
  <c r="AG261" i="2"/>
  <c r="AG65" i="2"/>
  <c r="F261" i="2"/>
  <c r="F217" i="2"/>
  <c r="J255" i="2"/>
  <c r="J235" i="2"/>
  <c r="J99" i="2"/>
  <c r="J98" i="2" s="1"/>
  <c r="R255" i="2"/>
  <c r="R235" i="2"/>
  <c r="R198" i="2"/>
  <c r="R197" i="2" s="1"/>
  <c r="R210" i="2"/>
  <c r="R209" i="2" s="1"/>
  <c r="Z261" i="2"/>
  <c r="Z218" i="2"/>
  <c r="Z220" i="2"/>
  <c r="AD256" i="2"/>
  <c r="C217" i="2"/>
  <c r="G260" i="2"/>
  <c r="K255" i="2"/>
  <c r="K235" i="2"/>
  <c r="S257" i="2"/>
  <c r="S218" i="2"/>
  <c r="W198" i="2"/>
  <c r="W222" i="2" s="1"/>
  <c r="W216" i="2"/>
  <c r="AE258" i="2"/>
  <c r="AE99" i="2"/>
  <c r="AE98" i="2" s="1"/>
  <c r="AI218" i="2"/>
  <c r="I198" i="2"/>
  <c r="I217" i="2"/>
  <c r="M257" i="2"/>
  <c r="M259" i="2"/>
  <c r="M210" i="2"/>
  <c r="M209" i="2" s="1"/>
  <c r="M219" i="2"/>
  <c r="AC244" i="2"/>
  <c r="AK244" i="2"/>
  <c r="AK198" i="2"/>
  <c r="AK219" i="2"/>
  <c r="AK216" i="2"/>
  <c r="N255" i="2"/>
  <c r="N235" i="2"/>
  <c r="N216" i="2"/>
  <c r="V260" i="2"/>
  <c r="V219" i="2"/>
  <c r="V223" i="2"/>
  <c r="V64" i="2"/>
  <c r="AH257" i="2"/>
  <c r="AH219" i="2"/>
  <c r="D258" i="2"/>
  <c r="D217" i="2"/>
  <c r="H64" i="2"/>
  <c r="H60" i="2"/>
  <c r="L257" i="2"/>
  <c r="L198" i="2"/>
  <c r="L197" i="2" s="1"/>
  <c r="T258" i="2"/>
  <c r="T220" i="2"/>
  <c r="T217" i="2"/>
  <c r="X257" i="2"/>
  <c r="AB60" i="2"/>
  <c r="AJ258" i="2"/>
  <c r="E261" i="2"/>
  <c r="E220" i="2"/>
  <c r="E99" i="2"/>
  <c r="E98" i="2" s="1"/>
  <c r="E219" i="2"/>
  <c r="E217" i="2"/>
  <c r="Y218" i="2"/>
  <c r="AG219" i="2"/>
  <c r="F256" i="2"/>
  <c r="J197" i="2"/>
  <c r="J60" i="2"/>
  <c r="C111" i="2"/>
  <c r="C120" i="2"/>
  <c r="Z256" i="2"/>
  <c r="Z64" i="2"/>
  <c r="AD260" i="2"/>
  <c r="AD64" i="2"/>
  <c r="C260" i="2"/>
  <c r="AD254" i="2" l="1"/>
  <c r="F222" i="2"/>
  <c r="Z222" i="2"/>
  <c r="AE254" i="2"/>
  <c r="N222" i="2"/>
  <c r="AE222" i="2"/>
  <c r="AB222" i="2"/>
  <c r="D232" i="2" s="1"/>
  <c r="J209" i="2"/>
  <c r="J221" i="2" s="1"/>
  <c r="V221" i="2"/>
  <c r="AC221" i="2"/>
  <c r="X221" i="2"/>
  <c r="I254" i="2"/>
  <c r="Z254" i="2"/>
  <c r="C222" i="2"/>
  <c r="AB254" i="2"/>
  <c r="D221" i="2"/>
  <c r="E254" i="2"/>
  <c r="P254" i="2"/>
  <c r="X222" i="2"/>
  <c r="S222" i="2"/>
  <c r="D222" i="2"/>
  <c r="AH222" i="2"/>
  <c r="Y254" i="2"/>
  <c r="AC222" i="2"/>
  <c r="C209" i="2"/>
  <c r="C221" i="2" s="1"/>
  <c r="I222" i="2"/>
  <c r="H254" i="2"/>
  <c r="AI221" i="2"/>
  <c r="M254" i="2"/>
  <c r="AD222" i="2"/>
  <c r="M222" i="2"/>
  <c r="AE221" i="2"/>
  <c r="J254" i="2"/>
  <c r="T222" i="2"/>
  <c r="V222" i="2"/>
  <c r="AK222" i="2"/>
  <c r="AG254" i="2"/>
  <c r="AA254" i="2"/>
  <c r="T254" i="2"/>
  <c r="S197" i="2"/>
  <c r="S221" i="2" s="1"/>
  <c r="N197" i="2"/>
  <c r="N221" i="2" s="1"/>
  <c r="K254" i="2"/>
  <c r="O221" i="2"/>
  <c r="W254" i="2"/>
  <c r="K222" i="2"/>
  <c r="P222" i="2"/>
  <c r="O254" i="2"/>
  <c r="U254" i="2"/>
  <c r="W197" i="2"/>
  <c r="W221" i="2" s="1"/>
  <c r="E222" i="2"/>
  <c r="N254" i="2"/>
  <c r="Y221" i="2"/>
  <c r="AI254" i="2"/>
  <c r="AH254" i="2"/>
  <c r="H221" i="2"/>
  <c r="O222" i="2"/>
  <c r="AH197" i="2"/>
  <c r="AH221" i="2" s="1"/>
  <c r="Q197" i="2"/>
  <c r="Q221" i="2" s="1"/>
  <c r="V254" i="2"/>
  <c r="E197" i="2"/>
  <c r="E221" i="2" s="1"/>
  <c r="AJ254" i="2"/>
  <c r="X254" i="2"/>
  <c r="AB197" i="2"/>
  <c r="AB221" i="2" s="1"/>
  <c r="D231" i="2" s="1"/>
  <c r="AI222" i="2"/>
  <c r="Z197" i="2"/>
  <c r="Z221" i="2" s="1"/>
  <c r="H222" i="2"/>
  <c r="AB86" i="2"/>
  <c r="D112" i="2" s="1"/>
  <c r="D113" i="2"/>
  <c r="R221" i="2"/>
  <c r="C231" i="2" s="1"/>
  <c r="R254" i="2"/>
  <c r="AF197" i="2"/>
  <c r="AF221" i="2" s="1"/>
  <c r="P221" i="2"/>
  <c r="AK197" i="2"/>
  <c r="AK221" i="2" s="1"/>
  <c r="U197" i="2"/>
  <c r="U221" i="2" s="1"/>
  <c r="T197" i="2"/>
  <c r="T221" i="2" s="1"/>
  <c r="I197" i="2"/>
  <c r="I221" i="2" s="1"/>
  <c r="D254" i="2"/>
  <c r="L254" i="2"/>
  <c r="G221" i="2"/>
  <c r="AK254" i="2"/>
  <c r="AD221" i="2"/>
  <c r="Y222" i="2"/>
  <c r="G254" i="2"/>
  <c r="AC254" i="2"/>
  <c r="AJ197" i="2"/>
  <c r="AJ221" i="2" s="1"/>
  <c r="AJ222" i="2"/>
  <c r="C113" i="2"/>
  <c r="R222" i="2"/>
  <c r="C232" i="2" s="1"/>
  <c r="R98" i="2"/>
  <c r="Q254" i="2"/>
  <c r="AF254" i="2"/>
  <c r="K221" i="2"/>
  <c r="S254" i="2"/>
  <c r="L221" i="2"/>
  <c r="L222" i="2"/>
  <c r="AA221" i="2"/>
  <c r="AG197" i="2"/>
  <c r="AG221" i="2" s="1"/>
  <c r="AA222" i="2"/>
  <c r="C254" i="2"/>
  <c r="M221" i="2"/>
  <c r="F254" i="2"/>
  <c r="F197" i="2"/>
  <c r="F221" i="2" s="1"/>
  <c r="G222" i="2"/>
  <c r="D121" i="2" l="1"/>
  <c r="C112" i="2"/>
  <c r="C121" i="2"/>
  <c r="AL198" i="2" l="1"/>
  <c r="AL87" i="2"/>
  <c r="AL259" i="2"/>
  <c r="AL447" i="2"/>
  <c r="AL460" i="2" l="1"/>
  <c r="AL474" i="2" s="1"/>
  <c r="AL216" i="2"/>
  <c r="E226" i="2" s="1"/>
  <c r="AL220" i="2"/>
  <c r="E230" i="2" s="1"/>
  <c r="AL285" i="2"/>
  <c r="E294" i="2" s="1"/>
  <c r="AL284" i="2"/>
  <c r="E293" i="2" s="1"/>
  <c r="AL99" i="2"/>
  <c r="AL98" i="2" s="1"/>
  <c r="AL218" i="2"/>
  <c r="E228" i="2" s="1"/>
  <c r="AL453" i="2"/>
  <c r="AL473" i="2"/>
  <c r="AL86" i="2"/>
  <c r="AL280" i="2"/>
  <c r="E289" i="2" s="1"/>
  <c r="AL466" i="2"/>
  <c r="AL472" i="2"/>
  <c r="AL258" i="2"/>
  <c r="E119" i="2"/>
  <c r="E110" i="2"/>
  <c r="AM65" i="2"/>
  <c r="AL65" i="2"/>
  <c r="AL509" i="2"/>
  <c r="AL257" i="2"/>
  <c r="E107" i="2"/>
  <c r="AL244" i="2"/>
  <c r="AL510" i="2"/>
  <c r="AL494" i="2"/>
  <c r="AL261" i="2"/>
  <c r="E108" i="2"/>
  <c r="E117" i="2"/>
  <c r="AL282" i="2"/>
  <c r="E291" i="2" s="1"/>
  <c r="AL283" i="2"/>
  <c r="E292" i="2" s="1"/>
  <c r="AM60" i="2"/>
  <c r="AL60" i="2"/>
  <c r="AL481" i="2"/>
  <c r="AL256" i="2"/>
  <c r="E114" i="2"/>
  <c r="E122" i="2"/>
  <c r="AL217" i="2"/>
  <c r="E227" i="2" s="1"/>
  <c r="AL475" i="2"/>
  <c r="AL500" i="2"/>
  <c r="AL506" i="2"/>
  <c r="AL260" i="2"/>
  <c r="AL197" i="2"/>
  <c r="AL487" i="2"/>
  <c r="AL507" i="2"/>
  <c r="E120" i="2"/>
  <c r="E111" i="2"/>
  <c r="AL210" i="2"/>
  <c r="AL209" i="2" s="1"/>
  <c r="AL281" i="2"/>
  <c r="E290" i="2" s="1"/>
  <c r="AL476" i="2"/>
  <c r="AL255" i="2"/>
  <c r="AL235" i="2"/>
  <c r="E118" i="2"/>
  <c r="E109" i="2"/>
  <c r="AL219" i="2"/>
  <c r="E229" i="2" s="1"/>
  <c r="AL223" i="2"/>
  <c r="E233" i="2" s="1"/>
  <c r="AL279" i="2"/>
  <c r="E288" i="2" s="1"/>
  <c r="AM64" i="2"/>
  <c r="AL64" i="2"/>
  <c r="AL508" i="2" l="1"/>
  <c r="E113" i="2"/>
  <c r="AL477" i="2"/>
  <c r="AL222" i="2"/>
  <c r="E232" i="2" s="1"/>
  <c r="AL254" i="2"/>
  <c r="AL221" i="2"/>
  <c r="E231" i="2" s="1"/>
  <c r="E121" i="2"/>
  <c r="E112" i="2"/>
  <c r="AL511" i="2"/>
</calcChain>
</file>

<file path=xl/sharedStrings.xml><?xml version="1.0" encoding="utf-8"?>
<sst xmlns="http://schemas.openxmlformats.org/spreadsheetml/2006/main" count="400" uniqueCount="106">
  <si>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</si>
  <si>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</si>
  <si>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</si>
  <si>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</si>
  <si>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</si>
  <si>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</si>
  <si>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</si>
  <si>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</si>
  <si>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</si>
  <si>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</si>
  <si>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</si>
  <si>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</si>
  <si>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</si>
  <si>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</si>
  <si>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</si>
  <si>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</si>
  <si>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</si>
  <si>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</si>
  <si>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</si>
  <si>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</si>
  <si>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</si>
  <si>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</si>
  <si>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</si>
  <si>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</si>
  <si>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</si>
  <si>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</si>
  <si>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</si>
  <si>
    <t>Total</t>
  </si>
  <si>
    <t>Transport</t>
  </si>
  <si>
    <t>Oil&amp;Gas</t>
  </si>
  <si>
    <t>Industry</t>
  </si>
  <si>
    <t>Oil &amp; Gas</t>
  </si>
  <si>
    <t>Renewable Oil &amp; Gas</t>
  </si>
  <si>
    <t>Electricity</t>
  </si>
  <si>
    <t>biogas</t>
  </si>
  <si>
    <t>biofuel</t>
  </si>
  <si>
    <t>Renewable Oil&amp;Gas</t>
  </si>
  <si>
    <t>total oil&amp;gas</t>
  </si>
  <si>
    <t>baseline</t>
  </si>
  <si>
    <t>shock</t>
  </si>
  <si>
    <t>Average</t>
  </si>
  <si>
    <t>Capital</t>
  </si>
  <si>
    <t>Capital intensity</t>
  </si>
  <si>
    <t>Energy intensity</t>
  </si>
  <si>
    <t>Ménages</t>
  </si>
  <si>
    <t>Ménages (logement)</t>
  </si>
  <si>
    <t>Ménages (transport)</t>
  </si>
  <si>
    <t>Households (housing)</t>
  </si>
  <si>
    <t>Households (transport)</t>
  </si>
  <si>
    <t>Consommation</t>
  </si>
  <si>
    <t>CI</t>
  </si>
  <si>
    <t>Y</t>
  </si>
  <si>
    <t>MAT</t>
  </si>
  <si>
    <t>Fuel</t>
  </si>
  <si>
    <t>Gas</t>
  </si>
  <si>
    <t>Electric</t>
  </si>
  <si>
    <t>Vehicles</t>
  </si>
  <si>
    <t>A</t>
  </si>
  <si>
    <t>B</t>
  </si>
  <si>
    <t>C</t>
  </si>
  <si>
    <t>D</t>
  </si>
  <si>
    <t>E</t>
  </si>
  <si>
    <t>F</t>
  </si>
  <si>
    <t>G</t>
  </si>
  <si>
    <t>Food</t>
  </si>
  <si>
    <t>Glass</t>
  </si>
  <si>
    <t>Chemicals</t>
  </si>
  <si>
    <t>Metal</t>
  </si>
  <si>
    <t>Road transport</t>
  </si>
  <si>
    <t>Air transport</t>
  </si>
  <si>
    <t>Other transport</t>
  </si>
  <si>
    <t>Other industry</t>
  </si>
  <si>
    <t>2020</t>
  </si>
  <si>
    <t>CF toe</t>
  </si>
  <si>
    <t>Carburant</t>
  </si>
  <si>
    <t>Autre</t>
  </si>
  <si>
    <t>Charbon</t>
  </si>
  <si>
    <t>Consommation énergétique</t>
  </si>
  <si>
    <t>Valeur ajoutée sectorielle</t>
  </si>
  <si>
    <t>VA graphique</t>
  </si>
  <si>
    <t>%deviation</t>
  </si>
  <si>
    <t>share evolution</t>
  </si>
  <si>
    <t>Production sectorielle</t>
  </si>
  <si>
    <t>Production graphique</t>
  </si>
  <si>
    <t>%share</t>
  </si>
  <si>
    <t>%deviation from baseline</t>
  </si>
  <si>
    <t>Employment</t>
  </si>
  <si>
    <t>deviation in thousands</t>
  </si>
  <si>
    <t>%deviation + contributions</t>
  </si>
  <si>
    <t>Vehicles stock by energy</t>
  </si>
  <si>
    <t>Vehicles stock by class</t>
  </si>
  <si>
    <t>Buildings by class</t>
  </si>
  <si>
    <t>Firms' CO2 emissions</t>
  </si>
  <si>
    <t>Final energy</t>
  </si>
  <si>
    <t>Primary energy</t>
  </si>
  <si>
    <t>%deviation + contribution</t>
  </si>
  <si>
    <t>AUTO_CA_0</t>
  </si>
  <si>
    <t>AUTO_CB_0</t>
  </si>
  <si>
    <t>AUTO_CC_0</t>
  </si>
  <si>
    <t>AUTO_CD_0</t>
  </si>
  <si>
    <t>AUTO_CE_0</t>
  </si>
  <si>
    <t>AUTO_CF_0</t>
  </si>
  <si>
    <t>AUTO_CG_0</t>
  </si>
  <si>
    <t>Households' consumption</t>
  </si>
  <si>
    <t>Firms' consumption</t>
  </si>
  <si>
    <t>Net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</si>
</sst>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quotePrefix="1"/>
    <xf numFmtId="0" fontId="0" fillId="0" borderId="0" xfId="0" applyAlignment="1">
      <alignment horizontal="center" vertical="center"/>
    </xf>
    <xf numFmtId="9" fontId="0" fillId="0" borderId="0" xfId="0" applyNumberFormat="1"/>
    <xf numFmtId="165" fontId="0" fillId="0" borderId="0" xfId="0" quotePrefix="1" applyNumberFormat="1"/>
    <xf numFmtId="0" fontId="0" fillId="0" borderId="0" xfId="0" applyAlignment="1">
      <alignment vertic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hartsheet" Target="chartsheets/sheet12.xml"/><Relationship Id="rId18" Type="http://schemas.openxmlformats.org/officeDocument/2006/relationships/chartsheet" Target="chartsheets/sheet17.xml"/><Relationship Id="rId26" Type="http://schemas.openxmlformats.org/officeDocument/2006/relationships/sharedStrings" Target="sharedStrings.xml"/><Relationship Id="rId3" Type="http://schemas.openxmlformats.org/officeDocument/2006/relationships/chartsheet" Target="chartsheets/sheet2.xml"/><Relationship Id="rId21" Type="http://schemas.openxmlformats.org/officeDocument/2006/relationships/chartsheet" Target="chartsheets/sheet20.xml"/><Relationship Id="rId7" Type="http://schemas.openxmlformats.org/officeDocument/2006/relationships/chartsheet" Target="chartsheets/sheet6.xml"/><Relationship Id="rId12" Type="http://schemas.openxmlformats.org/officeDocument/2006/relationships/chartsheet" Target="chartsheets/sheet11.xml"/><Relationship Id="rId17" Type="http://schemas.openxmlformats.org/officeDocument/2006/relationships/chartsheet" Target="chartsheets/sheet16.xml"/><Relationship Id="rId25" Type="http://schemas.openxmlformats.org/officeDocument/2006/relationships/styles" Target="styles.xml"/><Relationship Id="rId2" Type="http://schemas.openxmlformats.org/officeDocument/2006/relationships/chartsheet" Target="chartsheets/sheet1.xml"/><Relationship Id="rId16" Type="http://schemas.openxmlformats.org/officeDocument/2006/relationships/chartsheet" Target="chartsheets/sheet15.xml"/><Relationship Id="rId20" Type="http://schemas.openxmlformats.org/officeDocument/2006/relationships/chartsheet" Target="chartsheets/sheet19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chartsheet" Target="chartsheets/sheet10.xml"/><Relationship Id="rId24" Type="http://schemas.openxmlformats.org/officeDocument/2006/relationships/theme" Target="theme/theme1.xml"/><Relationship Id="rId5" Type="http://schemas.openxmlformats.org/officeDocument/2006/relationships/chartsheet" Target="chartsheets/sheet4.xml"/><Relationship Id="rId15" Type="http://schemas.openxmlformats.org/officeDocument/2006/relationships/chartsheet" Target="chartsheets/sheet14.xml"/><Relationship Id="rId23" Type="http://schemas.openxmlformats.org/officeDocument/2006/relationships/externalLink" Target="externalLinks/externalLink1.xml"/><Relationship Id="rId10" Type="http://schemas.openxmlformats.org/officeDocument/2006/relationships/chartsheet" Target="chartsheets/sheet9.xml"/><Relationship Id="rId19" Type="http://schemas.openxmlformats.org/officeDocument/2006/relationships/chartsheet" Target="chartsheets/sheet18.xml"/><Relationship Id="rId4" Type="http://schemas.openxmlformats.org/officeDocument/2006/relationships/chartsheet" Target="chartsheets/sheet3.xml"/><Relationship Id="rId9" Type="http://schemas.openxmlformats.org/officeDocument/2006/relationships/chartsheet" Target="chartsheets/sheet8.xml"/><Relationship Id="rId14" Type="http://schemas.openxmlformats.org/officeDocument/2006/relationships/chartsheet" Target="chartsheets/sheet13.xml"/><Relationship Id="rId22" Type="http://schemas.openxmlformats.org/officeDocument/2006/relationships/chartsheet" Target="chartsheets/sheet21.xml"/><Relationship Id="rId27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1.xml"/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Physical damages of a 3°C Scenario </a:t>
            </a:r>
            <a:r>
              <a:rPr lang="fr-FR" sz="1600" baseline="0"/>
              <a:t>(% deviation from status quo)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Données!$B$7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Données!$C$7:$BF$7</c:f>
              <c:numCache>
                <c:formatCode>#\ ##0.0</c:formatCode>
                <c:ptCount val="56"/>
                <c:pt idx="0">
                  <c:v>-0.25349993310914692</c:v>
                </c:pt>
                <c:pt idx="1">
                  <c:v>-0.55820546753204225</c:v>
                </c:pt>
                <c:pt idx="2">
                  <c:v>-0.8451056209479344</c:v>
                </c:pt>
                <c:pt idx="3">
                  <c:v>-1.096312673034505</c:v>
                </c:pt>
                <c:pt idx="4">
                  <c:v>-1.3101014119216667</c:v>
                </c:pt>
                <c:pt idx="5">
                  <c:v>-1.4898914520720428</c:v>
                </c:pt>
                <c:pt idx="6">
                  <c:v>-1.6415562464252413</c:v>
                </c:pt>
                <c:pt idx="7">
                  <c:v>-1.7693167349294219</c:v>
                </c:pt>
                <c:pt idx="8">
                  <c:v>-1.8777603733670754</c:v>
                </c:pt>
                <c:pt idx="9">
                  <c:v>-1.9709943315202718</c:v>
                </c:pt>
                <c:pt idx="10">
                  <c:v>-2.0673698302730399</c:v>
                </c:pt>
                <c:pt idx="11">
                  <c:v>-2.1490538343784582</c:v>
                </c:pt>
                <c:pt idx="12">
                  <c:v>-2.2101879639452178</c:v>
                </c:pt>
                <c:pt idx="13">
                  <c:v>-2.2519384582132185</c:v>
                </c:pt>
                <c:pt idx="14">
                  <c:v>-2.2770778095652848</c:v>
                </c:pt>
                <c:pt idx="15">
                  <c:v>-2.2887703653548996</c:v>
                </c:pt>
                <c:pt idx="16">
                  <c:v>-2.2910571257198828</c:v>
                </c:pt>
                <c:pt idx="17">
                  <c:v>-2.2869521895194063</c:v>
                </c:pt>
                <c:pt idx="18">
                  <c:v>-2.2788776759401488</c:v>
                </c:pt>
                <c:pt idx="19">
                  <c:v>-2.2688195681676366</c:v>
                </c:pt>
                <c:pt idx="20">
                  <c:v>-2.2591178044581985</c:v>
                </c:pt>
                <c:pt idx="21">
                  <c:v>-2.2490630684457544</c:v>
                </c:pt>
                <c:pt idx="22">
                  <c:v>-2.2407853717781685</c:v>
                </c:pt>
                <c:pt idx="23">
                  <c:v>-2.2350096358845053</c:v>
                </c:pt>
                <c:pt idx="24">
                  <c:v>-2.23218749974499</c:v>
                </c:pt>
                <c:pt idx="25">
                  <c:v>-2.2344883853530919</c:v>
                </c:pt>
                <c:pt idx="26">
                  <c:v>-2.2373717118322745</c:v>
                </c:pt>
                <c:pt idx="27">
                  <c:v>-2.2425049362198255</c:v>
                </c:pt>
                <c:pt idx="28">
                  <c:v>-2.2501111571028698</c:v>
                </c:pt>
                <c:pt idx="29">
                  <c:v>-2.2603146279243993</c:v>
                </c:pt>
                <c:pt idx="30">
                  <c:v>-2.2731165742037729</c:v>
                </c:pt>
                <c:pt idx="31">
                  <c:v>-2.2882026531722253</c:v>
                </c:pt>
                <c:pt idx="32">
                  <c:v>-2.3054148067870064</c:v>
                </c:pt>
                <c:pt idx="33">
                  <c:v>-2.3246272684858518</c:v>
                </c:pt>
                <c:pt idx="34">
                  <c:v>-2.3457040900077386</c:v>
                </c:pt>
                <c:pt idx="35">
                  <c:v>-2.3684946864135541</c:v>
                </c:pt>
                <c:pt idx="36">
                  <c:v>-2.3912546579922793</c:v>
                </c:pt>
                <c:pt idx="37">
                  <c:v>-2.4130529057477452</c:v>
                </c:pt>
                <c:pt idx="38">
                  <c:v>-2.4342303757643857</c:v>
                </c:pt>
                <c:pt idx="39">
                  <c:v>-2.4552000761161481</c:v>
                </c:pt>
                <c:pt idx="40">
                  <c:v>-2.4762769906457085</c:v>
                </c:pt>
                <c:pt idx="41">
                  <c:v>-2.4973531578316743</c:v>
                </c:pt>
                <c:pt idx="42">
                  <c:v>-2.5185602647292979</c:v>
                </c:pt>
                <c:pt idx="43">
                  <c:v>-2.5400805599254799</c:v>
                </c:pt>
                <c:pt idx="44">
                  <c:v>-2.5620759139605429</c:v>
                </c:pt>
                <c:pt idx="45">
                  <c:v>-2.5846736083364883</c:v>
                </c:pt>
                <c:pt idx="46">
                  <c:v>-2.6068682595768604</c:v>
                </c:pt>
                <c:pt idx="47">
                  <c:v>-2.6287756366810795</c:v>
                </c:pt>
                <c:pt idx="48">
                  <c:v>-2.6507322766072168</c:v>
                </c:pt>
                <c:pt idx="49">
                  <c:v>-2.6730419780536034</c:v>
                </c:pt>
                <c:pt idx="50">
                  <c:v>-2.6959058505531894</c:v>
                </c:pt>
                <c:pt idx="51">
                  <c:v>2.4627260846567238E-2</c:v>
                </c:pt>
                <c:pt idx="52">
                  <c:v>2.6598171712759654E-2</c:v>
                </c:pt>
                <c:pt idx="53">
                  <c:v>2.8484324639781216E-2</c:v>
                </c:pt>
                <c:pt idx="54">
                  <c:v>3.0234981441569546E-2</c:v>
                </c:pt>
                <c:pt idx="55">
                  <c:v>3.1819722090826522E-2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Données!$B$10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Données!$C$10:$BF$10</c:f>
              <c:numCache>
                <c:formatCode>#\ ##0.0</c:formatCode>
                <c:ptCount val="56"/>
                <c:pt idx="0">
                  <c:v>-0.20564416411976044</c:v>
                </c:pt>
                <c:pt idx="1">
                  <c:v>-0.34570085463578221</c:v>
                </c:pt>
                <c:pt idx="2">
                  <c:v>-0.44966903021153598</c:v>
                </c:pt>
                <c:pt idx="3">
                  <c:v>-0.53639982613231607</c:v>
                </c:pt>
                <c:pt idx="4">
                  <c:v>-0.6147585425587424</c:v>
                </c:pt>
                <c:pt idx="5">
                  <c:v>-0.68891481342461203</c:v>
                </c:pt>
                <c:pt idx="6">
                  <c:v>-0.76137314945572909</c:v>
                </c:pt>
                <c:pt idx="7">
                  <c:v>-0.83271080442397571</c:v>
                </c:pt>
                <c:pt idx="8">
                  <c:v>-0.90336520119326269</c:v>
                </c:pt>
                <c:pt idx="9">
                  <c:v>-0.97361919302601851</c:v>
                </c:pt>
                <c:pt idx="10">
                  <c:v>-1.0573687346501632</c:v>
                </c:pt>
                <c:pt idx="11">
                  <c:v>-1.126869030368512</c:v>
                </c:pt>
                <c:pt idx="12">
                  <c:v>-1.188217081701064</c:v>
                </c:pt>
                <c:pt idx="13">
                  <c:v>-1.2451981643446242</c:v>
                </c:pt>
                <c:pt idx="14">
                  <c:v>-1.2994446519331644</c:v>
                </c:pt>
                <c:pt idx="15">
                  <c:v>-1.3516284582422586</c:v>
                </c:pt>
                <c:pt idx="16">
                  <c:v>-1.4027124801813082</c:v>
                </c:pt>
                <c:pt idx="17">
                  <c:v>-1.4525989756497069</c:v>
                </c:pt>
                <c:pt idx="18">
                  <c:v>-1.5012361023938816</c:v>
                </c:pt>
                <c:pt idx="19">
                  <c:v>-1.5486143524803258</c:v>
                </c:pt>
                <c:pt idx="20">
                  <c:v>-1.5952491329096015</c:v>
                </c:pt>
                <c:pt idx="21">
                  <c:v>-1.6399613376951765</c:v>
                </c:pt>
                <c:pt idx="22">
                  <c:v>-1.6834421352939568</c:v>
                </c:pt>
                <c:pt idx="23">
                  <c:v>-1.7256593740316624</c:v>
                </c:pt>
                <c:pt idx="24">
                  <c:v>-1.7665910647481586</c:v>
                </c:pt>
                <c:pt idx="25">
                  <c:v>-1.807750557881765</c:v>
                </c:pt>
                <c:pt idx="26">
                  <c:v>-1.8459653117493771</c:v>
                </c:pt>
                <c:pt idx="27">
                  <c:v>-1.8824609586016277</c:v>
                </c:pt>
                <c:pt idx="28">
                  <c:v>-1.9172356003215694</c:v>
                </c:pt>
                <c:pt idx="29">
                  <c:v>-1.9503008451330481</c:v>
                </c:pt>
                <c:pt idx="30">
                  <c:v>-1.9816737997600646</c:v>
                </c:pt>
                <c:pt idx="31">
                  <c:v>-2.0112071813859465</c:v>
                </c:pt>
                <c:pt idx="32">
                  <c:v>-2.038980456488626</c:v>
                </c:pt>
                <c:pt idx="33">
                  <c:v>-2.0650610999349448</c:v>
                </c:pt>
                <c:pt idx="34">
                  <c:v>-2.0895114520860956</c:v>
                </c:pt>
                <c:pt idx="35">
                  <c:v>-2.1123942179229873</c:v>
                </c:pt>
                <c:pt idx="36">
                  <c:v>-2.1326471518355974</c:v>
                </c:pt>
                <c:pt idx="37">
                  <c:v>-2.1503342941667043</c:v>
                </c:pt>
                <c:pt idx="38">
                  <c:v>-2.1658806680754217</c:v>
                </c:pt>
                <c:pt idx="39">
                  <c:v>-2.1795806234600525</c:v>
                </c:pt>
                <c:pt idx="40">
                  <c:v>-2.1916572939967036</c:v>
                </c:pt>
                <c:pt idx="41">
                  <c:v>-2.2020467133666073</c:v>
                </c:pt>
                <c:pt idx="42">
                  <c:v>-2.2109720922876188</c:v>
                </c:pt>
                <c:pt idx="43">
                  <c:v>-2.2186165957329553</c:v>
                </c:pt>
                <c:pt idx="44">
                  <c:v>-2.2251375058759724</c:v>
                </c:pt>
                <c:pt idx="45">
                  <c:v>-2.2306770954986268</c:v>
                </c:pt>
                <c:pt idx="46">
                  <c:v>-2.2345253634236348</c:v>
                </c:pt>
                <c:pt idx="47">
                  <c:v>-2.2371048354117256</c:v>
                </c:pt>
                <c:pt idx="48">
                  <c:v>-2.2387161488849863</c:v>
                </c:pt>
                <c:pt idx="49">
                  <c:v>-2.2395918727492226</c:v>
                </c:pt>
                <c:pt idx="50">
                  <c:v>-2.2399170641839548</c:v>
                </c:pt>
                <c:pt idx="51">
                  <c:v>-4.521236430945175E-3</c:v>
                </c:pt>
                <c:pt idx="52">
                  <c:v>7.2949558812879342E-4</c:v>
                </c:pt>
                <c:pt idx="53">
                  <c:v>6.3874356486643144E-3</c:v>
                </c:pt>
                <c:pt idx="54">
                  <c:v>1.2419202628000638E-2</c:v>
                </c:pt>
                <c:pt idx="55">
                  <c:v>1.8789179124359609E-2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Données!$B$12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Données!$C$12:$BF$12</c:f>
              <c:numCache>
                <c:formatCode>#\ ##0.0</c:formatCode>
                <c:ptCount val="56"/>
                <c:pt idx="0">
                  <c:v>-0.91432121186443971</c:v>
                </c:pt>
                <c:pt idx="1">
                  <c:v>-0.82595014224634145</c:v>
                </c:pt>
                <c:pt idx="2">
                  <c:v>-0.76979102857482262</c:v>
                </c:pt>
                <c:pt idx="3">
                  <c:v>-0.72492112747295112</c:v>
                </c:pt>
                <c:pt idx="4">
                  <c:v>-0.68914939513792639</c:v>
                </c:pt>
                <c:pt idx="5">
                  <c:v>-0.66197048148517057</c:v>
                </c:pt>
                <c:pt idx="6">
                  <c:v>-0.64353076853037305</c:v>
                </c:pt>
                <c:pt idx="7">
                  <c:v>-0.6323350832678396</c:v>
                </c:pt>
                <c:pt idx="8">
                  <c:v>-0.62767893287951604</c:v>
                </c:pt>
                <c:pt idx="9">
                  <c:v>-0.62896447261902688</c:v>
                </c:pt>
                <c:pt idx="10">
                  <c:v>-0.70163603209967684</c:v>
                </c:pt>
                <c:pt idx="11">
                  <c:v>-0.66023596530177198</c:v>
                </c:pt>
                <c:pt idx="12">
                  <c:v>-0.63515803047897412</c:v>
                </c:pt>
                <c:pt idx="13">
                  <c:v>-0.62205907717839759</c:v>
                </c:pt>
                <c:pt idx="14">
                  <c:v>-0.61949781044938956</c:v>
                </c:pt>
                <c:pt idx="15">
                  <c:v>-0.62641266610996116</c:v>
                </c:pt>
                <c:pt idx="16">
                  <c:v>-0.64475867880874183</c:v>
                </c:pt>
                <c:pt idx="17">
                  <c:v>-0.66995894117216959</c:v>
                </c:pt>
                <c:pt idx="18">
                  <c:v>-0.70112898383913302</c:v>
                </c:pt>
                <c:pt idx="19">
                  <c:v>-0.73734422384576925</c:v>
                </c:pt>
                <c:pt idx="20">
                  <c:v>-0.77674285342446936</c:v>
                </c:pt>
                <c:pt idx="21">
                  <c:v>-0.82096941640586829</c:v>
                </c:pt>
                <c:pt idx="22">
                  <c:v>-0.8676901456202688</c:v>
                </c:pt>
                <c:pt idx="23">
                  <c:v>-0.91630874995867106</c:v>
                </c:pt>
                <c:pt idx="24">
                  <c:v>-0.96626788122178819</c:v>
                </c:pt>
                <c:pt idx="25">
                  <c:v>-1.0141742167615142</c:v>
                </c:pt>
                <c:pt idx="26">
                  <c:v>-1.0643395748662456</c:v>
                </c:pt>
                <c:pt idx="27">
                  <c:v>-1.1152690451938647</c:v>
                </c:pt>
                <c:pt idx="28">
                  <c:v>-1.1665810625386022</c:v>
                </c:pt>
                <c:pt idx="29">
                  <c:v>-1.2179600000075688</c:v>
                </c:pt>
                <c:pt idx="30">
                  <c:v>-1.2691692148875675</c:v>
                </c:pt>
                <c:pt idx="31">
                  <c:v>-1.319325194502365</c:v>
                </c:pt>
                <c:pt idx="32">
                  <c:v>-1.3691415848954738</c:v>
                </c:pt>
                <c:pt idx="33">
                  <c:v>-1.4185089990321726</c:v>
                </c:pt>
                <c:pt idx="34">
                  <c:v>-1.4673785593329454</c:v>
                </c:pt>
                <c:pt idx="35">
                  <c:v>-1.51573682715973</c:v>
                </c:pt>
                <c:pt idx="36">
                  <c:v>-1.556544981260032</c:v>
                </c:pt>
                <c:pt idx="37">
                  <c:v>-1.5983070574521041</c:v>
                </c:pt>
                <c:pt idx="38">
                  <c:v>-1.6405764558541049</c:v>
                </c:pt>
                <c:pt idx="39">
                  <c:v>-1.6831793262908472</c:v>
                </c:pt>
                <c:pt idx="40">
                  <c:v>-1.7260265287445158</c:v>
                </c:pt>
                <c:pt idx="41">
                  <c:v>-1.768052959900769</c:v>
                </c:pt>
                <c:pt idx="42">
                  <c:v>-1.8103802080208369</c:v>
                </c:pt>
                <c:pt idx="43">
                  <c:v>-1.8529156725071694</c:v>
                </c:pt>
                <c:pt idx="44">
                  <c:v>-1.8956017644965546</c:v>
                </c:pt>
                <c:pt idx="45">
                  <c:v>-1.9383899160658831</c:v>
                </c:pt>
                <c:pt idx="46">
                  <c:v>-1.9778873971874482</c:v>
                </c:pt>
                <c:pt idx="47">
                  <c:v>-2.0178275173208853</c:v>
                </c:pt>
                <c:pt idx="48">
                  <c:v>-2.0579756278973296</c:v>
                </c:pt>
                <c:pt idx="49">
                  <c:v>-2.0981997219138853</c:v>
                </c:pt>
                <c:pt idx="50">
                  <c:v>-2.1384128682798478</c:v>
                </c:pt>
                <c:pt idx="51">
                  <c:v>-0.19320109391079338</c:v>
                </c:pt>
                <c:pt idx="52">
                  <c:v>-0.20237502709255517</c:v>
                </c:pt>
                <c:pt idx="53">
                  <c:v>-0.21158891458899307</c:v>
                </c:pt>
                <c:pt idx="54">
                  <c:v>-0.22082829874555396</c:v>
                </c:pt>
                <c:pt idx="55">
                  <c:v>-0.23008438738529277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Données!$B$6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Données!$C$6:$BF$6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-1.7200374417430608</c:v>
                      </c:pt>
                      <c:pt idx="1">
                        <c:v>-2.1092918090200752</c:v>
                      </c:pt>
                      <c:pt idx="2">
                        <c:v>-2.4827537792660115</c:v>
                      </c:pt>
                      <c:pt idx="3">
                        <c:v>-2.8105382441615312</c:v>
                      </c:pt>
                      <c:pt idx="4">
                        <c:v>-3.0983291283854797</c:v>
                      </c:pt>
                      <c:pt idx="5">
                        <c:v>-3.3543235935452276</c:v>
                      </c:pt>
                      <c:pt idx="6">
                        <c:v>-3.5882042999577202</c:v>
                      </c:pt>
                      <c:pt idx="7">
                        <c:v>-3.803578294356047</c:v>
                      </c:pt>
                      <c:pt idx="8">
                        <c:v>-4.0051699333833124</c:v>
                      </c:pt>
                      <c:pt idx="9">
                        <c:v>-4.1971211594134639</c:v>
                      </c:pt>
                      <c:pt idx="10">
                        <c:v>-4.5019793778900308</c:v>
                      </c:pt>
                      <c:pt idx="11">
                        <c:v>-4.6241439606573014</c:v>
                      </c:pt>
                      <c:pt idx="12">
                        <c:v>-4.7357877854921293</c:v>
                      </c:pt>
                      <c:pt idx="13">
                        <c:v>-4.8363329173529257</c:v>
                      </c:pt>
                      <c:pt idx="14">
                        <c:v>-4.9288682461351208</c:v>
                      </c:pt>
                      <c:pt idx="15">
                        <c:v>-5.0163111705401997</c:v>
                      </c:pt>
                      <c:pt idx="16">
                        <c:v>-5.1068689167936938</c:v>
                      </c:pt>
                      <c:pt idx="17">
                        <c:v>-5.1977411167469345</c:v>
                      </c:pt>
                      <c:pt idx="18">
                        <c:v>-5.290394458348735</c:v>
                      </c:pt>
                      <c:pt idx="19">
                        <c:v>-5.3857981065073108</c:v>
                      </c:pt>
                      <c:pt idx="20">
                        <c:v>-5.484571006119543</c:v>
                      </c:pt>
                      <c:pt idx="21">
                        <c:v>-5.5870395354350899</c:v>
                      </c:pt>
                      <c:pt idx="22">
                        <c:v>-5.6930671041684811</c:v>
                      </c:pt>
                      <c:pt idx="23">
                        <c:v>-5.8026580681931783</c:v>
                      </c:pt>
                      <c:pt idx="24">
                        <c:v>-5.9155599554662537</c:v>
                      </c:pt>
                      <c:pt idx="25">
                        <c:v>-6.0311124556078788</c:v>
                      </c:pt>
                      <c:pt idx="26">
                        <c:v>-6.1470340624102837</c:v>
                      </c:pt>
                      <c:pt idx="27">
                        <c:v>-6.264224260306694</c:v>
                      </c:pt>
                      <c:pt idx="28">
                        <c:v>-6.3824453642912999</c:v>
                      </c:pt>
                      <c:pt idx="29">
                        <c:v>-6.5014372104148954</c:v>
                      </c:pt>
                      <c:pt idx="30">
                        <c:v>-6.6209131802054344</c:v>
                      </c:pt>
                      <c:pt idx="31">
                        <c:v>-6.7391895029004107</c:v>
                      </c:pt>
                      <c:pt idx="32">
                        <c:v>-6.85712965244758</c:v>
                      </c:pt>
                      <c:pt idx="33">
                        <c:v>-6.9745369018853971</c:v>
                      </c:pt>
                      <c:pt idx="34">
                        <c:v>-7.091282886932337</c:v>
                      </c:pt>
                      <c:pt idx="35">
                        <c:v>-7.2072714420248207</c:v>
                      </c:pt>
                      <c:pt idx="36">
                        <c:v>-7.309936879052148</c:v>
                      </c:pt>
                      <c:pt idx="37">
                        <c:v>-7.409674605380479</c:v>
                      </c:pt>
                      <c:pt idx="38">
                        <c:v>-7.5067513643559014</c:v>
                      </c:pt>
                      <c:pt idx="39">
                        <c:v>-7.6017634282371631</c:v>
                      </c:pt>
                      <c:pt idx="40">
                        <c:v>-7.6952238129964883</c:v>
                      </c:pt>
                      <c:pt idx="41">
                        <c:v>-7.7855443803001574</c:v>
                      </c:pt>
                      <c:pt idx="42">
                        <c:v>-7.8746167453460298</c:v>
                      </c:pt>
                      <c:pt idx="43">
                        <c:v>-7.9627429658681415</c:v>
                      </c:pt>
                      <c:pt idx="44">
                        <c:v>-8.050222928384354</c:v>
                      </c:pt>
                      <c:pt idx="45">
                        <c:v>-8.1373128149462062</c:v>
                      </c:pt>
                      <c:pt idx="46">
                        <c:v>-8.2176073101556497</c:v>
                      </c:pt>
                      <c:pt idx="47">
                        <c:v>-8.2966250260011485</c:v>
                      </c:pt>
                      <c:pt idx="48">
                        <c:v>-8.3747941546832081</c:v>
                      </c:pt>
                      <c:pt idx="49">
                        <c:v>-8.4525602773989679</c:v>
                      </c:pt>
                      <c:pt idx="50">
                        <c:v>-8.5302578918805096</c:v>
                      </c:pt>
                      <c:pt idx="51">
                        <c:v>-0.23572931163051702</c:v>
                      </c:pt>
                      <c:pt idx="52">
                        <c:v>-0.23913277799035848</c:v>
                      </c:pt>
                      <c:pt idx="53">
                        <c:v>-0.24217281316902817</c:v>
                      </c:pt>
                      <c:pt idx="54">
                        <c:v>-0.24492995704027409</c:v>
                      </c:pt>
                      <c:pt idx="55">
                        <c:v>-0.24747210843392153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Données!$C$8:$BF$8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-2.1955260541659265E-4</c:v>
                      </c:pt>
                      <c:pt idx="1">
                        <c:v>-2.037141425645846E-2</c:v>
                      </c:pt>
                      <c:pt idx="2">
                        <c:v>-4.4896180148261758E-2</c:v>
                      </c:pt>
                      <c:pt idx="3">
                        <c:v>-6.5657767400436842E-2</c:v>
                      </c:pt>
                      <c:pt idx="4">
                        <c:v>-8.04615199797067E-2</c:v>
                      </c:pt>
                      <c:pt idx="5">
                        <c:v>-8.9718601541706688E-2</c:v>
                      </c:pt>
                      <c:pt idx="6">
                        <c:v>-9.4833073758625527E-2</c:v>
                      </c:pt>
                      <c:pt idx="7">
                        <c:v>-9.7138979670547965E-2</c:v>
                      </c:pt>
                      <c:pt idx="8">
                        <c:v>-9.7755729581654571E-2</c:v>
                      </c:pt>
                      <c:pt idx="9">
                        <c:v>-9.7476740650710561E-2</c:v>
                      </c:pt>
                      <c:pt idx="10">
                        <c:v>-9.8678791975510216E-2</c:v>
                      </c:pt>
                      <c:pt idx="11">
                        <c:v>-9.8401554470021857E-2</c:v>
                      </c:pt>
                      <c:pt idx="12">
                        <c:v>-9.6492680315387491E-2</c:v>
                      </c:pt>
                      <c:pt idx="13">
                        <c:v>-9.3429965327512007E-2</c:v>
                      </c:pt>
                      <c:pt idx="14">
                        <c:v>-8.9678371648628838E-2</c:v>
                      </c:pt>
                      <c:pt idx="15">
                        <c:v>-8.5612649360315818E-2</c:v>
                      </c:pt>
                      <c:pt idx="16">
                        <c:v>-8.1606401394372419E-2</c:v>
                      </c:pt>
                      <c:pt idx="17">
                        <c:v>-7.7860279508500246E-2</c:v>
                      </c:pt>
                      <c:pt idx="18">
                        <c:v>-7.4481376937247809E-2</c:v>
                      </c:pt>
                      <c:pt idx="19">
                        <c:v>-7.1525691103988556E-2</c:v>
                      </c:pt>
                      <c:pt idx="20">
                        <c:v>-6.9027224329298115E-2</c:v>
                      </c:pt>
                      <c:pt idx="21">
                        <c:v>-6.6923660733810633E-2</c:v>
                      </c:pt>
                      <c:pt idx="22">
                        <c:v>-6.5242544045294351E-2</c:v>
                      </c:pt>
                      <c:pt idx="23">
                        <c:v>-6.3952983077210285E-2</c:v>
                      </c:pt>
                      <c:pt idx="24">
                        <c:v>-6.3013704061591375E-2</c:v>
                      </c:pt>
                      <c:pt idx="25">
                        <c:v>-6.2414939163930795E-2</c:v>
                      </c:pt>
                      <c:pt idx="26">
                        <c:v>-6.195302229153013E-2</c:v>
                      </c:pt>
                      <c:pt idx="27">
                        <c:v>-6.1678931603275367E-2</c:v>
                      </c:pt>
                      <c:pt idx="28">
                        <c:v>-6.1596672740200031E-2</c:v>
                      </c:pt>
                      <c:pt idx="29">
                        <c:v>-6.1693467604625171E-2</c:v>
                      </c:pt>
                      <c:pt idx="30">
                        <c:v>-6.1945630610675928E-2</c:v>
                      </c:pt>
                      <c:pt idx="31">
                        <c:v>-6.230768832858135E-2</c:v>
                      </c:pt>
                      <c:pt idx="32">
                        <c:v>-6.2757586817668895E-2</c:v>
                      </c:pt>
                      <c:pt idx="33">
                        <c:v>-6.3281853893616347E-2</c:v>
                      </c:pt>
                      <c:pt idx="34">
                        <c:v>-6.3867678911643341E-2</c:v>
                      </c:pt>
                      <c:pt idx="35">
                        <c:v>-6.4502454105597296E-2</c:v>
                      </c:pt>
                      <c:pt idx="36">
                        <c:v>-6.5021340071055797E-2</c:v>
                      </c:pt>
                      <c:pt idx="37">
                        <c:v>-6.5422013687429267E-2</c:v>
                      </c:pt>
                      <c:pt idx="38">
                        <c:v>-6.5778407264372313E-2</c:v>
                      </c:pt>
                      <c:pt idx="39">
                        <c:v>-6.6140832169806277E-2</c:v>
                      </c:pt>
                      <c:pt idx="40">
                        <c:v>-6.6530930501553134E-2</c:v>
                      </c:pt>
                      <c:pt idx="41">
                        <c:v>-6.6929992084857684E-2</c:v>
                      </c:pt>
                      <c:pt idx="42">
                        <c:v>-6.7343176158708218E-2</c:v>
                      </c:pt>
                      <c:pt idx="43">
                        <c:v>-6.7782815734040269E-2</c:v>
                      </c:pt>
                      <c:pt idx="44">
                        <c:v>-6.8258059050221198E-2</c:v>
                      </c:pt>
                      <c:pt idx="45">
                        <c:v>-6.877454324319271E-2</c:v>
                      </c:pt>
                      <c:pt idx="46">
                        <c:v>-6.925668754843313E-2</c:v>
                      </c:pt>
                      <c:pt idx="47">
                        <c:v>-6.9724658583385501E-2</c:v>
                      </c:pt>
                      <c:pt idx="48">
                        <c:v>-7.0220069396418061E-2</c:v>
                      </c:pt>
                      <c:pt idx="49">
                        <c:v>-7.076768676710303E-2</c:v>
                      </c:pt>
                      <c:pt idx="50">
                        <c:v>-7.1376216447356047E-2</c:v>
                      </c:pt>
                      <c:pt idx="51">
                        <c:v>6.2562576488679683E-3</c:v>
                      </c:pt>
                      <c:pt idx="52">
                        <c:v>6.4977563843595931E-3</c:v>
                      </c:pt>
                      <c:pt idx="53">
                        <c:v>6.7405093711651069E-3</c:v>
                      </c:pt>
                      <c:pt idx="54">
                        <c:v>6.9831096687923509E-3</c:v>
                      </c:pt>
                      <c:pt idx="55">
                        <c:v>7.2267607524996134E-3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Données!$B$9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Données!$C$9:$BF$9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Données!$B$11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Données!$C$4:$BF$4</c15:sqref>
                        </c15:formulaRef>
                      </c:ext>
                    </c:extLst>
                    <c:numCache>
                      <c:formatCode>m/d/yyyy</c:formatCode>
                      <c:ptCount val="5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  <c:pt idx="36">
                        <c:v>55154</c:v>
                      </c:pt>
                      <c:pt idx="37">
                        <c:v>55519</c:v>
                      </c:pt>
                      <c:pt idx="38">
                        <c:v>55885</c:v>
                      </c:pt>
                      <c:pt idx="39">
                        <c:v>56250</c:v>
                      </c:pt>
                      <c:pt idx="40">
                        <c:v>56615</c:v>
                      </c:pt>
                      <c:pt idx="41">
                        <c:v>56980</c:v>
                      </c:pt>
                      <c:pt idx="42">
                        <c:v>57346</c:v>
                      </c:pt>
                      <c:pt idx="43">
                        <c:v>57711</c:v>
                      </c:pt>
                      <c:pt idx="44">
                        <c:v>58076</c:v>
                      </c:pt>
                      <c:pt idx="45">
                        <c:v>58441</c:v>
                      </c:pt>
                      <c:pt idx="46">
                        <c:v>58807</c:v>
                      </c:pt>
                      <c:pt idx="47">
                        <c:v>59172</c:v>
                      </c:pt>
                      <c:pt idx="48">
                        <c:v>59537</c:v>
                      </c:pt>
                      <c:pt idx="49">
                        <c:v>59902</c:v>
                      </c:pt>
                      <c:pt idx="50">
                        <c:v>60268</c:v>
                      </c:pt>
                      <c:pt idx="51">
                        <c:v>60633</c:v>
                      </c:pt>
                      <c:pt idx="52">
                        <c:v>60998</c:v>
                      </c:pt>
                      <c:pt idx="53">
                        <c:v>61363</c:v>
                      </c:pt>
                      <c:pt idx="54">
                        <c:v>61729</c:v>
                      </c:pt>
                      <c:pt idx="55">
                        <c:v>62094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Données!$C$11:$BF$11</c15:sqref>
                        </c15:formulaRef>
                      </c:ext>
                    </c:extLst>
                    <c:numCache>
                      <c:formatCode>#\ ##0.0</c:formatCode>
                      <c:ptCount val="5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  <c:pt idx="51">
                        <c:v>0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Données!$B$5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Données!$C$4:$BF$4</c:f>
              <c:numCache>
                <c:formatCode>m/d/yyyy</c:formatCode>
                <c:ptCount val="5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  <c:pt idx="51">
                  <c:v>60633</c:v>
                </c:pt>
                <c:pt idx="52">
                  <c:v>60998</c:v>
                </c:pt>
                <c:pt idx="53">
                  <c:v>61363</c:v>
                </c:pt>
                <c:pt idx="54">
                  <c:v>61729</c:v>
                </c:pt>
                <c:pt idx="55">
                  <c:v>62094</c:v>
                </c:pt>
              </c:numCache>
            </c:numRef>
          </c:cat>
          <c:val>
            <c:numRef>
              <c:f>Données!$C$5:$BF$5</c:f>
              <c:numCache>
                <c:formatCode>#\ ##0.0</c:formatCode>
                <c:ptCount val="56"/>
                <c:pt idx="0">
                  <c:v>-1.3734652863725771</c:v>
                </c:pt>
                <c:pt idx="1">
                  <c:v>-1.7298565048007308</c:v>
                </c:pt>
                <c:pt idx="2">
                  <c:v>-2.0645656708817461</c:v>
                </c:pt>
                <c:pt idx="3">
                  <c:v>-2.357633648455304</c:v>
                </c:pt>
                <c:pt idx="4">
                  <c:v>-2.6140093324245939</c:v>
                </c:pt>
                <c:pt idx="5">
                  <c:v>-2.8407767554473717</c:v>
                </c:pt>
                <c:pt idx="6">
                  <c:v>-3.0464601393956126</c:v>
                </c:pt>
                <c:pt idx="7">
                  <c:v>-3.2343626267274828</c:v>
                </c:pt>
                <c:pt idx="8">
                  <c:v>-3.4088044589155264</c:v>
                </c:pt>
                <c:pt idx="9">
                  <c:v>-3.5735780011471041</c:v>
                </c:pt>
                <c:pt idx="10">
                  <c:v>-3.8263746283537015</c:v>
                </c:pt>
                <c:pt idx="11">
                  <c:v>-3.936158845468507</c:v>
                </c:pt>
                <c:pt idx="12">
                  <c:v>-4.0335630799199329</c:v>
                </c:pt>
                <c:pt idx="13">
                  <c:v>-4.1191956885294871</c:v>
                </c:pt>
                <c:pt idx="14">
                  <c:v>-4.1960202976913274</c:v>
                </c:pt>
                <c:pt idx="15">
                  <c:v>-4.2668115222945557</c:v>
                </c:pt>
                <c:pt idx="16">
                  <c:v>-4.3385282847099305</c:v>
                </c:pt>
                <c:pt idx="17">
                  <c:v>-4.4095100887892924</c:v>
                </c:pt>
                <c:pt idx="18">
                  <c:v>-4.4812427552597729</c:v>
                </c:pt>
                <c:pt idx="19">
                  <c:v>-4.5547781342819116</c:v>
                </c:pt>
                <c:pt idx="20">
                  <c:v>-4.6311097941466812</c:v>
                </c:pt>
                <c:pt idx="21">
                  <c:v>-4.7099938027228561</c:v>
                </c:pt>
                <c:pt idx="22">
                  <c:v>-4.7919176689637073</c:v>
                </c:pt>
                <c:pt idx="23">
                  <c:v>-4.8769777598748458</c:v>
                </c:pt>
                <c:pt idx="24">
                  <c:v>-4.965046439401311</c:v>
                </c:pt>
                <c:pt idx="25">
                  <c:v>-5.0564131786857036</c:v>
                </c:pt>
                <c:pt idx="26">
                  <c:v>-5.1476766199514916</c:v>
                </c:pt>
                <c:pt idx="27">
                  <c:v>-5.2402349400153199</c:v>
                </c:pt>
                <c:pt idx="28">
                  <c:v>-5.333927805019723</c:v>
                </c:pt>
                <c:pt idx="29">
                  <c:v>-5.4285754760130871</c:v>
                </c:pt>
                <c:pt idx="30">
                  <c:v>-5.5239595975755229</c:v>
                </c:pt>
                <c:pt idx="31">
                  <c:v>-5.6187350233234508</c:v>
                </c:pt>
                <c:pt idx="32">
                  <c:v>-5.7135368368529278</c:v>
                </c:pt>
                <c:pt idx="33">
                  <c:v>-5.808197333960619</c:v>
                </c:pt>
                <c:pt idx="34">
                  <c:v>-5.902594084908797</c:v>
                </c:pt>
                <c:pt idx="35">
                  <c:v>-5.9966256826181734</c:v>
                </c:pt>
                <c:pt idx="36">
                  <c:v>-6.0804467910879119</c:v>
                </c:pt>
                <c:pt idx="37">
                  <c:v>-6.1616942705872919</c:v>
                </c:pt>
                <c:pt idx="38">
                  <c:v>-6.2406874762081284</c:v>
                </c:pt>
                <c:pt idx="39">
                  <c:v>-6.3179600181405</c:v>
                </c:pt>
                <c:pt idx="40">
                  <c:v>-6.3939607803403353</c:v>
                </c:pt>
                <c:pt idx="41">
                  <c:v>-6.4674527934628916</c:v>
                </c:pt>
                <c:pt idx="42">
                  <c:v>-6.5399125774206368</c:v>
                </c:pt>
                <c:pt idx="43">
                  <c:v>-6.6116128037204565</c:v>
                </c:pt>
                <c:pt idx="44">
                  <c:v>-6.6828151577913664</c:v>
                </c:pt>
                <c:pt idx="45">
                  <c:v>-6.75374061275601</c:v>
                </c:pt>
                <c:pt idx="46">
                  <c:v>-6.8192810107848505</c:v>
                </c:pt>
                <c:pt idx="47">
                  <c:v>-6.8837080079757857</c:v>
                </c:pt>
                <c:pt idx="48">
                  <c:v>-6.9474240648402024</c:v>
                </c:pt>
                <c:pt idx="49">
                  <c:v>-7.0108335681959062</c:v>
                </c:pt>
                <c:pt idx="50">
                  <c:v>-7.0742357919410859</c:v>
                </c:pt>
                <c:pt idx="51">
                  <c:v>-0.17309504926293906</c:v>
                </c:pt>
                <c:pt idx="52">
                  <c:v>-0.17504737969170625</c:v>
                </c:pt>
                <c:pt idx="53">
                  <c:v>-0.17671713472687811</c:v>
                </c:pt>
                <c:pt idx="54">
                  <c:v>-0.17817411467598854</c:v>
                </c:pt>
                <c:pt idx="55">
                  <c:v>-0.17947550510799548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ax val="62094"/>
          <c:min val="42005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  <c:min val="-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  <c:majorUnit val="1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v>Constant 1 degree scenario</c:v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#\ ##0.0</c:formatCode>
                <c:ptCount val="36"/>
                <c:pt idx="1">
                  <c:v>1.8719265438425836</c:v>
                </c:pt>
                <c:pt idx="2">
                  <c:v>1.8515359276547461</c:v>
                </c:pt>
                <c:pt idx="3">
                  <c:v>1.8599594700459576</c:v>
                </c:pt>
                <c:pt idx="4">
                  <c:v>1.8864125886808081</c:v>
                </c:pt>
                <c:pt idx="5">
                  <c:v>1.9215293597287575</c:v>
                </c:pt>
                <c:pt idx="6">
                  <c:v>1.9564068970675086</c:v>
                </c:pt>
                <c:pt idx="7">
                  <c:v>1.9891643552577554</c:v>
                </c:pt>
                <c:pt idx="8">
                  <c:v>2.0189656562267233</c:v>
                </c:pt>
                <c:pt idx="9">
                  <c:v>2.045442304380396</c:v>
                </c:pt>
                <c:pt idx="10">
                  <c:v>2.0729335522107872</c:v>
                </c:pt>
                <c:pt idx="11">
                  <c:v>2.0943680280928412</c:v>
                </c:pt>
                <c:pt idx="12">
                  <c:v>2.1109108400304555</c:v>
                </c:pt>
                <c:pt idx="13">
                  <c:v>2.1232535941098307</c:v>
                </c:pt>
                <c:pt idx="14">
                  <c:v>2.1317417694592056</c:v>
                </c:pt>
                <c:pt idx="15">
                  <c:v>2.1366040113667495</c:v>
                </c:pt>
                <c:pt idx="16">
                  <c:v>2.1380948879524686</c:v>
                </c:pt>
                <c:pt idx="17">
                  <c:v>2.1365432204981216</c:v>
                </c:pt>
                <c:pt idx="18">
                  <c:v>2.1323448586699323</c:v>
                </c:pt>
                <c:pt idx="19">
                  <c:v>2.1259323957138809</c:v>
                </c:pt>
                <c:pt idx="20">
                  <c:v>2.1149344243180712</c:v>
                </c:pt>
                <c:pt idx="21">
                  <c:v>2.1040529957081722</c:v>
                </c:pt>
                <c:pt idx="22">
                  <c:v>2.0930089102595195</c:v>
                </c:pt>
                <c:pt idx="23">
                  <c:v>2.0817487378882227</c:v>
                </c:pt>
                <c:pt idx="24">
                  <c:v>2.0704219081775666</c:v>
                </c:pt>
                <c:pt idx="25">
                  <c:v>2.0517693462535513</c:v>
                </c:pt>
                <c:pt idx="26">
                  <c:v>2.0338125648229788</c:v>
                </c:pt>
                <c:pt idx="27">
                  <c:v>2.016806320016129</c:v>
                </c:pt>
                <c:pt idx="28">
                  <c:v>2.0007831147561328</c:v>
                </c:pt>
                <c:pt idx="29">
                  <c:v>1.9858795091345804</c:v>
                </c:pt>
                <c:pt idx="30">
                  <c:v>1.9722988938862596</c:v>
                </c:pt>
                <c:pt idx="31">
                  <c:v>1.9602320251535188</c:v>
                </c:pt>
                <c:pt idx="32">
                  <c:v>1.9498046981170081</c:v>
                </c:pt>
                <c:pt idx="33">
                  <c:v>1.9410601819815909</c:v>
                </c:pt>
                <c:pt idx="34">
                  <c:v>1.9339652356008763</c:v>
                </c:pt>
                <c:pt idx="35">
                  <c:v>1.9284275686784591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v>3 degrees scenario</c:v>
          </c:tx>
          <c:spPr>
            <a:ln w="444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#\ ##0.0</c:formatCode>
                <c:ptCount val="36"/>
                <c:pt idx="1">
                  <c:v>1.6391022313481773</c:v>
                </c:pt>
                <c:pt idx="2">
                  <c:v>1.5772969246526936</c:v>
                </c:pt>
                <c:pt idx="3">
                  <c:v>1.5751021082609507</c:v>
                </c:pt>
                <c:pt idx="4">
                  <c:v>1.6054560453525157</c:v>
                </c:pt>
                <c:pt idx="5">
                  <c:v>1.6507508161211826</c:v>
                </c:pt>
                <c:pt idx="6">
                  <c:v>1.6984440289252944</c:v>
                </c:pt>
                <c:pt idx="7">
                  <c:v>1.7456032531736554</c:v>
                </c:pt>
                <c:pt idx="8">
                  <c:v>1.7912305921216953</c:v>
                </c:pt>
                <c:pt idx="9">
                  <c:v>1.8348000819646382</c:v>
                </c:pt>
                <c:pt idx="10">
                  <c:v>1.8658294979440715</c:v>
                </c:pt>
                <c:pt idx="11">
                  <c:v>1.9109389252479847</c:v>
                </c:pt>
                <c:pt idx="12">
                  <c:v>1.9582851602601759</c:v>
                </c:pt>
                <c:pt idx="13">
                  <c:v>2.0024332243646858</c:v>
                </c:pt>
                <c:pt idx="14">
                  <c:v>2.0410669954775473</c:v>
                </c:pt>
                <c:pt idx="15">
                  <c:v>2.0734807786217946</c:v>
                </c:pt>
                <c:pt idx="16">
                  <c:v>2.1000731167813091</c:v>
                </c:pt>
                <c:pt idx="17">
                  <c:v>2.1203411007399087</c:v>
                </c:pt>
                <c:pt idx="18">
                  <c:v>2.1348690938945758</c:v>
                </c:pt>
                <c:pt idx="19">
                  <c:v>2.1442471456384338</c:v>
                </c:pt>
                <c:pt idx="20">
                  <c:v>2.1460375234130469</c:v>
                </c:pt>
                <c:pt idx="21">
                  <c:v>2.1454665689513819</c:v>
                </c:pt>
                <c:pt idx="22">
                  <c:v>2.1422721914286846</c:v>
                </c:pt>
                <c:pt idx="23">
                  <c:v>2.1365494735800628</c:v>
                </c:pt>
                <c:pt idx="24">
                  <c:v>2.1286492825532966</c:v>
                </c:pt>
                <c:pt idx="25">
                  <c:v>2.1110722653924441</c:v>
                </c:pt>
                <c:pt idx="26">
                  <c:v>2.0926327449554805</c:v>
                </c:pt>
                <c:pt idx="27">
                  <c:v>2.074275167065287</c:v>
                </c:pt>
                <c:pt idx="28">
                  <c:v>2.0561747411633524</c:v>
                </c:pt>
                <c:pt idx="29">
                  <c:v>2.0385799477290911</c:v>
                </c:pt>
                <c:pt idx="30">
                  <c:v>2.0218178656516761</c:v>
                </c:pt>
                <c:pt idx="31">
                  <c:v>2.0060584754495903</c:v>
                </c:pt>
                <c:pt idx="32">
                  <c:v>1.9918681778435365</c:v>
                </c:pt>
                <c:pt idx="33">
                  <c:v>1.9793837636828737</c:v>
                </c:pt>
                <c:pt idx="34">
                  <c:v>1.9686491789143723</c:v>
                </c:pt>
                <c:pt idx="35">
                  <c:v>1.9596405146123708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6296873672845803E-2"/>
          <c:y val="0.12425008837050726"/>
          <c:w val="0.90139843901638717"/>
          <c:h val="0.70629059391251803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Données!$B$67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Données!$C$67:$AL$67</c:f>
              <c:numCache>
                <c:formatCode>#,##0</c:formatCode>
                <c:ptCount val="36"/>
                <c:pt idx="0">
                  <c:v>350.5914343</c:v>
                </c:pt>
                <c:pt idx="1">
                  <c:v>352.95918829999999</c:v>
                </c:pt>
                <c:pt idx="2">
                  <c:v>355.1013524</c:v>
                </c:pt>
                <c:pt idx="3">
                  <c:v>357.50077909999999</c:v>
                </c:pt>
                <c:pt idx="4">
                  <c:v>360.28418240000002</c:v>
                </c:pt>
                <c:pt idx="5">
                  <c:v>363.50913209999999</c:v>
                </c:pt>
                <c:pt idx="6">
                  <c:v>366.97360429999998</c:v>
                </c:pt>
                <c:pt idx="7">
                  <c:v>370.70665630000002</c:v>
                </c:pt>
                <c:pt idx="8">
                  <c:v>374.66677670000001</c:v>
                </c:pt>
                <c:pt idx="9">
                  <c:v>378.80649949999997</c:v>
                </c:pt>
                <c:pt idx="10">
                  <c:v>383.39145610000003</c:v>
                </c:pt>
                <c:pt idx="11">
                  <c:v>387.92491519999999</c:v>
                </c:pt>
                <c:pt idx="12">
                  <c:v>392.50193350000001</c:v>
                </c:pt>
                <c:pt idx="13">
                  <c:v>397.13402430000002</c:v>
                </c:pt>
                <c:pt idx="14">
                  <c:v>401.81830120000001</c:v>
                </c:pt>
                <c:pt idx="15">
                  <c:v>406.5509735</c:v>
                </c:pt>
                <c:pt idx="16">
                  <c:v>411.32977260000001</c:v>
                </c:pt>
                <c:pt idx="17">
                  <c:v>416.15408650000001</c:v>
                </c:pt>
                <c:pt idx="18">
                  <c:v>421.02463849999998</c:v>
                </c:pt>
                <c:pt idx="19">
                  <c:v>425.94312509999997</c:v>
                </c:pt>
                <c:pt idx="20">
                  <c:v>430.68878219999999</c:v>
                </c:pt>
                <c:pt idx="21">
                  <c:v>435.60816010000002</c:v>
                </c:pt>
                <c:pt idx="22">
                  <c:v>440.61967629999998</c:v>
                </c:pt>
                <c:pt idx="23">
                  <c:v>445.7078927</c:v>
                </c:pt>
                <c:pt idx="24">
                  <c:v>450.87080850000001</c:v>
                </c:pt>
                <c:pt idx="25">
                  <c:v>455.46838910000002</c:v>
                </c:pt>
                <c:pt idx="26">
                  <c:v>460.18464979999999</c:v>
                </c:pt>
                <c:pt idx="27">
                  <c:v>464.93809169999997</c:v>
                </c:pt>
                <c:pt idx="28">
                  <c:v>469.72401289999999</c:v>
                </c:pt>
                <c:pt idx="29">
                  <c:v>474.55095160000002</c:v>
                </c:pt>
                <c:pt idx="30">
                  <c:v>479.42876680000001</c:v>
                </c:pt>
                <c:pt idx="31">
                  <c:v>484.36595720000003</c:v>
                </c:pt>
                <c:pt idx="32">
                  <c:v>489.36906770000002</c:v>
                </c:pt>
                <c:pt idx="33">
                  <c:v>494.44276280000003</c:v>
                </c:pt>
                <c:pt idx="34">
                  <c:v>499.59011679999998</c:v>
                </c:pt>
                <c:pt idx="35">
                  <c:v>504.81296250000003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Données!$B$73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Données!$C$73:$AL$73</c:f>
              <c:numCache>
                <c:formatCode>#,##0</c:formatCode>
                <c:ptCount val="36"/>
                <c:pt idx="0">
                  <c:v>346.73621079999998</c:v>
                </c:pt>
                <c:pt idx="1">
                  <c:v>347.48370260000002</c:v>
                </c:pt>
                <c:pt idx="2">
                  <c:v>348.39930509999999</c:v>
                </c:pt>
                <c:pt idx="3">
                  <c:v>349.70475679999998</c:v>
                </c:pt>
                <c:pt idx="4">
                  <c:v>351.518822</c:v>
                </c:pt>
                <c:pt idx="5">
                  <c:v>353.83944819999999</c:v>
                </c:pt>
                <c:pt idx="6">
                  <c:v>356.4311907</c:v>
                </c:pt>
                <c:pt idx="7">
                  <c:v>359.30919549999999</c:v>
                </c:pt>
                <c:pt idx="8">
                  <c:v>362.42407420000001</c:v>
                </c:pt>
                <c:pt idx="9">
                  <c:v>365.72385150000002</c:v>
                </c:pt>
                <c:pt idx="10">
                  <c:v>369.12203979999998</c:v>
                </c:pt>
                <c:pt idx="11">
                  <c:v>372.90317049999999</c:v>
                </c:pt>
                <c:pt idx="12">
                  <c:v>376.84396709999999</c:v>
                </c:pt>
                <c:pt idx="13">
                  <c:v>380.89795400000003</c:v>
                </c:pt>
                <c:pt idx="14">
                  <c:v>385.04441960000003</c:v>
                </c:pt>
                <c:pt idx="15">
                  <c:v>389.26791609999998</c:v>
                </c:pt>
                <c:pt idx="16">
                  <c:v>393.5424107</c:v>
                </c:pt>
                <c:pt idx="17">
                  <c:v>397.8655589</c:v>
                </c:pt>
                <c:pt idx="18">
                  <c:v>402.23048940000001</c:v>
                </c:pt>
                <c:pt idx="19">
                  <c:v>406.6313925</c:v>
                </c:pt>
                <c:pt idx="20">
                  <c:v>410.85341080000001</c:v>
                </c:pt>
                <c:pt idx="21">
                  <c:v>415.21916069999997</c:v>
                </c:pt>
                <c:pt idx="22">
                  <c:v>419.6489067</c:v>
                </c:pt>
                <c:pt idx="23">
                  <c:v>424.12550470000002</c:v>
                </c:pt>
                <c:pt idx="24">
                  <c:v>428.64554399999997</c:v>
                </c:pt>
                <c:pt idx="25">
                  <c:v>432.60735210000001</c:v>
                </c:pt>
                <c:pt idx="26">
                  <c:v>436.6594174</c:v>
                </c:pt>
                <c:pt idx="27">
                  <c:v>440.72460239999998</c:v>
                </c:pt>
                <c:pt idx="28">
                  <c:v>444.79960210000002</c:v>
                </c:pt>
                <c:pt idx="29">
                  <c:v>448.89430590000001</c:v>
                </c:pt>
                <c:pt idx="30">
                  <c:v>453.0196004</c:v>
                </c:pt>
                <c:pt idx="31">
                  <c:v>457.18863709999999</c:v>
                </c:pt>
                <c:pt idx="32">
                  <c:v>461.40619950000001</c:v>
                </c:pt>
                <c:pt idx="33">
                  <c:v>465.67691880000001</c:v>
                </c:pt>
                <c:pt idx="34">
                  <c:v>470.00440900000001</c:v>
                </c:pt>
                <c:pt idx="35">
                  <c:v>474.39111580000002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ser>
          <c:idx val="4"/>
          <c:order val="2"/>
          <c:tx>
            <c:v>Baseline - Households</c:v>
          </c:tx>
          <c:spPr>
            <a:ln w="38100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val>
            <c:numRef>
              <c:f>Données!$C$68:$AL$68</c:f>
              <c:numCache>
                <c:formatCode>#,##0</c:formatCode>
                <c:ptCount val="36"/>
                <c:pt idx="0">
                  <c:v>119.490486</c:v>
                </c:pt>
                <c:pt idx="1">
                  <c:v>119.269642</c:v>
                </c:pt>
                <c:pt idx="2">
                  <c:v>118.66364110000001</c:v>
                </c:pt>
                <c:pt idx="3">
                  <c:v>118.0860905</c:v>
                </c:pt>
                <c:pt idx="4">
                  <c:v>117.6365855</c:v>
                </c:pt>
                <c:pt idx="5">
                  <c:v>117.3825183</c:v>
                </c:pt>
                <c:pt idx="6">
                  <c:v>117.2909867</c:v>
                </c:pt>
                <c:pt idx="7">
                  <c:v>117.336315</c:v>
                </c:pt>
                <c:pt idx="8">
                  <c:v>117.4824588</c:v>
                </c:pt>
                <c:pt idx="9">
                  <c:v>117.69769460000001</c:v>
                </c:pt>
                <c:pt idx="10">
                  <c:v>118.0047014</c:v>
                </c:pt>
                <c:pt idx="11">
                  <c:v>118.32290450000001</c:v>
                </c:pt>
                <c:pt idx="12">
                  <c:v>118.65254969999999</c:v>
                </c:pt>
                <c:pt idx="13">
                  <c:v>118.991722</c:v>
                </c:pt>
                <c:pt idx="14">
                  <c:v>119.33808260000001</c:v>
                </c:pt>
                <c:pt idx="15">
                  <c:v>119.6895107</c:v>
                </c:pt>
                <c:pt idx="16">
                  <c:v>120.044274</c:v>
                </c:pt>
                <c:pt idx="17">
                  <c:v>120.4010181</c:v>
                </c:pt>
                <c:pt idx="18">
                  <c:v>120.7587013</c:v>
                </c:pt>
                <c:pt idx="19">
                  <c:v>121.116527</c:v>
                </c:pt>
                <c:pt idx="20">
                  <c:v>121.44341180000001</c:v>
                </c:pt>
                <c:pt idx="21">
                  <c:v>121.7824782</c:v>
                </c:pt>
                <c:pt idx="22">
                  <c:v>122.1267635</c:v>
                </c:pt>
                <c:pt idx="23">
                  <c:v>122.4730631</c:v>
                </c:pt>
                <c:pt idx="24">
                  <c:v>122.81994</c:v>
                </c:pt>
                <c:pt idx="25">
                  <c:v>123.0831452</c:v>
                </c:pt>
                <c:pt idx="26">
                  <c:v>123.34240200000001</c:v>
                </c:pt>
                <c:pt idx="27">
                  <c:v>123.59622709999999</c:v>
                </c:pt>
                <c:pt idx="28">
                  <c:v>123.844695</c:v>
                </c:pt>
                <c:pt idx="29">
                  <c:v>124.08817380000001</c:v>
                </c:pt>
                <c:pt idx="30">
                  <c:v>124.3275404</c:v>
                </c:pt>
                <c:pt idx="31">
                  <c:v>124.56391120000001</c:v>
                </c:pt>
                <c:pt idx="32">
                  <c:v>124.7983827</c:v>
                </c:pt>
                <c:pt idx="33">
                  <c:v>125.0319276</c:v>
                </c:pt>
                <c:pt idx="34">
                  <c:v>125.26537159999999</c:v>
                </c:pt>
                <c:pt idx="35">
                  <c:v>125.4994054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75-4A82-96A0-76304CD4EC78}"/>
            </c:ext>
          </c:extLst>
        </c:ser>
        <c:ser>
          <c:idx val="2"/>
          <c:order val="3"/>
          <c:tx>
            <c:v>NZ50 - Households</c:v>
          </c:tx>
          <c:spPr>
            <a:ln w="38100" cap="rnd">
              <a:solidFill>
                <a:srgbClr val="FF000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Données!$C$4:$AL$4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Données!$C$74:$AL$74</c:f>
              <c:numCache>
                <c:formatCode>#,##0</c:formatCode>
                <c:ptCount val="36"/>
                <c:pt idx="0">
                  <c:v>119.490486</c:v>
                </c:pt>
                <c:pt idx="1">
                  <c:v>119.2440354</c:v>
                </c:pt>
                <c:pt idx="2">
                  <c:v>118.6155425</c:v>
                </c:pt>
                <c:pt idx="3">
                  <c:v>118.0309673</c:v>
                </c:pt>
                <c:pt idx="4">
                  <c:v>117.61282989999999</c:v>
                </c:pt>
                <c:pt idx="5">
                  <c:v>117.3731652</c:v>
                </c:pt>
                <c:pt idx="6">
                  <c:v>117.25940199999999</c:v>
                </c:pt>
                <c:pt idx="7">
                  <c:v>117.24897540000001</c:v>
                </c:pt>
                <c:pt idx="8">
                  <c:v>117.3145293</c:v>
                </c:pt>
                <c:pt idx="9">
                  <c:v>117.43418389999999</c:v>
                </c:pt>
                <c:pt idx="10">
                  <c:v>117.6336609</c:v>
                </c:pt>
                <c:pt idx="11">
                  <c:v>117.8414212</c:v>
                </c:pt>
                <c:pt idx="12">
                  <c:v>118.0659388</c:v>
                </c:pt>
                <c:pt idx="13">
                  <c:v>118.3113616</c:v>
                </c:pt>
                <c:pt idx="14">
                  <c:v>118.5776953</c:v>
                </c:pt>
                <c:pt idx="15">
                  <c:v>118.8640054</c:v>
                </c:pt>
                <c:pt idx="16">
                  <c:v>119.1686955</c:v>
                </c:pt>
                <c:pt idx="17">
                  <c:v>119.48965490000001</c:v>
                </c:pt>
                <c:pt idx="18">
                  <c:v>119.8244141</c:v>
                </c:pt>
                <c:pt idx="19">
                  <c:v>120.17028089999999</c:v>
                </c:pt>
                <c:pt idx="20">
                  <c:v>120.49420569999999</c:v>
                </c:pt>
                <c:pt idx="21">
                  <c:v>120.8370049</c:v>
                </c:pt>
                <c:pt idx="22">
                  <c:v>121.1897529</c:v>
                </c:pt>
                <c:pt idx="23">
                  <c:v>121.5475117</c:v>
                </c:pt>
                <c:pt idx="24">
                  <c:v>121.9073882</c:v>
                </c:pt>
                <c:pt idx="25">
                  <c:v>122.1843533</c:v>
                </c:pt>
                <c:pt idx="26">
                  <c:v>122.4569463</c:v>
                </c:pt>
                <c:pt idx="27">
                  <c:v>122.7229913</c:v>
                </c:pt>
                <c:pt idx="28">
                  <c:v>122.981971</c:v>
                </c:pt>
                <c:pt idx="29">
                  <c:v>123.2342558</c:v>
                </c:pt>
                <c:pt idx="30">
                  <c:v>123.48061130000001</c:v>
                </c:pt>
                <c:pt idx="31">
                  <c:v>123.72193230000001</c:v>
                </c:pt>
                <c:pt idx="32">
                  <c:v>123.95891520000001</c:v>
                </c:pt>
                <c:pt idx="33">
                  <c:v>124.1918932</c:v>
                </c:pt>
                <c:pt idx="34">
                  <c:v>124.42139830000001</c:v>
                </c:pt>
                <c:pt idx="35">
                  <c:v>124.647989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  <c:extLst>
          <c:ext xmlns:c15="http://schemas.microsoft.com/office/drawing/2012/chart" uri="{02D57815-91ED-43cb-92C2-25804820EDAC}">
            <c15:filteredLineSeries>
              <c15:ser>
                <c:idx val="3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Données!$B$75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75000"/>
                      </a:schemeClr>
                    </a:solidFill>
                    <a:prstDash val="sysDash"/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Données!$C$4:$AL$4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Données!$C$75:$AL$75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227.24572479509999</c:v>
                      </c:pt>
                      <c:pt idx="1">
                        <c:v>228.2396672253</c:v>
                      </c:pt>
                      <c:pt idx="2">
                        <c:v>229.78376259419997</c:v>
                      </c:pt>
                      <c:pt idx="3">
                        <c:v>231.67378950790001</c:v>
                      </c:pt>
                      <c:pt idx="4">
                        <c:v>233.90599211220001</c:v>
                      </c:pt>
                      <c:pt idx="5">
                        <c:v>236.46628297160001</c:v>
                      </c:pt>
                      <c:pt idx="6">
                        <c:v>239.17178871360002</c:v>
                      </c:pt>
                      <c:pt idx="7">
                        <c:v>242.06022010480001</c:v>
                      </c:pt>
                      <c:pt idx="8">
                        <c:v>245.1095449243</c:v>
                      </c:pt>
                      <c:pt idx="9">
                        <c:v>248.28966761699999</c:v>
                      </c:pt>
                      <c:pt idx="10">
                        <c:v>251.48837885239999</c:v>
                      </c:pt>
                      <c:pt idx="11">
                        <c:v>255.06174933940002</c:v>
                      </c:pt>
                      <c:pt idx="12">
                        <c:v>258.7780282338</c:v>
                      </c:pt>
                      <c:pt idx="13">
                        <c:v>262.58659236860001</c:v>
                      </c:pt>
                      <c:pt idx="14">
                        <c:v>266.46672433949999</c:v>
                      </c:pt>
                      <c:pt idx="15">
                        <c:v>270.40391071080001</c:v>
                      </c:pt>
                      <c:pt idx="16">
                        <c:v>274.37371525970002</c:v>
                      </c:pt>
                      <c:pt idx="17">
                        <c:v>278.375903988</c:v>
                      </c:pt>
                      <c:pt idx="18">
                        <c:v>282.40607533629998</c:v>
                      </c:pt>
                      <c:pt idx="19">
                        <c:v>286.4611116451</c:v>
                      </c:pt>
                      <c:pt idx="20">
                        <c:v>290.35920520619999</c:v>
                      </c:pt>
                      <c:pt idx="21">
                        <c:v>294.38215581359998</c:v>
                      </c:pt>
                      <c:pt idx="22">
                        <c:v>298.45915384020003</c:v>
                      </c:pt>
                      <c:pt idx="23">
                        <c:v>302.57799299600003</c:v>
                      </c:pt>
                      <c:pt idx="24">
                        <c:v>306.73815579789999</c:v>
                      </c:pt>
                      <c:pt idx="25">
                        <c:v>310.4229987951</c:v>
                      </c:pt>
                      <c:pt idx="26">
                        <c:v>314.2024711011</c:v>
                      </c:pt>
                      <c:pt idx="27">
                        <c:v>318.00161108909998</c:v>
                      </c:pt>
                      <c:pt idx="28">
                        <c:v>321.81763110529999</c:v>
                      </c:pt>
                      <c:pt idx="29">
                        <c:v>325.66005018149997</c:v>
                      </c:pt>
                      <c:pt idx="30">
                        <c:v>329.53898904810001</c:v>
                      </c:pt>
                      <c:pt idx="31">
                        <c:v>333.46670480019998</c:v>
                      </c:pt>
                      <c:pt idx="32">
                        <c:v>337.44728425859995</c:v>
                      </c:pt>
                      <c:pt idx="33">
                        <c:v>341.48502563869999</c:v>
                      </c:pt>
                      <c:pt idx="34">
                        <c:v>345.583010694</c:v>
                      </c:pt>
                      <c:pt idx="35">
                        <c:v>349.7431268249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27F9-419D-90DC-C3E392523E4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Données!$B$69</c15:sqref>
                        </c15:formulaRef>
                      </c:ext>
                    </c:extLst>
                    <c:strCache>
                      <c:ptCount val="1"/>
                      <c:pt idx="0">
                        <c:v>Firms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Données!$C$69:$AL$69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231.10094830930001</c:v>
                      </c:pt>
                      <c:pt idx="1">
                        <c:v>233.68954631899999</c:v>
                      </c:pt>
                      <c:pt idx="2">
                        <c:v>236.43771130190001</c:v>
                      </c:pt>
                      <c:pt idx="3">
                        <c:v>239.4146885342</c:v>
                      </c:pt>
                      <c:pt idx="4">
                        <c:v>242.64759693319999</c:v>
                      </c:pt>
                      <c:pt idx="5">
                        <c:v>246.12661388240002</c:v>
                      </c:pt>
                      <c:pt idx="6">
                        <c:v>249.68261749519999</c:v>
                      </c:pt>
                      <c:pt idx="7">
                        <c:v>253.37034132990001</c:v>
                      </c:pt>
                      <c:pt idx="8">
                        <c:v>257.18431786310003</c:v>
                      </c:pt>
                      <c:pt idx="9">
                        <c:v>261.1088048954</c:v>
                      </c:pt>
                      <c:pt idx="10">
                        <c:v>265.38675468010001</c:v>
                      </c:pt>
                      <c:pt idx="11">
                        <c:v>269.60201067650002</c:v>
                      </c:pt>
                      <c:pt idx="12">
                        <c:v>273.8493838096</c:v>
                      </c:pt>
                      <c:pt idx="13">
                        <c:v>278.14230234259998</c:v>
                      </c:pt>
                      <c:pt idx="14">
                        <c:v>282.48021868180001</c:v>
                      </c:pt>
                      <c:pt idx="15">
                        <c:v>286.86146275389996</c:v>
                      </c:pt>
                      <c:pt idx="16">
                        <c:v>291.28549857120004</c:v>
                      </c:pt>
                      <c:pt idx="17">
                        <c:v>295.75306840999997</c:v>
                      </c:pt>
                      <c:pt idx="18">
                        <c:v>300.26593725250001</c:v>
                      </c:pt>
                      <c:pt idx="19">
                        <c:v>304.82659805640003</c:v>
                      </c:pt>
                      <c:pt idx="20">
                        <c:v>309.24537039289999</c:v>
                      </c:pt>
                      <c:pt idx="21">
                        <c:v>313.82568193860004</c:v>
                      </c:pt>
                      <c:pt idx="22">
                        <c:v>318.49291275360002</c:v>
                      </c:pt>
                      <c:pt idx="23">
                        <c:v>323.23482962669999</c:v>
                      </c:pt>
                      <c:pt idx="24">
                        <c:v>328.05086847910002</c:v>
                      </c:pt>
                      <c:pt idx="25">
                        <c:v>332.38524392089994</c:v>
                      </c:pt>
                      <c:pt idx="26">
                        <c:v>336.84224782339999</c:v>
                      </c:pt>
                      <c:pt idx="27">
                        <c:v>341.34186467080002</c:v>
                      </c:pt>
                      <c:pt idx="28">
                        <c:v>345.87931781980001</c:v>
                      </c:pt>
                      <c:pt idx="29">
                        <c:v>350.46277778360002</c:v>
                      </c:pt>
                      <c:pt idx="30">
                        <c:v>355.10122652370001</c:v>
                      </c:pt>
                      <c:pt idx="31">
                        <c:v>359.80204595799995</c:v>
                      </c:pt>
                      <c:pt idx="32">
                        <c:v>364.57068498809997</c:v>
                      </c:pt>
                      <c:pt idx="33">
                        <c:v>369.41083521390004</c:v>
                      </c:pt>
                      <c:pt idx="34">
                        <c:v>374.32474522200005</c:v>
                      </c:pt>
                      <c:pt idx="35">
                        <c:v>379.3135570526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775-4A82-96A0-76304CD4EC78}"/>
                  </c:ext>
                </c:extLst>
              </c15:ser>
            </c15:filteredLineSeries>
          </c:ext>
        </c:extLst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Consommation énergétique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Données!$B$473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Données!$C$473:$AL$473</c:f>
              <c:numCache>
                <c:formatCode>0.0%</c:formatCode>
                <c:ptCount val="36"/>
                <c:pt idx="0">
                  <c:v>-8.5260728242941321E-4</c:v>
                </c:pt>
                <c:pt idx="1">
                  <c:v>-1.1232724455969871E-3</c:v>
                </c:pt>
                <c:pt idx="2">
                  <c:v>-1.2857867590666408E-3</c:v>
                </c:pt>
                <c:pt idx="3">
                  <c:v>-1.4220574241265518E-3</c:v>
                </c:pt>
                <c:pt idx="4">
                  <c:v>-1.5474686342463264E-3</c:v>
                </c:pt>
                <c:pt idx="5">
                  <c:v>-1.6661028881201506E-3</c:v>
                </c:pt>
                <c:pt idx="6">
                  <c:v>-1.780768999579897E-3</c:v>
                </c:pt>
                <c:pt idx="7">
                  <c:v>-1.8921731580191484E-3</c:v>
                </c:pt>
                <c:pt idx="8">
                  <c:v>-2.0014132156528056E-3</c:v>
                </c:pt>
                <c:pt idx="9">
                  <c:v>-2.1096266850027076E-3</c:v>
                </c:pt>
                <c:pt idx="10">
                  <c:v>-2.2827498753033009E-3</c:v>
                </c:pt>
                <c:pt idx="11">
                  <c:v>-2.3659160646990161E-3</c:v>
                </c:pt>
                <c:pt idx="12">
                  <c:v>-2.4315878084258096E-3</c:v>
                </c:pt>
                <c:pt idx="13">
                  <c:v>-2.4939659430116348E-3</c:v>
                </c:pt>
                <c:pt idx="14">
                  <c:v>-2.5563835601602699E-3</c:v>
                </c:pt>
                <c:pt idx="15">
                  <c:v>-2.6199760610524018E-3</c:v>
                </c:pt>
                <c:pt idx="16">
                  <c:v>-2.6882288757848591E-3</c:v>
                </c:pt>
                <c:pt idx="17">
                  <c:v>-2.7592732876994988E-3</c:v>
                </c:pt>
                <c:pt idx="18">
                  <c:v>-2.8329116000159298E-3</c:v>
                </c:pt>
                <c:pt idx="19">
                  <c:v>-2.9091563784989761E-3</c:v>
                </c:pt>
                <c:pt idx="20">
                  <c:v>-2.9875016433848602E-3</c:v>
                </c:pt>
                <c:pt idx="21">
                  <c:v>-3.0687834289963782E-3</c:v>
                </c:pt>
                <c:pt idx="22">
                  <c:v>-3.1523534342932421E-3</c:v>
                </c:pt>
                <c:pt idx="23">
                  <c:v>-3.2379329837929046E-3</c:v>
                </c:pt>
                <c:pt idx="24">
                  <c:v>-3.3252624484400675E-3</c:v>
                </c:pt>
                <c:pt idx="25">
                  <c:v>-3.4126068388356024E-3</c:v>
                </c:pt>
                <c:pt idx="26">
                  <c:v>-3.5006665359761839E-3</c:v>
                </c:pt>
                <c:pt idx="27">
                  <c:v>-3.5894421458096157E-3</c:v>
                </c:pt>
                <c:pt idx="28">
                  <c:v>-3.6786986345726412E-3</c:v>
                </c:pt>
                <c:pt idx="29">
                  <c:v>-3.7681974344346775E-3</c:v>
                </c:pt>
                <c:pt idx="30">
                  <c:v>-3.8577226306393715E-3</c:v>
                </c:pt>
                <c:pt idx="31">
                  <c:v>-3.9463447785143286E-3</c:v>
                </c:pt>
                <c:pt idx="32">
                  <c:v>-4.0344608399015131E-3</c:v>
                </c:pt>
                <c:pt idx="33">
                  <c:v>-4.1220423533409895E-3</c:v>
                </c:pt>
                <c:pt idx="34">
                  <c:v>-4.2090123292746265E-3</c:v>
                </c:pt>
                <c:pt idx="35">
                  <c:v>-4.2953073282517469E-3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74-494A-BB6C-F115A0D57B8C}"/>
            </c:ext>
          </c:extLst>
        </c:ser>
        <c:ser>
          <c:idx val="2"/>
          <c:order val="2"/>
          <c:tx>
            <c:strRef>
              <c:f>Données!$B$474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Données!$C$474:$AL$474</c:f>
              <c:numCache>
                <c:formatCode>0.0%</c:formatCode>
                <c:ptCount val="36"/>
                <c:pt idx="0">
                  <c:v>-3.2984979729405286E-3</c:v>
                </c:pt>
                <c:pt idx="1">
                  <c:v>-4.5822866706373769E-3</c:v>
                </c:pt>
                <c:pt idx="2">
                  <c:v>-5.6492370414621918E-3</c:v>
                </c:pt>
                <c:pt idx="3">
                  <c:v>-6.6629843542943953E-3</c:v>
                </c:pt>
                <c:pt idx="4">
                  <c:v>-7.5920662100744888E-3</c:v>
                </c:pt>
                <c:pt idx="5">
                  <c:v>-8.4552857735403306E-3</c:v>
                </c:pt>
                <c:pt idx="6">
                  <c:v>-9.2654921194749371E-3</c:v>
                </c:pt>
                <c:pt idx="7">
                  <c:v>-1.0023416438647377E-2</c:v>
                </c:pt>
                <c:pt idx="8">
                  <c:v>-1.0732136708931127E-2</c:v>
                </c:pt>
                <c:pt idx="9">
                  <c:v>-1.1397426118247322E-2</c:v>
                </c:pt>
                <c:pt idx="10">
                  <c:v>-1.2299547112338126E-2</c:v>
                </c:pt>
                <c:pt idx="11">
                  <c:v>-1.2824288197160773E-2</c:v>
                </c:pt>
                <c:pt idx="12">
                  <c:v>-1.3230098578794411E-2</c:v>
                </c:pt>
                <c:pt idx="13">
                  <c:v>-1.3565290594481919E-2</c:v>
                </c:pt>
                <c:pt idx="14">
                  <c:v>-1.3846611387542639E-2</c:v>
                </c:pt>
                <c:pt idx="15">
                  <c:v>-1.4086148176499197E-2</c:v>
                </c:pt>
                <c:pt idx="16">
                  <c:v>-1.430389237214379E-2</c:v>
                </c:pt>
                <c:pt idx="17">
                  <c:v>-1.4504624503960738E-2</c:v>
                </c:pt>
                <c:pt idx="18">
                  <c:v>-1.4696417238180758E-2</c:v>
                </c:pt>
                <c:pt idx="19">
                  <c:v>-1.4886607290194195E-2</c:v>
                </c:pt>
                <c:pt idx="20">
                  <c:v>-1.5080852426399075E-2</c:v>
                </c:pt>
                <c:pt idx="21">
                  <c:v>-1.5283964630698714E-2</c:v>
                </c:pt>
                <c:pt idx="22">
                  <c:v>-1.5498535631014335E-2</c:v>
                </c:pt>
                <c:pt idx="23">
                  <c:v>-1.5726816060695367E-2</c:v>
                </c:pt>
                <c:pt idx="24">
                  <c:v>-1.5970062399920718E-2</c:v>
                </c:pt>
                <c:pt idx="25">
                  <c:v>-1.6227037938815216E-2</c:v>
                </c:pt>
                <c:pt idx="26">
                  <c:v>-1.6495592584058017E-2</c:v>
                </c:pt>
                <c:pt idx="27">
                  <c:v>-1.6775617941581486E-2</c:v>
                </c:pt>
                <c:pt idx="28">
                  <c:v>-1.7066407382130288E-2</c:v>
                </c:pt>
                <c:pt idx="29">
                  <c:v>-1.7366848311933265E-2</c:v>
                </c:pt>
                <c:pt idx="30">
                  <c:v>-1.7675830318171302E-2</c:v>
                </c:pt>
                <c:pt idx="31">
                  <c:v>-1.7990103718709481E-2</c:v>
                </c:pt>
                <c:pt idx="32">
                  <c:v>-1.8310105937517557E-2</c:v>
                </c:pt>
                <c:pt idx="33">
                  <c:v>-1.8635474866282056E-2</c:v>
                </c:pt>
                <c:pt idx="34">
                  <c:v>-1.8965554500138215E-2</c:v>
                </c:pt>
                <c:pt idx="35">
                  <c:v>-1.9299686059908613E-2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074-494A-BB6C-F115A0D57B8C}"/>
            </c:ext>
          </c:extLst>
        </c:ser>
        <c:ser>
          <c:idx val="3"/>
          <c:order val="3"/>
          <c:tx>
            <c:strRef>
              <c:f>Données!$B$475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Données!$C$475:$AL$475</c:f>
              <c:numCache>
                <c:formatCode>0.0%</c:formatCode>
                <c:ptCount val="36"/>
                <c:pt idx="0">
                  <c:v>-2.465567920392884E-3</c:v>
                </c:pt>
                <c:pt idx="1">
                  <c:v>-3.1945951969750172E-3</c:v>
                </c:pt>
                <c:pt idx="2">
                  <c:v>-3.7832467048357966E-3</c:v>
                </c:pt>
                <c:pt idx="3">
                  <c:v>-4.3342752946484648E-3</c:v>
                </c:pt>
                <c:pt idx="4">
                  <c:v>-4.798808638854765E-3</c:v>
                </c:pt>
                <c:pt idx="5">
                  <c:v>-5.2319632775669998E-3</c:v>
                </c:pt>
                <c:pt idx="6">
                  <c:v>-5.6611594024856991E-3</c:v>
                </c:pt>
                <c:pt idx="7">
                  <c:v>-6.0871961067204714E-3</c:v>
                </c:pt>
                <c:pt idx="8">
                  <c:v>-6.5058274443199745E-3</c:v>
                </c:pt>
                <c:pt idx="9">
                  <c:v>-6.9149278857855096E-3</c:v>
                </c:pt>
                <c:pt idx="10">
                  <c:v>-7.5060526334931989E-3</c:v>
                </c:pt>
                <c:pt idx="11">
                  <c:v>-7.8429887386906941E-3</c:v>
                </c:pt>
                <c:pt idx="12">
                  <c:v>-8.1063194800629033E-3</c:v>
                </c:pt>
                <c:pt idx="13">
                  <c:v>-8.3257024017330764E-3</c:v>
                </c:pt>
                <c:pt idx="14">
                  <c:v>-8.5124222485043199E-3</c:v>
                </c:pt>
                <c:pt idx="15">
                  <c:v>-8.6737699919128951E-3</c:v>
                </c:pt>
                <c:pt idx="16">
                  <c:v>-8.8225853517407572E-3</c:v>
                </c:pt>
                <c:pt idx="17">
                  <c:v>-8.9594671553098956E-3</c:v>
                </c:pt>
                <c:pt idx="18">
                  <c:v>-9.0891552408771774E-3</c:v>
                </c:pt>
                <c:pt idx="19">
                  <c:v>-9.2163896635482252E-3</c:v>
                </c:pt>
                <c:pt idx="20">
                  <c:v>-9.343397524027755E-3</c:v>
                </c:pt>
                <c:pt idx="21">
                  <c:v>-9.476254034665111E-3</c:v>
                </c:pt>
                <c:pt idx="22">
                  <c:v>-9.6158901328448152E-3</c:v>
                </c:pt>
                <c:pt idx="23">
                  <c:v>-9.7637145748659584E-3</c:v>
                </c:pt>
                <c:pt idx="24">
                  <c:v>-9.9205905164286654E-3</c:v>
                </c:pt>
                <c:pt idx="25">
                  <c:v>-1.0081355511587228E-2</c:v>
                </c:pt>
                <c:pt idx="26">
                  <c:v>-1.0249776857741134E-2</c:v>
                </c:pt>
                <c:pt idx="27">
                  <c:v>-1.0425380297748768E-2</c:v>
                </c:pt>
                <c:pt idx="28">
                  <c:v>-1.0607212509736324E-2</c:v>
                </c:pt>
                <c:pt idx="29">
                  <c:v>-1.0793504118048882E-2</c:v>
                </c:pt>
                <c:pt idx="30">
                  <c:v>-1.0983059447860434E-2</c:v>
                </c:pt>
                <c:pt idx="31">
                  <c:v>-1.1173475827990562E-2</c:v>
                </c:pt>
                <c:pt idx="32">
                  <c:v>-1.1365824692839564E-2</c:v>
                </c:pt>
                <c:pt idx="33">
                  <c:v>-1.1560342917353479E-2</c:v>
                </c:pt>
                <c:pt idx="34">
                  <c:v>-1.1756708933509474E-2</c:v>
                </c:pt>
                <c:pt idx="35">
                  <c:v>-1.1954473188143046E-2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074-494A-BB6C-F115A0D57B8C}"/>
            </c:ext>
          </c:extLst>
        </c:ser>
        <c:ser>
          <c:idx val="4"/>
          <c:order val="4"/>
          <c:tx>
            <c:strRef>
              <c:f>Données!$B$476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Données!$C$476:$AL$476</c:f>
              <c:numCache>
                <c:formatCode>0.0%</c:formatCode>
                <c:ptCount val="36"/>
                <c:pt idx="0">
                  <c:v>-2.6192985707299042E-3</c:v>
                </c:pt>
                <c:pt idx="1">
                  <c:v>-3.4586294913352051E-3</c:v>
                </c:pt>
                <c:pt idx="2">
                  <c:v>-4.0830221639632904E-3</c:v>
                </c:pt>
                <c:pt idx="3">
                  <c:v>-4.6048620987968417E-3</c:v>
                </c:pt>
                <c:pt idx="4">
                  <c:v>-4.9967110588989847E-3</c:v>
                </c:pt>
                <c:pt idx="5">
                  <c:v>-5.3028259725606212E-3</c:v>
                </c:pt>
                <c:pt idx="6">
                  <c:v>-5.5586912381906765E-3</c:v>
                </c:pt>
                <c:pt idx="7">
                  <c:v>-5.7807013927084067E-3</c:v>
                </c:pt>
                <c:pt idx="8">
                  <c:v>-5.9794359598567748E-3</c:v>
                </c:pt>
                <c:pt idx="9">
                  <c:v>-6.1637654787542765E-3</c:v>
                </c:pt>
                <c:pt idx="10">
                  <c:v>-6.5462062369024618E-3</c:v>
                </c:pt>
                <c:pt idx="11">
                  <c:v>-6.6658111827690063E-3</c:v>
                </c:pt>
                <c:pt idx="12">
                  <c:v>-6.7172267159887724E-3</c:v>
                </c:pt>
                <c:pt idx="13">
                  <c:v>-6.7418334582998339E-3</c:v>
                </c:pt>
                <c:pt idx="14">
                  <c:v>-6.7552715779303704E-3</c:v>
                </c:pt>
                <c:pt idx="15">
                  <c:v>-6.7681088114900194E-3</c:v>
                </c:pt>
                <c:pt idx="16">
                  <c:v>-6.7960635034183137E-3</c:v>
                </c:pt>
                <c:pt idx="17">
                  <c:v>-6.8404058329632079E-3</c:v>
                </c:pt>
                <c:pt idx="18">
                  <c:v>-6.9051359571624506E-3</c:v>
                </c:pt>
                <c:pt idx="19">
                  <c:v>-6.9932182555234113E-3</c:v>
                </c:pt>
                <c:pt idx="20">
                  <c:v>-7.104934343124941E-3</c:v>
                </c:pt>
                <c:pt idx="21">
                  <c:v>-7.242525971974354E-3</c:v>
                </c:pt>
                <c:pt idx="22">
                  <c:v>-7.4043897516739903E-3</c:v>
                </c:pt>
                <c:pt idx="23">
                  <c:v>-7.5890276190663884E-3</c:v>
                </c:pt>
                <c:pt idx="24">
                  <c:v>-7.794461437723668E-3</c:v>
                </c:pt>
                <c:pt idx="25">
                  <c:v>-8.0142547348404942E-3</c:v>
                </c:pt>
                <c:pt idx="26">
                  <c:v>-8.2474058698601208E-3</c:v>
                </c:pt>
                <c:pt idx="27">
                  <c:v>-8.49200347376311E-3</c:v>
                </c:pt>
                <c:pt idx="28">
                  <c:v>-8.7455269623502342E-3</c:v>
                </c:pt>
                <c:pt idx="29">
                  <c:v>-9.0056967839849469E-3</c:v>
                </c:pt>
                <c:pt idx="30">
                  <c:v>-9.2706187298556945E-3</c:v>
                </c:pt>
                <c:pt idx="31">
                  <c:v>-9.5367622954645459E-3</c:v>
                </c:pt>
                <c:pt idx="32">
                  <c:v>-9.8038893361521804E-3</c:v>
                </c:pt>
                <c:pt idx="33">
                  <c:v>-1.0070815959066956E-2</c:v>
                </c:pt>
                <c:pt idx="34">
                  <c:v>-1.0336442280733391E-2</c:v>
                </c:pt>
                <c:pt idx="35">
                  <c:v>-1.0599909502144386E-2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074-494A-BB6C-F115A0D57B8C}"/>
            </c:ext>
          </c:extLst>
        </c:ser>
        <c:ser>
          <c:idx val="5"/>
          <c:order val="5"/>
          <c:tx>
            <c:strRef>
              <c:f>Données!$B$477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Données!$C$477:$AL$477</c:f>
              <c:numCache>
                <c:formatCode>0.0%</c:formatCode>
                <c:ptCount val="36"/>
                <c:pt idx="0">
                  <c:v>-1.9664372682958366E-3</c:v>
                </c:pt>
                <c:pt idx="1">
                  <c:v>-2.7987583677117891E-3</c:v>
                </c:pt>
                <c:pt idx="2">
                  <c:v>-3.2911091389982551E-3</c:v>
                </c:pt>
                <c:pt idx="3">
                  <c:v>-3.6438907344532746E-3</c:v>
                </c:pt>
                <c:pt idx="4">
                  <c:v>-3.9157408426811514E-3</c:v>
                </c:pt>
                <c:pt idx="5">
                  <c:v>-4.1185951185133459E-3</c:v>
                </c:pt>
                <c:pt idx="6">
                  <c:v>-4.2816533438690893E-3</c:v>
                </c:pt>
                <c:pt idx="7">
                  <c:v>-4.426488851180633E-3</c:v>
                </c:pt>
                <c:pt idx="8">
                  <c:v>-4.5691448206993113E-3</c:v>
                </c:pt>
                <c:pt idx="9">
                  <c:v>-4.716490300298617E-3</c:v>
                </c:pt>
                <c:pt idx="10">
                  <c:v>-5.0213789822805043E-3</c:v>
                </c:pt>
                <c:pt idx="11">
                  <c:v>-5.1241432415399177E-3</c:v>
                </c:pt>
                <c:pt idx="12">
                  <c:v>-5.1968486601223435E-3</c:v>
                </c:pt>
                <c:pt idx="13">
                  <c:v>-5.2666017819562368E-3</c:v>
                </c:pt>
                <c:pt idx="14">
                  <c:v>-5.3387639570316075E-3</c:v>
                </c:pt>
                <c:pt idx="15">
                  <c:v>-5.4154419729857874E-3</c:v>
                </c:pt>
                <c:pt idx="16">
                  <c:v>-5.5054297650210977E-3</c:v>
                </c:pt>
                <c:pt idx="17">
                  <c:v>-5.6049719920779617E-3</c:v>
                </c:pt>
                <c:pt idx="18">
                  <c:v>-5.7140452808071935E-3</c:v>
                </c:pt>
                <c:pt idx="19">
                  <c:v>-5.8329205641730088E-3</c:v>
                </c:pt>
                <c:pt idx="20">
                  <c:v>-5.960271787981696E-3</c:v>
                </c:pt>
                <c:pt idx="21">
                  <c:v>-6.098752241060915E-3</c:v>
                </c:pt>
                <c:pt idx="22">
                  <c:v>-6.2466857790481316E-3</c:v>
                </c:pt>
                <c:pt idx="23">
                  <c:v>-6.4034035396582341E-3</c:v>
                </c:pt>
                <c:pt idx="24">
                  <c:v>-6.5681643234641856E-3</c:v>
                </c:pt>
                <c:pt idx="25">
                  <c:v>-6.7356023786129459E-3</c:v>
                </c:pt>
                <c:pt idx="26">
                  <c:v>-6.9084989176368891E-3</c:v>
                </c:pt>
                <c:pt idx="27">
                  <c:v>-7.0862979513318476E-3</c:v>
                </c:pt>
                <c:pt idx="28">
                  <c:v>-7.2684361799828633E-3</c:v>
                </c:pt>
                <c:pt idx="29">
                  <c:v>-7.4542726573230593E-3</c:v>
                </c:pt>
                <c:pt idx="30">
                  <c:v>-7.6432059590991934E-3</c:v>
                </c:pt>
                <c:pt idx="31">
                  <c:v>-7.8328561703426038E-3</c:v>
                </c:pt>
                <c:pt idx="32">
                  <c:v>-8.0239506214861405E-3</c:v>
                </c:pt>
                <c:pt idx="33">
                  <c:v>-8.216262751864413E-3</c:v>
                </c:pt>
                <c:pt idx="34">
                  <c:v>-8.4094971179738114E-3</c:v>
                </c:pt>
                <c:pt idx="35">
                  <c:v>-8.6034128224866547E-3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Données!$B$472</c:f>
              <c:strCache>
                <c:ptCount val="1"/>
                <c:pt idx="0">
                  <c:v>Consommation énergétique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Données!$C$471:$AL$471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Données!$C$472:$AL$472</c:f>
              <c:numCache>
                <c:formatCode>0.0%</c:formatCode>
                <c:ptCount val="36"/>
                <c:pt idx="0">
                  <c:v>-1.1202409170648298E-2</c:v>
                </c:pt>
                <c:pt idx="1">
                  <c:v>-1.5157542346658337E-2</c:v>
                </c:pt>
                <c:pt idx="2">
                  <c:v>-1.8092401524873125E-2</c:v>
                </c:pt>
                <c:pt idx="3">
                  <c:v>-2.0668070090617219E-2</c:v>
                </c:pt>
                <c:pt idx="4">
                  <c:v>-2.2850795454323114E-2</c:v>
                </c:pt>
                <c:pt idx="5">
                  <c:v>-2.4774772614679308E-2</c:v>
                </c:pt>
                <c:pt idx="6">
                  <c:v>-2.6547765371113696E-2</c:v>
                </c:pt>
                <c:pt idx="7">
                  <c:v>-2.8209976203475762E-2</c:v>
                </c:pt>
                <c:pt idx="8">
                  <c:v>-2.9787957721342018E-2</c:v>
                </c:pt>
                <c:pt idx="9">
                  <c:v>-3.1302236253093696E-2</c:v>
                </c:pt>
                <c:pt idx="10">
                  <c:v>-3.3655934505079754E-2</c:v>
                </c:pt>
                <c:pt idx="11">
                  <c:v>-3.4823147235879981E-2</c:v>
                </c:pt>
                <c:pt idx="12">
                  <c:v>-3.5682081513809472E-2</c:v>
                </c:pt>
                <c:pt idx="13">
                  <c:v>-3.6393393980388988E-2</c:v>
                </c:pt>
                <c:pt idx="14">
                  <c:v>-3.7009452518554697E-2</c:v>
                </c:pt>
                <c:pt idx="15">
                  <c:v>-3.7563445156284181E-2</c:v>
                </c:pt>
                <c:pt idx="16">
                  <c:v>-3.8116199692900365E-2</c:v>
                </c:pt>
                <c:pt idx="17">
                  <c:v>-3.8668743040624509E-2</c:v>
                </c:pt>
                <c:pt idx="18">
                  <c:v>-3.9237665507137809E-2</c:v>
                </c:pt>
                <c:pt idx="19">
                  <c:v>-3.9838291741510212E-2</c:v>
                </c:pt>
                <c:pt idx="20">
                  <c:v>-4.0476957774618794E-2</c:v>
                </c:pt>
                <c:pt idx="21">
                  <c:v>-4.1170280167390993E-2</c:v>
                </c:pt>
                <c:pt idx="22">
                  <c:v>-4.191785495129563E-2</c:v>
                </c:pt>
                <c:pt idx="23">
                  <c:v>-4.2720894346829574E-2</c:v>
                </c:pt>
                <c:pt idx="24">
                  <c:v>-4.3578541367955914E-2</c:v>
                </c:pt>
                <c:pt idx="25">
                  <c:v>-4.4470857586564883E-2</c:v>
                </c:pt>
                <c:pt idx="26">
                  <c:v>-4.5401940569334442E-2</c:v>
                </c:pt>
                <c:pt idx="27">
                  <c:v>-4.6368741688888271E-2</c:v>
                </c:pt>
                <c:pt idx="28">
                  <c:v>-4.7366281794568144E-2</c:v>
                </c:pt>
                <c:pt idx="29">
                  <c:v>-4.8388519356208803E-2</c:v>
                </c:pt>
                <c:pt idx="30">
                  <c:v>-4.9430436767289976E-2</c:v>
                </c:pt>
                <c:pt idx="31">
                  <c:v>-5.0479542703803615E-2</c:v>
                </c:pt>
                <c:pt idx="32">
                  <c:v>-5.1538231379763877E-2</c:v>
                </c:pt>
                <c:pt idx="33">
                  <c:v>-5.2604938466613183E-2</c:v>
                </c:pt>
                <c:pt idx="34">
                  <c:v>-5.3677214938018025E-2</c:v>
                </c:pt>
                <c:pt idx="35">
                  <c:v>-5.4752789099184795E-2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4-494A-BB6C-F115A0D57B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5.9274551549754362E-2"/>
          <c:y val="0.83157658690065972"/>
          <c:w val="0.91015582410303764"/>
          <c:h val="0.1558498839423657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Net energy production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Données!$B$527</c:f>
              <c:strCache>
                <c:ptCount val="1"/>
                <c:pt idx="0">
                  <c:v>Households' consumption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Données!$C$527:$AL$527</c:f>
              <c:numCache>
                <c:formatCode>0%</c:formatCode>
                <c:ptCount val="36"/>
                <c:pt idx="0">
                  <c:v>0</c:v>
                </c:pt>
                <c:pt idx="1">
                  <c:v>5.3125368421708715E-4</c:v>
                </c:pt>
                <c:pt idx="2">
                  <c:v>7.8917854527484109E-4</c:v>
                </c:pt>
                <c:pt idx="3">
                  <c:v>9.2825178095480207E-4</c:v>
                </c:pt>
                <c:pt idx="4">
                  <c:v>1.1241879907247889E-3</c:v>
                </c:pt>
                <c:pt idx="5">
                  <c:v>1.2705514638112431E-3</c:v>
                </c:pt>
                <c:pt idx="6">
                  <c:v>1.3157838546664663E-3</c:v>
                </c:pt>
                <c:pt idx="7">
                  <c:v>1.2678047738454168E-3</c:v>
                </c:pt>
                <c:pt idx="8">
                  <c:v>1.1543341383775788E-3</c:v>
                </c:pt>
                <c:pt idx="9">
                  <c:v>1.0039529443125206E-3</c:v>
                </c:pt>
                <c:pt idx="10">
                  <c:v>8.238409167063475E-4</c:v>
                </c:pt>
                <c:pt idx="11">
                  <c:v>6.400802678707512E-4</c:v>
                </c:pt>
                <c:pt idx="12">
                  <c:v>4.7314280544640767E-4</c:v>
                </c:pt>
                <c:pt idx="13">
                  <c:v>3.3880009306507593E-4</c:v>
                </c:pt>
                <c:pt idx="14">
                  <c:v>2.4282081500959606E-4</c:v>
                </c:pt>
                <c:pt idx="15">
                  <c:v>1.8839670853455646E-4</c:v>
                </c:pt>
                <c:pt idx="16">
                  <c:v>1.7780600457505821E-4</c:v>
                </c:pt>
                <c:pt idx="17">
                  <c:v>2.082978268367806E-4</c:v>
                </c:pt>
                <c:pt idx="18">
                  <c:v>2.7458089297742667E-4</c:v>
                </c:pt>
                <c:pt idx="19">
                  <c:v>3.7011290143387782E-4</c:v>
                </c:pt>
                <c:pt idx="20">
                  <c:v>4.8822692220592889E-4</c:v>
                </c:pt>
                <c:pt idx="21">
                  <c:v>6.220608769980096E-4</c:v>
                </c:pt>
                <c:pt idx="22">
                  <c:v>7.65808654807714E-4</c:v>
                </c:pt>
                <c:pt idx="23">
                  <c:v>9.1457555980143984E-4</c:v>
                </c:pt>
                <c:pt idx="24">
                  <c:v>1.0644700228172729E-3</c:v>
                </c:pt>
                <c:pt idx="25">
                  <c:v>1.2139004537556847E-3</c:v>
                </c:pt>
                <c:pt idx="26">
                  <c:v>1.3583330479543557E-3</c:v>
                </c:pt>
                <c:pt idx="27">
                  <c:v>1.4965900917533752E-3</c:v>
                </c:pt>
                <c:pt idx="28">
                  <c:v>1.6276952277668867E-3</c:v>
                </c:pt>
                <c:pt idx="29">
                  <c:v>1.7522789718232021E-3</c:v>
                </c:pt>
                <c:pt idx="30">
                  <c:v>1.8703844445505634E-3</c:v>
                </c:pt>
                <c:pt idx="31">
                  <c:v>1.9812778203239681E-3</c:v>
                </c:pt>
                <c:pt idx="32">
                  <c:v>2.0843221679634947E-3</c:v>
                </c:pt>
                <c:pt idx="33">
                  <c:v>2.1784614939823433E-3</c:v>
                </c:pt>
                <c:pt idx="34">
                  <c:v>2.2634859260227181E-3</c:v>
                </c:pt>
                <c:pt idx="35">
                  <c:v>2.3395170476321219E-3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2D-49AA-BF88-C168E58AAE98}"/>
            </c:ext>
          </c:extLst>
        </c:ser>
        <c:ser>
          <c:idx val="2"/>
          <c:order val="2"/>
          <c:tx>
            <c:strRef>
              <c:f>Données!$B$528</c:f>
              <c:strCache>
                <c:ptCount val="1"/>
                <c:pt idx="0">
                  <c:v>Firms' consumption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Données!$C$528:$AL$528</c:f>
              <c:numCache>
                <c:formatCode>0%</c:formatCode>
                <c:ptCount val="36"/>
                <c:pt idx="0">
                  <c:v>-2.4406742426769136E-2</c:v>
                </c:pt>
                <c:pt idx="1">
                  <c:v>-3.3151426717487144E-2</c:v>
                </c:pt>
                <c:pt idx="2">
                  <c:v>-3.9038383116210766E-2</c:v>
                </c:pt>
                <c:pt idx="3">
                  <c:v>-4.4131918134933959E-2</c:v>
                </c:pt>
                <c:pt idx="4">
                  <c:v>-4.8683576277423542E-2</c:v>
                </c:pt>
                <c:pt idx="5">
                  <c:v>-5.2746536453662507E-2</c:v>
                </c:pt>
                <c:pt idx="6">
                  <c:v>-5.6434387104117543E-2</c:v>
                </c:pt>
                <c:pt idx="7">
                  <c:v>-5.9816129318898688E-2</c:v>
                </c:pt>
                <c:pt idx="8">
                  <c:v>-6.2972072885887423E-2</c:v>
                </c:pt>
                <c:pt idx="9">
                  <c:v>-6.597387624723805E-2</c:v>
                </c:pt>
                <c:pt idx="10">
                  <c:v>-7.0756356573293294E-2</c:v>
                </c:pt>
                <c:pt idx="11">
                  <c:v>-7.2974731820641764E-2</c:v>
                </c:pt>
                <c:pt idx="12">
                  <c:v>-7.456441943503718E-2</c:v>
                </c:pt>
                <c:pt idx="13">
                  <c:v>-7.5927552926905381E-2</c:v>
                </c:pt>
                <c:pt idx="14">
                  <c:v>-7.7179006032353364E-2</c:v>
                </c:pt>
                <c:pt idx="15">
                  <c:v>-7.8380042564322822E-2</c:v>
                </c:pt>
                <c:pt idx="16">
                  <c:v>-7.9652568955050504E-2</c:v>
                </c:pt>
                <c:pt idx="17">
                  <c:v>-8.0979925309753648E-2</c:v>
                </c:pt>
                <c:pt idx="18">
                  <c:v>-8.2380597471326825E-2</c:v>
                </c:pt>
                <c:pt idx="19">
                  <c:v>-8.3872364140242683E-2</c:v>
                </c:pt>
                <c:pt idx="20">
                  <c:v>-8.5459369397061585E-2</c:v>
                </c:pt>
                <c:pt idx="21">
                  <c:v>-8.7156029631671308E-2</c:v>
                </c:pt>
                <c:pt idx="22">
                  <c:v>-8.8961498248828694E-2</c:v>
                </c:pt>
                <c:pt idx="23">
                  <c:v>-9.0870522867943129E-2</c:v>
                </c:pt>
                <c:pt idx="24">
                  <c:v>-9.2876926804491236E-2</c:v>
                </c:pt>
                <c:pt idx="25">
                  <c:v>-9.4948399029761016E-2</c:v>
                </c:pt>
                <c:pt idx="26">
                  <c:v>-9.7063715213384194E-2</c:v>
                </c:pt>
                <c:pt idx="27">
                  <c:v>-9.9236315041706519E-2</c:v>
                </c:pt>
                <c:pt idx="28">
                  <c:v>-0.10145560552415245</c:v>
                </c:pt>
                <c:pt idx="29">
                  <c:v>-0.10371197467642151</c:v>
                </c:pt>
                <c:pt idx="30">
                  <c:v>-0.10599697136149053</c:v>
                </c:pt>
                <c:pt idx="31">
                  <c:v>-0.10828414583402111</c:v>
                </c:pt>
                <c:pt idx="32">
                  <c:v>-0.11058040104507344</c:v>
                </c:pt>
                <c:pt idx="33">
                  <c:v>-0.11288257896855905</c:v>
                </c:pt>
                <c:pt idx="34">
                  <c:v>-0.11518645052303857</c:v>
                </c:pt>
                <c:pt idx="35">
                  <c:v>-0.11748839020032692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2D-49AA-BF88-C168E58AAE98}"/>
            </c:ext>
          </c:extLst>
        </c:ser>
        <c:ser>
          <c:idx val="3"/>
          <c:order val="3"/>
          <c:tx>
            <c:strRef>
              <c:f>Données!$B$529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Données!$C$529:$AL$529</c:f>
              <c:numCache>
                <c:formatCode>0%</c:formatCode>
                <c:ptCount val="36"/>
                <c:pt idx="0">
                  <c:v>7.3211009871165496E-3</c:v>
                </c:pt>
                <c:pt idx="1">
                  <c:v>1.1667094534515391E-2</c:v>
                </c:pt>
                <c:pt idx="2">
                  <c:v>1.4375323035148945E-2</c:v>
                </c:pt>
                <c:pt idx="3">
                  <c:v>1.6758277458706349E-2</c:v>
                </c:pt>
                <c:pt idx="4">
                  <c:v>1.8879595846480614E-2</c:v>
                </c:pt>
                <c:pt idx="5">
                  <c:v>2.0805766806390753E-2</c:v>
                </c:pt>
                <c:pt idx="6">
                  <c:v>2.2590828005604333E-2</c:v>
                </c:pt>
                <c:pt idx="7">
                  <c:v>2.4251264898983202E-2</c:v>
                </c:pt>
                <c:pt idx="8">
                  <c:v>2.5803088345170519E-2</c:v>
                </c:pt>
                <c:pt idx="9">
                  <c:v>2.726456647909703E-2</c:v>
                </c:pt>
                <c:pt idx="10">
                  <c:v>2.9237155324801794E-2</c:v>
                </c:pt>
                <c:pt idx="11">
                  <c:v>3.0549317175413319E-2</c:v>
                </c:pt>
                <c:pt idx="12">
                  <c:v>3.1430571589921547E-2</c:v>
                </c:pt>
                <c:pt idx="13">
                  <c:v>3.2129227437693461E-2</c:v>
                </c:pt>
                <c:pt idx="14">
                  <c:v>3.2710339832819617E-2</c:v>
                </c:pt>
                <c:pt idx="15">
                  <c:v>3.3206725117673704E-2</c:v>
                </c:pt>
                <c:pt idx="16">
                  <c:v>3.3662897702230313E-2</c:v>
                </c:pt>
                <c:pt idx="17">
                  <c:v>3.4096101369035861E-2</c:v>
                </c:pt>
                <c:pt idx="18">
                  <c:v>3.4520990190597518E-2</c:v>
                </c:pt>
                <c:pt idx="19">
                  <c:v>3.4953705111508714E-2</c:v>
                </c:pt>
                <c:pt idx="20">
                  <c:v>3.5410262830708826E-2</c:v>
                </c:pt>
                <c:pt idx="21">
                  <c:v>3.5888697285141019E-2</c:v>
                </c:pt>
                <c:pt idx="22">
                  <c:v>3.6406045715493475E-2</c:v>
                </c:pt>
                <c:pt idx="23">
                  <c:v>3.6963717921570771E-2</c:v>
                </c:pt>
                <c:pt idx="24">
                  <c:v>3.7562878338231659E-2</c:v>
                </c:pt>
                <c:pt idx="25">
                  <c:v>3.8210257879962586E-2</c:v>
                </c:pt>
                <c:pt idx="26">
                  <c:v>3.886776280908974E-2</c:v>
                </c:pt>
                <c:pt idx="27">
                  <c:v>3.9554994375837871E-2</c:v>
                </c:pt>
                <c:pt idx="28">
                  <c:v>4.026724631578537E-2</c:v>
                </c:pt>
                <c:pt idx="29">
                  <c:v>4.0999841586814044E-2</c:v>
                </c:pt>
                <c:pt idx="30">
                  <c:v>4.1749037703603636E-2</c:v>
                </c:pt>
                <c:pt idx="31">
                  <c:v>4.2507304506435806E-2</c:v>
                </c:pt>
                <c:pt idx="32">
                  <c:v>4.3273821501861445E-2</c:v>
                </c:pt>
                <c:pt idx="33">
                  <c:v>4.4048475913288171E-2</c:v>
                </c:pt>
                <c:pt idx="34">
                  <c:v>4.482956272578497E-2</c:v>
                </c:pt>
                <c:pt idx="35">
                  <c:v>4.5615257802023808E-2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8449744"/>
        <c:axId val="778454336"/>
      </c:barChart>
      <c:lineChart>
        <c:grouping val="standard"/>
        <c:varyColors val="0"/>
        <c:ser>
          <c:idx val="0"/>
          <c:order val="0"/>
          <c:tx>
            <c:strRef>
              <c:f>Données!$B$526</c:f>
              <c:strCache>
                <c:ptCount val="1"/>
                <c:pt idx="0">
                  <c:v>Net production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Données!$C$525:$AL$525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Données!$C$526:$AL$526</c:f>
              <c:numCache>
                <c:formatCode>0%</c:formatCode>
                <c:ptCount val="36"/>
                <c:pt idx="0">
                  <c:v>-1.7085641153130715E-2</c:v>
                </c:pt>
                <c:pt idx="1">
                  <c:v>-2.0953078001298642E-2</c:v>
                </c:pt>
                <c:pt idx="2">
                  <c:v>-2.3873881747426551E-2</c:v>
                </c:pt>
                <c:pt idx="3">
                  <c:v>-2.6445388685272353E-2</c:v>
                </c:pt>
                <c:pt idx="4">
                  <c:v>-2.8679793064872561E-2</c:v>
                </c:pt>
                <c:pt idx="5">
                  <c:v>-3.0670217427090196E-2</c:v>
                </c:pt>
                <c:pt idx="6">
                  <c:v>-3.2527774290316391E-2</c:v>
                </c:pt>
                <c:pt idx="7">
                  <c:v>-3.4297060185559447E-2</c:v>
                </c:pt>
                <c:pt idx="8">
                  <c:v>-3.601465073607979E-2</c:v>
                </c:pt>
                <c:pt idx="9">
                  <c:v>-3.7705356757776087E-2</c:v>
                </c:pt>
                <c:pt idx="10">
                  <c:v>-4.069536013589814E-2</c:v>
                </c:pt>
                <c:pt idx="11">
                  <c:v>-4.1785333925274837E-2</c:v>
                </c:pt>
                <c:pt idx="12">
                  <c:v>-4.2660705039669344E-2</c:v>
                </c:pt>
                <c:pt idx="13">
                  <c:v>-4.3459525269760935E-2</c:v>
                </c:pt>
                <c:pt idx="14">
                  <c:v>-4.4225844821920379E-2</c:v>
                </c:pt>
                <c:pt idx="15">
                  <c:v>-4.4984921170988734E-2</c:v>
                </c:pt>
                <c:pt idx="16">
                  <c:v>-4.5811864636492672E-2</c:v>
                </c:pt>
                <c:pt idx="17">
                  <c:v>-4.6675525750764502E-2</c:v>
                </c:pt>
                <c:pt idx="18">
                  <c:v>-4.7585027405561364E-2</c:v>
                </c:pt>
                <c:pt idx="19">
                  <c:v>-4.8548545653461561E-2</c:v>
                </c:pt>
                <c:pt idx="20">
                  <c:v>-4.9560879878666197E-2</c:v>
                </c:pt>
                <c:pt idx="21">
                  <c:v>-5.0645271005447801E-2</c:v>
                </c:pt>
                <c:pt idx="22">
                  <c:v>-5.1789643132433616E-2</c:v>
                </c:pt>
                <c:pt idx="23">
                  <c:v>-5.2992229897552923E-2</c:v>
                </c:pt>
                <c:pt idx="24">
                  <c:v>-5.4249578050302616E-2</c:v>
                </c:pt>
                <c:pt idx="25">
                  <c:v>-5.5524240751686271E-2</c:v>
                </c:pt>
                <c:pt idx="26">
                  <c:v>-5.6837619521652116E-2</c:v>
                </c:pt>
                <c:pt idx="27">
                  <c:v>-5.8184730028441267E-2</c:v>
                </c:pt>
                <c:pt idx="28">
                  <c:v>-5.9560663494292898E-2</c:v>
                </c:pt>
                <c:pt idx="29">
                  <c:v>-6.0959854492310339E-2</c:v>
                </c:pt>
                <c:pt idx="30">
                  <c:v>-6.2377549319286962E-2</c:v>
                </c:pt>
                <c:pt idx="31">
                  <c:v>-6.3795564084198175E-2</c:v>
                </c:pt>
                <c:pt idx="32">
                  <c:v>-6.5222257479095602E-2</c:v>
                </c:pt>
                <c:pt idx="33">
                  <c:v>-6.6655641098688823E-2</c:v>
                </c:pt>
                <c:pt idx="34">
                  <c:v>-6.8093401972986745E-2</c:v>
                </c:pt>
                <c:pt idx="35">
                  <c:v>-6.9533615904600943E-2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2D-49AA-BF88-C168E58AA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8449744"/>
        <c:axId val="778454336"/>
      </c:lineChart>
      <c:dateAx>
        <c:axId val="77844974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54336"/>
        <c:crosses val="autoZero"/>
        <c:auto val="1"/>
        <c:lblOffset val="100"/>
        <c:baseTimeUnit val="years"/>
        <c:majorUnit val="5"/>
        <c:majorTimeUnit val="years"/>
      </c:dateAx>
      <c:valAx>
        <c:axId val="77845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7844974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Primary energy (Mtep)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Données!$B$507</c:f>
              <c:strCache>
                <c:ptCount val="1"/>
                <c:pt idx="0">
                  <c:v>Charbon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Données!$C$507:$AL$507</c:f>
              <c:numCache>
                <c:formatCode>0.0%</c:formatCode>
                <c:ptCount val="36"/>
                <c:pt idx="0">
                  <c:v>-4.2040348318094016E-4</c:v>
                </c:pt>
                <c:pt idx="1">
                  <c:v>-5.454682325137201E-4</c:v>
                </c:pt>
                <c:pt idx="2">
                  <c:v>-6.1626615866320429E-4</c:v>
                </c:pt>
                <c:pt idx="3">
                  <c:v>-6.7669781710257731E-4</c:v>
                </c:pt>
                <c:pt idx="4">
                  <c:v>-7.3472629884055289E-4</c:v>
                </c:pt>
                <c:pt idx="5">
                  <c:v>-7.9234338915878044E-4</c:v>
                </c:pt>
                <c:pt idx="6">
                  <c:v>-8.5034711581630619E-4</c:v>
                </c:pt>
                <c:pt idx="7">
                  <c:v>-9.082584516918005E-4</c:v>
                </c:pt>
                <c:pt idx="8">
                  <c:v>-9.6599884277782119E-4</c:v>
                </c:pt>
                <c:pt idx="9">
                  <c:v>-1.0236582634565393E-3</c:v>
                </c:pt>
                <c:pt idx="10">
                  <c:v>-1.1133272908549646E-3</c:v>
                </c:pt>
                <c:pt idx="11">
                  <c:v>-1.1580505945886195E-3</c:v>
                </c:pt>
                <c:pt idx="12">
                  <c:v>-1.1941105263635371E-3</c:v>
                </c:pt>
                <c:pt idx="13">
                  <c:v>-1.228614936982504E-3</c:v>
                </c:pt>
                <c:pt idx="14">
                  <c:v>-1.263004910474911E-3</c:v>
                </c:pt>
                <c:pt idx="15">
                  <c:v>-1.2976205308641187E-3</c:v>
                </c:pt>
                <c:pt idx="16">
                  <c:v>-1.334006375222049E-3</c:v>
                </c:pt>
                <c:pt idx="17">
                  <c:v>-1.3711180354275146E-3</c:v>
                </c:pt>
                <c:pt idx="18">
                  <c:v>-1.4087994504830661E-3</c:v>
                </c:pt>
                <c:pt idx="19">
                  <c:v>-1.4470484489314686E-3</c:v>
                </c:pt>
                <c:pt idx="20">
                  <c:v>-1.4857181781717408E-3</c:v>
                </c:pt>
                <c:pt idx="21">
                  <c:v>-1.5250693670811146E-3</c:v>
                </c:pt>
                <c:pt idx="22">
                  <c:v>-1.5649944104134509E-3</c:v>
                </c:pt>
                <c:pt idx="23">
                  <c:v>-1.6054049574657499E-3</c:v>
                </c:pt>
                <c:pt idx="24">
                  <c:v>-1.6462473529946663E-3</c:v>
                </c:pt>
                <c:pt idx="25">
                  <c:v>-1.6869910208893309E-3</c:v>
                </c:pt>
                <c:pt idx="26">
                  <c:v>-1.7275448919635283E-3</c:v>
                </c:pt>
                <c:pt idx="27">
                  <c:v>-1.7682857841737273E-3</c:v>
                </c:pt>
                <c:pt idx="28">
                  <c:v>-1.8091358455603699E-3</c:v>
                </c:pt>
                <c:pt idx="29">
                  <c:v>-1.8500254986613255E-3</c:v>
                </c:pt>
                <c:pt idx="30">
                  <c:v>-1.8908925990790482E-3</c:v>
                </c:pt>
                <c:pt idx="31">
                  <c:v>-1.9313216567516053E-3</c:v>
                </c:pt>
                <c:pt idx="32">
                  <c:v>-1.9715541379695411E-3</c:v>
                </c:pt>
                <c:pt idx="33">
                  <c:v>-2.0116163461011056E-3</c:v>
                </c:pt>
                <c:pt idx="34">
                  <c:v>-2.0514987090463916E-3</c:v>
                </c:pt>
                <c:pt idx="35">
                  <c:v>-2.0911900582202408E-3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DB-4269-9B2A-85A0A366EDCC}"/>
            </c:ext>
          </c:extLst>
        </c:ser>
        <c:ser>
          <c:idx val="2"/>
          <c:order val="2"/>
          <c:tx>
            <c:strRef>
              <c:f>Données!$B$508</c:f>
              <c:strCache>
                <c:ptCount val="1"/>
                <c:pt idx="0">
                  <c:v>Carburant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Données!$C$508:$AL$508</c:f>
              <c:numCache>
                <c:formatCode>0.0%</c:formatCode>
                <c:ptCount val="36"/>
                <c:pt idx="0">
                  <c:v>-0.35856200102314917</c:v>
                </c:pt>
                <c:pt idx="1">
                  <c:v>-7.0892138688291445E-3</c:v>
                </c:pt>
                <c:pt idx="2">
                  <c:v>-8.1772146239373917E-3</c:v>
                </c:pt>
                <c:pt idx="3">
                  <c:v>-9.2175628922407504E-3</c:v>
                </c:pt>
                <c:pt idx="4">
                  <c:v>-1.020558423096735E-2</c:v>
                </c:pt>
                <c:pt idx="5">
                  <c:v>-1.1150222539962387E-2</c:v>
                </c:pt>
                <c:pt idx="6">
                  <c:v>-1.2062476973936124E-2</c:v>
                </c:pt>
                <c:pt idx="7">
                  <c:v>-1.2939621866419917E-2</c:v>
                </c:pt>
                <c:pt idx="8">
                  <c:v>-1.3784364693800781E-2</c:v>
                </c:pt>
                <c:pt idx="9">
                  <c:v>-1.460147877918724E-2</c:v>
                </c:pt>
                <c:pt idx="10">
                  <c:v>-1.5842627954411565E-2</c:v>
                </c:pt>
                <c:pt idx="11">
                  <c:v>-1.6415687688210098E-2</c:v>
                </c:pt>
                <c:pt idx="12">
                  <c:v>-1.6900626435385674E-2</c:v>
                </c:pt>
                <c:pt idx="13">
                  <c:v>-1.7339552021724363E-2</c:v>
                </c:pt>
                <c:pt idx="14">
                  <c:v>-1.7745514458377791E-2</c:v>
                </c:pt>
                <c:pt idx="15">
                  <c:v>-1.8126773051718493E-2</c:v>
                </c:pt>
                <c:pt idx="16">
                  <c:v>-1.8509144530541602E-2</c:v>
                </c:pt>
                <c:pt idx="17">
                  <c:v>-1.8883653374397822E-2</c:v>
                </c:pt>
                <c:pt idx="18">
                  <c:v>-1.9255187725833619E-2</c:v>
                </c:pt>
                <c:pt idx="19">
                  <c:v>-1.9628421859787734E-2</c:v>
                </c:pt>
                <c:pt idx="20">
                  <c:v>-2.0004289678423243E-2</c:v>
                </c:pt>
                <c:pt idx="21">
                  <c:v>-2.0391598141909488E-2</c:v>
                </c:pt>
                <c:pt idx="22">
                  <c:v>-2.0788402435287449E-2</c:v>
                </c:pt>
                <c:pt idx="23">
                  <c:v>-2.1196196094496494E-2</c:v>
                </c:pt>
                <c:pt idx="24">
                  <c:v>-2.1615744717746549E-2</c:v>
                </c:pt>
                <c:pt idx="25">
                  <c:v>-2.2038114168767324E-2</c:v>
                </c:pt>
                <c:pt idx="26">
                  <c:v>-2.2470121343531969E-2</c:v>
                </c:pt>
                <c:pt idx="27">
                  <c:v>-2.2911193120931633E-2</c:v>
                </c:pt>
                <c:pt idx="28">
                  <c:v>-2.3360855950819867E-2</c:v>
                </c:pt>
                <c:pt idx="29">
                  <c:v>-2.3818283614173794E-2</c:v>
                </c:pt>
                <c:pt idx="30">
                  <c:v>-2.4282624323623159E-2</c:v>
                </c:pt>
                <c:pt idx="31">
                  <c:v>-2.4748375518710262E-2</c:v>
                </c:pt>
                <c:pt idx="32">
                  <c:v>-2.5218806552454245E-2</c:v>
                </c:pt>
                <c:pt idx="33">
                  <c:v>-2.5693651826046566E-2</c:v>
                </c:pt>
                <c:pt idx="34">
                  <c:v>-2.6172442735581156E-2</c:v>
                </c:pt>
                <c:pt idx="35">
                  <c:v>-2.6654731774325126E-2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DB-4269-9B2A-85A0A366EDCC}"/>
            </c:ext>
          </c:extLst>
        </c:ser>
        <c:ser>
          <c:idx val="3"/>
          <c:order val="3"/>
          <c:tx>
            <c:strRef>
              <c:f>Données!$B$509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Données!$C$509:$AL$509</c:f>
              <c:numCache>
                <c:formatCode>0.0%</c:formatCode>
                <c:ptCount val="36"/>
                <c:pt idx="0">
                  <c:v>-1.2204540534170327E-3</c:v>
                </c:pt>
                <c:pt idx="1">
                  <c:v>-9.7011880538461995E-4</c:v>
                </c:pt>
                <c:pt idx="2">
                  <c:v>-8.6929657193662076E-4</c:v>
                </c:pt>
                <c:pt idx="3">
                  <c:v>-8.176940318747705E-4</c:v>
                </c:pt>
                <c:pt idx="4">
                  <c:v>-7.7256607425824975E-4</c:v>
                </c:pt>
                <c:pt idx="5">
                  <c:v>-7.6431510400333058E-4</c:v>
                </c:pt>
                <c:pt idx="6">
                  <c:v>-8.020120127637452E-4</c:v>
                </c:pt>
                <c:pt idx="7">
                  <c:v>-8.775988676646162E-4</c:v>
                </c:pt>
                <c:pt idx="8">
                  <c:v>-9.8014236157902457E-4</c:v>
                </c:pt>
                <c:pt idx="9">
                  <c:v>-1.1007454170660093E-3</c:v>
                </c:pt>
                <c:pt idx="10">
                  <c:v>-1.3236150865670124E-3</c:v>
                </c:pt>
                <c:pt idx="11">
                  <c:v>-1.3934937829069339E-3</c:v>
                </c:pt>
                <c:pt idx="12">
                  <c:v>-1.4845690475368508E-3</c:v>
                </c:pt>
                <c:pt idx="13">
                  <c:v>-1.5812155103441016E-3</c:v>
                </c:pt>
                <c:pt idx="14">
                  <c:v>-1.6798790206561161E-3</c:v>
                </c:pt>
                <c:pt idx="15">
                  <c:v>-1.7780765738263182E-3</c:v>
                </c:pt>
                <c:pt idx="16">
                  <c:v>-1.8779774645122989E-3</c:v>
                </c:pt>
                <c:pt idx="17">
                  <c:v>-1.9726880548488323E-3</c:v>
                </c:pt>
                <c:pt idx="18">
                  <c:v>-2.0617532233685432E-3</c:v>
                </c:pt>
                <c:pt idx="19">
                  <c:v>-2.1450945465577571E-3</c:v>
                </c:pt>
                <c:pt idx="20">
                  <c:v>-2.2208617083538254E-3</c:v>
                </c:pt>
                <c:pt idx="21">
                  <c:v>-2.294472854381651E-3</c:v>
                </c:pt>
                <c:pt idx="22">
                  <c:v>-2.3633339958503319E-3</c:v>
                </c:pt>
                <c:pt idx="23">
                  <c:v>-2.4283155839503931E-3</c:v>
                </c:pt>
                <c:pt idx="24">
                  <c:v>-2.4900602586566353E-3</c:v>
                </c:pt>
                <c:pt idx="25">
                  <c:v>-2.5428389826541837E-3</c:v>
                </c:pt>
                <c:pt idx="26">
                  <c:v>-2.5970384112233677E-3</c:v>
                </c:pt>
                <c:pt idx="27">
                  <c:v>-2.6500637612455955E-3</c:v>
                </c:pt>
                <c:pt idx="28">
                  <c:v>-2.7023687684673415E-3</c:v>
                </c:pt>
                <c:pt idx="29">
                  <c:v>-2.7537415693181053E-3</c:v>
                </c:pt>
                <c:pt idx="30">
                  <c:v>-2.8041868085194517E-3</c:v>
                </c:pt>
                <c:pt idx="31">
                  <c:v>-2.8527768880004822E-3</c:v>
                </c:pt>
                <c:pt idx="32">
                  <c:v>-2.9013350646209246E-3</c:v>
                </c:pt>
                <c:pt idx="33">
                  <c:v>-2.9503479564545183E-3</c:v>
                </c:pt>
                <c:pt idx="34">
                  <c:v>-3.0000857945074316E-3</c:v>
                </c:pt>
                <c:pt idx="35">
                  <c:v>-3.0507039216184535E-3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EDB-4269-9B2A-85A0A366EDCC}"/>
            </c:ext>
          </c:extLst>
        </c:ser>
        <c:ser>
          <c:idx val="4"/>
          <c:order val="4"/>
          <c:tx>
            <c:strRef>
              <c:f>Données!$B$510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Données!$C$510:$AL$510</c:f>
              <c:numCache>
                <c:formatCode>0.0%</c:formatCode>
                <c:ptCount val="36"/>
                <c:pt idx="0">
                  <c:v>-0.37901391671126905</c:v>
                </c:pt>
                <c:pt idx="1">
                  <c:v>-7.5073039514836574E-3</c:v>
                </c:pt>
                <c:pt idx="2">
                  <c:v>-8.5375783242440523E-3</c:v>
                </c:pt>
                <c:pt idx="3">
                  <c:v>-9.3979611487853155E-3</c:v>
                </c:pt>
                <c:pt idx="4">
                  <c:v>-1.0063473234711429E-2</c:v>
                </c:pt>
                <c:pt idx="5">
                  <c:v>-1.0602075941676409E-2</c:v>
                </c:pt>
                <c:pt idx="6">
                  <c:v>-1.1072930594421578E-2</c:v>
                </c:pt>
                <c:pt idx="7">
                  <c:v>-1.1500519101783355E-2</c:v>
                </c:pt>
                <c:pt idx="8">
                  <c:v>-1.1902317588888022E-2</c:v>
                </c:pt>
                <c:pt idx="9">
                  <c:v>-1.2292455951388627E-2</c:v>
                </c:pt>
                <c:pt idx="10">
                  <c:v>-1.3154424128602848E-2</c:v>
                </c:pt>
                <c:pt idx="11">
                  <c:v>-1.3359595663091455E-2</c:v>
                </c:pt>
                <c:pt idx="12">
                  <c:v>-1.347332965294749E-2</c:v>
                </c:pt>
                <c:pt idx="13">
                  <c:v>-1.3561012007030483E-2</c:v>
                </c:pt>
                <c:pt idx="14">
                  <c:v>-1.3647151154270214E-2</c:v>
                </c:pt>
                <c:pt idx="15">
                  <c:v>-1.3747042334242046E-2</c:v>
                </c:pt>
                <c:pt idx="16">
                  <c:v>-1.389092079028602E-2</c:v>
                </c:pt>
                <c:pt idx="17">
                  <c:v>-1.4071360373907106E-2</c:v>
                </c:pt>
                <c:pt idx="18">
                  <c:v>-1.4292713817742587E-2</c:v>
                </c:pt>
                <c:pt idx="19">
                  <c:v>-1.4557880509674633E-2</c:v>
                </c:pt>
                <c:pt idx="20">
                  <c:v>-1.4864760694307351E-2</c:v>
                </c:pt>
                <c:pt idx="21">
                  <c:v>-1.5217613506271328E-2</c:v>
                </c:pt>
                <c:pt idx="22">
                  <c:v>-1.5611664118541851E-2</c:v>
                </c:pt>
                <c:pt idx="23">
                  <c:v>-1.6043680031699044E-2</c:v>
                </c:pt>
                <c:pt idx="24">
                  <c:v>-1.6509798943191469E-2</c:v>
                </c:pt>
                <c:pt idx="25">
                  <c:v>-1.6996260265181702E-2</c:v>
                </c:pt>
                <c:pt idx="26">
                  <c:v>-1.7502869355590416E-2</c:v>
                </c:pt>
                <c:pt idx="27">
                  <c:v>-1.8027818585240111E-2</c:v>
                </c:pt>
                <c:pt idx="28">
                  <c:v>-1.8567038016592829E-2</c:v>
                </c:pt>
                <c:pt idx="29">
                  <c:v>-1.9116847941339797E-2</c:v>
                </c:pt>
                <c:pt idx="30">
                  <c:v>-1.9674189729906626E-2</c:v>
                </c:pt>
                <c:pt idx="31">
                  <c:v>-2.0231603031307391E-2</c:v>
                </c:pt>
                <c:pt idx="32">
                  <c:v>-2.0790607504773219E-2</c:v>
                </c:pt>
                <c:pt idx="33">
                  <c:v>-2.134939535702891E-2</c:v>
                </c:pt>
                <c:pt idx="34">
                  <c:v>-2.1906307445991969E-2</c:v>
                </c:pt>
                <c:pt idx="35">
                  <c:v>-2.2460067626406816E-2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EDB-4269-9B2A-85A0A366EDCC}"/>
            </c:ext>
          </c:extLst>
        </c:ser>
        <c:ser>
          <c:idx val="5"/>
          <c:order val="5"/>
          <c:tx>
            <c:strRef>
              <c:f>Données!$B$511</c:f>
              <c:strCache>
                <c:ptCount val="1"/>
                <c:pt idx="0">
                  <c:v>Autre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Données!$C$511:$AL$511</c:f>
              <c:numCache>
                <c:formatCode>0.0%</c:formatCode>
                <c:ptCount val="36"/>
                <c:pt idx="0">
                  <c:v>-1.0653786196994126E-2</c:v>
                </c:pt>
                <c:pt idx="1">
                  <c:v>-4.79949832239008E-3</c:v>
                </c:pt>
                <c:pt idx="2">
                  <c:v>-5.542830251849859E-3</c:v>
                </c:pt>
                <c:pt idx="3">
                  <c:v>-6.1393042631380998E-3</c:v>
                </c:pt>
                <c:pt idx="4">
                  <c:v>-6.6476790601880404E-3</c:v>
                </c:pt>
                <c:pt idx="5">
                  <c:v>-7.0570328018872332E-3</c:v>
                </c:pt>
                <c:pt idx="6">
                  <c:v>-7.4004364856337128E-3</c:v>
                </c:pt>
                <c:pt idx="7">
                  <c:v>-7.7072767059892114E-3</c:v>
                </c:pt>
                <c:pt idx="8">
                  <c:v>-8.002060610436984E-3</c:v>
                </c:pt>
                <c:pt idx="9">
                  <c:v>-8.2973264605176213E-3</c:v>
                </c:pt>
                <c:pt idx="10">
                  <c:v>-8.8755128078389974E-3</c:v>
                </c:pt>
                <c:pt idx="11">
                  <c:v>-9.0589915229891006E-3</c:v>
                </c:pt>
                <c:pt idx="12">
                  <c:v>-9.204785585730995E-3</c:v>
                </c:pt>
                <c:pt idx="13">
                  <c:v>-9.346035525400925E-3</c:v>
                </c:pt>
                <c:pt idx="14">
                  <c:v>-9.4902374253488676E-3</c:v>
                </c:pt>
                <c:pt idx="15">
                  <c:v>-9.6405314720104471E-3</c:v>
                </c:pt>
                <c:pt idx="16">
                  <c:v>-9.8120585584941539E-3</c:v>
                </c:pt>
                <c:pt idx="17">
                  <c:v>-9.9964545886084971E-3</c:v>
                </c:pt>
                <c:pt idx="18">
                  <c:v>-1.0193980927342902E-2</c:v>
                </c:pt>
                <c:pt idx="19">
                  <c:v>-1.0405134887318399E-2</c:v>
                </c:pt>
                <c:pt idx="20">
                  <c:v>-1.0627428695485028E-2</c:v>
                </c:pt>
                <c:pt idx="21">
                  <c:v>-1.0866017856658279E-2</c:v>
                </c:pt>
                <c:pt idx="22">
                  <c:v>-1.1117781794332484E-2</c:v>
                </c:pt>
                <c:pt idx="23">
                  <c:v>-1.1381953773070998E-2</c:v>
                </c:pt>
                <c:pt idx="24">
                  <c:v>-1.1657604955357585E-2</c:v>
                </c:pt>
                <c:pt idx="25">
                  <c:v>-1.1935285275281014E-2</c:v>
                </c:pt>
                <c:pt idx="26">
                  <c:v>-1.222086480537978E-2</c:v>
                </c:pt>
                <c:pt idx="27">
                  <c:v>-1.2513670215720417E-2</c:v>
                </c:pt>
                <c:pt idx="28">
                  <c:v>-1.2812940653573596E-2</c:v>
                </c:pt>
                <c:pt idx="29">
                  <c:v>-1.3117768542817038E-2</c:v>
                </c:pt>
                <c:pt idx="30">
                  <c:v>-1.3427334506748363E-2</c:v>
                </c:pt>
                <c:pt idx="31">
                  <c:v>-1.3737634067989363E-2</c:v>
                </c:pt>
                <c:pt idx="32">
                  <c:v>-1.4050549352100736E-2</c:v>
                </c:pt>
                <c:pt idx="33">
                  <c:v>-1.4365745347528281E-2</c:v>
                </c:pt>
                <c:pt idx="34">
                  <c:v>-1.4682820493511517E-2</c:v>
                </c:pt>
                <c:pt idx="35">
                  <c:v>-1.5001452597820099E-2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24799288"/>
        <c:axId val="724799616"/>
      </c:barChart>
      <c:lineChart>
        <c:grouping val="standard"/>
        <c:varyColors val="0"/>
        <c:ser>
          <c:idx val="0"/>
          <c:order val="0"/>
          <c:tx>
            <c:strRef>
              <c:f>Données!$B$506</c:f>
              <c:strCache>
                <c:ptCount val="1"/>
                <c:pt idx="0">
                  <c:v>Primary energy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Données!$C$505:$AL$505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Données!$C$506:$AL$506</c:f>
              <c:numCache>
                <c:formatCode>0.0%</c:formatCode>
                <c:ptCount val="36"/>
                <c:pt idx="0">
                  <c:v>-1.7202103922475231E-2</c:v>
                </c:pt>
                <c:pt idx="1">
                  <c:v>-2.0911603247294019E-2</c:v>
                </c:pt>
                <c:pt idx="2">
                  <c:v>-2.3743185659186095E-2</c:v>
                </c:pt>
                <c:pt idx="3">
                  <c:v>-2.6249220297673515E-2</c:v>
                </c:pt>
                <c:pt idx="4">
                  <c:v>-2.8424028508098775E-2</c:v>
                </c:pt>
                <c:pt idx="5">
                  <c:v>-3.0365989854143516E-2</c:v>
                </c:pt>
                <c:pt idx="6">
                  <c:v>-3.2188202952378231E-2</c:v>
                </c:pt>
                <c:pt idx="7">
                  <c:v>-3.3933275082195236E-2</c:v>
                </c:pt>
                <c:pt idx="8">
                  <c:v>-3.5634884015997015E-2</c:v>
                </c:pt>
                <c:pt idx="9">
                  <c:v>-3.7315664790968484E-2</c:v>
                </c:pt>
                <c:pt idx="10">
                  <c:v>-4.0309507360275831E-2</c:v>
                </c:pt>
                <c:pt idx="11">
                  <c:v>-4.1385819288190184E-2</c:v>
                </c:pt>
                <c:pt idx="12">
                  <c:v>-4.2257421175935561E-2</c:v>
                </c:pt>
                <c:pt idx="13">
                  <c:v>-4.3056430102435095E-2</c:v>
                </c:pt>
                <c:pt idx="14">
                  <c:v>-4.3825786528487232E-2</c:v>
                </c:pt>
                <c:pt idx="15">
                  <c:v>-4.4590044410248497E-2</c:v>
                </c:pt>
                <c:pt idx="16">
                  <c:v>-4.5424107558022397E-2</c:v>
                </c:pt>
                <c:pt idx="17">
                  <c:v>-4.6295274757228277E-2</c:v>
                </c:pt>
                <c:pt idx="18">
                  <c:v>-4.7212434773183487E-2</c:v>
                </c:pt>
                <c:pt idx="19">
                  <c:v>-4.818358063106587E-2</c:v>
                </c:pt>
                <c:pt idx="20">
                  <c:v>-4.9203059042978392E-2</c:v>
                </c:pt>
                <c:pt idx="21">
                  <c:v>-5.0294771737216193E-2</c:v>
                </c:pt>
                <c:pt idx="22">
                  <c:v>-5.144617672742724E-2</c:v>
                </c:pt>
                <c:pt idx="23">
                  <c:v>-5.2655550381916938E-2</c:v>
                </c:pt>
                <c:pt idx="24">
                  <c:v>-5.3919456058818094E-2</c:v>
                </c:pt>
                <c:pt idx="25">
                  <c:v>-5.5199489859410922E-2</c:v>
                </c:pt>
                <c:pt idx="26">
                  <c:v>-5.6518439004789478E-2</c:v>
                </c:pt>
                <c:pt idx="27">
                  <c:v>-5.7871031544364904E-2</c:v>
                </c:pt>
                <c:pt idx="28">
                  <c:v>-5.9252339382543262E-2</c:v>
                </c:pt>
                <c:pt idx="29">
                  <c:v>-6.0656667387972263E-2</c:v>
                </c:pt>
                <c:pt idx="30">
                  <c:v>-6.2079227863117703E-2</c:v>
                </c:pt>
                <c:pt idx="31">
                  <c:v>-6.3501711009637751E-2</c:v>
                </c:pt>
                <c:pt idx="32">
                  <c:v>-6.4932852787973228E-2</c:v>
                </c:pt>
                <c:pt idx="33">
                  <c:v>-6.6370757046186668E-2</c:v>
                </c:pt>
                <c:pt idx="34">
                  <c:v>-6.7813155202602338E-2</c:v>
                </c:pt>
                <c:pt idx="35">
                  <c:v>-6.925814581708889E-2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EDB-4269-9B2A-85A0A366ED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4799288"/>
        <c:axId val="724799616"/>
      </c:lineChart>
      <c:dateAx>
        <c:axId val="724799288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616"/>
        <c:crosses val="autoZero"/>
        <c:auto val="1"/>
        <c:lblOffset val="100"/>
        <c:baseTimeUnit val="years"/>
        <c:majorUnit val="5"/>
        <c:majorTimeUnit val="years"/>
      </c:dateAx>
      <c:valAx>
        <c:axId val="72479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24799288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6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Données!$B$380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Données!$C$380:$AL$380</c:f>
              <c:numCache>
                <c:formatCode>#,##0</c:formatCode>
                <c:ptCount val="36"/>
                <c:pt idx="0">
                  <c:v>3.476542051</c:v>
                </c:pt>
                <c:pt idx="1">
                  <c:v>5.7227175470000002</c:v>
                </c:pt>
                <c:pt idx="2">
                  <c:v>7.9150343369999998</c:v>
                </c:pt>
                <c:pt idx="3">
                  <c:v>9.8028883990000004</c:v>
                </c:pt>
                <c:pt idx="4">
                  <c:v>11.15595847</c:v>
                </c:pt>
                <c:pt idx="5">
                  <c:v>16.284897399999998</c:v>
                </c:pt>
                <c:pt idx="6">
                  <c:v>22.964128339999998</c:v>
                </c:pt>
                <c:pt idx="7">
                  <c:v>30.052267690000001</c:v>
                </c:pt>
                <c:pt idx="8">
                  <c:v>37.20089703</c:v>
                </c:pt>
                <c:pt idx="9">
                  <c:v>44.335406280000001</c:v>
                </c:pt>
                <c:pt idx="10">
                  <c:v>51.493073940000002</c:v>
                </c:pt>
                <c:pt idx="11">
                  <c:v>58.603533079999998</c:v>
                </c:pt>
                <c:pt idx="12">
                  <c:v>65.708721609999998</c:v>
                </c:pt>
                <c:pt idx="13">
                  <c:v>72.805004060000002</c:v>
                </c:pt>
                <c:pt idx="14">
                  <c:v>79.885951109999993</c:v>
                </c:pt>
                <c:pt idx="15">
                  <c:v>86.944290539999997</c:v>
                </c:pt>
                <c:pt idx="16">
                  <c:v>93.97300525</c:v>
                </c:pt>
                <c:pt idx="17">
                  <c:v>100.96594949999999</c:v>
                </c:pt>
                <c:pt idx="18">
                  <c:v>107.9181931</c:v>
                </c:pt>
                <c:pt idx="19">
                  <c:v>114.8261806</c:v>
                </c:pt>
                <c:pt idx="20">
                  <c:v>121.6598013</c:v>
                </c:pt>
                <c:pt idx="21">
                  <c:v>128.4675905</c:v>
                </c:pt>
                <c:pt idx="22">
                  <c:v>135.22188199999999</c:v>
                </c:pt>
                <c:pt idx="23">
                  <c:v>141.92391509999999</c:v>
                </c:pt>
                <c:pt idx="24">
                  <c:v>148.57648760000001</c:v>
                </c:pt>
                <c:pt idx="25">
                  <c:v>155.10655740000001</c:v>
                </c:pt>
                <c:pt idx="26">
                  <c:v>161.61603640000001</c:v>
                </c:pt>
                <c:pt idx="27">
                  <c:v>168.05824989999999</c:v>
                </c:pt>
                <c:pt idx="28">
                  <c:v>174.42633319999999</c:v>
                </c:pt>
                <c:pt idx="29">
                  <c:v>180.71551890000001</c:v>
                </c:pt>
                <c:pt idx="30">
                  <c:v>186.92350070000001</c:v>
                </c:pt>
                <c:pt idx="31">
                  <c:v>193.04966809999999</c:v>
                </c:pt>
                <c:pt idx="32">
                  <c:v>199.0941177</c:v>
                </c:pt>
                <c:pt idx="33">
                  <c:v>205.05679739999999</c:v>
                </c:pt>
                <c:pt idx="34">
                  <c:v>210.93677199999999</c:v>
                </c:pt>
                <c:pt idx="35">
                  <c:v>216.73162930000001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6B-4BFF-9D6E-7891C58785EB}"/>
            </c:ext>
          </c:extLst>
        </c:ser>
        <c:ser>
          <c:idx val="1"/>
          <c:order val="1"/>
          <c:tx>
            <c:strRef>
              <c:f>Données!$B$381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Données!$C$381:$AL$381</c:f>
              <c:numCache>
                <c:formatCode>#,##0</c:formatCode>
                <c:ptCount val="36"/>
                <c:pt idx="0">
                  <c:v>68.80476281</c:v>
                </c:pt>
                <c:pt idx="1">
                  <c:v>77.184615829999998</c:v>
                </c:pt>
                <c:pt idx="2">
                  <c:v>86.226500110000003</c:v>
                </c:pt>
                <c:pt idx="3">
                  <c:v>95.792891119999993</c:v>
                </c:pt>
                <c:pt idx="4">
                  <c:v>106.7444995</c:v>
                </c:pt>
                <c:pt idx="5">
                  <c:v>114.81332070000001</c:v>
                </c:pt>
                <c:pt idx="6">
                  <c:v>120.3170875</c:v>
                </c:pt>
                <c:pt idx="7">
                  <c:v>124.825518</c:v>
                </c:pt>
                <c:pt idx="8">
                  <c:v>128.83006660000001</c:v>
                </c:pt>
                <c:pt idx="9">
                  <c:v>132.56906330000001</c:v>
                </c:pt>
                <c:pt idx="10">
                  <c:v>137.19727230000001</c:v>
                </c:pt>
                <c:pt idx="11">
                  <c:v>140.70088380000001</c:v>
                </c:pt>
                <c:pt idx="12">
                  <c:v>144.1477209</c:v>
                </c:pt>
                <c:pt idx="13">
                  <c:v>147.55777399999999</c:v>
                </c:pt>
                <c:pt idx="14">
                  <c:v>150.9439399</c:v>
                </c:pt>
                <c:pt idx="15">
                  <c:v>154.31505329999999</c:v>
                </c:pt>
                <c:pt idx="16">
                  <c:v>157.67746199999999</c:v>
                </c:pt>
                <c:pt idx="17">
                  <c:v>161.03584290000001</c:v>
                </c:pt>
                <c:pt idx="18">
                  <c:v>164.39362539999999</c:v>
                </c:pt>
                <c:pt idx="19">
                  <c:v>167.75322790000001</c:v>
                </c:pt>
                <c:pt idx="20">
                  <c:v>170.42982019999999</c:v>
                </c:pt>
                <c:pt idx="21">
                  <c:v>173.79778930000001</c:v>
                </c:pt>
                <c:pt idx="22">
                  <c:v>177.17321659999999</c:v>
                </c:pt>
                <c:pt idx="23">
                  <c:v>180.555937</c:v>
                </c:pt>
                <c:pt idx="24">
                  <c:v>183.9450301</c:v>
                </c:pt>
                <c:pt idx="25">
                  <c:v>185.46559959999999</c:v>
                </c:pt>
                <c:pt idx="26">
                  <c:v>187.98595460000001</c:v>
                </c:pt>
                <c:pt idx="27">
                  <c:v>190.51668849999999</c:v>
                </c:pt>
                <c:pt idx="28">
                  <c:v>193.06129300000001</c:v>
                </c:pt>
                <c:pt idx="29">
                  <c:v>195.62236870000001</c:v>
                </c:pt>
                <c:pt idx="30">
                  <c:v>198.2014145</c:v>
                </c:pt>
                <c:pt idx="31">
                  <c:v>200.79914450000001</c:v>
                </c:pt>
                <c:pt idx="32">
                  <c:v>203.4159138</c:v>
                </c:pt>
                <c:pt idx="33">
                  <c:v>206.05210170000001</c:v>
                </c:pt>
                <c:pt idx="34">
                  <c:v>208.70845120000001</c:v>
                </c:pt>
                <c:pt idx="35">
                  <c:v>211.3863551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B-4BFF-9D6E-7891C58785EB}"/>
            </c:ext>
          </c:extLst>
        </c:ser>
        <c:ser>
          <c:idx val="2"/>
          <c:order val="2"/>
          <c:tx>
            <c:strRef>
              <c:f>Données!$B$382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Données!$C$382:$AL$382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425.47099270000001</c:v>
                </c:pt>
                <c:pt idx="2">
                  <c:v>444.58497019999999</c:v>
                </c:pt>
                <c:pt idx="3">
                  <c:v>464.58604109999999</c:v>
                </c:pt>
                <c:pt idx="4">
                  <c:v>486.6693712</c:v>
                </c:pt>
                <c:pt idx="5">
                  <c:v>503.40871429999999</c:v>
                </c:pt>
                <c:pt idx="6">
                  <c:v>515.1470865</c:v>
                </c:pt>
                <c:pt idx="7">
                  <c:v>525.29697420000002</c:v>
                </c:pt>
                <c:pt idx="8">
                  <c:v>534.66990869999995</c:v>
                </c:pt>
                <c:pt idx="9">
                  <c:v>543.64612980000004</c:v>
                </c:pt>
                <c:pt idx="10">
                  <c:v>555.3221661</c:v>
                </c:pt>
                <c:pt idx="11">
                  <c:v>563.96910119999995</c:v>
                </c:pt>
                <c:pt idx="12">
                  <c:v>572.54160530000001</c:v>
                </c:pt>
                <c:pt idx="13">
                  <c:v>581.06932170000005</c:v>
                </c:pt>
                <c:pt idx="14">
                  <c:v>589.57114209999997</c:v>
                </c:pt>
                <c:pt idx="15">
                  <c:v>598.05989390000002</c:v>
                </c:pt>
                <c:pt idx="16">
                  <c:v>606.54474319999997</c:v>
                </c:pt>
                <c:pt idx="17">
                  <c:v>615.03241739999999</c:v>
                </c:pt>
                <c:pt idx="18">
                  <c:v>623.5278227</c:v>
                </c:pt>
                <c:pt idx="19">
                  <c:v>632.0343742</c:v>
                </c:pt>
                <c:pt idx="20">
                  <c:v>638.62614910000002</c:v>
                </c:pt>
                <c:pt idx="21">
                  <c:v>647.15849649999996</c:v>
                </c:pt>
                <c:pt idx="22">
                  <c:v>655.70986110000001</c:v>
                </c:pt>
                <c:pt idx="23">
                  <c:v>664.27965859999995</c:v>
                </c:pt>
                <c:pt idx="24">
                  <c:v>672.86610889999997</c:v>
                </c:pt>
                <c:pt idx="25">
                  <c:v>676.20394880000003</c:v>
                </c:pt>
                <c:pt idx="26">
                  <c:v>682.34075099999995</c:v>
                </c:pt>
                <c:pt idx="27">
                  <c:v>688.49358670000004</c:v>
                </c:pt>
                <c:pt idx="28">
                  <c:v>694.66760580000005</c:v>
                </c:pt>
                <c:pt idx="29">
                  <c:v>700.86654550000003</c:v>
                </c:pt>
                <c:pt idx="30">
                  <c:v>707.09244850000005</c:v>
                </c:pt>
                <c:pt idx="31">
                  <c:v>713.34613649999994</c:v>
                </c:pt>
                <c:pt idx="32">
                  <c:v>719.62789020000002</c:v>
                </c:pt>
                <c:pt idx="33">
                  <c:v>725.93807230000004</c:v>
                </c:pt>
                <c:pt idx="34">
                  <c:v>732.27768649999996</c:v>
                </c:pt>
                <c:pt idx="35">
                  <c:v>738.64885340000001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6B-4BFF-9D6E-7891C58785EB}"/>
            </c:ext>
          </c:extLst>
        </c:ser>
        <c:ser>
          <c:idx val="3"/>
          <c:order val="3"/>
          <c:tx>
            <c:strRef>
              <c:f>Données!$B$383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Données!$C$383:$AL$383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947.69777150000004</c:v>
                </c:pt>
                <c:pt idx="2">
                  <c:v>940.93763569999999</c:v>
                </c:pt>
                <c:pt idx="3">
                  <c:v>933.32371699999999</c:v>
                </c:pt>
                <c:pt idx="4">
                  <c:v>923.43122440000002</c:v>
                </c:pt>
                <c:pt idx="5">
                  <c:v>915.16062880000004</c:v>
                </c:pt>
                <c:pt idx="6">
                  <c:v>908.60448059999999</c:v>
                </c:pt>
                <c:pt idx="7">
                  <c:v>903.13097400000004</c:v>
                </c:pt>
                <c:pt idx="8">
                  <c:v>898.27586350000001</c:v>
                </c:pt>
                <c:pt idx="9">
                  <c:v>893.76580669999998</c:v>
                </c:pt>
                <c:pt idx="10">
                  <c:v>889.45009909999999</c:v>
                </c:pt>
                <c:pt idx="11">
                  <c:v>885.24814170000002</c:v>
                </c:pt>
                <c:pt idx="12">
                  <c:v>881.11617000000001</c:v>
                </c:pt>
                <c:pt idx="13">
                  <c:v>877.03083500000002</c:v>
                </c:pt>
                <c:pt idx="14">
                  <c:v>872.97939050000002</c:v>
                </c:pt>
                <c:pt idx="15">
                  <c:v>868.95471729999997</c:v>
                </c:pt>
                <c:pt idx="16">
                  <c:v>864.95270670000002</c:v>
                </c:pt>
                <c:pt idx="17">
                  <c:v>860.97088740000004</c:v>
                </c:pt>
                <c:pt idx="18">
                  <c:v>857.0077053</c:v>
                </c:pt>
                <c:pt idx="19">
                  <c:v>853.06214590000002</c:v>
                </c:pt>
                <c:pt idx="20">
                  <c:v>849.13346920000004</c:v>
                </c:pt>
                <c:pt idx="21">
                  <c:v>845.2207899</c:v>
                </c:pt>
                <c:pt idx="22">
                  <c:v>841.32393690000004</c:v>
                </c:pt>
                <c:pt idx="23">
                  <c:v>837.44267170000001</c:v>
                </c:pt>
                <c:pt idx="24">
                  <c:v>833.5769209</c:v>
                </c:pt>
                <c:pt idx="25">
                  <c:v>829.72654179999995</c:v>
                </c:pt>
                <c:pt idx="26">
                  <c:v>825.89032659999998</c:v>
                </c:pt>
                <c:pt idx="27">
                  <c:v>822.06799260000003</c:v>
                </c:pt>
                <c:pt idx="28">
                  <c:v>818.2588293</c:v>
                </c:pt>
                <c:pt idx="29">
                  <c:v>814.46217260000003</c:v>
                </c:pt>
                <c:pt idx="30">
                  <c:v>810.67747789999999</c:v>
                </c:pt>
                <c:pt idx="31">
                  <c:v>806.90432120000003</c:v>
                </c:pt>
                <c:pt idx="32">
                  <c:v>803.14236170000004</c:v>
                </c:pt>
                <c:pt idx="33">
                  <c:v>799.39128579999999</c:v>
                </c:pt>
                <c:pt idx="34">
                  <c:v>795.65073919999998</c:v>
                </c:pt>
                <c:pt idx="35">
                  <c:v>791.92025130000002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6B-4BFF-9D6E-7891C58785EB}"/>
            </c:ext>
          </c:extLst>
        </c:ser>
        <c:ser>
          <c:idx val="4"/>
          <c:order val="4"/>
          <c:tx>
            <c:strRef>
              <c:f>Données!$B$384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Données!$C$384:$AL$384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867.97061580000002</c:v>
                </c:pt>
                <c:pt idx="2">
                  <c:v>857.17684689999999</c:v>
                </c:pt>
                <c:pt idx="3">
                  <c:v>846.13862789999996</c:v>
                </c:pt>
                <c:pt idx="4">
                  <c:v>834.45323350000001</c:v>
                </c:pt>
                <c:pt idx="5">
                  <c:v>825.60426370000005</c:v>
                </c:pt>
                <c:pt idx="6">
                  <c:v>818.66441099999997</c:v>
                </c:pt>
                <c:pt idx="7">
                  <c:v>812.81115279999995</c:v>
                </c:pt>
                <c:pt idx="8">
                  <c:v>807.55775259999996</c:v>
                </c:pt>
                <c:pt idx="9">
                  <c:v>802.63672680000002</c:v>
                </c:pt>
                <c:pt idx="10">
                  <c:v>797.90480430000002</c:v>
                </c:pt>
                <c:pt idx="11">
                  <c:v>793.28651779999996</c:v>
                </c:pt>
                <c:pt idx="12">
                  <c:v>788.74111819999996</c:v>
                </c:pt>
                <c:pt idx="13">
                  <c:v>784.24689999999998</c:v>
                </c:pt>
                <c:pt idx="14">
                  <c:v>779.79194870000003</c:v>
                </c:pt>
                <c:pt idx="15">
                  <c:v>775.36951669999996</c:v>
                </c:pt>
                <c:pt idx="16">
                  <c:v>770.9756155</c:v>
                </c:pt>
                <c:pt idx="17">
                  <c:v>766.60776820000001</c:v>
                </c:pt>
                <c:pt idx="18">
                  <c:v>762.26436750000005</c:v>
                </c:pt>
                <c:pt idx="19">
                  <c:v>757.94434520000004</c:v>
                </c:pt>
                <c:pt idx="20">
                  <c:v>753.64688620000004</c:v>
                </c:pt>
                <c:pt idx="21">
                  <c:v>749.37100120000002</c:v>
                </c:pt>
                <c:pt idx="22">
                  <c:v>745.11652300000003</c:v>
                </c:pt>
                <c:pt idx="23">
                  <c:v>740.88332879999996</c:v>
                </c:pt>
                <c:pt idx="24">
                  <c:v>736.67153980000001</c:v>
                </c:pt>
                <c:pt idx="25">
                  <c:v>732.48109999999997</c:v>
                </c:pt>
                <c:pt idx="26">
                  <c:v>728.31061699999998</c:v>
                </c:pt>
                <c:pt idx="27">
                  <c:v>724.15960729999995</c:v>
                </c:pt>
                <c:pt idx="28">
                  <c:v>720.02724260000002</c:v>
                </c:pt>
                <c:pt idx="29">
                  <c:v>715.91285089999997</c:v>
                </c:pt>
                <c:pt idx="30">
                  <c:v>711.81598910000002</c:v>
                </c:pt>
                <c:pt idx="31">
                  <c:v>707.73642170000005</c:v>
                </c:pt>
                <c:pt idx="32">
                  <c:v>703.67404550000003</c:v>
                </c:pt>
                <c:pt idx="33">
                  <c:v>699.62879929999997</c:v>
                </c:pt>
                <c:pt idx="34">
                  <c:v>695.60056729999997</c:v>
                </c:pt>
                <c:pt idx="35">
                  <c:v>691.58908540000004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6B-4BFF-9D6E-7891C58785EB}"/>
            </c:ext>
          </c:extLst>
        </c:ser>
        <c:ser>
          <c:idx val="5"/>
          <c:order val="5"/>
          <c:tx>
            <c:strRef>
              <c:f>Données!$B$385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Données!$C$385:$AL$385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137.95542620000001</c:v>
                </c:pt>
                <c:pt idx="2">
                  <c:v>136.0868151</c:v>
                </c:pt>
                <c:pt idx="3">
                  <c:v>134.2500221</c:v>
                </c:pt>
                <c:pt idx="4">
                  <c:v>132.44730100000001</c:v>
                </c:pt>
                <c:pt idx="5">
                  <c:v>130.6786276</c:v>
                </c:pt>
                <c:pt idx="6">
                  <c:v>128.94239920000001</c:v>
                </c:pt>
                <c:pt idx="7">
                  <c:v>127.23581470000001</c:v>
                </c:pt>
                <c:pt idx="8">
                  <c:v>125.5558056</c:v>
                </c:pt>
                <c:pt idx="9">
                  <c:v>123.8997037</c:v>
                </c:pt>
                <c:pt idx="10">
                  <c:v>122.26555</c:v>
                </c:pt>
                <c:pt idx="11">
                  <c:v>120.6520087</c:v>
                </c:pt>
                <c:pt idx="12">
                  <c:v>119.0581193</c:v>
                </c:pt>
                <c:pt idx="13">
                  <c:v>117.4832194</c:v>
                </c:pt>
                <c:pt idx="14">
                  <c:v>115.9268713</c:v>
                </c:pt>
                <c:pt idx="15">
                  <c:v>114.38879660000001</c:v>
                </c:pt>
                <c:pt idx="16">
                  <c:v>112.8688291</c:v>
                </c:pt>
                <c:pt idx="17">
                  <c:v>111.36688289999999</c:v>
                </c:pt>
                <c:pt idx="18">
                  <c:v>109.88293109999999</c:v>
                </c:pt>
                <c:pt idx="19">
                  <c:v>108.4169892</c:v>
                </c:pt>
                <c:pt idx="20">
                  <c:v>106.96906989999999</c:v>
                </c:pt>
                <c:pt idx="21">
                  <c:v>105.5391838</c:v>
                </c:pt>
                <c:pt idx="22">
                  <c:v>104.1273893</c:v>
                </c:pt>
                <c:pt idx="23">
                  <c:v>102.73375369999999</c:v>
                </c:pt>
                <c:pt idx="24">
                  <c:v>101.35832480000001</c:v>
                </c:pt>
                <c:pt idx="25">
                  <c:v>100.0010434</c:v>
                </c:pt>
                <c:pt idx="26">
                  <c:v>98.661739859999997</c:v>
                </c:pt>
                <c:pt idx="27">
                  <c:v>97.340268550000005</c:v>
                </c:pt>
                <c:pt idx="28">
                  <c:v>96.036500689999997</c:v>
                </c:pt>
                <c:pt idx="29">
                  <c:v>94.750307169999999</c:v>
                </c:pt>
                <c:pt idx="30">
                  <c:v>93.481543200000004</c:v>
                </c:pt>
                <c:pt idx="31">
                  <c:v>92.230042909999995</c:v>
                </c:pt>
                <c:pt idx="32">
                  <c:v>90.995615450000003</c:v>
                </c:pt>
                <c:pt idx="33">
                  <c:v>89.778041970000004</c:v>
                </c:pt>
                <c:pt idx="34">
                  <c:v>88.577074830000001</c:v>
                </c:pt>
                <c:pt idx="35">
                  <c:v>87.392439760000002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6B-4BFF-9D6E-7891C58785EB}"/>
            </c:ext>
          </c:extLst>
        </c:ser>
        <c:ser>
          <c:idx val="6"/>
          <c:order val="6"/>
          <c:tx>
            <c:strRef>
              <c:f>Données!$B$386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Données!$C$379:$AL$379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Données!$C$386:$AL$386</c:f>
              <c:numCache>
                <c:formatCode>#,##0</c:formatCode>
                <c:ptCount val="36"/>
                <c:pt idx="0">
                  <c:v>3.874567114</c:v>
                </c:pt>
                <c:pt idx="1">
                  <c:v>3.7242339819999999</c:v>
                </c:pt>
                <c:pt idx="2">
                  <c:v>3.5803045760000001</c:v>
                </c:pt>
                <c:pt idx="3">
                  <c:v>3.4427972160000002</c:v>
                </c:pt>
                <c:pt idx="4">
                  <c:v>3.3116253869999999</c:v>
                </c:pt>
                <c:pt idx="5">
                  <c:v>3.1865472050000001</c:v>
                </c:pt>
                <c:pt idx="6">
                  <c:v>3.0671962060000002</c:v>
                </c:pt>
                <c:pt idx="7">
                  <c:v>2.9531470999999998</c:v>
                </c:pt>
                <c:pt idx="8">
                  <c:v>2.843983218</c:v>
                </c:pt>
                <c:pt idx="9">
                  <c:v>2.7393390050000002</c:v>
                </c:pt>
                <c:pt idx="10">
                  <c:v>2.6389157519999999</c:v>
                </c:pt>
                <c:pt idx="11">
                  <c:v>2.5424707350000002</c:v>
                </c:pt>
                <c:pt idx="12">
                  <c:v>2.4497966789999999</c:v>
                </c:pt>
                <c:pt idx="13">
                  <c:v>2.3607140210000002</c:v>
                </c:pt>
                <c:pt idx="14">
                  <c:v>2.2750643959999999</c:v>
                </c:pt>
                <c:pt idx="15">
                  <c:v>2.1927053089999999</c:v>
                </c:pt>
                <c:pt idx="16">
                  <c:v>2.113506288</c:v>
                </c:pt>
                <c:pt idx="17">
                  <c:v>2.0373462839999998</c:v>
                </c:pt>
                <c:pt idx="18">
                  <c:v>1.9641118689999999</c:v>
                </c:pt>
                <c:pt idx="19">
                  <c:v>1.893695881</c:v>
                </c:pt>
                <c:pt idx="20">
                  <c:v>1.8259947059999999</c:v>
                </c:pt>
                <c:pt idx="21">
                  <c:v>1.7609081680000001</c:v>
                </c:pt>
                <c:pt idx="22">
                  <c:v>1.698342016</c:v>
                </c:pt>
                <c:pt idx="23">
                  <c:v>1.638205935</c:v>
                </c:pt>
                <c:pt idx="24">
                  <c:v>1.5804121010000001</c:v>
                </c:pt>
                <c:pt idx="25">
                  <c:v>1.5248709760000001</c:v>
                </c:pt>
                <c:pt idx="26">
                  <c:v>1.471491307</c:v>
                </c:pt>
                <c:pt idx="27">
                  <c:v>1.420186401</c:v>
                </c:pt>
                <c:pt idx="28">
                  <c:v>1.370873939</c:v>
                </c:pt>
                <c:pt idx="29">
                  <c:v>1.323475202</c:v>
                </c:pt>
                <c:pt idx="30">
                  <c:v>1.2779144229999999</c:v>
                </c:pt>
                <c:pt idx="31">
                  <c:v>1.2341184620000001</c:v>
                </c:pt>
                <c:pt idx="32">
                  <c:v>1.1920164470000001</c:v>
                </c:pt>
                <c:pt idx="33">
                  <c:v>1.1515395289999999</c:v>
                </c:pt>
                <c:pt idx="34">
                  <c:v>1.1126207749999999</c:v>
                </c:pt>
                <c:pt idx="35">
                  <c:v>1.0751951799999999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6B-4BFF-9D6E-7891C5878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Buildings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Données!$B$371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Données!$C$371:$AL$371</c:f>
              <c:numCache>
                <c:formatCode>#,##0</c:formatCode>
                <c:ptCount val="36"/>
                <c:pt idx="0">
                  <c:v>3.476542051</c:v>
                </c:pt>
                <c:pt idx="1">
                  <c:v>7.3083479860000002</c:v>
                </c:pt>
                <c:pt idx="2">
                  <c:v>11.69398988</c:v>
                </c:pt>
                <c:pt idx="3">
                  <c:v>16.054838010000001</c:v>
                </c:pt>
                <c:pt idx="4">
                  <c:v>20.167467899999998</c:v>
                </c:pt>
                <c:pt idx="5">
                  <c:v>23.93813334</c:v>
                </c:pt>
                <c:pt idx="6">
                  <c:v>27.306177219999999</c:v>
                </c:pt>
                <c:pt idx="7">
                  <c:v>30.30209747</c:v>
                </c:pt>
                <c:pt idx="8">
                  <c:v>32.972587529999998</c:v>
                </c:pt>
                <c:pt idx="9">
                  <c:v>35.394965460000002</c:v>
                </c:pt>
                <c:pt idx="10">
                  <c:v>37.707182199999998</c:v>
                </c:pt>
                <c:pt idx="11">
                  <c:v>39.92956951</c:v>
                </c:pt>
                <c:pt idx="12">
                  <c:v>42.161707679999999</c:v>
                </c:pt>
                <c:pt idx="13">
                  <c:v>44.432471339999999</c:v>
                </c:pt>
                <c:pt idx="14">
                  <c:v>46.759322259999998</c:v>
                </c:pt>
                <c:pt idx="15">
                  <c:v>49.154886329999997</c:v>
                </c:pt>
                <c:pt idx="16">
                  <c:v>51.632163769999998</c:v>
                </c:pt>
                <c:pt idx="17">
                  <c:v>54.206123779999999</c:v>
                </c:pt>
                <c:pt idx="18">
                  <c:v>56.88310808</c:v>
                </c:pt>
                <c:pt idx="19">
                  <c:v>59.661748170000003</c:v>
                </c:pt>
                <c:pt idx="20">
                  <c:v>62.512237810000002</c:v>
                </c:pt>
                <c:pt idx="21">
                  <c:v>65.483628460000006</c:v>
                </c:pt>
                <c:pt idx="22">
                  <c:v>68.541606020000003</c:v>
                </c:pt>
                <c:pt idx="23">
                  <c:v>71.676588649999999</c:v>
                </c:pt>
                <c:pt idx="24">
                  <c:v>74.878971640000003</c:v>
                </c:pt>
                <c:pt idx="25">
                  <c:v>78.071465079999996</c:v>
                </c:pt>
                <c:pt idx="26">
                  <c:v>81.364229190000003</c:v>
                </c:pt>
                <c:pt idx="27">
                  <c:v>84.715981670000005</c:v>
                </c:pt>
                <c:pt idx="28">
                  <c:v>88.122206809999994</c:v>
                </c:pt>
                <c:pt idx="29">
                  <c:v>91.577880769999993</c:v>
                </c:pt>
                <c:pt idx="30">
                  <c:v>95.07792938</c:v>
                </c:pt>
                <c:pt idx="31">
                  <c:v>98.617256600000005</c:v>
                </c:pt>
                <c:pt idx="32">
                  <c:v>102.1906987</c:v>
                </c:pt>
                <c:pt idx="33">
                  <c:v>105.7938147</c:v>
                </c:pt>
                <c:pt idx="34">
                  <c:v>109.42304059999999</c:v>
                </c:pt>
                <c:pt idx="35">
                  <c:v>113.075885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4F-4D83-A0F0-AAB37D9DB6AC}"/>
            </c:ext>
          </c:extLst>
        </c:ser>
        <c:ser>
          <c:idx val="1"/>
          <c:order val="1"/>
          <c:tx>
            <c:strRef>
              <c:f>Données!$B$372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Données!$C$372:$AL$372</c:f>
              <c:numCache>
                <c:formatCode>#,##0</c:formatCode>
                <c:ptCount val="36"/>
                <c:pt idx="0">
                  <c:v>68.80476281</c:v>
                </c:pt>
                <c:pt idx="1">
                  <c:v>75.357180209999996</c:v>
                </c:pt>
                <c:pt idx="2">
                  <c:v>81.353434210000003</c:v>
                </c:pt>
                <c:pt idx="3">
                  <c:v>86.798856420000007</c:v>
                </c:pt>
                <c:pt idx="4">
                  <c:v>92.05280784</c:v>
                </c:pt>
                <c:pt idx="5">
                  <c:v>97.324361069999995</c:v>
                </c:pt>
                <c:pt idx="6">
                  <c:v>102.12284150000001</c:v>
                </c:pt>
                <c:pt idx="7">
                  <c:v>107.1585851</c:v>
                </c:pt>
                <c:pt idx="8">
                  <c:v>112.4933079</c:v>
                </c:pt>
                <c:pt idx="9">
                  <c:v>118.16119190000001</c:v>
                </c:pt>
                <c:pt idx="10">
                  <c:v>125.1820584</c:v>
                </c:pt>
                <c:pt idx="11">
                  <c:v>131.3881342</c:v>
                </c:pt>
                <c:pt idx="12">
                  <c:v>137.6927542</c:v>
                </c:pt>
                <c:pt idx="13">
                  <c:v>143.9872915</c:v>
                </c:pt>
                <c:pt idx="14">
                  <c:v>150.1851064</c:v>
                </c:pt>
                <c:pt idx="15">
                  <c:v>156.22405689999999</c:v>
                </c:pt>
                <c:pt idx="16">
                  <c:v>162.06229980000001</c:v>
                </c:pt>
                <c:pt idx="17">
                  <c:v>167.67435889999999</c:v>
                </c:pt>
                <c:pt idx="18">
                  <c:v>173.05803539999999</c:v>
                </c:pt>
                <c:pt idx="19">
                  <c:v>178.22952889999999</c:v>
                </c:pt>
                <c:pt idx="20">
                  <c:v>182.52583300000001</c:v>
                </c:pt>
                <c:pt idx="21">
                  <c:v>187.344311</c:v>
                </c:pt>
                <c:pt idx="22">
                  <c:v>192.025947</c:v>
                </c:pt>
                <c:pt idx="23">
                  <c:v>196.59443669999999</c:v>
                </c:pt>
                <c:pt idx="24">
                  <c:v>201.06995570000001</c:v>
                </c:pt>
                <c:pt idx="25">
                  <c:v>203.5914325</c:v>
                </c:pt>
                <c:pt idx="26">
                  <c:v>207.03220659999999</c:v>
                </c:pt>
                <c:pt idx="27">
                  <c:v>210.40704819999999</c:v>
                </c:pt>
                <c:pt idx="28">
                  <c:v>213.72347210000001</c:v>
                </c:pt>
                <c:pt idx="29">
                  <c:v>216.9881403</c:v>
                </c:pt>
                <c:pt idx="30">
                  <c:v>220.20688290000001</c:v>
                </c:pt>
                <c:pt idx="31">
                  <c:v>223.38487520000001</c:v>
                </c:pt>
                <c:pt idx="32">
                  <c:v>226.52681620000001</c:v>
                </c:pt>
                <c:pt idx="33">
                  <c:v>229.6366361</c:v>
                </c:pt>
                <c:pt idx="34">
                  <c:v>232.7174875</c:v>
                </c:pt>
                <c:pt idx="35">
                  <c:v>235.77172820000001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4F-4D83-A0F0-AAB37D9DB6AC}"/>
            </c:ext>
          </c:extLst>
        </c:ser>
        <c:ser>
          <c:idx val="2"/>
          <c:order val="2"/>
          <c:tx>
            <c:strRef>
              <c:f>Données!$B$373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Données!$C$373:$AL$373</c:f>
              <c:numCache>
                <c:formatCode>#,##0</c:formatCode>
                <c:ptCount val="36"/>
                <c:pt idx="0">
                  <c:v>408.28039699999999</c:v>
                </c:pt>
                <c:pt idx="1">
                  <c:v>422.31086060000001</c:v>
                </c:pt>
                <c:pt idx="2">
                  <c:v>436.0091051</c:v>
                </c:pt>
                <c:pt idx="3">
                  <c:v>448.69288010000002</c:v>
                </c:pt>
                <c:pt idx="4">
                  <c:v>461.0001742</c:v>
                </c:pt>
                <c:pt idx="5">
                  <c:v>473.29973940000002</c:v>
                </c:pt>
                <c:pt idx="6">
                  <c:v>484.06532370000002</c:v>
                </c:pt>
                <c:pt idx="7">
                  <c:v>495.17519529999998</c:v>
                </c:pt>
                <c:pt idx="8">
                  <c:v>506.70073480000002</c:v>
                </c:pt>
                <c:pt idx="9">
                  <c:v>518.65512200000001</c:v>
                </c:pt>
                <c:pt idx="10">
                  <c:v>533.89367589999995</c:v>
                </c:pt>
                <c:pt idx="11">
                  <c:v>546.45662289999996</c:v>
                </c:pt>
                <c:pt idx="12">
                  <c:v>559.09061099999997</c:v>
                </c:pt>
                <c:pt idx="13">
                  <c:v>571.6644086</c:v>
                </c:pt>
                <c:pt idx="14">
                  <c:v>584.0801573</c:v>
                </c:pt>
                <c:pt idx="15">
                  <c:v>596.27191579999999</c:v>
                </c:pt>
                <c:pt idx="16">
                  <c:v>608.19734800000003</c:v>
                </c:pt>
                <c:pt idx="17">
                  <c:v>619.83084129999997</c:v>
                </c:pt>
                <c:pt idx="18">
                  <c:v>631.17254100000002</c:v>
                </c:pt>
                <c:pt idx="19">
                  <c:v>642.24320639999996</c:v>
                </c:pt>
                <c:pt idx="20">
                  <c:v>651.1434084</c:v>
                </c:pt>
                <c:pt idx="21">
                  <c:v>661.75623889999997</c:v>
                </c:pt>
                <c:pt idx="22">
                  <c:v>672.19072129999995</c:v>
                </c:pt>
                <c:pt idx="23">
                  <c:v>682.47620949999998</c:v>
                </c:pt>
                <c:pt idx="24">
                  <c:v>692.63797850000003</c:v>
                </c:pt>
                <c:pt idx="25">
                  <c:v>697.42866930000002</c:v>
                </c:pt>
                <c:pt idx="26">
                  <c:v>704.90206450000005</c:v>
                </c:pt>
                <c:pt idx="27">
                  <c:v>712.28041680000001</c:v>
                </c:pt>
                <c:pt idx="28">
                  <c:v>719.57391640000003</c:v>
                </c:pt>
                <c:pt idx="29">
                  <c:v>726.79149770000004</c:v>
                </c:pt>
                <c:pt idx="30">
                  <c:v>733.9409326</c:v>
                </c:pt>
                <c:pt idx="31">
                  <c:v>741.02913439999998</c:v>
                </c:pt>
                <c:pt idx="32">
                  <c:v>748.06245839999997</c:v>
                </c:pt>
                <c:pt idx="33">
                  <c:v>755.0462655</c:v>
                </c:pt>
                <c:pt idx="34">
                  <c:v>761.98490839999999</c:v>
                </c:pt>
                <c:pt idx="35">
                  <c:v>768.88173380000001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4F-4D83-A0F0-AAB37D9DB6AC}"/>
            </c:ext>
          </c:extLst>
        </c:ser>
        <c:ser>
          <c:idx val="3"/>
          <c:order val="3"/>
          <c:tx>
            <c:strRef>
              <c:f>Données!$B$374</c:f>
              <c:strCache>
                <c:ptCount val="1"/>
                <c:pt idx="0">
                  <c:v>D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Données!$C$374:$AL$374</c:f>
              <c:numCache>
                <c:formatCode>#,##0</c:formatCode>
                <c:ptCount val="36"/>
                <c:pt idx="0">
                  <c:v>954.38155940000001</c:v>
                </c:pt>
                <c:pt idx="1">
                  <c:v>950.94516650000003</c:v>
                </c:pt>
                <c:pt idx="2">
                  <c:v>949.24728719999996</c:v>
                </c:pt>
                <c:pt idx="3">
                  <c:v>948.11981119999996</c:v>
                </c:pt>
                <c:pt idx="4">
                  <c:v>947.01600259999998</c:v>
                </c:pt>
                <c:pt idx="5">
                  <c:v>945.7175168</c:v>
                </c:pt>
                <c:pt idx="6">
                  <c:v>944.14372530000003</c:v>
                </c:pt>
                <c:pt idx="7">
                  <c:v>942.25216550000005</c:v>
                </c:pt>
                <c:pt idx="8">
                  <c:v>939.98991690000003</c:v>
                </c:pt>
                <c:pt idx="9">
                  <c:v>937.28878669999995</c:v>
                </c:pt>
                <c:pt idx="10">
                  <c:v>934.12480689999995</c:v>
                </c:pt>
                <c:pt idx="11">
                  <c:v>930.59330039999998</c:v>
                </c:pt>
                <c:pt idx="12">
                  <c:v>926.86181150000004</c:v>
                </c:pt>
                <c:pt idx="13">
                  <c:v>923.09717130000001</c:v>
                </c:pt>
                <c:pt idx="14">
                  <c:v>919.4367628</c:v>
                </c:pt>
                <c:pt idx="15">
                  <c:v>915.97979050000004</c:v>
                </c:pt>
                <c:pt idx="16">
                  <c:v>912.79103850000001</c:v>
                </c:pt>
                <c:pt idx="17">
                  <c:v>909.90645670000004</c:v>
                </c:pt>
                <c:pt idx="18">
                  <c:v>907.32520480000005</c:v>
                </c:pt>
                <c:pt idx="19">
                  <c:v>905.01821459999996</c:v>
                </c:pt>
                <c:pt idx="20">
                  <c:v>902.94394060000002</c:v>
                </c:pt>
                <c:pt idx="21">
                  <c:v>901.05926929999998</c:v>
                </c:pt>
                <c:pt idx="22">
                  <c:v>899.32423170000004</c:v>
                </c:pt>
                <c:pt idx="23">
                  <c:v>897.70441570000003</c:v>
                </c:pt>
                <c:pt idx="24">
                  <c:v>896.17222860000004</c:v>
                </c:pt>
                <c:pt idx="25">
                  <c:v>894.70755970000005</c:v>
                </c:pt>
                <c:pt idx="26">
                  <c:v>893.29592609999997</c:v>
                </c:pt>
                <c:pt idx="27">
                  <c:v>891.92608900000005</c:v>
                </c:pt>
                <c:pt idx="28">
                  <c:v>890.58887849999996</c:v>
                </c:pt>
                <c:pt idx="29">
                  <c:v>889.27718960000004</c:v>
                </c:pt>
                <c:pt idx="30">
                  <c:v>887.98548459999995</c:v>
                </c:pt>
                <c:pt idx="31">
                  <c:v>886.70919460000005</c:v>
                </c:pt>
                <c:pt idx="32">
                  <c:v>885.4442047</c:v>
                </c:pt>
                <c:pt idx="33">
                  <c:v>884.18740430000003</c:v>
                </c:pt>
                <c:pt idx="34">
                  <c:v>882.93660629999999</c:v>
                </c:pt>
                <c:pt idx="35">
                  <c:v>881.69040589999997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34F-4D83-A0F0-AAB37D9DB6AC}"/>
            </c:ext>
          </c:extLst>
        </c:ser>
        <c:ser>
          <c:idx val="4"/>
          <c:order val="4"/>
          <c:tx>
            <c:strRef>
              <c:f>Données!$B$375</c:f>
              <c:strCache>
                <c:ptCount val="1"/>
                <c:pt idx="0">
                  <c:v>E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Données!$C$375:$AL$375</c:f>
              <c:numCache>
                <c:formatCode>#,##0</c:formatCode>
                <c:ptCount val="36"/>
                <c:pt idx="0">
                  <c:v>878.79999729999997</c:v>
                </c:pt>
                <c:pt idx="1">
                  <c:v>868.13340430000005</c:v>
                </c:pt>
                <c:pt idx="2">
                  <c:v>858.55679650000002</c:v>
                </c:pt>
                <c:pt idx="3">
                  <c:v>850.00747190000004</c:v>
                </c:pt>
                <c:pt idx="4">
                  <c:v>842.25256430000002</c:v>
                </c:pt>
                <c:pt idx="5">
                  <c:v>835.02485149999995</c:v>
                </c:pt>
                <c:pt idx="6">
                  <c:v>828.08298000000002</c:v>
                </c:pt>
                <c:pt idx="7">
                  <c:v>821.23776580000003</c:v>
                </c:pt>
                <c:pt idx="8">
                  <c:v>814.3673129</c:v>
                </c:pt>
                <c:pt idx="9">
                  <c:v>807.41979939999999</c:v>
                </c:pt>
                <c:pt idx="10">
                  <c:v>800.40225450000003</c:v>
                </c:pt>
                <c:pt idx="11">
                  <c:v>793.3586775</c:v>
                </c:pt>
                <c:pt idx="12">
                  <c:v>786.34256979999998</c:v>
                </c:pt>
                <c:pt idx="13">
                  <c:v>779.39951329999997</c:v>
                </c:pt>
                <c:pt idx="14">
                  <c:v>772.56036370000004</c:v>
                </c:pt>
                <c:pt idx="15">
                  <c:v>765.84245009999995</c:v>
                </c:pt>
                <c:pt idx="16">
                  <c:v>759.25309960000004</c:v>
                </c:pt>
                <c:pt idx="17">
                  <c:v>752.79323469999997</c:v>
                </c:pt>
                <c:pt idx="18">
                  <c:v>746.45995649999998</c:v>
                </c:pt>
                <c:pt idx="19">
                  <c:v>740.24709010000004</c:v>
                </c:pt>
                <c:pt idx="20">
                  <c:v>734.1460098</c:v>
                </c:pt>
                <c:pt idx="21">
                  <c:v>728.14660100000003</c:v>
                </c:pt>
                <c:pt idx="22">
                  <c:v>722.23943780000002</c:v>
                </c:pt>
                <c:pt idx="23">
                  <c:v>716.41529860000003</c:v>
                </c:pt>
                <c:pt idx="24">
                  <c:v>710.66573830000004</c:v>
                </c:pt>
                <c:pt idx="25">
                  <c:v>704.98283130000004</c:v>
                </c:pt>
                <c:pt idx="26">
                  <c:v>699.35860830000001</c:v>
                </c:pt>
                <c:pt idx="27">
                  <c:v>693.78841439999997</c:v>
                </c:pt>
                <c:pt idx="28">
                  <c:v>688.26809809999997</c:v>
                </c:pt>
                <c:pt idx="29">
                  <c:v>682.79408100000001</c:v>
                </c:pt>
                <c:pt idx="30">
                  <c:v>677.36330420000002</c:v>
                </c:pt>
                <c:pt idx="31">
                  <c:v>671.97332659999995</c:v>
                </c:pt>
                <c:pt idx="32">
                  <c:v>666.62241849999998</c:v>
                </c:pt>
                <c:pt idx="33">
                  <c:v>661.30896040000005</c:v>
                </c:pt>
                <c:pt idx="34">
                  <c:v>656.03139550000003</c:v>
                </c:pt>
                <c:pt idx="35">
                  <c:v>650.78817909999998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4F-4D83-A0F0-AAB37D9DB6AC}"/>
            </c:ext>
          </c:extLst>
        </c:ser>
        <c:ser>
          <c:idx val="5"/>
          <c:order val="5"/>
          <c:tx>
            <c:strRef>
              <c:f>Données!$B$376</c:f>
              <c:strCache>
                <c:ptCount val="1"/>
                <c:pt idx="0">
                  <c:v>F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Données!$C$376:$AL$376</c:f>
              <c:numCache>
                <c:formatCode>#,##0</c:formatCode>
                <c:ptCount val="36"/>
                <c:pt idx="0">
                  <c:v>139.85209269999999</c:v>
                </c:pt>
                <c:pt idx="1">
                  <c:v>137.94715199999999</c:v>
                </c:pt>
                <c:pt idx="2">
                  <c:v>136.06709459999999</c:v>
                </c:pt>
                <c:pt idx="3">
                  <c:v>134.22007840000001</c:v>
                </c:pt>
                <c:pt idx="4">
                  <c:v>132.41198170000001</c:v>
                </c:pt>
                <c:pt idx="5">
                  <c:v>130.64468020000001</c:v>
                </c:pt>
                <c:pt idx="6">
                  <c:v>128.9165405</c:v>
                </c:pt>
                <c:pt idx="7">
                  <c:v>127.2238299</c:v>
                </c:pt>
                <c:pt idx="8">
                  <c:v>125.5621498</c:v>
                </c:pt>
                <c:pt idx="9">
                  <c:v>123.92737219999999</c:v>
                </c:pt>
                <c:pt idx="10">
                  <c:v>122.3160587</c:v>
                </c:pt>
                <c:pt idx="11">
                  <c:v>120.7256697</c:v>
                </c:pt>
                <c:pt idx="12">
                  <c:v>119.1545792</c:v>
                </c:pt>
                <c:pt idx="13">
                  <c:v>117.60165480000001</c:v>
                </c:pt>
                <c:pt idx="14">
                  <c:v>116.0659727</c:v>
                </c:pt>
                <c:pt idx="15">
                  <c:v>114.5467223</c:v>
                </c:pt>
                <c:pt idx="16">
                  <c:v>113.0432227</c:v>
                </c:pt>
                <c:pt idx="17">
                  <c:v>111.5549568</c:v>
                </c:pt>
                <c:pt idx="18">
                  <c:v>110.0815964</c:v>
                </c:pt>
                <c:pt idx="19">
                  <c:v>108.62300310000001</c:v>
                </c:pt>
                <c:pt idx="20">
                  <c:v>107.17917439999999</c:v>
                </c:pt>
                <c:pt idx="21">
                  <c:v>105.75022559999999</c:v>
                </c:pt>
                <c:pt idx="22">
                  <c:v>104.33642070000001</c:v>
                </c:pt>
                <c:pt idx="23">
                  <c:v>102.9381018</c:v>
                </c:pt>
                <c:pt idx="24">
                  <c:v>101.5556349</c:v>
                </c:pt>
                <c:pt idx="25">
                  <c:v>100.18929799999999</c:v>
                </c:pt>
                <c:pt idx="26">
                  <c:v>98.839266719999998</c:v>
                </c:pt>
                <c:pt idx="27">
                  <c:v>97.505756640000001</c:v>
                </c:pt>
                <c:pt idx="28">
                  <c:v>96.188993830000001</c:v>
                </c:pt>
                <c:pt idx="29">
                  <c:v>94.889181480000005</c:v>
                </c:pt>
                <c:pt idx="30">
                  <c:v>93.606479649999997</c:v>
                </c:pt>
                <c:pt idx="31">
                  <c:v>92.340996809999993</c:v>
                </c:pt>
                <c:pt idx="32">
                  <c:v>91.092778190000004</c:v>
                </c:pt>
                <c:pt idx="33">
                  <c:v>89.861795000000001</c:v>
                </c:pt>
                <c:pt idx="34">
                  <c:v>88.647941660000001</c:v>
                </c:pt>
                <c:pt idx="35">
                  <c:v>87.451044780000004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34F-4D83-A0F0-AAB37D9DB6AC}"/>
            </c:ext>
          </c:extLst>
        </c:ser>
        <c:ser>
          <c:idx val="6"/>
          <c:order val="6"/>
          <c:tx>
            <c:strRef>
              <c:f>Données!$B$377</c:f>
              <c:strCache>
                <c:ptCount val="1"/>
                <c:pt idx="0">
                  <c:v>G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Données!$C$370:$AL$370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Données!$C$377:$AL$377</c:f>
              <c:numCache>
                <c:formatCode>#,##0</c:formatCode>
                <c:ptCount val="36"/>
                <c:pt idx="0">
                  <c:v>3.874567114</c:v>
                </c:pt>
                <c:pt idx="1">
                  <c:v>3.724261925</c:v>
                </c:pt>
                <c:pt idx="2">
                  <c:v>3.5803993040000002</c:v>
                </c:pt>
                <c:pt idx="3">
                  <c:v>3.4430488239999999</c:v>
                </c:pt>
                <c:pt idx="4">
                  <c:v>3.3122149699999999</c:v>
                </c:pt>
                <c:pt idx="5">
                  <c:v>3.1877176970000001</c:v>
                </c:pt>
                <c:pt idx="6">
                  <c:v>3.0692014950000002</c:v>
                </c:pt>
                <c:pt idx="7">
                  <c:v>2.9562096530000002</c:v>
                </c:pt>
                <c:pt idx="8">
                  <c:v>2.8482675949999998</c:v>
                </c:pt>
                <c:pt idx="9">
                  <c:v>2.7449381800000001</c:v>
                </c:pt>
                <c:pt idx="10">
                  <c:v>2.6458450330000001</c:v>
                </c:pt>
                <c:pt idx="11">
                  <c:v>2.5506831110000001</c:v>
                </c:pt>
                <c:pt idx="12">
                  <c:v>2.4592189850000001</c:v>
                </c:pt>
                <c:pt idx="13">
                  <c:v>2.3712577339999998</c:v>
                </c:pt>
                <c:pt idx="14">
                  <c:v>2.2866231259999998</c:v>
                </c:pt>
                <c:pt idx="15">
                  <c:v>2.205152016</c:v>
                </c:pt>
                <c:pt idx="16">
                  <c:v>2.1266959760000002</c:v>
                </c:pt>
                <c:pt idx="17">
                  <c:v>2.0511228469999998</c:v>
                </c:pt>
                <c:pt idx="18">
                  <c:v>1.9783149630000001</c:v>
                </c:pt>
                <c:pt idx="19">
                  <c:v>1.9081678950000001</c:v>
                </c:pt>
                <c:pt idx="20">
                  <c:v>1.840586904</c:v>
                </c:pt>
                <c:pt idx="21">
                  <c:v>1.7754855469999999</c:v>
                </c:pt>
                <c:pt idx="22">
                  <c:v>1.7127869689999999</c:v>
                </c:pt>
                <c:pt idx="23">
                  <c:v>1.6524201119999999</c:v>
                </c:pt>
                <c:pt idx="24">
                  <c:v>1.5943168830000001</c:v>
                </c:pt>
                <c:pt idx="25">
                  <c:v>1.53840669</c:v>
                </c:pt>
                <c:pt idx="26">
                  <c:v>1.484615756</c:v>
                </c:pt>
                <c:pt idx="27">
                  <c:v>1.432873632</c:v>
                </c:pt>
                <c:pt idx="28">
                  <c:v>1.3831130110000001</c:v>
                </c:pt>
                <c:pt idx="29">
                  <c:v>1.33526842</c:v>
                </c:pt>
                <c:pt idx="30">
                  <c:v>1.289275282</c:v>
                </c:pt>
                <c:pt idx="31">
                  <c:v>1.2450694200000001</c:v>
                </c:pt>
                <c:pt idx="32">
                  <c:v>1.202586527</c:v>
                </c:pt>
                <c:pt idx="33">
                  <c:v>1.1617622590000001</c:v>
                </c:pt>
                <c:pt idx="34">
                  <c:v>1.122532356</c:v>
                </c:pt>
                <c:pt idx="35">
                  <c:v>1.084832993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34F-4D83-A0F0-AAB37D9DB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(baseline)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Données!$B$362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Données!$C$362:$AL$362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7160.6497701301996</c:v>
                </c:pt>
                <c:pt idx="2">
                  <c:v>7267.0218339952999</c:v>
                </c:pt>
                <c:pt idx="3">
                  <c:v>7408.2740006466993</c:v>
                </c:pt>
                <c:pt idx="4">
                  <c:v>7573.2387058363001</c:v>
                </c:pt>
                <c:pt idx="5">
                  <c:v>7754.6723053150008</c:v>
                </c:pt>
                <c:pt idx="6">
                  <c:v>7946.7417153571005</c:v>
                </c:pt>
                <c:pt idx="7">
                  <c:v>8146.3988535303997</c:v>
                </c:pt>
                <c:pt idx="8">
                  <c:v>8351.6196295633999</c:v>
                </c:pt>
                <c:pt idx="9">
                  <c:v>8561.0175068432</c:v>
                </c:pt>
                <c:pt idx="10">
                  <c:v>8775.7139398395993</c:v>
                </c:pt>
                <c:pt idx="11">
                  <c:v>8992.7592906436985</c:v>
                </c:pt>
                <c:pt idx="12">
                  <c:v>9211.5018608610008</c:v>
                </c:pt>
                <c:pt idx="13">
                  <c:v>9431.3736176197999</c:v>
                </c:pt>
                <c:pt idx="14">
                  <c:v>9651.9098990164002</c:v>
                </c:pt>
                <c:pt idx="15">
                  <c:v>9872.7421369743988</c:v>
                </c:pt>
                <c:pt idx="16">
                  <c:v>10093.5828481031</c:v>
                </c:pt>
                <c:pt idx="17">
                  <c:v>10314.210248339301</c:v>
                </c:pt>
                <c:pt idx="18">
                  <c:v>10534.455446241202</c:v>
                </c:pt>
                <c:pt idx="19">
                  <c:v>10754.1930783066</c:v>
                </c:pt>
                <c:pt idx="20">
                  <c:v>10971.670640367998</c:v>
                </c:pt>
                <c:pt idx="21">
                  <c:v>11188.586057433999</c:v>
                </c:pt>
                <c:pt idx="22">
                  <c:v>11404.950032995999</c:v>
                </c:pt>
                <c:pt idx="23">
                  <c:v>11620.816143483</c:v>
                </c:pt>
                <c:pt idx="24">
                  <c:v>11836.243911400999</c:v>
                </c:pt>
                <c:pt idx="25">
                  <c:v>12046.420553789001</c:v>
                </c:pt>
                <c:pt idx="26">
                  <c:v>12254.240108996999</c:v>
                </c:pt>
                <c:pt idx="27">
                  <c:v>12459.975402797001</c:v>
                </c:pt>
                <c:pt idx="28">
                  <c:v>12664.003533395</c:v>
                </c:pt>
                <c:pt idx="29">
                  <c:v>12866.725796228</c:v>
                </c:pt>
                <c:pt idx="30">
                  <c:v>13068.527879880001</c:v>
                </c:pt>
                <c:pt idx="31">
                  <c:v>13269.762190702</c:v>
                </c:pt>
                <c:pt idx="32">
                  <c:v>13470.743578314999</c:v>
                </c:pt>
                <c:pt idx="33">
                  <c:v>13671.752168608999</c:v>
                </c:pt>
                <c:pt idx="34">
                  <c:v>13873.039530116999</c:v>
                </c:pt>
                <c:pt idx="35">
                  <c:v>14074.835080522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3B-46A1-8D5E-7BC161373771}"/>
            </c:ext>
          </c:extLst>
        </c:ser>
        <c:ser>
          <c:idx val="1"/>
          <c:order val="1"/>
          <c:tx>
            <c:strRef>
              <c:f>Données!$B$363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Données!$C$363:$AL$363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8202.9699858040003</c:v>
                </c:pt>
                <c:pt idx="2">
                  <c:v>8199.9926192886996</c:v>
                </c:pt>
                <c:pt idx="3">
                  <c:v>8237.1856849649994</c:v>
                </c:pt>
                <c:pt idx="4">
                  <c:v>8303.0509398306003</c:v>
                </c:pt>
                <c:pt idx="5">
                  <c:v>8389.9666084607015</c:v>
                </c:pt>
                <c:pt idx="6">
                  <c:v>8491.7567396094</c:v>
                </c:pt>
                <c:pt idx="7">
                  <c:v>8604.971877194801</c:v>
                </c:pt>
                <c:pt idx="8">
                  <c:v>8727.1942821493994</c:v>
                </c:pt>
                <c:pt idx="9">
                  <c:v>8856.6591123439994</c:v>
                </c:pt>
                <c:pt idx="10">
                  <c:v>8993.9961871825999</c:v>
                </c:pt>
                <c:pt idx="11">
                  <c:v>9136.0468404282001</c:v>
                </c:pt>
                <c:pt idx="12">
                  <c:v>9281.8489568699006</c:v>
                </c:pt>
                <c:pt idx="13">
                  <c:v>9430.5500655401011</c:v>
                </c:pt>
                <c:pt idx="14">
                  <c:v>9581.4221254571003</c:v>
                </c:pt>
                <c:pt idx="15">
                  <c:v>9733.8514991604006</c:v>
                </c:pt>
                <c:pt idx="16">
                  <c:v>9887.3222492429995</c:v>
                </c:pt>
                <c:pt idx="17">
                  <c:v>10041.399498427301</c:v>
                </c:pt>
                <c:pt idx="18">
                  <c:v>10195.715453832299</c:v>
                </c:pt>
                <c:pt idx="19">
                  <c:v>10349.9587841049</c:v>
                </c:pt>
                <c:pt idx="20">
                  <c:v>10502.3576022916</c:v>
                </c:pt>
                <c:pt idx="21">
                  <c:v>10654.292933668799</c:v>
                </c:pt>
                <c:pt idx="22">
                  <c:v>10805.617537599299</c:v>
                </c:pt>
                <c:pt idx="23">
                  <c:v>10956.231568676001</c:v>
                </c:pt>
                <c:pt idx="24">
                  <c:v>11106.04851314</c:v>
                </c:pt>
                <c:pt idx="25">
                  <c:v>11250.652227518</c:v>
                </c:pt>
                <c:pt idx="26">
                  <c:v>11392.533742395</c:v>
                </c:pt>
                <c:pt idx="27">
                  <c:v>11531.841422336</c:v>
                </c:pt>
                <c:pt idx="28">
                  <c:v>11668.81707632</c:v>
                </c:pt>
                <c:pt idx="29">
                  <c:v>11803.723660086</c:v>
                </c:pt>
                <c:pt idx="30">
                  <c:v>11936.809798627</c:v>
                </c:pt>
                <c:pt idx="31">
                  <c:v>12068.294198309</c:v>
                </c:pt>
                <c:pt idx="32">
                  <c:v>12198.361864041</c:v>
                </c:pt>
                <c:pt idx="33">
                  <c:v>12327.166715072999</c:v>
                </c:pt>
                <c:pt idx="34">
                  <c:v>12454.836957928999</c:v>
                </c:pt>
                <c:pt idx="35">
                  <c:v>12581.480735771998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13B-46A1-8D5E-7BC161373771}"/>
            </c:ext>
          </c:extLst>
        </c:ser>
        <c:ser>
          <c:idx val="2"/>
          <c:order val="2"/>
          <c:tx>
            <c:strRef>
              <c:f>Données!$B$364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Données!$C$364:$AL$364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6662.2406310722999</c:v>
                </c:pt>
                <c:pt idx="2">
                  <c:v>6582.4081957771996</c:v>
                </c:pt>
                <c:pt idx="3">
                  <c:v>6535.4142418722004</c:v>
                </c:pt>
                <c:pt idx="4">
                  <c:v>6512.7391884724002</c:v>
                </c:pt>
                <c:pt idx="5">
                  <c:v>6508.6252868829997</c:v>
                </c:pt>
                <c:pt idx="6">
                  <c:v>6518.3813025467989</c:v>
                </c:pt>
                <c:pt idx="7">
                  <c:v>6539.2420405638995</c:v>
                </c:pt>
                <c:pt idx="8">
                  <c:v>6569.1921277637002</c:v>
                </c:pt>
                <c:pt idx="9">
                  <c:v>6606.6982833639995</c:v>
                </c:pt>
                <c:pt idx="10">
                  <c:v>6651.8786710886998</c:v>
                </c:pt>
                <c:pt idx="11">
                  <c:v>6702.3120228719999</c:v>
                </c:pt>
                <c:pt idx="12">
                  <c:v>6757.0932852748001</c:v>
                </c:pt>
                <c:pt idx="13">
                  <c:v>6815.4150690989991</c:v>
                </c:pt>
                <c:pt idx="14">
                  <c:v>6876.5749888076998</c:v>
                </c:pt>
                <c:pt idx="15">
                  <c:v>6939.9665759872005</c:v>
                </c:pt>
                <c:pt idx="16">
                  <c:v>7005.0660795044996</c:v>
                </c:pt>
                <c:pt idx="17">
                  <c:v>7071.4195964455002</c:v>
                </c:pt>
                <c:pt idx="18">
                  <c:v>7138.6321849454998</c:v>
                </c:pt>
                <c:pt idx="19">
                  <c:v>7206.3593555282005</c:v>
                </c:pt>
                <c:pt idx="20">
                  <c:v>7273.3130857733004</c:v>
                </c:pt>
                <c:pt idx="21">
                  <c:v>7340.2857860218</c:v>
                </c:pt>
                <c:pt idx="22">
                  <c:v>7407.0731598470993</c:v>
                </c:pt>
                <c:pt idx="23">
                  <c:v>7473.5093884447997</c:v>
                </c:pt>
                <c:pt idx="24">
                  <c:v>7539.4443954079006</c:v>
                </c:pt>
                <c:pt idx="25">
                  <c:v>7601.9537546800002</c:v>
                </c:pt>
                <c:pt idx="26">
                  <c:v>7662.5813374178997</c:v>
                </c:pt>
                <c:pt idx="27">
                  <c:v>7721.3617936724004</c:v>
                </c:pt>
                <c:pt idx="28">
                  <c:v>7778.3917467901992</c:v>
                </c:pt>
                <c:pt idx="29">
                  <c:v>7833.7827213604005</c:v>
                </c:pt>
                <c:pt idx="30">
                  <c:v>7887.6383008073999</c:v>
                </c:pt>
                <c:pt idx="31">
                  <c:v>7940.0442301401999</c:v>
                </c:pt>
                <c:pt idx="32">
                  <c:v>7991.0660631943001</c:v>
                </c:pt>
                <c:pt idx="33">
                  <c:v>8040.7508789794001</c:v>
                </c:pt>
                <c:pt idx="34">
                  <c:v>8089.1306889683001</c:v>
                </c:pt>
                <c:pt idx="35">
                  <c:v>8136.2260759088995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13B-46A1-8D5E-7BC161373771}"/>
            </c:ext>
          </c:extLst>
        </c:ser>
        <c:ser>
          <c:idx val="3"/>
          <c:order val="3"/>
          <c:tx>
            <c:strRef>
              <c:f>Données!$B$365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Données!$C$365:$AL$365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4063.7549312156998</c:v>
                </c:pt>
                <c:pt idx="2">
                  <c:v>3987.4894732137</c:v>
                </c:pt>
                <c:pt idx="3">
                  <c:v>3929.3510927547004</c:v>
                </c:pt>
                <c:pt idx="4">
                  <c:v>3884.2335663203994</c:v>
                </c:pt>
                <c:pt idx="5">
                  <c:v>3848.6928162483</c:v>
                </c:pt>
                <c:pt idx="6">
                  <c:v>3819.9768986737995</c:v>
                </c:pt>
                <c:pt idx="7">
                  <c:v>3796.4372670368002</c:v>
                </c:pt>
                <c:pt idx="8">
                  <c:v>3776.8724856489998</c:v>
                </c:pt>
                <c:pt idx="9">
                  <c:v>3760.3696740775003</c:v>
                </c:pt>
                <c:pt idx="10">
                  <c:v>3746.8693203577</c:v>
                </c:pt>
                <c:pt idx="11">
                  <c:v>3735.0603275853</c:v>
                </c:pt>
                <c:pt idx="12">
                  <c:v>3724.4200952049</c:v>
                </c:pt>
                <c:pt idx="13">
                  <c:v>3714.4942371584002</c:v>
                </c:pt>
                <c:pt idx="14">
                  <c:v>3704.8966034483997</c:v>
                </c:pt>
                <c:pt idx="15">
                  <c:v>3695.3018210651999</c:v>
                </c:pt>
                <c:pt idx="16">
                  <c:v>3685.4365537038998</c:v>
                </c:pt>
                <c:pt idx="17">
                  <c:v>3675.0714531567</c:v>
                </c:pt>
                <c:pt idx="18">
                  <c:v>3664.0143796294001</c:v>
                </c:pt>
                <c:pt idx="19">
                  <c:v>3652.1049544911998</c:v>
                </c:pt>
                <c:pt idx="20">
                  <c:v>3638.7871653295001</c:v>
                </c:pt>
                <c:pt idx="21">
                  <c:v>3624.4161776275</c:v>
                </c:pt>
                <c:pt idx="22">
                  <c:v>3608.9135865287999</c:v>
                </c:pt>
                <c:pt idx="23">
                  <c:v>3592.2203253952002</c:v>
                </c:pt>
                <c:pt idx="24">
                  <c:v>3574.2871050083995</c:v>
                </c:pt>
                <c:pt idx="25">
                  <c:v>3553.9751255711999</c:v>
                </c:pt>
                <c:pt idx="26">
                  <c:v>3531.9539925018003</c:v>
                </c:pt>
                <c:pt idx="27">
                  <c:v>3508.2824554245999</c:v>
                </c:pt>
                <c:pt idx="28">
                  <c:v>3483.0399042995996</c:v>
                </c:pt>
                <c:pt idx="29">
                  <c:v>3456.3075701801999</c:v>
                </c:pt>
                <c:pt idx="30">
                  <c:v>3428.1603071251998</c:v>
                </c:pt>
                <c:pt idx="31">
                  <c:v>3398.6636321167002</c:v>
                </c:pt>
                <c:pt idx="32">
                  <c:v>3367.8736199406999</c:v>
                </c:pt>
                <c:pt idx="33">
                  <c:v>3335.8382375770998</c:v>
                </c:pt>
                <c:pt idx="34">
                  <c:v>3302.5992081240997</c:v>
                </c:pt>
                <c:pt idx="35">
                  <c:v>3268.1938666042001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13B-46A1-8D5E-7BC161373771}"/>
            </c:ext>
          </c:extLst>
        </c:ser>
        <c:ser>
          <c:idx val="4"/>
          <c:order val="4"/>
          <c:tx>
            <c:strRef>
              <c:f>Données!$B$366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Données!$C$366:$AL$366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2448.3068137238997</c:v>
                </c:pt>
                <c:pt idx="2">
                  <c:v>2403.6767763317998</c:v>
                </c:pt>
                <c:pt idx="3">
                  <c:v>2368.6467388827004</c:v>
                </c:pt>
                <c:pt idx="4">
                  <c:v>2340.0152292005</c:v>
                </c:pt>
                <c:pt idx="5">
                  <c:v>2315.6699022032003</c:v>
                </c:pt>
                <c:pt idx="6">
                  <c:v>2293.9727388954998</c:v>
                </c:pt>
                <c:pt idx="7">
                  <c:v>2273.9774590266998</c:v>
                </c:pt>
                <c:pt idx="8">
                  <c:v>2255.0232690436001</c:v>
                </c:pt>
                <c:pt idx="9">
                  <c:v>2236.6319727262999</c:v>
                </c:pt>
                <c:pt idx="10">
                  <c:v>2218.8139136235</c:v>
                </c:pt>
                <c:pt idx="11">
                  <c:v>2200.8828083853</c:v>
                </c:pt>
                <c:pt idx="12">
                  <c:v>2182.6055815495997</c:v>
                </c:pt>
                <c:pt idx="13">
                  <c:v>2163.7928085425997</c:v>
                </c:pt>
                <c:pt idx="14">
                  <c:v>2144.2968645586002</c:v>
                </c:pt>
                <c:pt idx="15">
                  <c:v>2124.0063154853997</c:v>
                </c:pt>
                <c:pt idx="16">
                  <c:v>2102.8400178616998</c:v>
                </c:pt>
                <c:pt idx="17">
                  <c:v>2080.7418772444998</c:v>
                </c:pt>
                <c:pt idx="18">
                  <c:v>2057.6764714776</c:v>
                </c:pt>
                <c:pt idx="19">
                  <c:v>2033.6255230877</c:v>
                </c:pt>
                <c:pt idx="20">
                  <c:v>2008.3786887314</c:v>
                </c:pt>
                <c:pt idx="21">
                  <c:v>1982.1758285108001</c:v>
                </c:pt>
                <c:pt idx="22">
                  <c:v>1955.0394262389</c:v>
                </c:pt>
                <c:pt idx="23">
                  <c:v>1926.9998664543002</c:v>
                </c:pt>
                <c:pt idx="24">
                  <c:v>1898.0909415755002</c:v>
                </c:pt>
                <c:pt idx="25">
                  <c:v>1867.8528444644003</c:v>
                </c:pt>
                <c:pt idx="26">
                  <c:v>1836.6603912028997</c:v>
                </c:pt>
                <c:pt idx="27">
                  <c:v>1804.6023791421001</c:v>
                </c:pt>
                <c:pt idx="28">
                  <c:v>1771.7726003475</c:v>
                </c:pt>
                <c:pt idx="29">
                  <c:v>1738.2614750650002</c:v>
                </c:pt>
                <c:pt idx="30">
                  <c:v>1704.1528732552999</c:v>
                </c:pt>
                <c:pt idx="31">
                  <c:v>1669.5233380036</c:v>
                </c:pt>
                <c:pt idx="32">
                  <c:v>1634.4425047489001</c:v>
                </c:pt>
                <c:pt idx="33">
                  <c:v>1598.9740877284</c:v>
                </c:pt>
                <c:pt idx="34">
                  <c:v>1563.1770021269999</c:v>
                </c:pt>
                <c:pt idx="35">
                  <c:v>1527.106437551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13B-46A1-8D5E-7BC161373771}"/>
            </c:ext>
          </c:extLst>
        </c:ser>
        <c:ser>
          <c:idx val="5"/>
          <c:order val="5"/>
          <c:tx>
            <c:strRef>
              <c:f>Données!$B$367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Données!$C$367:$AL$367</c:f>
              <c:numCache>
                <c:formatCode>#,##0</c:formatCode>
                <c:ptCount val="36"/>
                <c:pt idx="0">
                  <c:v>1245.466605953</c:v>
                </c:pt>
                <c:pt idx="1">
                  <c:v>1213.2724268438999</c:v>
                </c:pt>
                <c:pt idx="2">
                  <c:v>1186.5363146674001</c:v>
                </c:pt>
                <c:pt idx="3">
                  <c:v>1162.6456731518001</c:v>
                </c:pt>
                <c:pt idx="4">
                  <c:v>1139.9931489824</c:v>
                </c:pt>
                <c:pt idx="5">
                  <c:v>1117.6232972800999</c:v>
                </c:pt>
                <c:pt idx="6">
                  <c:v>1094.8958475951999</c:v>
                </c:pt>
                <c:pt idx="7">
                  <c:v>1071.5278904244999</c:v>
                </c:pt>
                <c:pt idx="8">
                  <c:v>1047.3896679279001</c:v>
                </c:pt>
                <c:pt idx="9">
                  <c:v>1022.4439905177001</c:v>
                </c:pt>
                <c:pt idx="10">
                  <c:v>996.83492381279996</c:v>
                </c:pt>
                <c:pt idx="11">
                  <c:v>970.46755070530003</c:v>
                </c:pt>
                <c:pt idx="12">
                  <c:v>943.41276724630006</c:v>
                </c:pt>
                <c:pt idx="13">
                  <c:v>915.75633642150001</c:v>
                </c:pt>
                <c:pt idx="14">
                  <c:v>887.59500137639998</c:v>
                </c:pt>
                <c:pt idx="15">
                  <c:v>859.03219564009987</c:v>
                </c:pt>
                <c:pt idx="16">
                  <c:v>830.17442760400002</c:v>
                </c:pt>
                <c:pt idx="17">
                  <c:v>801.12842746709998</c:v>
                </c:pt>
                <c:pt idx="18">
                  <c:v>771.9989521878</c:v>
                </c:pt>
                <c:pt idx="19">
                  <c:v>742.88713088960003</c:v>
                </c:pt>
                <c:pt idx="20">
                  <c:v>713.84565499179996</c:v>
                </c:pt>
                <c:pt idx="21">
                  <c:v>685.01795696790009</c:v>
                </c:pt>
                <c:pt idx="22">
                  <c:v>656.48872356180004</c:v>
                </c:pt>
                <c:pt idx="23">
                  <c:v>628.33529664160005</c:v>
                </c:pt>
                <c:pt idx="24">
                  <c:v>600.62726381200002</c:v>
                </c:pt>
                <c:pt idx="25">
                  <c:v>573.34682463139995</c:v>
                </c:pt>
                <c:pt idx="26">
                  <c:v>546.61286038159994</c:v>
                </c:pt>
                <c:pt idx="27">
                  <c:v>520.48513714499995</c:v>
                </c:pt>
                <c:pt idx="28">
                  <c:v>495.01518926020003</c:v>
                </c:pt>
                <c:pt idx="29">
                  <c:v>470.24577074119998</c:v>
                </c:pt>
                <c:pt idx="30">
                  <c:v>446.21128840279999</c:v>
                </c:pt>
                <c:pt idx="31">
                  <c:v>422.93855413569997</c:v>
                </c:pt>
                <c:pt idx="32">
                  <c:v>400.44761480969999</c:v>
                </c:pt>
                <c:pt idx="33">
                  <c:v>378.75256002640003</c:v>
                </c:pt>
                <c:pt idx="34">
                  <c:v>357.86225864230005</c:v>
                </c:pt>
                <c:pt idx="35">
                  <c:v>337.78100742060002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D13B-46A1-8D5E-7BC161373771}"/>
            </c:ext>
          </c:extLst>
        </c:ser>
        <c:ser>
          <c:idx val="6"/>
          <c:order val="6"/>
          <c:tx>
            <c:strRef>
              <c:f>Données!$B$368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Données!$C$361:$AL$361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Données!$C$368:$AL$368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2188.0868082457</c:v>
                </c:pt>
                <c:pt idx="2">
                  <c:v>2140.3306655042002</c:v>
                </c:pt>
                <c:pt idx="3">
                  <c:v>2094.4834848249002</c:v>
                </c:pt>
                <c:pt idx="4">
                  <c:v>2047.7041673035001</c:v>
                </c:pt>
                <c:pt idx="5">
                  <c:v>1998.5710212673</c:v>
                </c:pt>
                <c:pt idx="6">
                  <c:v>1946.3664710856001</c:v>
                </c:pt>
                <c:pt idx="7">
                  <c:v>1891.0505577462002</c:v>
                </c:pt>
                <c:pt idx="8">
                  <c:v>1832.8599629806001</c:v>
                </c:pt>
                <c:pt idx="9">
                  <c:v>1772.1758820484999</c:v>
                </c:pt>
                <c:pt idx="10">
                  <c:v>1709.6186958691001</c:v>
                </c:pt>
                <c:pt idx="11">
                  <c:v>1645.4443551529002</c:v>
                </c:pt>
                <c:pt idx="12">
                  <c:v>1580.1172811163001</c:v>
                </c:pt>
                <c:pt idx="13">
                  <c:v>1514.0874278206998</c:v>
                </c:pt>
                <c:pt idx="14">
                  <c:v>1447.7819658556</c:v>
                </c:pt>
                <c:pt idx="15">
                  <c:v>1381.5983469968999</c:v>
                </c:pt>
                <c:pt idx="16">
                  <c:v>1315.8997674242</c:v>
                </c:pt>
                <c:pt idx="17">
                  <c:v>1251.0126558218001</c:v>
                </c:pt>
                <c:pt idx="18">
                  <c:v>1187.2256985459999</c:v>
                </c:pt>
                <c:pt idx="19">
                  <c:v>1124.7900030170001</c:v>
                </c:pt>
                <c:pt idx="20">
                  <c:v>1063.8806411205001</c:v>
                </c:pt>
                <c:pt idx="21">
                  <c:v>1004.7279218395</c:v>
                </c:pt>
                <c:pt idx="22">
                  <c:v>947.47821012499992</c:v>
                </c:pt>
                <c:pt idx="23">
                  <c:v>892.24645233369995</c:v>
                </c:pt>
                <c:pt idx="24">
                  <c:v>839.11884326180007</c:v>
                </c:pt>
                <c:pt idx="25">
                  <c:v>788.09888662200001</c:v>
                </c:pt>
                <c:pt idx="26">
                  <c:v>739.27533437490001</c:v>
                </c:pt>
                <c:pt idx="27">
                  <c:v>692.67508417240003</c:v>
                </c:pt>
                <c:pt idx="28">
                  <c:v>648.30447216319999</c:v>
                </c:pt>
                <c:pt idx="29">
                  <c:v>606.15150921270003</c:v>
                </c:pt>
                <c:pt idx="30">
                  <c:v>566.18861485390005</c:v>
                </c:pt>
                <c:pt idx="31">
                  <c:v>528.3752703202</c:v>
                </c:pt>
                <c:pt idx="32">
                  <c:v>492.66042555040002</c:v>
                </c:pt>
                <c:pt idx="33">
                  <c:v>458.9846216176</c:v>
                </c:pt>
                <c:pt idx="34">
                  <c:v>427.28183325090004</c:v>
                </c:pt>
                <c:pt idx="35">
                  <c:v>397.48105228499998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D13B-46A1-8D5E-7BC161373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class (shock)</a:t>
            </a:r>
          </a:p>
          <a:p>
            <a:pPr>
              <a:defRPr/>
            </a:pPr>
            <a:r>
              <a:rPr lang="fr-FR" sz="1800" i="1"/>
              <a:t>thousands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Données!$B$331</c:f>
              <c:strCache>
                <c:ptCount val="1"/>
                <c:pt idx="0">
                  <c:v>AUTO_CA_0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Données!$C$331:$AL$331</c:f>
              <c:numCache>
                <c:formatCode>#,##0</c:formatCode>
                <c:ptCount val="36"/>
                <c:pt idx="0">
                  <c:v>7105.9689965623002</c:v>
                </c:pt>
                <c:pt idx="1">
                  <c:v>7152.5734962285005</c:v>
                </c:pt>
                <c:pt idx="2">
                  <c:v>7244.6282872573001</c:v>
                </c:pt>
                <c:pt idx="3">
                  <c:v>7367.6060066731998</c:v>
                </c:pt>
                <c:pt idx="4">
                  <c:v>7512.0146962366998</c:v>
                </c:pt>
                <c:pt idx="5">
                  <c:v>7671.8348638419002</c:v>
                </c:pt>
                <c:pt idx="6">
                  <c:v>7842.0766648295994</c:v>
                </c:pt>
                <c:pt idx="7">
                  <c:v>8020.2361210149002</c:v>
                </c:pt>
                <c:pt idx="8">
                  <c:v>8204.6045253175998</c:v>
                </c:pt>
                <c:pt idx="9">
                  <c:v>8393.9523072259999</c:v>
                </c:pt>
                <c:pt idx="10">
                  <c:v>8588.5031670218013</c:v>
                </c:pt>
                <c:pt idx="11">
                  <c:v>8786.4244895428001</c:v>
                </c:pt>
                <c:pt idx="12">
                  <c:v>8987.5623814971004</c:v>
                </c:pt>
                <c:pt idx="13">
                  <c:v>9191.604396672501</c:v>
                </c:pt>
                <c:pt idx="14">
                  <c:v>9398.2017993923</c:v>
                </c:pt>
                <c:pt idx="15">
                  <c:v>9606.9920375990987</c:v>
                </c:pt>
                <c:pt idx="16">
                  <c:v>9817.5584230491004</c:v>
                </c:pt>
                <c:pt idx="17">
                  <c:v>10029.509914173501</c:v>
                </c:pt>
                <c:pt idx="18">
                  <c:v>10242.481945826899</c:v>
                </c:pt>
                <c:pt idx="19">
                  <c:v>10456.1376863152</c:v>
                </c:pt>
                <c:pt idx="20">
                  <c:v>10668.5386171348</c:v>
                </c:pt>
                <c:pt idx="21">
                  <c:v>10881.1583997496</c:v>
                </c:pt>
                <c:pt idx="22">
                  <c:v>11093.802515726002</c:v>
                </c:pt>
                <c:pt idx="23">
                  <c:v>11306.339026751</c:v>
                </c:pt>
                <c:pt idx="24">
                  <c:v>11518.663014325</c:v>
                </c:pt>
                <c:pt idx="25">
                  <c:v>11725.894526144999</c:v>
                </c:pt>
                <c:pt idx="26">
                  <c:v>11930.828074445999</c:v>
                </c:pt>
                <c:pt idx="27">
                  <c:v>12133.630303538999</c:v>
                </c:pt>
                <c:pt idx="28">
                  <c:v>12334.576466518</c:v>
                </c:pt>
                <c:pt idx="29">
                  <c:v>12533.981139845999</c:v>
                </c:pt>
                <c:pt idx="30">
                  <c:v>12732.160653791001</c:v>
                </c:pt>
                <c:pt idx="31">
                  <c:v>12929.428270323</c:v>
                </c:pt>
                <c:pt idx="32">
                  <c:v>13126.064558153999</c:v>
                </c:pt>
                <c:pt idx="33">
                  <c:v>13322.32173725</c:v>
                </c:pt>
                <c:pt idx="34">
                  <c:v>13518.431813069001</c:v>
                </c:pt>
                <c:pt idx="35">
                  <c:v>13714.612860956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69-4604-817E-AE29F1EB4142}"/>
            </c:ext>
          </c:extLst>
        </c:ser>
        <c:ser>
          <c:idx val="1"/>
          <c:order val="1"/>
          <c:tx>
            <c:strRef>
              <c:f>Données!$B$332</c:f>
              <c:strCache>
                <c:ptCount val="1"/>
                <c:pt idx="0">
                  <c:v>AUTO_CB_0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Données!$C$332:$AL$332</c:f>
              <c:numCache>
                <c:formatCode>#,##0</c:formatCode>
                <c:ptCount val="36"/>
                <c:pt idx="0">
                  <c:v>8263.1971436354015</c:v>
                </c:pt>
                <c:pt idx="1">
                  <c:v>8195.3051616981993</c:v>
                </c:pt>
                <c:pt idx="2">
                  <c:v>8178.8381792371001</c:v>
                </c:pt>
                <c:pt idx="3">
                  <c:v>8198.9462874256005</c:v>
                </c:pt>
                <c:pt idx="4">
                  <c:v>8245.7443551288998</c:v>
                </c:pt>
                <c:pt idx="5">
                  <c:v>8312.7732065113996</c:v>
                </c:pt>
                <c:pt idx="6">
                  <c:v>8394.6467227280991</c:v>
                </c:pt>
                <c:pt idx="7">
                  <c:v>8488.419294757301</c:v>
                </c:pt>
                <c:pt idx="8">
                  <c:v>8591.9600049658002</c:v>
                </c:pt>
                <c:pt idx="9">
                  <c:v>8703.6415205107005</c:v>
                </c:pt>
                <c:pt idx="10">
                  <c:v>8823.2506407350993</c:v>
                </c:pt>
                <c:pt idx="11">
                  <c:v>8948.6709282177999</c:v>
                </c:pt>
                <c:pt idx="12">
                  <c:v>9079.3876809880003</c:v>
                </c:pt>
                <c:pt idx="13">
                  <c:v>9214.7605217240998</c:v>
                </c:pt>
                <c:pt idx="14">
                  <c:v>9354.1412832049991</c:v>
                </c:pt>
                <c:pt idx="15">
                  <c:v>9496.8958120251991</c:v>
                </c:pt>
                <c:pt idx="16">
                  <c:v>9642.3660274255999</c:v>
                </c:pt>
                <c:pt idx="17">
                  <c:v>9789.9421295205993</c:v>
                </c:pt>
                <c:pt idx="18">
                  <c:v>9939.061254317101</c:v>
                </c:pt>
                <c:pt idx="19">
                  <c:v>10089.206371317701</c:v>
                </c:pt>
                <c:pt idx="20">
                  <c:v>10238.422988796199</c:v>
                </c:pt>
                <c:pt idx="21">
                  <c:v>10387.8852152161</c:v>
                </c:pt>
                <c:pt idx="22">
                  <c:v>10537.2556286007</c:v>
                </c:pt>
                <c:pt idx="23">
                  <c:v>10686.2650265135</c:v>
                </c:pt>
                <c:pt idx="24">
                  <c:v>10834.679164784</c:v>
                </c:pt>
                <c:pt idx="25">
                  <c:v>10978.013773164001</c:v>
                </c:pt>
                <c:pt idx="26">
                  <c:v>11118.680027199001</c:v>
                </c:pt>
                <c:pt idx="27">
                  <c:v>11256.736548154</c:v>
                </c:pt>
                <c:pt idx="28">
                  <c:v>11392.340589154999</c:v>
                </c:pt>
                <c:pt idx="29">
                  <c:v>11525.684895202001</c:v>
                </c:pt>
                <c:pt idx="30">
                  <c:v>11656.963926840001</c:v>
                </c:pt>
                <c:pt idx="31">
                  <c:v>11786.369205089</c:v>
                </c:pt>
                <c:pt idx="32">
                  <c:v>11914.063210098</c:v>
                </c:pt>
                <c:pt idx="33">
                  <c:v>12040.182865319999</c:v>
                </c:pt>
                <c:pt idx="34">
                  <c:v>12164.846651578999</c:v>
                </c:pt>
                <c:pt idx="35">
                  <c:v>12288.159874904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69-4604-817E-AE29F1EB4142}"/>
            </c:ext>
          </c:extLst>
        </c:ser>
        <c:ser>
          <c:idx val="2"/>
          <c:order val="2"/>
          <c:tx>
            <c:strRef>
              <c:f>Données!$B$333</c:f>
              <c:strCache>
                <c:ptCount val="1"/>
                <c:pt idx="0">
                  <c:v>AUTO_CC_0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Données!$C$333:$AL$333</c:f>
              <c:numCache>
                <c:formatCode>#,##0</c:formatCode>
                <c:ptCount val="36"/>
                <c:pt idx="0">
                  <c:v>6787.4105911386005</c:v>
                </c:pt>
                <c:pt idx="1">
                  <c:v>6656.9958132744996</c:v>
                </c:pt>
                <c:pt idx="2">
                  <c:v>6568.000221882</c:v>
                </c:pt>
                <c:pt idx="3">
                  <c:v>6509.4921889950001</c:v>
                </c:pt>
                <c:pt idx="4">
                  <c:v>6474.0705819995001</c:v>
                </c:pt>
                <c:pt idx="5">
                  <c:v>6456.7725694906003</c:v>
                </c:pt>
                <c:pt idx="6">
                  <c:v>6453.4390714936007</c:v>
                </c:pt>
                <c:pt idx="7">
                  <c:v>6461.6399904</c:v>
                </c:pt>
                <c:pt idx="8">
                  <c:v>6479.5466584643</c:v>
                </c:pt>
                <c:pt idx="9">
                  <c:v>6505.7110979662002</c:v>
                </c:pt>
                <c:pt idx="10">
                  <c:v>6539.679465321</c:v>
                </c:pt>
                <c:pt idx="11">
                  <c:v>6579.7306885692005</c:v>
                </c:pt>
                <c:pt idx="12">
                  <c:v>6625.2483225016995</c:v>
                </c:pt>
                <c:pt idx="13">
                  <c:v>6675.5492041319994</c:v>
                </c:pt>
                <c:pt idx="14">
                  <c:v>6729.9651794535002</c:v>
                </c:pt>
                <c:pt idx="15">
                  <c:v>6787.8581389386</c:v>
                </c:pt>
                <c:pt idx="16">
                  <c:v>6848.5940570536004</c:v>
                </c:pt>
                <c:pt idx="17">
                  <c:v>6911.589907435</c:v>
                </c:pt>
                <c:pt idx="18">
                  <c:v>6976.3111595617002</c:v>
                </c:pt>
                <c:pt idx="19">
                  <c:v>7042.2693621685003</c:v>
                </c:pt>
                <c:pt idx="20">
                  <c:v>7108.0478112313003</c:v>
                </c:pt>
                <c:pt idx="21">
                  <c:v>7174.3011656602994</c:v>
                </c:pt>
                <c:pt idx="22">
                  <c:v>7240.6980495748994</c:v>
                </c:pt>
                <c:pt idx="23">
                  <c:v>7306.9610992905</c:v>
                </c:pt>
                <c:pt idx="24">
                  <c:v>7372.8444908347001</c:v>
                </c:pt>
                <c:pt idx="25">
                  <c:v>7435.3746663283</c:v>
                </c:pt>
                <c:pt idx="26">
                  <c:v>7496.0498505150008</c:v>
                </c:pt>
                <c:pt idx="27">
                  <c:v>7554.850112393</c:v>
                </c:pt>
                <c:pt idx="28">
                  <c:v>7611.8215620446999</c:v>
                </c:pt>
                <c:pt idx="29">
                  <c:v>7667.0348769185994</c:v>
                </c:pt>
                <c:pt idx="30">
                  <c:v>7720.5634225781005</c:v>
                </c:pt>
                <c:pt idx="31">
                  <c:v>7772.4800284669009</c:v>
                </c:pt>
                <c:pt idx="32">
                  <c:v>7822.8403586574996</c:v>
                </c:pt>
                <c:pt idx="33">
                  <c:v>7871.6850492342001</c:v>
                </c:pt>
                <c:pt idx="34">
                  <c:v>7919.0441013635</c:v>
                </c:pt>
                <c:pt idx="35">
                  <c:v>7964.9401987804004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69-4604-817E-AE29F1EB4142}"/>
            </c:ext>
          </c:extLst>
        </c:ser>
        <c:ser>
          <c:idx val="3"/>
          <c:order val="3"/>
          <c:tx>
            <c:strRef>
              <c:f>Données!$B$334</c:f>
              <c:strCache>
                <c:ptCount val="1"/>
                <c:pt idx="0">
                  <c:v>AUTO_CD_0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Données!$C$334:$AL$334</c:f>
              <c:numCache>
                <c:formatCode>#,##0</c:formatCode>
                <c:ptCount val="36"/>
                <c:pt idx="0">
                  <c:v>4165.6835237371006</c:v>
                </c:pt>
                <c:pt idx="1">
                  <c:v>4060.9987172930996</c:v>
                </c:pt>
                <c:pt idx="2">
                  <c:v>3980.0841226978996</c:v>
                </c:pt>
                <c:pt idx="3">
                  <c:v>3916.3260007451004</c:v>
                </c:pt>
                <c:pt idx="4">
                  <c:v>3865.234550919</c:v>
                </c:pt>
                <c:pt idx="5">
                  <c:v>3823.7737637604</c:v>
                </c:pt>
                <c:pt idx="6">
                  <c:v>3789.4432812240002</c:v>
                </c:pt>
                <c:pt idx="7">
                  <c:v>3760.7400805492998</c:v>
                </c:pt>
                <c:pt idx="8">
                  <c:v>3736.5314083796998</c:v>
                </c:pt>
                <c:pt idx="9">
                  <c:v>3715.9224879775002</c:v>
                </c:pt>
                <c:pt idx="10">
                  <c:v>3698.558562141</c:v>
                </c:pt>
                <c:pt idx="11">
                  <c:v>3683.4605510420001</c:v>
                </c:pt>
                <c:pt idx="12">
                  <c:v>3670.2130006392999</c:v>
                </c:pt>
                <c:pt idx="13">
                  <c:v>3658.3768016685999</c:v>
                </c:pt>
                <c:pt idx="14">
                  <c:v>3647.536861132</c:v>
                </c:pt>
                <c:pt idx="15">
                  <c:v>3637.3122462459</c:v>
                </c:pt>
                <c:pt idx="16">
                  <c:v>3627.3442466443998</c:v>
                </c:pt>
                <c:pt idx="17">
                  <c:v>3617.3169962462998</c:v>
                </c:pt>
                <c:pt idx="18">
                  <c:v>3606.9541626471005</c:v>
                </c:pt>
                <c:pt idx="19">
                  <c:v>3596.0154470417001</c:v>
                </c:pt>
                <c:pt idx="20">
                  <c:v>3583.8724319261</c:v>
                </c:pt>
                <c:pt idx="21">
                  <c:v>3570.8183097824999</c:v>
                </c:pt>
                <c:pt idx="22">
                  <c:v>3556.7166700448997</c:v>
                </c:pt>
                <c:pt idx="23">
                  <c:v>3541.4608803319998</c:v>
                </c:pt>
                <c:pt idx="24">
                  <c:v>3524.9639363480001</c:v>
                </c:pt>
                <c:pt idx="25">
                  <c:v>3506.0586985038999</c:v>
                </c:pt>
                <c:pt idx="26">
                  <c:v>3485.4094232221996</c:v>
                </c:pt>
                <c:pt idx="27">
                  <c:v>3463.0603656632002</c:v>
                </c:pt>
                <c:pt idx="28">
                  <c:v>3439.0790480424998</c:v>
                </c:pt>
                <c:pt idx="29">
                  <c:v>3413.5391494350997</c:v>
                </c:pt>
                <c:pt idx="30">
                  <c:v>3386.5123409567</c:v>
                </c:pt>
                <c:pt idx="31">
                  <c:v>3358.0674254324003</c:v>
                </c:pt>
                <c:pt idx="32">
                  <c:v>3328.2647224165999</c:v>
                </c:pt>
                <c:pt idx="33">
                  <c:v>3297.1573088851001</c:v>
                </c:pt>
                <c:pt idx="34">
                  <c:v>3264.7931100994997</c:v>
                </c:pt>
                <c:pt idx="35">
                  <c:v>3231.2165584264003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E69-4604-817E-AE29F1EB4142}"/>
            </c:ext>
          </c:extLst>
        </c:ser>
        <c:ser>
          <c:idx val="4"/>
          <c:order val="4"/>
          <c:tx>
            <c:strRef>
              <c:f>Données!$B$335</c:f>
              <c:strCache>
                <c:ptCount val="1"/>
                <c:pt idx="0">
                  <c:v>AUTO_CE_0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Données!$C$335:$AL$335</c:f>
              <c:numCache>
                <c:formatCode>#,##0</c:formatCode>
                <c:ptCount val="36"/>
                <c:pt idx="0">
                  <c:v>2507.3524895615005</c:v>
                </c:pt>
                <c:pt idx="1">
                  <c:v>2446.6946960987998</c:v>
                </c:pt>
                <c:pt idx="2">
                  <c:v>2399.4387836694996</c:v>
                </c:pt>
                <c:pt idx="3">
                  <c:v>2361.3603554939</c:v>
                </c:pt>
                <c:pt idx="4">
                  <c:v>2329.6289887056</c:v>
                </c:pt>
                <c:pt idx="5">
                  <c:v>2302.3596834277996</c:v>
                </c:pt>
                <c:pt idx="6">
                  <c:v>2278.0404037733997</c:v>
                </c:pt>
                <c:pt idx="7">
                  <c:v>2255.7880788060002</c:v>
                </c:pt>
                <c:pt idx="8">
                  <c:v>2234.9614788967006</c:v>
                </c:pt>
                <c:pt idx="9">
                  <c:v>2215.0744910158</c:v>
                </c:pt>
                <c:pt idx="10">
                  <c:v>2195.9623633544002</c:v>
                </c:pt>
                <c:pt idx="11">
                  <c:v>2177.1112742508999</c:v>
                </c:pt>
                <c:pt idx="12">
                  <c:v>2158.3258481225998</c:v>
                </c:pt>
                <c:pt idx="13">
                  <c:v>2139.3993524687999</c:v>
                </c:pt>
                <c:pt idx="14">
                  <c:v>2120.1438696048003</c:v>
                </c:pt>
                <c:pt idx="15">
                  <c:v>2100.3970987547</c:v>
                </c:pt>
                <c:pt idx="16">
                  <c:v>2080.0159046235999</c:v>
                </c:pt>
                <c:pt idx="17">
                  <c:v>2058.8862645602999</c:v>
                </c:pt>
                <c:pt idx="18">
                  <c:v>2036.9202118543999</c:v>
                </c:pt>
                <c:pt idx="19">
                  <c:v>2014.0526423737001</c:v>
                </c:pt>
                <c:pt idx="20">
                  <c:v>1990.0311592701999</c:v>
                </c:pt>
                <c:pt idx="21">
                  <c:v>1965.0654688542002</c:v>
                </c:pt>
                <c:pt idx="22">
                  <c:v>1939.1497028115</c:v>
                </c:pt>
                <c:pt idx="23">
                  <c:v>1912.2926914604</c:v>
                </c:pt>
                <c:pt idx="24">
                  <c:v>1884.5127573466002</c:v>
                </c:pt>
                <c:pt idx="25">
                  <c:v>1855.3353748538</c:v>
                </c:pt>
                <c:pt idx="26">
                  <c:v>1825.1398474969001</c:v>
                </c:pt>
                <c:pt idx="27">
                  <c:v>1794.0127599938</c:v>
                </c:pt>
                <c:pt idx="28">
                  <c:v>1762.0469823011999</c:v>
                </c:pt>
                <c:pt idx="29">
                  <c:v>1729.3338554969</c:v>
                </c:pt>
                <c:pt idx="30">
                  <c:v>1695.9599010375</c:v>
                </c:pt>
                <c:pt idx="31">
                  <c:v>1662.0067894421998</c:v>
                </c:pt>
                <c:pt idx="32">
                  <c:v>1627.5493427027</c:v>
                </c:pt>
                <c:pt idx="33">
                  <c:v>1592.6563962677999</c:v>
                </c:pt>
                <c:pt idx="34">
                  <c:v>1557.3920043879</c:v>
                </c:pt>
                <c:pt idx="35">
                  <c:v>1521.8164187514999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E69-4604-817E-AE29F1EB4142}"/>
            </c:ext>
          </c:extLst>
        </c:ser>
        <c:ser>
          <c:idx val="5"/>
          <c:order val="5"/>
          <c:tx>
            <c:strRef>
              <c:f>Données!$B$336</c:f>
              <c:strCache>
                <c:ptCount val="1"/>
                <c:pt idx="0">
                  <c:v>AUTO_CF_0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Données!$C$336:$AL$336</c:f>
              <c:numCache>
                <c:formatCode>#,##0</c:formatCode>
                <c:ptCount val="36"/>
                <c:pt idx="0">
                  <c:v>1245.466605953</c:v>
                </c:pt>
                <c:pt idx="1">
                  <c:v>1212.6314685032</c:v>
                </c:pt>
                <c:pt idx="2">
                  <c:v>1185.0029924378</c:v>
                </c:pt>
                <c:pt idx="3">
                  <c:v>1160.2754979521001</c:v>
                </c:pt>
                <c:pt idx="4">
                  <c:v>1136.9884101844</c:v>
                </c:pt>
                <c:pt idx="5">
                  <c:v>1114.2408206427999</c:v>
                </c:pt>
                <c:pt idx="6">
                  <c:v>1091.3938783040001</c:v>
                </c:pt>
                <c:pt idx="7">
                  <c:v>1068.1434883555999</c:v>
                </c:pt>
                <c:pt idx="8">
                  <c:v>1044.3267893769003</c:v>
                </c:pt>
                <c:pt idx="9">
                  <c:v>1019.8688948075001</c:v>
                </c:pt>
                <c:pt idx="10">
                  <c:v>994.83189752970009</c:v>
                </c:pt>
                <c:pt idx="11">
                  <c:v>969.15685940670005</c:v>
                </c:pt>
                <c:pt idx="12">
                  <c:v>942.89694829309997</c:v>
                </c:pt>
                <c:pt idx="13">
                  <c:v>916.10120588900008</c:v>
                </c:pt>
                <c:pt idx="14">
                  <c:v>888.82775474280004</c:v>
                </c:pt>
                <c:pt idx="15">
                  <c:v>861.14585161069999</c:v>
                </c:pt>
                <c:pt idx="16">
                  <c:v>833.13238477729999</c:v>
                </c:pt>
                <c:pt idx="17">
                  <c:v>804.87234993519996</c:v>
                </c:pt>
                <c:pt idx="18">
                  <c:v>776.45562097269999</c:v>
                </c:pt>
                <c:pt idx="19">
                  <c:v>747.97400502699998</c:v>
                </c:pt>
                <c:pt idx="20">
                  <c:v>719.47355795249996</c:v>
                </c:pt>
                <c:pt idx="21">
                  <c:v>691.09933932879994</c:v>
                </c:pt>
                <c:pt idx="22">
                  <c:v>662.93761837190004</c:v>
                </c:pt>
                <c:pt idx="23">
                  <c:v>635.06964048980012</c:v>
                </c:pt>
                <c:pt idx="24">
                  <c:v>607.57054758550009</c:v>
                </c:pt>
                <c:pt idx="25">
                  <c:v>580.42562443500003</c:v>
                </c:pt>
                <c:pt idx="26">
                  <c:v>553.76500613529993</c:v>
                </c:pt>
                <c:pt idx="27">
                  <c:v>527.65615934629989</c:v>
                </c:pt>
                <c:pt idx="28">
                  <c:v>502.15783814810004</c:v>
                </c:pt>
                <c:pt idx="29">
                  <c:v>477.31954728660003</c:v>
                </c:pt>
                <c:pt idx="30">
                  <c:v>453.18194935640003</c:v>
                </c:pt>
                <c:pt idx="31">
                  <c:v>429.77771477390002</c:v>
                </c:pt>
                <c:pt idx="32">
                  <c:v>407.13206915889998</c:v>
                </c:pt>
                <c:pt idx="33">
                  <c:v>385.2636297139</c:v>
                </c:pt>
                <c:pt idx="34">
                  <c:v>364.18521539609998</c:v>
                </c:pt>
                <c:pt idx="35">
                  <c:v>343.90455112220002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E69-4604-817E-AE29F1EB4142}"/>
            </c:ext>
          </c:extLst>
        </c:ser>
        <c:ser>
          <c:idx val="6"/>
          <c:order val="6"/>
          <c:tx>
            <c:strRef>
              <c:f>Données!$B$337</c:f>
              <c:strCache>
                <c:ptCount val="1"/>
                <c:pt idx="0">
                  <c:v>AUTO_CG_0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Données!$C$330:$AL$330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Données!$C$337:$AL$337</c:f>
              <c:numCache>
                <c:formatCode>#,##0</c:formatCode>
                <c:ptCount val="36"/>
                <c:pt idx="0">
                  <c:v>2242.8616504070001</c:v>
                </c:pt>
                <c:pt idx="1">
                  <c:v>2187.1029397478001</c:v>
                </c:pt>
                <c:pt idx="2">
                  <c:v>2138.2413446746</c:v>
                </c:pt>
                <c:pt idx="3">
                  <c:v>2091.7361463885004</c:v>
                </c:pt>
                <c:pt idx="4">
                  <c:v>2044.9332769629</c:v>
                </c:pt>
                <c:pt idx="5">
                  <c:v>1996.40005152</c:v>
                </c:pt>
                <c:pt idx="6">
                  <c:v>1945.3145307459999</c:v>
                </c:pt>
                <c:pt idx="7">
                  <c:v>1891.5123180774001</c:v>
                </c:pt>
                <c:pt idx="8">
                  <c:v>1835.1058537890999</c:v>
                </c:pt>
                <c:pt idx="9">
                  <c:v>1776.3633411400001</c:v>
                </c:pt>
                <c:pt idx="10">
                  <c:v>1715.7562740755</c:v>
                </c:pt>
                <c:pt idx="11">
                  <c:v>1653.5603519729</c:v>
                </c:pt>
                <c:pt idx="12">
                  <c:v>1590.1839844198</c:v>
                </c:pt>
                <c:pt idx="13">
                  <c:v>1526.0023956906</c:v>
                </c:pt>
                <c:pt idx="14">
                  <c:v>1461.3784197965001</c:v>
                </c:pt>
                <c:pt idx="15">
                  <c:v>1396.6642018338</c:v>
                </c:pt>
                <c:pt idx="16">
                  <c:v>1332.1946626729</c:v>
                </c:pt>
                <c:pt idx="17">
                  <c:v>1268.2856894300999</c:v>
                </c:pt>
                <c:pt idx="18">
                  <c:v>1205.2287702225001</c:v>
                </c:pt>
                <c:pt idx="19">
                  <c:v>1143.2870530347</c:v>
                </c:pt>
                <c:pt idx="20">
                  <c:v>1082.6508032125</c:v>
                </c:pt>
                <c:pt idx="21">
                  <c:v>1023.5764768284999</c:v>
                </c:pt>
                <c:pt idx="22">
                  <c:v>966.23396869329997</c:v>
                </c:pt>
                <c:pt idx="23">
                  <c:v>910.76236853569992</c:v>
                </c:pt>
                <c:pt idx="24">
                  <c:v>857.271555885</c:v>
                </c:pt>
                <c:pt idx="25">
                  <c:v>805.78314343759996</c:v>
                </c:pt>
                <c:pt idx="26">
                  <c:v>756.41141384370007</c:v>
                </c:pt>
                <c:pt idx="27">
                  <c:v>709.20243488329993</c:v>
                </c:pt>
                <c:pt idx="28">
                  <c:v>664.17910833600013</c:v>
                </c:pt>
                <c:pt idx="29">
                  <c:v>621.34362292769993</c:v>
                </c:pt>
                <c:pt idx="30">
                  <c:v>580.68041203029998</c:v>
                </c:pt>
                <c:pt idx="31">
                  <c:v>542.15909447219997</c:v>
                </c:pt>
                <c:pt idx="32">
                  <c:v>505.73694153179997</c:v>
                </c:pt>
                <c:pt idx="33">
                  <c:v>471.36122889749998</c:v>
                </c:pt>
                <c:pt idx="34">
                  <c:v>438.97131518430001</c:v>
                </c:pt>
                <c:pt idx="35">
                  <c:v>408.50042831699994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69-4604-817E-AE29F1EB41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8480504"/>
        <c:axId val="748481488"/>
      </c:areaChart>
      <c:dateAx>
        <c:axId val="748480504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1488"/>
        <c:crosses val="autoZero"/>
        <c:auto val="1"/>
        <c:lblOffset val="100"/>
        <c:baseTimeUnit val="years"/>
        <c:majorUnit val="5"/>
        <c:majorTimeUnit val="years"/>
      </c:dateAx>
      <c:valAx>
        <c:axId val="748481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8480504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(shock)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9110930698597887"/>
          <c:y val="1.886029373546185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Données!$B$298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Données!$C$298:$AL$298</c:f>
              <c:numCache>
                <c:formatCode>#,##0</c:formatCode>
                <c:ptCount val="36"/>
                <c:pt idx="0">
                  <c:v>32271.24</c:v>
                </c:pt>
                <c:pt idx="1">
                  <c:v>31848.029620000001</c:v>
                </c:pt>
                <c:pt idx="2">
                  <c:v>31611.622210000001</c:v>
                </c:pt>
                <c:pt idx="3">
                  <c:v>31504.424220000001</c:v>
                </c:pt>
                <c:pt idx="4">
                  <c:v>31488.463520000001</c:v>
                </c:pt>
                <c:pt idx="5">
                  <c:v>31539.17986</c:v>
                </c:pt>
                <c:pt idx="6">
                  <c:v>31636.674210000001</c:v>
                </c:pt>
                <c:pt idx="7">
                  <c:v>31770.249220000002</c:v>
                </c:pt>
                <c:pt idx="8">
                  <c:v>31932.428309999999</c:v>
                </c:pt>
                <c:pt idx="9">
                  <c:v>32117.723310000001</c:v>
                </c:pt>
                <c:pt idx="10">
                  <c:v>32325.665389999998</c:v>
                </c:pt>
                <c:pt idx="11">
                  <c:v>32549.333610000001</c:v>
                </c:pt>
                <c:pt idx="12">
                  <c:v>32787.269890000003</c:v>
                </c:pt>
                <c:pt idx="13">
                  <c:v>33037.599179999997</c:v>
                </c:pt>
                <c:pt idx="14">
                  <c:v>33298.458839999999</c:v>
                </c:pt>
                <c:pt idx="15">
                  <c:v>33568.077319999997</c:v>
                </c:pt>
                <c:pt idx="16">
                  <c:v>33844.642440000003</c:v>
                </c:pt>
                <c:pt idx="17">
                  <c:v>34126.526720000002</c:v>
                </c:pt>
                <c:pt idx="18">
                  <c:v>34412.269039999999</c:v>
                </c:pt>
                <c:pt idx="19">
                  <c:v>34700.558559999998</c:v>
                </c:pt>
                <c:pt idx="20">
                  <c:v>34985.47294</c:v>
                </c:pt>
                <c:pt idx="21">
                  <c:v>35271.141880000003</c:v>
                </c:pt>
                <c:pt idx="22">
                  <c:v>35556.78815</c:v>
                </c:pt>
                <c:pt idx="23">
                  <c:v>35841.823980000001</c:v>
                </c:pt>
                <c:pt idx="24">
                  <c:v>36125.745779999997</c:v>
                </c:pt>
                <c:pt idx="25">
                  <c:v>36394.701970000002</c:v>
                </c:pt>
                <c:pt idx="26">
                  <c:v>36656.555070000002</c:v>
                </c:pt>
                <c:pt idx="27">
                  <c:v>36911.704819999999</c:v>
                </c:pt>
                <c:pt idx="28">
                  <c:v>37160.814590000002</c:v>
                </c:pt>
                <c:pt idx="29">
                  <c:v>37404.616309999998</c:v>
                </c:pt>
                <c:pt idx="30">
                  <c:v>37643.810299999997</c:v>
                </c:pt>
                <c:pt idx="31">
                  <c:v>37879.055249999998</c:v>
                </c:pt>
                <c:pt idx="32">
                  <c:v>38110.892140000004</c:v>
                </c:pt>
                <c:pt idx="33">
                  <c:v>38339.759160000001</c:v>
                </c:pt>
                <c:pt idx="34">
                  <c:v>38566.017050000002</c:v>
                </c:pt>
                <c:pt idx="35">
                  <c:v>38789.968520000002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2B-4332-9B45-E28FEF7596CF}"/>
            </c:ext>
          </c:extLst>
        </c:ser>
        <c:ser>
          <c:idx val="2"/>
          <c:order val="2"/>
          <c:tx>
            <c:strRef>
              <c:f>Données!$B$299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Données!$C$299:$AL$299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1.9904292539999999</c:v>
                </c:pt>
                <c:pt idx="2">
                  <c:v>2.0543833089999999</c:v>
                </c:pt>
                <c:pt idx="3">
                  <c:v>2.1236496580000002</c:v>
                </c:pt>
                <c:pt idx="4">
                  <c:v>2.1955509559999999</c:v>
                </c:pt>
                <c:pt idx="5">
                  <c:v>2.268455678</c:v>
                </c:pt>
                <c:pt idx="6">
                  <c:v>2.3410652970000001</c:v>
                </c:pt>
                <c:pt idx="7">
                  <c:v>2.4128053870000001</c:v>
                </c:pt>
                <c:pt idx="8">
                  <c:v>2.4833380680000001</c:v>
                </c:pt>
                <c:pt idx="9">
                  <c:v>2.5524647460000001</c:v>
                </c:pt>
                <c:pt idx="10">
                  <c:v>2.6203850339999999</c:v>
                </c:pt>
                <c:pt idx="11">
                  <c:v>2.686740962</c:v>
                </c:pt>
                <c:pt idx="12">
                  <c:v>2.7516106210000002</c:v>
                </c:pt>
                <c:pt idx="13">
                  <c:v>2.8150226599999999</c:v>
                </c:pt>
                <c:pt idx="14">
                  <c:v>2.8769927210000001</c:v>
                </c:pt>
                <c:pt idx="15">
                  <c:v>2.9375309449999998</c:v>
                </c:pt>
                <c:pt idx="16">
                  <c:v>2.9966318410000001</c:v>
                </c:pt>
                <c:pt idx="17">
                  <c:v>3.0542939310000001</c:v>
                </c:pt>
                <c:pt idx="18">
                  <c:v>3.1105191680000002</c:v>
                </c:pt>
                <c:pt idx="19">
                  <c:v>3.1653124520000002</c:v>
                </c:pt>
                <c:pt idx="20">
                  <c:v>3.218282393</c:v>
                </c:pt>
                <c:pt idx="21">
                  <c:v>3.2698678229999998</c:v>
                </c:pt>
                <c:pt idx="22">
                  <c:v>3.320094911</c:v>
                </c:pt>
                <c:pt idx="23">
                  <c:v>3.368999026</c:v>
                </c:pt>
                <c:pt idx="24">
                  <c:v>3.4166165570000002</c:v>
                </c:pt>
                <c:pt idx="25">
                  <c:v>3.4618569460000002</c:v>
                </c:pt>
                <c:pt idx="26">
                  <c:v>3.5054314600000001</c:v>
                </c:pt>
                <c:pt idx="27">
                  <c:v>3.5474313610000001</c:v>
                </c:pt>
                <c:pt idx="28">
                  <c:v>3.5879669660000002</c:v>
                </c:pt>
                <c:pt idx="29">
                  <c:v>3.6271517969999998</c:v>
                </c:pt>
                <c:pt idx="30">
                  <c:v>3.6650944070000002</c:v>
                </c:pt>
                <c:pt idx="31">
                  <c:v>3.7018976499999998</c:v>
                </c:pt>
                <c:pt idx="32">
                  <c:v>3.737652363</c:v>
                </c:pt>
                <c:pt idx="33">
                  <c:v>3.7724386139999999</c:v>
                </c:pt>
                <c:pt idx="34">
                  <c:v>3.8063278199999999</c:v>
                </c:pt>
                <c:pt idx="35">
                  <c:v>3.8393844189999999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2B-4332-9B45-E28FEF7596CF}"/>
            </c:ext>
          </c:extLst>
        </c:ser>
        <c:ser>
          <c:idx val="3"/>
          <c:order val="3"/>
          <c:tx>
            <c:strRef>
              <c:f>Données!$B$300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cat>
            <c:numRef>
              <c:f>Données!$C$296:$AL$296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Données!$C$300:$AL$300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62.282239580000002</c:v>
                </c:pt>
                <c:pt idx="2">
                  <c:v>80.55733755</c:v>
                </c:pt>
                <c:pt idx="3">
                  <c:v>99.194617019999995</c:v>
                </c:pt>
                <c:pt idx="4">
                  <c:v>117.9557882</c:v>
                </c:pt>
                <c:pt idx="5">
                  <c:v>136.7066475</c:v>
                </c:pt>
                <c:pt idx="6">
                  <c:v>155.33927879999999</c:v>
                </c:pt>
                <c:pt idx="7">
                  <c:v>173.81734460000001</c:v>
                </c:pt>
                <c:pt idx="8">
                  <c:v>192.1250751</c:v>
                </c:pt>
                <c:pt idx="9">
                  <c:v>210.25836090000001</c:v>
                </c:pt>
                <c:pt idx="10">
                  <c:v>228.25659390000001</c:v>
                </c:pt>
                <c:pt idx="11">
                  <c:v>246.0947907</c:v>
                </c:pt>
                <c:pt idx="12">
                  <c:v>263.79667069999999</c:v>
                </c:pt>
                <c:pt idx="13">
                  <c:v>281.37967830000002</c:v>
                </c:pt>
                <c:pt idx="14">
                  <c:v>298.85933829999999</c:v>
                </c:pt>
                <c:pt idx="15">
                  <c:v>316.25053050000002</c:v>
                </c:pt>
                <c:pt idx="16">
                  <c:v>333.56663150000003</c:v>
                </c:pt>
                <c:pt idx="17">
                  <c:v>350.82224220000001</c:v>
                </c:pt>
                <c:pt idx="18">
                  <c:v>368.03355979999998</c:v>
                </c:pt>
                <c:pt idx="19">
                  <c:v>385.21869299999997</c:v>
                </c:pt>
                <c:pt idx="20">
                  <c:v>402.3461504</c:v>
                </c:pt>
                <c:pt idx="21">
                  <c:v>419.49262859999999</c:v>
                </c:pt>
                <c:pt idx="22">
                  <c:v>436.68590660000001</c:v>
                </c:pt>
                <c:pt idx="23">
                  <c:v>453.9577587</c:v>
                </c:pt>
                <c:pt idx="24">
                  <c:v>471.34306800000002</c:v>
                </c:pt>
                <c:pt idx="25">
                  <c:v>488.72197560000001</c:v>
                </c:pt>
                <c:pt idx="26">
                  <c:v>506.22314820000003</c:v>
                </c:pt>
                <c:pt idx="27">
                  <c:v>523.89642739999999</c:v>
                </c:pt>
                <c:pt idx="28">
                  <c:v>541.79903979999995</c:v>
                </c:pt>
                <c:pt idx="29">
                  <c:v>559.99361590000001</c:v>
                </c:pt>
                <c:pt idx="30">
                  <c:v>578.54720699999996</c:v>
                </c:pt>
                <c:pt idx="31">
                  <c:v>597.53137790000005</c:v>
                </c:pt>
                <c:pt idx="32">
                  <c:v>617.0214095</c:v>
                </c:pt>
                <c:pt idx="33">
                  <c:v>637.09660919999999</c:v>
                </c:pt>
                <c:pt idx="34">
                  <c:v>657.84082880000005</c:v>
                </c:pt>
                <c:pt idx="35">
                  <c:v>679.34299209999995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2B-4332-9B45-E28FEF7596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Données!$B$297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Données!$C$296:$AL$296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Données!$C$297:$AL$297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31912.30229</c:v>
                      </c:pt>
                      <c:pt idx="2">
                        <c:v>31694.233929999999</c:v>
                      </c:pt>
                      <c:pt idx="3">
                        <c:v>31605.742480000001</c:v>
                      </c:pt>
                      <c:pt idx="4">
                        <c:v>31608.614860000001</c:v>
                      </c:pt>
                      <c:pt idx="5">
                        <c:v>31678.15496</c:v>
                      </c:pt>
                      <c:pt idx="6">
                        <c:v>31794.35455</c:v>
                      </c:pt>
                      <c:pt idx="7">
                        <c:v>31946.479370000001</c:v>
                      </c:pt>
                      <c:pt idx="8">
                        <c:v>32127.03672</c:v>
                      </c:pt>
                      <c:pt idx="9">
                        <c:v>32330.53414</c:v>
                      </c:pt>
                      <c:pt idx="10">
                        <c:v>32556.542369999999</c:v>
                      </c:pt>
                      <c:pt idx="11">
                        <c:v>32798.115140000002</c:v>
                      </c:pt>
                      <c:pt idx="12">
                        <c:v>33053.818160000003</c:v>
                      </c:pt>
                      <c:pt idx="13">
                        <c:v>33321.793870000001</c:v>
                      </c:pt>
                      <c:pt idx="14">
                        <c:v>33600.195160000003</c:v>
                      </c:pt>
                      <c:pt idx="15">
                        <c:v>33887.265379999997</c:v>
                      </c:pt>
                      <c:pt idx="16">
                        <c:v>34181.205690000003</c:v>
                      </c:pt>
                      <c:pt idx="17">
                        <c:v>34480.40324</c:v>
                      </c:pt>
                      <c:pt idx="18">
                        <c:v>34783.413099999998</c:v>
                      </c:pt>
                      <c:pt idx="19">
                        <c:v>35088.94255</c:v>
                      </c:pt>
                      <c:pt idx="20">
                        <c:v>35391.037349999999</c:v>
                      </c:pt>
                      <c:pt idx="21">
                        <c:v>35693.90436</c:v>
                      </c:pt>
                      <c:pt idx="22">
                        <c:v>35996.794130000002</c:v>
                      </c:pt>
                      <c:pt idx="23">
                        <c:v>36299.150710000002</c:v>
                      </c:pt>
                      <c:pt idx="24">
                        <c:v>36600.505440000001</c:v>
                      </c:pt>
                      <c:pt idx="25">
                        <c:v>36886.885779999997</c:v>
                      </c:pt>
                      <c:pt idx="26">
                        <c:v>37166.283609999999</c:v>
                      </c:pt>
                      <c:pt idx="27">
                        <c:v>37439.148650000003</c:v>
                      </c:pt>
                      <c:pt idx="28">
                        <c:v>37706.201560000001</c:v>
                      </c:pt>
                      <c:pt idx="29">
                        <c:v>37968.237050000003</c:v>
                      </c:pt>
                      <c:pt idx="30">
                        <c:v>38226.022570000001</c:v>
                      </c:pt>
                      <c:pt idx="31">
                        <c:v>38480.288489999999</c:v>
                      </c:pt>
                      <c:pt idx="32">
                        <c:v>38731.651169999997</c:v>
                      </c:pt>
                      <c:pt idx="33">
                        <c:v>38980.628170000004</c:v>
                      </c:pt>
                      <c:pt idx="34">
                        <c:v>39227.664169999996</c:v>
                      </c:pt>
                      <c:pt idx="35">
                        <c:v>39473.150849999998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A2B-4332-9B45-E28FEF7596CF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Vehicles by energy</a:t>
            </a:r>
            <a:r>
              <a:rPr lang="fr-FR" sz="2800" baseline="0"/>
              <a:t> (baseline)</a:t>
            </a:r>
          </a:p>
          <a:p>
            <a:pPr>
              <a:defRPr sz="2800"/>
            </a:pPr>
            <a:r>
              <a:rPr lang="fr-FR" sz="1800" i="1" baseline="0"/>
              <a:t>thousands</a:t>
            </a:r>
            <a:endParaRPr lang="fr-FR" sz="1800" i="1"/>
          </a:p>
        </c:rich>
      </c:tx>
      <c:layout>
        <c:manualLayout>
          <c:xMode val="edge"/>
          <c:yMode val="edge"/>
          <c:x val="0.28700858772412563"/>
          <c:y val="2.09558819282909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1"/>
          <c:order val="1"/>
          <c:tx>
            <c:strRef>
              <c:f>Données!$B$304</c:f>
              <c:strCache>
                <c:ptCount val="1"/>
                <c:pt idx="0">
                  <c:v>Fuel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Données!$C$304:$AL$304</c:f>
              <c:numCache>
                <c:formatCode>#,##0</c:formatCode>
                <c:ptCount val="36"/>
                <c:pt idx="0">
                  <c:v>32271.24</c:v>
                </c:pt>
                <c:pt idx="1">
                  <c:v>31874.761320000001</c:v>
                </c:pt>
                <c:pt idx="2">
                  <c:v>31684.176340000002</c:v>
                </c:pt>
                <c:pt idx="3">
                  <c:v>31633.507590000001</c:v>
                </c:pt>
                <c:pt idx="4">
                  <c:v>31679.119419999999</c:v>
                </c:pt>
                <c:pt idx="5">
                  <c:v>31792.640299999999</c:v>
                </c:pt>
                <c:pt idx="6">
                  <c:v>31951.767879999999</c:v>
                </c:pt>
                <c:pt idx="7">
                  <c:v>32144.386200000001</c:v>
                </c:pt>
                <c:pt idx="8">
                  <c:v>32362.319500000001</c:v>
                </c:pt>
                <c:pt idx="9">
                  <c:v>32599.856250000001</c:v>
                </c:pt>
                <c:pt idx="10">
                  <c:v>32859.527309999998</c:v>
                </c:pt>
                <c:pt idx="11">
                  <c:v>33131.036670000001</c:v>
                </c:pt>
                <c:pt idx="12">
                  <c:v>33411.648289999997</c:v>
                </c:pt>
                <c:pt idx="13">
                  <c:v>33699.027430000002</c:v>
                </c:pt>
                <c:pt idx="14">
                  <c:v>33991.267699999997</c:v>
                </c:pt>
                <c:pt idx="15">
                  <c:v>34286.840470000003</c:v>
                </c:pt>
                <c:pt idx="16">
                  <c:v>34584.527479999997</c:v>
                </c:pt>
                <c:pt idx="17">
                  <c:v>34883.357620000002</c:v>
                </c:pt>
                <c:pt idx="18">
                  <c:v>35182.555240000002</c:v>
                </c:pt>
                <c:pt idx="19">
                  <c:v>35481.50131</c:v>
                </c:pt>
                <c:pt idx="20">
                  <c:v>35774.879959999998</c:v>
                </c:pt>
                <c:pt idx="21">
                  <c:v>36067.46789</c:v>
                </c:pt>
                <c:pt idx="22">
                  <c:v>36359.082430000002</c:v>
                </c:pt>
                <c:pt idx="23">
                  <c:v>36649.656450000002</c:v>
                </c:pt>
                <c:pt idx="24">
                  <c:v>36939.133880000001</c:v>
                </c:pt>
                <c:pt idx="25">
                  <c:v>37213.866650000004</c:v>
                </c:pt>
                <c:pt idx="26">
                  <c:v>37481.938439999998</c:v>
                </c:pt>
                <c:pt idx="27">
                  <c:v>37744.01225</c:v>
                </c:pt>
                <c:pt idx="28">
                  <c:v>38001.003340000003</c:v>
                </c:pt>
                <c:pt idx="29">
                  <c:v>38253.856570000004</c:v>
                </c:pt>
                <c:pt idx="30">
                  <c:v>38503.441050000001</c:v>
                </c:pt>
                <c:pt idx="31">
                  <c:v>38750.5072</c:v>
                </c:pt>
                <c:pt idx="32">
                  <c:v>38995.679929999998</c:v>
                </c:pt>
                <c:pt idx="33">
                  <c:v>39239.471109999999</c:v>
                </c:pt>
                <c:pt idx="34">
                  <c:v>39482.299700000003</c:v>
                </c:pt>
                <c:pt idx="35">
                  <c:v>39724.512499999997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D4-4D49-89F4-ABF65BD94CDB}"/>
            </c:ext>
          </c:extLst>
        </c:ser>
        <c:ser>
          <c:idx val="2"/>
          <c:order val="2"/>
          <c:tx>
            <c:strRef>
              <c:f>Données!$B$305</c:f>
              <c:strCache>
                <c:ptCount val="1"/>
                <c:pt idx="0">
                  <c:v>Gas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Données!$C$305:$AL$305</c:f>
              <c:numCache>
                <c:formatCode>#,##0</c:formatCode>
                <c:ptCount val="36"/>
                <c:pt idx="0">
                  <c:v>1.9359999999999999</c:v>
                </c:pt>
                <c:pt idx="1">
                  <c:v>1.992675011</c:v>
                </c:pt>
                <c:pt idx="2">
                  <c:v>2.060513061</c:v>
                </c:pt>
                <c:pt idx="3">
                  <c:v>2.1346197249999999</c:v>
                </c:pt>
                <c:pt idx="4">
                  <c:v>2.2118520859999999</c:v>
                </c:pt>
                <c:pt idx="5">
                  <c:v>2.2902607339999999</c:v>
                </c:pt>
                <c:pt idx="6">
                  <c:v>2.3683424839999998</c:v>
                </c:pt>
                <c:pt idx="7">
                  <c:v>2.4453980629999998</c:v>
                </c:pt>
                <c:pt idx="8">
                  <c:v>2.5210237100000001</c:v>
                </c:pt>
                <c:pt idx="9">
                  <c:v>2.5949944669999998</c:v>
                </c:pt>
                <c:pt idx="10">
                  <c:v>2.6677545500000002</c:v>
                </c:pt>
                <c:pt idx="11">
                  <c:v>2.7386593590000001</c:v>
                </c:pt>
                <c:pt idx="12">
                  <c:v>2.8076723860000001</c:v>
                </c:pt>
                <c:pt idx="13">
                  <c:v>2.8747752329999998</c:v>
                </c:pt>
                <c:pt idx="14">
                  <c:v>2.9399713740000002</c:v>
                </c:pt>
                <c:pt idx="15">
                  <c:v>3.0032833380000001</c:v>
                </c:pt>
                <c:pt idx="16">
                  <c:v>3.064748324</c:v>
                </c:pt>
                <c:pt idx="17">
                  <c:v>3.1244140090000001</c:v>
                </c:pt>
                <c:pt idx="18">
                  <c:v>3.182335159</c:v>
                </c:pt>
                <c:pt idx="19">
                  <c:v>3.2385712039999999</c:v>
                </c:pt>
                <c:pt idx="20">
                  <c:v>3.2927792280000001</c:v>
                </c:pt>
                <c:pt idx="21">
                  <c:v>3.3454508789999999</c:v>
                </c:pt>
                <c:pt idx="22">
                  <c:v>3.3966616620000001</c:v>
                </c:pt>
                <c:pt idx="23">
                  <c:v>3.4464908809999999</c:v>
                </c:pt>
                <c:pt idx="24">
                  <c:v>3.495013368</c:v>
                </c:pt>
                <c:pt idx="25">
                  <c:v>3.5411570380000001</c:v>
                </c:pt>
                <c:pt idx="26">
                  <c:v>3.585653287</c:v>
                </c:pt>
                <c:pt idx="27">
                  <c:v>3.6286172290000001</c:v>
                </c:pt>
                <c:pt idx="28">
                  <c:v>3.6701823120000001</c:v>
                </c:pt>
                <c:pt idx="29">
                  <c:v>3.7104821129999999</c:v>
                </c:pt>
                <c:pt idx="30">
                  <c:v>3.7496416749999999</c:v>
                </c:pt>
                <c:pt idx="31">
                  <c:v>3.7877739350000001</c:v>
                </c:pt>
                <c:pt idx="32">
                  <c:v>3.824979135</c:v>
                </c:pt>
                <c:pt idx="33">
                  <c:v>3.8613458399999998</c:v>
                </c:pt>
                <c:pt idx="34">
                  <c:v>3.8969526210000001</c:v>
                </c:pt>
                <c:pt idx="35">
                  <c:v>3.9318698150000002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D4-4D49-89F4-ABF65BD94CDB}"/>
            </c:ext>
          </c:extLst>
        </c:ser>
        <c:ser>
          <c:idx val="3"/>
          <c:order val="3"/>
          <c:tx>
            <c:strRef>
              <c:f>Données!$B$306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00B050"/>
            </a:solidFill>
            <a:ln w="25400">
              <a:noFill/>
            </a:ln>
            <a:effectLst/>
          </c:spPr>
          <c:cat>
            <c:numRef>
              <c:f>Données!$C$302:$AL$302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Données!$C$306:$AL$306</c:f>
              <c:numCache>
                <c:formatCode>#,##0</c:formatCode>
                <c:ptCount val="36"/>
                <c:pt idx="0">
                  <c:v>44.765000000000001</c:v>
                </c:pt>
                <c:pt idx="1">
                  <c:v>62.527371019999997</c:v>
                </c:pt>
                <c:pt idx="2">
                  <c:v>81.219025709999997</c:v>
                </c:pt>
                <c:pt idx="3">
                  <c:v>100.35870540000001</c:v>
                </c:pt>
                <c:pt idx="4">
                  <c:v>119.64367489999999</c:v>
                </c:pt>
                <c:pt idx="5">
                  <c:v>138.89067990000001</c:v>
                </c:pt>
                <c:pt idx="6">
                  <c:v>157.95549130000001</c:v>
                </c:pt>
                <c:pt idx="7">
                  <c:v>176.77435149999999</c:v>
                </c:pt>
                <c:pt idx="8">
                  <c:v>195.3109044</c:v>
                </c:pt>
                <c:pt idx="9">
                  <c:v>213.5451764</c:v>
                </c:pt>
                <c:pt idx="10">
                  <c:v>231.53059099999999</c:v>
                </c:pt>
                <c:pt idx="11">
                  <c:v>249.19786310000001</c:v>
                </c:pt>
                <c:pt idx="12">
                  <c:v>266.54386360000001</c:v>
                </c:pt>
                <c:pt idx="13">
                  <c:v>283.56735750000001</c:v>
                </c:pt>
                <c:pt idx="14">
                  <c:v>300.26977629999999</c:v>
                </c:pt>
                <c:pt idx="15">
                  <c:v>316.65513570000002</c:v>
                </c:pt>
                <c:pt idx="16">
                  <c:v>332.72971460000002</c:v>
                </c:pt>
                <c:pt idx="17">
                  <c:v>348.5017201</c:v>
                </c:pt>
                <c:pt idx="18">
                  <c:v>363.9810195</c:v>
                </c:pt>
                <c:pt idx="19">
                  <c:v>379.1789574</c:v>
                </c:pt>
                <c:pt idx="20">
                  <c:v>394.06073959999998</c:v>
                </c:pt>
                <c:pt idx="21">
                  <c:v>408.68932119999999</c:v>
                </c:pt>
                <c:pt idx="22">
                  <c:v>423.08158809999998</c:v>
                </c:pt>
                <c:pt idx="23">
                  <c:v>437.25609750000001</c:v>
                </c:pt>
                <c:pt idx="24">
                  <c:v>451.232078</c:v>
                </c:pt>
                <c:pt idx="25">
                  <c:v>464.89240769999998</c:v>
                </c:pt>
                <c:pt idx="26">
                  <c:v>478.33367079999999</c:v>
                </c:pt>
                <c:pt idx="27">
                  <c:v>491.58281040000003</c:v>
                </c:pt>
                <c:pt idx="28">
                  <c:v>504.67099910000002</c:v>
                </c:pt>
                <c:pt idx="29">
                  <c:v>517.63145540000005</c:v>
                </c:pt>
                <c:pt idx="30">
                  <c:v>530.49837419999994</c:v>
                </c:pt>
                <c:pt idx="31">
                  <c:v>543.30644930000005</c:v>
                </c:pt>
                <c:pt idx="32">
                  <c:v>556.09075170000006</c:v>
                </c:pt>
                <c:pt idx="33">
                  <c:v>568.88681429999997</c:v>
                </c:pt>
                <c:pt idx="34">
                  <c:v>581.73082739999995</c:v>
                </c:pt>
                <c:pt idx="35">
                  <c:v>594.65988200000004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D4-4D49-89F4-ABF65BD94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9189616"/>
        <c:axId val="749190272"/>
        <c:extLst>
          <c:ext xmlns:c15="http://schemas.microsoft.com/office/drawing/2012/chart" uri="{02D57815-91ED-43cb-92C2-25804820EDAC}">
            <c15:filteredArea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Données!$B$303</c15:sqref>
                        </c15:formulaRef>
                      </c:ext>
                    </c:extLst>
                    <c:strCache>
                      <c:ptCount val="1"/>
                      <c:pt idx="0">
                        <c:v>Vehicles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 w="25400">
                    <a:noFill/>
                  </a:ln>
                  <a:effectLst/>
                </c:spPr>
                <c:cat>
                  <c:numRef>
                    <c:extLst>
                      <c:ext uri="{02D57815-91ED-43cb-92C2-25804820EDAC}">
                        <c15:formulaRef>
                          <c15:sqref>Données!$C$302:$AL$302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Données!$C$303:$AL$303</c15:sqref>
                        </c15:formulaRef>
                      </c:ext>
                    </c:extLst>
                    <c:numCache>
                      <c:formatCode>#,##0</c:formatCode>
                      <c:ptCount val="36"/>
                      <c:pt idx="0">
                        <c:v>32317.940999999999</c:v>
                      </c:pt>
                      <c:pt idx="1">
                        <c:v>31939.281370000001</c:v>
                      </c:pt>
                      <c:pt idx="2">
                        <c:v>31767.455890000001</c:v>
                      </c:pt>
                      <c:pt idx="3">
                        <c:v>31736.000919999999</c:v>
                      </c:pt>
                      <c:pt idx="4">
                        <c:v>31800.97495</c:v>
                      </c:pt>
                      <c:pt idx="5">
                        <c:v>31933.821240000001</c:v>
                      </c:pt>
                      <c:pt idx="6">
                        <c:v>32112.09172</c:v>
                      </c:pt>
                      <c:pt idx="7">
                        <c:v>32323.605950000001</c:v>
                      </c:pt>
                      <c:pt idx="8">
                        <c:v>32560.151430000002</c:v>
                      </c:pt>
                      <c:pt idx="9">
                        <c:v>32815.996420000003</c:v>
                      </c:pt>
                      <c:pt idx="10">
                        <c:v>33093.72565</c:v>
                      </c:pt>
                      <c:pt idx="11">
                        <c:v>33382.973189999997</c:v>
                      </c:pt>
                      <c:pt idx="12">
                        <c:v>33680.999819999997</c:v>
                      </c:pt>
                      <c:pt idx="13">
                        <c:v>33985.469550000002</c:v>
                      </c:pt>
                      <c:pt idx="14">
                        <c:v>34294.477440000002</c:v>
                      </c:pt>
                      <c:pt idx="15">
                        <c:v>34606.498879999999</c:v>
                      </c:pt>
                      <c:pt idx="16">
                        <c:v>34920.321929999998</c:v>
                      </c:pt>
                      <c:pt idx="17">
                        <c:v>35234.983740000003</c:v>
                      </c:pt>
                      <c:pt idx="18">
                        <c:v>35549.718569999997</c:v>
                      </c:pt>
                      <c:pt idx="19">
                        <c:v>35863.918810000003</c:v>
                      </c:pt>
                      <c:pt idx="20">
                        <c:v>36172.23345</c:v>
                      </c:pt>
                      <c:pt idx="21">
                        <c:v>36479.502639999999</c:v>
                      </c:pt>
                      <c:pt idx="22">
                        <c:v>36785.560649999999</c:v>
                      </c:pt>
                      <c:pt idx="23">
                        <c:v>37090.35901</c:v>
                      </c:pt>
                      <c:pt idx="24">
                        <c:v>37393.860939999999</c:v>
                      </c:pt>
                      <c:pt idx="25">
                        <c:v>37682.300179999998</c:v>
                      </c:pt>
                      <c:pt idx="26">
                        <c:v>37963.857730000003</c:v>
                      </c:pt>
                      <c:pt idx="27">
                        <c:v>38239.223639999997</c:v>
                      </c:pt>
                      <c:pt idx="28">
                        <c:v>38509.34448</c:v>
                      </c:pt>
                      <c:pt idx="29">
                        <c:v>38775.198470000003</c:v>
                      </c:pt>
                      <c:pt idx="30">
                        <c:v>39037.689030000001</c:v>
                      </c:pt>
                      <c:pt idx="31">
                        <c:v>39297.60138</c:v>
                      </c:pt>
                      <c:pt idx="32">
                        <c:v>39555.59562</c:v>
                      </c:pt>
                      <c:pt idx="33">
                        <c:v>39812.219230000002</c:v>
                      </c:pt>
                      <c:pt idx="34">
                        <c:v>40067.927439999999</c:v>
                      </c:pt>
                      <c:pt idx="35">
                        <c:v>40323.104209999998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3-5BD4-4D49-89F4-ABF65BD94CDB}"/>
                  </c:ext>
                </c:extLst>
              </c15:ser>
            </c15:filteredAreaSeries>
          </c:ext>
        </c:extLst>
      </c:areaChart>
      <c:dateAx>
        <c:axId val="749189616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90272"/>
        <c:crosses val="autoZero"/>
        <c:auto val="1"/>
        <c:lblOffset val="100"/>
        <c:baseTimeUnit val="years"/>
        <c:majorUnit val="5"/>
        <c:majorTimeUnit val="years"/>
      </c:dateAx>
      <c:valAx>
        <c:axId val="7491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49189616"/>
        <c:crosses val="autoZero"/>
        <c:crossBetween val="midCat"/>
        <c:majorUnit val="10000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Employment</a:t>
            </a:r>
          </a:p>
          <a:p>
            <a:pPr>
              <a:defRPr/>
            </a:pPr>
            <a:r>
              <a:rPr lang="fr-FR" sz="1800" baseline="0"/>
              <a:t>(deviation in thousands)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6442019357368427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8.0311456623915506E-2"/>
          <c:y val="0.15388432122165863"/>
          <c:w val="0.90465257274928901"/>
          <c:h val="0.57456985577238018"/>
        </c:manualLayout>
      </c:layout>
      <c:barChart>
        <c:barDir val="col"/>
        <c:grouping val="stacked"/>
        <c:varyColors val="0"/>
        <c:ser>
          <c:idx val="1"/>
          <c:order val="1"/>
          <c:tx>
            <c:strRef>
              <c:f>Données!$B$227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Données!$C$227:$E$227</c:f>
              <c:numCache>
                <c:formatCode>#,##0</c:formatCode>
                <c:ptCount val="3"/>
                <c:pt idx="0">
                  <c:v>-10.980605399999945</c:v>
                </c:pt>
                <c:pt idx="1">
                  <c:v>2.0618963000000576</c:v>
                </c:pt>
                <c:pt idx="2">
                  <c:v>10.903291099999933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616-4F95-8245-39FB8CC2FEA0}"/>
            </c:ext>
          </c:extLst>
        </c:ser>
        <c:ser>
          <c:idx val="2"/>
          <c:order val="2"/>
          <c:tx>
            <c:strRef>
              <c:f>Données!$B$228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Données!$C$228:$E$228</c:f>
              <c:numCache>
                <c:formatCode>#,##0</c:formatCode>
                <c:ptCount val="3"/>
                <c:pt idx="0">
                  <c:v>-259.16782899999998</c:v>
                </c:pt>
                <c:pt idx="1">
                  <c:v>-329.97851799999989</c:v>
                </c:pt>
                <c:pt idx="2">
                  <c:v>-395.45769199999995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616-4F95-8245-39FB8CC2FEA0}"/>
            </c:ext>
          </c:extLst>
        </c:ser>
        <c:ser>
          <c:idx val="3"/>
          <c:order val="3"/>
          <c:tx>
            <c:strRef>
              <c:f>Données!$B$229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Données!$C$229:$E$229</c:f>
              <c:numCache>
                <c:formatCode>#,##0</c:formatCode>
                <c:ptCount val="3"/>
                <c:pt idx="0">
                  <c:v>-35.920805599999994</c:v>
                </c:pt>
                <c:pt idx="1">
                  <c:v>-40.717648000000054</c:v>
                </c:pt>
                <c:pt idx="2">
                  <c:v>-48.839926499999933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616-4F95-8245-39FB8CC2FEA0}"/>
            </c:ext>
          </c:extLst>
        </c:ser>
        <c:ser>
          <c:idx val="4"/>
          <c:order val="4"/>
          <c:tx>
            <c:strRef>
              <c:f>Données!$B$230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Données!$C$230:$E$230</c:f>
              <c:numCache>
                <c:formatCode>#,##0</c:formatCode>
                <c:ptCount val="3"/>
                <c:pt idx="0">
                  <c:v>-736.00991999999678</c:v>
                </c:pt>
                <c:pt idx="1">
                  <c:v>-791.42526999999973</c:v>
                </c:pt>
                <c:pt idx="2">
                  <c:v>-898.27809999999954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616-4F95-8245-39FB8CC2FEA0}"/>
            </c:ext>
          </c:extLst>
        </c:ser>
        <c:ser>
          <c:idx val="5"/>
          <c:order val="5"/>
          <c:tx>
            <c:strRef>
              <c:f>Données!$B$231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Données!$C$231:$E$231</c:f>
              <c:numCache>
                <c:formatCode>#\ ##0.0</c:formatCode>
                <c:ptCount val="3"/>
                <c:pt idx="0">
                  <c:v>-0.57694834469999989</c:v>
                </c:pt>
                <c:pt idx="1">
                  <c:v>-0.66472395350000291</c:v>
                </c:pt>
                <c:pt idx="2">
                  <c:v>-0.77230060870000194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616-4F95-8245-39FB8CC2FEA0}"/>
            </c:ext>
          </c:extLst>
        </c:ser>
        <c:ser>
          <c:idx val="6"/>
          <c:order val="6"/>
          <c:tx>
            <c:strRef>
              <c:f>Données!$B$232</c:f>
              <c:strCache>
                <c:ptCount val="1"/>
                <c:pt idx="0">
                  <c:v>Renewable Oil &amp; 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Données!$C$232:$E$232</c:f>
              <c:numCache>
                <c:formatCode>#\ ##0.0</c:formatCode>
                <c:ptCount val="3"/>
                <c:pt idx="0">
                  <c:v>-0.39508594530000085</c:v>
                </c:pt>
                <c:pt idx="1">
                  <c:v>-0.44939654650000005</c:v>
                </c:pt>
                <c:pt idx="2">
                  <c:v>-0.51373920129999906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616-4F95-8245-39FB8CC2FEA0}"/>
            </c:ext>
          </c:extLst>
        </c:ser>
        <c:ser>
          <c:idx val="7"/>
          <c:order val="7"/>
          <c:tx>
            <c:strRef>
              <c:f>Données!$B$233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Données!$C$233:$E$233</c:f>
              <c:numCache>
                <c:formatCode>#\ ##0.0</c:formatCode>
                <c:ptCount val="3"/>
                <c:pt idx="0">
                  <c:v>-1.8527689000000009</c:v>
                </c:pt>
                <c:pt idx="1">
                  <c:v>-1.9073212400000017</c:v>
                </c:pt>
                <c:pt idx="2">
                  <c:v>-2.393607529999997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793301600"/>
        <c:axId val="793302256"/>
      </c:barChart>
      <c:lineChart>
        <c:grouping val="standard"/>
        <c:varyColors val="0"/>
        <c:ser>
          <c:idx val="0"/>
          <c:order val="0"/>
          <c:tx>
            <c:strRef>
              <c:f>Données!$B$226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Données!$C$225:$E$225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Données!$C$226:$E$226</c:f>
              <c:numCache>
                <c:formatCode>#,##0</c:formatCode>
                <c:ptCount val="3"/>
                <c:pt idx="0">
                  <c:v>-1044.9039599999996</c:v>
                </c:pt>
                <c:pt idx="1">
                  <c:v>-1163.0809799999988</c:v>
                </c:pt>
                <c:pt idx="2">
                  <c:v>-1335.3520800000006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16-4F95-8245-39FB8CC2FE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93301600"/>
        <c:axId val="793302256"/>
      </c:line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Investment </a:t>
            </a:r>
            <a:r>
              <a:rPr lang="fr-FR" sz="1800"/>
              <a:t>(%deviation</a:t>
            </a:r>
            <a:r>
              <a:rPr lang="fr-FR" sz="1800" baseline="0"/>
              <a:t> from baseline</a:t>
            </a:r>
            <a:r>
              <a:rPr lang="fr-FR" sz="2800" baseline="0"/>
              <a:t>)</a:t>
            </a:r>
            <a:endParaRPr lang="fr-FR" sz="2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strRef>
              <c:f>Données!$B$289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Données!$C$289:$E$289</c:f>
              <c:numCache>
                <c:formatCode>0.0%</c:formatCode>
                <c:ptCount val="3"/>
                <c:pt idx="0">
                  <c:v>-5.1354381216517592E-4</c:v>
                </c:pt>
                <c:pt idx="1">
                  <c:v>-5.2638691463505226E-4</c:v>
                </c:pt>
                <c:pt idx="2">
                  <c:v>-5.1533154605400372E-4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CFE-477E-A9C8-4FC424910435}"/>
            </c:ext>
          </c:extLst>
        </c:ser>
        <c:ser>
          <c:idx val="2"/>
          <c:order val="2"/>
          <c:tx>
            <c:strRef>
              <c:f>Données!$B$290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Données!$C$290:$E$290</c:f>
              <c:numCache>
                <c:formatCode>0.0%</c:formatCode>
                <c:ptCount val="3"/>
                <c:pt idx="0">
                  <c:v>-3.6356449561434113E-2</c:v>
                </c:pt>
                <c:pt idx="1">
                  <c:v>-5.0280455911131533E-2</c:v>
                </c:pt>
                <c:pt idx="2">
                  <c:v>-5.8581327569207003E-2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CFE-477E-A9C8-4FC424910435}"/>
            </c:ext>
          </c:extLst>
        </c:ser>
        <c:ser>
          <c:idx val="3"/>
          <c:order val="3"/>
          <c:tx>
            <c:strRef>
              <c:f>Données!$B$291</c:f>
              <c:strCache>
                <c:ptCount val="1"/>
                <c:pt idx="0">
                  <c:v>Transport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Données!$C$291:$E$291</c:f>
              <c:numCache>
                <c:formatCode>0.0%</c:formatCode>
                <c:ptCount val="3"/>
                <c:pt idx="0">
                  <c:v>-1.1724987017152019E-3</c:v>
                </c:pt>
                <c:pt idx="1">
                  <c:v>-1.4404923108915675E-3</c:v>
                </c:pt>
                <c:pt idx="2">
                  <c:v>-1.694534682162345E-3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CFE-477E-A9C8-4FC424910435}"/>
            </c:ext>
          </c:extLst>
        </c:ser>
        <c:ser>
          <c:idx val="4"/>
          <c:order val="4"/>
          <c:tx>
            <c:strRef>
              <c:f>Données!$B$292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Données!$C$292:$E$292</c:f>
              <c:numCache>
                <c:formatCode>0.0%</c:formatCode>
                <c:ptCount val="3"/>
                <c:pt idx="0">
                  <c:v>-2.326517892729759E-2</c:v>
                </c:pt>
                <c:pt idx="1">
                  <c:v>-2.7997335263510101E-2</c:v>
                </c:pt>
                <c:pt idx="2">
                  <c:v>-3.1299640923839141E-2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CFE-477E-A9C8-4FC424910435}"/>
            </c:ext>
          </c:extLst>
        </c:ser>
        <c:ser>
          <c:idx val="5"/>
          <c:order val="5"/>
          <c:tx>
            <c:strRef>
              <c:f>Données!$B$293</c:f>
              <c:strCache>
                <c:ptCount val="1"/>
                <c:pt idx="0">
                  <c:v>Oil &amp; 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Données!$C$293:$E$293</c:f>
              <c:numCache>
                <c:formatCode>0.0%</c:formatCode>
                <c:ptCount val="3"/>
                <c:pt idx="0">
                  <c:v>-3.2264568558727205E-4</c:v>
                </c:pt>
                <c:pt idx="1">
                  <c:v>-3.74106104738277E-4</c:v>
                </c:pt>
                <c:pt idx="2">
                  <c:v>-4.146555051621396E-4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CFE-477E-A9C8-4FC424910435}"/>
            </c:ext>
          </c:extLst>
        </c:ser>
        <c:ser>
          <c:idx val="6"/>
          <c:order val="6"/>
          <c:tx>
            <c:strRef>
              <c:f>Données!$B$294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Données!$C$294:$E$294</c:f>
              <c:numCache>
                <c:formatCode>0.0%</c:formatCode>
                <c:ptCount val="3"/>
                <c:pt idx="0">
                  <c:v>-2.2600999626787733E-4</c:v>
                </c:pt>
                <c:pt idx="1">
                  <c:v>-2.3743471301432501E-4</c:v>
                </c:pt>
                <c:pt idx="2">
                  <c:v>-2.8234629163997215E-4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4"/>
        <c:overlap val="100"/>
        <c:axId val="750236624"/>
        <c:axId val="750231704"/>
      </c:barChart>
      <c:lineChart>
        <c:grouping val="standard"/>
        <c:varyColors val="0"/>
        <c:ser>
          <c:idx val="0"/>
          <c:order val="0"/>
          <c:tx>
            <c:strRef>
              <c:f>Données!$B$288</c:f>
              <c:strCache>
                <c:ptCount val="1"/>
                <c:pt idx="0">
                  <c:v>Firms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Données!$C$287:$E$287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Données!$C$288:$E$288</c:f>
              <c:numCache>
                <c:formatCode>0.0%</c:formatCode>
                <c:ptCount val="3"/>
                <c:pt idx="0">
                  <c:v>-6.1856326689438301E-2</c:v>
                </c:pt>
                <c:pt idx="1">
                  <c:v>-8.0856211212347984E-2</c:v>
                </c:pt>
                <c:pt idx="2">
                  <c:v>-9.2787836539534485E-2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E-477E-A9C8-4FC4249104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0236624"/>
        <c:axId val="750231704"/>
      </c:lineChart>
      <c:catAx>
        <c:axId val="750236624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1704"/>
        <c:crosses val="autoZero"/>
        <c:auto val="1"/>
        <c:lblAlgn val="ctr"/>
        <c:lblOffset val="100"/>
        <c:tickLblSkip val="10"/>
        <c:noMultiLvlLbl val="0"/>
      </c:catAx>
      <c:valAx>
        <c:axId val="75023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50236624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Firms' CO2</a:t>
            </a:r>
            <a:r>
              <a:rPr lang="fr-FR" sz="2800" baseline="0"/>
              <a:t> emissions</a:t>
            </a:r>
          </a:p>
          <a:p>
            <a:pPr>
              <a:defRPr/>
            </a:pPr>
            <a:r>
              <a:rPr lang="fr-FR" i="1" baseline="0"/>
              <a:t>MtCO2/y</a:t>
            </a:r>
            <a:endParaRPr lang="fr-FR" i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Données!$B$432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Données!$C$432:$F$432</c:f>
              <c:numCache>
                <c:formatCode>#,##0</c:formatCode>
                <c:ptCount val="4"/>
                <c:pt idx="0">
                  <c:v>15.143015535300002</c:v>
                </c:pt>
                <c:pt idx="1">
                  <c:v>17.559551995599996</c:v>
                </c:pt>
                <c:pt idx="2">
                  <c:v>20.5685713419</c:v>
                </c:pt>
                <c:pt idx="3">
                  <c:v>23.520132436400001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84-46BD-89B3-C66A209FCBCA}"/>
            </c:ext>
          </c:extLst>
        </c:ser>
        <c:ser>
          <c:idx val="1"/>
          <c:order val="1"/>
          <c:tx>
            <c:strRef>
              <c:f>Données!$B$433</c:f>
              <c:strCache>
                <c:ptCount val="1"/>
                <c:pt idx="0">
                  <c:v>Food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Données!$C$433:$F$433</c:f>
              <c:numCache>
                <c:formatCode>#,##0</c:formatCode>
                <c:ptCount val="4"/>
                <c:pt idx="0">
                  <c:v>8.8663526430000008</c:v>
                </c:pt>
                <c:pt idx="1">
                  <c:v>10.250642770000001</c:v>
                </c:pt>
                <c:pt idx="2">
                  <c:v>11.939197869999999</c:v>
                </c:pt>
                <c:pt idx="3">
                  <c:v>13.487296819999999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84-46BD-89B3-C66A209FCBCA}"/>
            </c:ext>
          </c:extLst>
        </c:ser>
        <c:ser>
          <c:idx val="2"/>
          <c:order val="2"/>
          <c:tx>
            <c:strRef>
              <c:f>Données!$B$434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Données!$C$434:$F$434</c:f>
              <c:numCache>
                <c:formatCode>#,##0</c:formatCode>
                <c:ptCount val="4"/>
                <c:pt idx="0">
                  <c:v>19.461782464999999</c:v>
                </c:pt>
                <c:pt idx="1">
                  <c:v>22.400039896999999</c:v>
                </c:pt>
                <c:pt idx="2">
                  <c:v>25.930230359999999</c:v>
                </c:pt>
                <c:pt idx="3">
                  <c:v>29.665157370000003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84-46BD-89B3-C66A209FCBCA}"/>
            </c:ext>
          </c:extLst>
        </c:ser>
        <c:ser>
          <c:idx val="3"/>
          <c:order val="3"/>
          <c:tx>
            <c:strRef>
              <c:f>Données!$B$435</c:f>
              <c:strCache>
                <c:ptCount val="1"/>
                <c:pt idx="0">
                  <c:v>Chemicals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Données!$C$435:$F$435</c:f>
              <c:numCache>
                <c:formatCode>#,##0</c:formatCode>
                <c:ptCount val="4"/>
                <c:pt idx="0">
                  <c:v>13.913683170000001</c:v>
                </c:pt>
                <c:pt idx="1">
                  <c:v>15.93211282</c:v>
                </c:pt>
                <c:pt idx="2">
                  <c:v>18.138075019999999</c:v>
                </c:pt>
                <c:pt idx="3">
                  <c:v>20.414172659999998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84-46BD-89B3-C66A209FCBCA}"/>
            </c:ext>
          </c:extLst>
        </c:ser>
        <c:ser>
          <c:idx val="4"/>
          <c:order val="4"/>
          <c:tx>
            <c:strRef>
              <c:f>Données!$B$436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Données!$C$436:$F$436</c:f>
              <c:numCache>
                <c:formatCode>#,##0</c:formatCode>
                <c:ptCount val="4"/>
                <c:pt idx="0">
                  <c:v>20.15606584</c:v>
                </c:pt>
                <c:pt idx="1">
                  <c:v>22.911438480000001</c:v>
                </c:pt>
                <c:pt idx="2">
                  <c:v>26.1430896</c:v>
                </c:pt>
                <c:pt idx="3">
                  <c:v>29.559561609999999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84-46BD-89B3-C66A209FCBCA}"/>
            </c:ext>
          </c:extLst>
        </c:ser>
        <c:ser>
          <c:idx val="5"/>
          <c:order val="5"/>
          <c:tx>
            <c:strRef>
              <c:f>Données!$B$437</c:f>
              <c:strCache>
                <c:ptCount val="1"/>
                <c:pt idx="0">
                  <c:v>Other industry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Données!$C$437:$F$437</c:f>
              <c:numCache>
                <c:formatCode>#,##0</c:formatCode>
                <c:ptCount val="4"/>
                <c:pt idx="0">
                  <c:v>16.3785256</c:v>
                </c:pt>
                <c:pt idx="1">
                  <c:v>19.202712175999999</c:v>
                </c:pt>
                <c:pt idx="2">
                  <c:v>22.744298395000001</c:v>
                </c:pt>
                <c:pt idx="3">
                  <c:v>25.811140322999996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84-46BD-89B3-C66A209FCBCA}"/>
            </c:ext>
          </c:extLst>
        </c:ser>
        <c:ser>
          <c:idx val="6"/>
          <c:order val="6"/>
          <c:tx>
            <c:strRef>
              <c:f>Données!$B$438</c:f>
              <c:strCache>
                <c:ptCount val="1"/>
                <c:pt idx="0">
                  <c:v>Road transport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Données!$C$438:$F$438</c:f>
              <c:numCache>
                <c:formatCode>#,##0</c:formatCode>
                <c:ptCount val="4"/>
                <c:pt idx="0">
                  <c:v>17.87220984</c:v>
                </c:pt>
                <c:pt idx="1">
                  <c:v>20.247832590000002</c:v>
                </c:pt>
                <c:pt idx="2">
                  <c:v>22.93161272</c:v>
                </c:pt>
                <c:pt idx="3">
                  <c:v>25.598742380000001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84-46BD-89B3-C66A209FCBCA}"/>
            </c:ext>
          </c:extLst>
        </c:ser>
        <c:ser>
          <c:idx val="7"/>
          <c:order val="7"/>
          <c:tx>
            <c:strRef>
              <c:f>Données!$B$439</c:f>
              <c:strCache>
                <c:ptCount val="1"/>
                <c:pt idx="0">
                  <c:v>Air transport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Données!$C$439:$F$439</c:f>
              <c:numCache>
                <c:formatCode>#,##0</c:formatCode>
                <c:ptCount val="4"/>
                <c:pt idx="0">
                  <c:v>20.052741309999998</c:v>
                </c:pt>
                <c:pt idx="1">
                  <c:v>23.609217409999999</c:v>
                </c:pt>
                <c:pt idx="2">
                  <c:v>27.683521240000001</c:v>
                </c:pt>
                <c:pt idx="3">
                  <c:v>31.811732500000002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84-46BD-89B3-C66A209FCBCA}"/>
            </c:ext>
          </c:extLst>
        </c:ser>
        <c:ser>
          <c:idx val="8"/>
          <c:order val="8"/>
          <c:tx>
            <c:strRef>
              <c:f>Données!$B$440</c:f>
              <c:strCache>
                <c:ptCount val="1"/>
                <c:pt idx="0">
                  <c:v>Other transport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Données!$C$440:$F$440</c:f>
              <c:numCache>
                <c:formatCode>#,##0</c:formatCode>
                <c:ptCount val="4"/>
                <c:pt idx="0">
                  <c:v>5.6961613510000006</c:v>
                </c:pt>
                <c:pt idx="1">
                  <c:v>6.4733391939999994</c:v>
                </c:pt>
                <c:pt idx="2">
                  <c:v>7.2901252300000001</c:v>
                </c:pt>
                <c:pt idx="3">
                  <c:v>8.1386980879999999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84-46BD-89B3-C66A209FCBCA}"/>
            </c:ext>
          </c:extLst>
        </c:ser>
        <c:ser>
          <c:idx val="9"/>
          <c:order val="9"/>
          <c:tx>
            <c:strRef>
              <c:f>Données!$B$441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Données!$C$441:$F$441</c:f>
              <c:numCache>
                <c:formatCode>#,##0</c:formatCode>
                <c:ptCount val="4"/>
                <c:pt idx="0">
                  <c:v>51.647228769999998</c:v>
                </c:pt>
                <c:pt idx="1">
                  <c:v>59.907762789999992</c:v>
                </c:pt>
                <c:pt idx="2">
                  <c:v>69.899732658999994</c:v>
                </c:pt>
                <c:pt idx="3">
                  <c:v>79.525878530000014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84-46BD-89B3-C66A209FCBCA}"/>
            </c:ext>
          </c:extLst>
        </c:ser>
        <c:ser>
          <c:idx val="10"/>
          <c:order val="10"/>
          <c:tx>
            <c:strRef>
              <c:f>Données!$B$442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Données!$C$442:$F$442</c:f>
              <c:numCache>
                <c:formatCode>#,##0</c:formatCode>
                <c:ptCount val="4"/>
                <c:pt idx="0">
                  <c:v>21.671492523000001</c:v>
                </c:pt>
                <c:pt idx="1">
                  <c:v>23.978307663000002</c:v>
                </c:pt>
                <c:pt idx="2">
                  <c:v>26.766540755000001</c:v>
                </c:pt>
                <c:pt idx="3">
                  <c:v>29.495318564000002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C84-46BD-89B3-C66A209FCBCA}"/>
            </c:ext>
          </c:extLst>
        </c:ser>
        <c:ser>
          <c:idx val="11"/>
          <c:order val="11"/>
          <c:tx>
            <c:strRef>
              <c:f>Données!$B$443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Données!$C$431:$F$431</c:f>
              <c:strCache>
                <c:ptCount val="4"/>
                <c:pt idx="0">
                  <c:v>2020</c:v>
                </c:pt>
                <c:pt idx="1">
                  <c:v>2030</c:v>
                </c:pt>
                <c:pt idx="2">
                  <c:v>2040</c:v>
                </c:pt>
                <c:pt idx="3">
                  <c:v>2050</c:v>
                </c:pt>
              </c:strCache>
            </c:strRef>
          </c:cat>
          <c:val>
            <c:numRef>
              <c:f>Données!$C$443:$F$443</c:f>
              <c:numCache>
                <c:formatCode>#,##0</c:formatCode>
                <c:ptCount val="4"/>
                <c:pt idx="0">
                  <c:v>25.607023975000001</c:v>
                </c:pt>
                <c:pt idx="1">
                  <c:v>27.930952903999998</c:v>
                </c:pt>
                <c:pt idx="2">
                  <c:v>30.388003577999999</c:v>
                </c:pt>
                <c:pt idx="3">
                  <c:v>32.715295533000003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C84-46BD-89B3-C66A209FC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56882840"/>
        <c:axId val="956883496"/>
      </c:barChart>
      <c:catAx>
        <c:axId val="956882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3496"/>
        <c:crosses val="autoZero"/>
        <c:auto val="1"/>
        <c:lblAlgn val="ctr"/>
        <c:lblOffset val="100"/>
        <c:noMultiLvlLbl val="0"/>
      </c:catAx>
      <c:valAx>
        <c:axId val="956883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95688284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Capital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Données!$B$185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Données!$C$185:$AL$185</c:f>
              <c:numCache>
                <c:formatCode>0%</c:formatCode>
                <c:ptCount val="36"/>
                <c:pt idx="0">
                  <c:v>1.5943752699419722E-2</c:v>
                </c:pt>
                <c:pt idx="1">
                  <c:v>2.0575377778394355E-2</c:v>
                </c:pt>
                <c:pt idx="2">
                  <c:v>2.3595105791690552E-2</c:v>
                </c:pt>
                <c:pt idx="3">
                  <c:v>2.5540956838722373E-2</c:v>
                </c:pt>
                <c:pt idx="4">
                  <c:v>2.6666445402743877E-2</c:v>
                </c:pt>
                <c:pt idx="5">
                  <c:v>2.7187299554170874E-2</c:v>
                </c:pt>
                <c:pt idx="6">
                  <c:v>2.7289936983555529E-2</c:v>
                </c:pt>
                <c:pt idx="7">
                  <c:v>2.7086736973809256E-2</c:v>
                </c:pt>
                <c:pt idx="8">
                  <c:v>2.66787840177789E-2</c:v>
                </c:pt>
                <c:pt idx="9">
                  <c:v>2.6145227344585908E-2</c:v>
                </c:pt>
                <c:pt idx="10">
                  <c:v>2.6788202596532029E-2</c:v>
                </c:pt>
                <c:pt idx="11">
                  <c:v>2.5550834021693669E-2</c:v>
                </c:pt>
                <c:pt idx="12">
                  <c:v>2.4130999629883521E-2</c:v>
                </c:pt>
                <c:pt idx="13">
                  <c:v>2.2674434635156171E-2</c:v>
                </c:pt>
                <c:pt idx="14">
                  <c:v>2.124813967542627E-2</c:v>
                </c:pt>
                <c:pt idx="15">
                  <c:v>1.9900368914866684E-2</c:v>
                </c:pt>
                <c:pt idx="16">
                  <c:v>1.8718592618540697E-2</c:v>
                </c:pt>
                <c:pt idx="17">
                  <c:v>1.7702546857084389E-2</c:v>
                </c:pt>
                <c:pt idx="18">
                  <c:v>1.6868462629188397E-2</c:v>
                </c:pt>
                <c:pt idx="19">
                  <c:v>1.6224424387160319E-2</c:v>
                </c:pt>
                <c:pt idx="20">
                  <c:v>1.5769118493735634E-2</c:v>
                </c:pt>
                <c:pt idx="21">
                  <c:v>1.5510978965111555E-2</c:v>
                </c:pt>
                <c:pt idx="22">
                  <c:v>1.5434634995342478E-2</c:v>
                </c:pt>
                <c:pt idx="23">
                  <c:v>1.5532813902377152E-2</c:v>
                </c:pt>
                <c:pt idx="24">
                  <c:v>1.5795975431744713E-2</c:v>
                </c:pt>
                <c:pt idx="25">
                  <c:v>1.6197719545930633E-2</c:v>
                </c:pt>
                <c:pt idx="26">
                  <c:v>1.6740362068411452E-2</c:v>
                </c:pt>
                <c:pt idx="27">
                  <c:v>1.7404381123304891E-2</c:v>
                </c:pt>
                <c:pt idx="28">
                  <c:v>1.8180608244670049E-2</c:v>
                </c:pt>
                <c:pt idx="29">
                  <c:v>1.906100171909908E-2</c:v>
                </c:pt>
                <c:pt idx="30">
                  <c:v>2.0037270470647073E-2</c:v>
                </c:pt>
                <c:pt idx="31">
                  <c:v>2.1089117551953418E-2</c:v>
                </c:pt>
                <c:pt idx="32">
                  <c:v>2.2215339652355892E-2</c:v>
                </c:pt>
                <c:pt idx="33">
                  <c:v>2.3409502596917875E-2</c:v>
                </c:pt>
                <c:pt idx="34">
                  <c:v>2.4665913632205161E-2</c:v>
                </c:pt>
                <c:pt idx="35">
                  <c:v>2.5979219467059167E-2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7BC-46A1-8051-5FF16B24E7D2}"/>
            </c:ext>
          </c:extLst>
        </c:ser>
        <c:ser>
          <c:idx val="2"/>
          <c:order val="2"/>
          <c:tx>
            <c:strRef>
              <c:f>Données!$B$186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Données!$C$186:$AL$186</c:f>
              <c:numCache>
                <c:formatCode>0%</c:formatCode>
                <c:ptCount val="36"/>
                <c:pt idx="0">
                  <c:v>2.1163881384932637E-2</c:v>
                </c:pt>
                <c:pt idx="1">
                  <c:v>2.478564288233609E-2</c:v>
                </c:pt>
                <c:pt idx="2">
                  <c:v>2.6910227105811924E-2</c:v>
                </c:pt>
                <c:pt idx="3">
                  <c:v>2.819927912926623E-2</c:v>
                </c:pt>
                <c:pt idx="4">
                  <c:v>2.8940910084600091E-2</c:v>
                </c:pt>
                <c:pt idx="5">
                  <c:v>2.9293681138559124E-2</c:v>
                </c:pt>
                <c:pt idx="6">
                  <c:v>2.9388989503347451E-2</c:v>
                </c:pt>
                <c:pt idx="7">
                  <c:v>2.9266242803071885E-2</c:v>
                </c:pt>
                <c:pt idx="8">
                  <c:v>2.896964773641697E-2</c:v>
                </c:pt>
                <c:pt idx="9">
                  <c:v>2.853553713089152E-2</c:v>
                </c:pt>
                <c:pt idx="10">
                  <c:v>2.9582222433347738E-2</c:v>
                </c:pt>
                <c:pt idx="11">
                  <c:v>2.8064185383048112E-2</c:v>
                </c:pt>
                <c:pt idx="12">
                  <c:v>2.6305736407687741E-2</c:v>
                </c:pt>
                <c:pt idx="13">
                  <c:v>2.4457263357641645E-2</c:v>
                </c:pt>
                <c:pt idx="14">
                  <c:v>2.2583310857299699E-2</c:v>
                </c:pt>
                <c:pt idx="15">
                  <c:v>2.0717762303142928E-2</c:v>
                </c:pt>
                <c:pt idx="16">
                  <c:v>1.8953349267003317E-2</c:v>
                </c:pt>
                <c:pt idx="17">
                  <c:v>1.7240096808567973E-2</c:v>
                </c:pt>
                <c:pt idx="18">
                  <c:v>1.5583434757014736E-2</c:v>
                </c:pt>
                <c:pt idx="19">
                  <c:v>1.3988407804130576E-2</c:v>
                </c:pt>
                <c:pt idx="20">
                  <c:v>1.2458745956451356E-2</c:v>
                </c:pt>
                <c:pt idx="21">
                  <c:v>1.099899437921259E-2</c:v>
                </c:pt>
                <c:pt idx="22">
                  <c:v>9.6064811957143892E-3</c:v>
                </c:pt>
                <c:pt idx="23">
                  <c:v>8.2825305317444364E-3</c:v>
                </c:pt>
                <c:pt idx="24">
                  <c:v>7.0270769630360608E-3</c:v>
                </c:pt>
                <c:pt idx="25">
                  <c:v>5.8366729828809305E-3</c:v>
                </c:pt>
                <c:pt idx="26">
                  <c:v>4.6906471308627573E-3</c:v>
                </c:pt>
                <c:pt idx="27">
                  <c:v>3.6068940292521834E-3</c:v>
                </c:pt>
                <c:pt idx="28">
                  <c:v>2.5876698209961191E-3</c:v>
                </c:pt>
                <c:pt idx="29">
                  <c:v>1.6344470390312615E-3</c:v>
                </c:pt>
                <c:pt idx="30">
                  <c:v>7.4821074975495172E-4</c:v>
                </c:pt>
                <c:pt idx="31">
                  <c:v>-8.7576758933116672E-5</c:v>
                </c:pt>
                <c:pt idx="32">
                  <c:v>-8.5720747963613508E-4</c:v>
                </c:pt>
                <c:pt idx="33">
                  <c:v>-1.5587120783384645E-3</c:v>
                </c:pt>
                <c:pt idx="34">
                  <c:v>-2.190536392571274E-3</c:v>
                </c:pt>
                <c:pt idx="35">
                  <c:v>-2.7513685316530312E-3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BC-46A1-8051-5FF16B24E7D2}"/>
            </c:ext>
          </c:extLst>
        </c:ser>
        <c:ser>
          <c:idx val="3"/>
          <c:order val="3"/>
          <c:tx>
            <c:strRef>
              <c:f>Données!$B$187</c:f>
              <c:strCache>
                <c:ptCount val="1"/>
                <c:pt idx="0">
                  <c:v>Transports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Données!$C$187:$AL$187</c:f>
              <c:numCache>
                <c:formatCode>0%</c:formatCode>
                <c:ptCount val="36"/>
                <c:pt idx="0">
                  <c:v>1.9703585534652124E-2</c:v>
                </c:pt>
                <c:pt idx="1">
                  <c:v>2.1647909302350499E-2</c:v>
                </c:pt>
                <c:pt idx="2">
                  <c:v>2.2463971732896049E-2</c:v>
                </c:pt>
                <c:pt idx="3">
                  <c:v>2.2662197320012289E-2</c:v>
                </c:pt>
                <c:pt idx="4">
                  <c:v>2.2409415748273043E-2</c:v>
                </c:pt>
                <c:pt idx="5">
                  <c:v>2.1803871031164324E-2</c:v>
                </c:pt>
                <c:pt idx="6">
                  <c:v>2.0958240860063038E-2</c:v>
                </c:pt>
                <c:pt idx="7">
                  <c:v>1.991701354552311E-2</c:v>
                </c:pt>
                <c:pt idx="8">
                  <c:v>1.8739728899404007E-2</c:v>
                </c:pt>
                <c:pt idx="9">
                  <c:v>1.7478127416669764E-2</c:v>
                </c:pt>
                <c:pt idx="10">
                  <c:v>1.7691158311769373E-2</c:v>
                </c:pt>
                <c:pt idx="11">
                  <c:v>1.5433056694853731E-2</c:v>
                </c:pt>
                <c:pt idx="12">
                  <c:v>1.309258293174631E-2</c:v>
                </c:pt>
                <c:pt idx="13">
                  <c:v>1.0796942701825518E-2</c:v>
                </c:pt>
                <c:pt idx="14">
                  <c:v>8.5931136602921399E-3</c:v>
                </c:pt>
                <c:pt idx="15">
                  <c:v>6.5047349623859052E-3</c:v>
                </c:pt>
                <c:pt idx="16">
                  <c:v>4.6146532594348866E-3</c:v>
                </c:pt>
                <c:pt idx="17">
                  <c:v>2.8643219379314022E-3</c:v>
                </c:pt>
                <c:pt idx="18">
                  <c:v>1.252872399541971E-3</c:v>
                </c:pt>
                <c:pt idx="19">
                  <c:v>-2.2241076309514884E-4</c:v>
                </c:pt>
                <c:pt idx="20">
                  <c:v>-1.5706001785732449E-3</c:v>
                </c:pt>
                <c:pt idx="21">
                  <c:v>-2.7903662140512653E-3</c:v>
                </c:pt>
                <c:pt idx="22">
                  <c:v>-3.897962712193892E-3</c:v>
                </c:pt>
                <c:pt idx="23">
                  <c:v>-4.9030959006286512E-3</c:v>
                </c:pt>
                <c:pt idx="24">
                  <c:v>-5.816453372798347E-3</c:v>
                </c:pt>
                <c:pt idx="25">
                  <c:v>-6.6627138934970409E-3</c:v>
                </c:pt>
                <c:pt idx="26">
                  <c:v>-7.4533147890147866E-3</c:v>
                </c:pt>
                <c:pt idx="27">
                  <c:v>-8.1823725848829687E-3</c:v>
                </c:pt>
                <c:pt idx="28">
                  <c:v>-8.8564818317665717E-3</c:v>
                </c:pt>
                <c:pt idx="29">
                  <c:v>-9.4824644700115535E-3</c:v>
                </c:pt>
                <c:pt idx="30">
                  <c:v>-1.0066793754057834E-2</c:v>
                </c:pt>
                <c:pt idx="31">
                  <c:v>-1.0632107240071464E-2</c:v>
                </c:pt>
                <c:pt idx="32">
                  <c:v>-1.116749959210972E-2</c:v>
                </c:pt>
                <c:pt idx="33">
                  <c:v>-1.1676171166744131E-2</c:v>
                </c:pt>
                <c:pt idx="34">
                  <c:v>-1.2161100511141054E-2</c:v>
                </c:pt>
                <c:pt idx="35">
                  <c:v>-1.2624818797696169E-2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BC-46A1-8051-5FF16B24E7D2}"/>
            </c:ext>
          </c:extLst>
        </c:ser>
        <c:ser>
          <c:idx val="4"/>
          <c:order val="4"/>
          <c:tx>
            <c:strRef>
              <c:f>Données!$B$188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Données!$C$188:$AL$188</c:f>
              <c:numCache>
                <c:formatCode>0%</c:formatCode>
                <c:ptCount val="36"/>
                <c:pt idx="0">
                  <c:v>1.1045313962387615E-2</c:v>
                </c:pt>
                <c:pt idx="1">
                  <c:v>1.4518617920532551E-2</c:v>
                </c:pt>
                <c:pt idx="2">
                  <c:v>1.6556596596759787E-2</c:v>
                </c:pt>
                <c:pt idx="3">
                  <c:v>1.77833925401083E-2</c:v>
                </c:pt>
                <c:pt idx="4">
                  <c:v>1.8439304616287178E-2</c:v>
                </c:pt>
                <c:pt idx="5">
                  <c:v>1.8653373186110045E-2</c:v>
                </c:pt>
                <c:pt idx="6">
                  <c:v>1.8539320851187924E-2</c:v>
                </c:pt>
                <c:pt idx="7">
                  <c:v>1.8157314107620781E-2</c:v>
                </c:pt>
                <c:pt idx="8">
                  <c:v>1.757015497019121E-2</c:v>
                </c:pt>
                <c:pt idx="9">
                  <c:v>1.6833231080255251E-2</c:v>
                </c:pt>
                <c:pt idx="10">
                  <c:v>1.6779880713174711E-2</c:v>
                </c:pt>
                <c:pt idx="11">
                  <c:v>1.5538839938261439E-2</c:v>
                </c:pt>
                <c:pt idx="12">
                  <c:v>1.40537242997687E-2</c:v>
                </c:pt>
                <c:pt idx="13">
                  <c:v>1.2463261089867173E-2</c:v>
                </c:pt>
                <c:pt idx="14">
                  <c:v>1.0832346259922465E-2</c:v>
                </c:pt>
                <c:pt idx="15">
                  <c:v>9.2034307714248254E-3</c:v>
                </c:pt>
                <c:pt idx="16">
                  <c:v>7.6451964340424894E-3</c:v>
                </c:pt>
                <c:pt idx="17">
                  <c:v>6.1557464052404143E-3</c:v>
                </c:pt>
                <c:pt idx="18">
                  <c:v>4.7492858315669739E-3</c:v>
                </c:pt>
                <c:pt idx="19">
                  <c:v>3.4366474863645191E-3</c:v>
                </c:pt>
                <c:pt idx="20">
                  <c:v>2.2288213766992193E-3</c:v>
                </c:pt>
                <c:pt idx="21">
                  <c:v>1.1190154102880268E-3</c:v>
                </c:pt>
                <c:pt idx="22">
                  <c:v>1.120175597639772E-4</c:v>
                </c:pt>
                <c:pt idx="23">
                  <c:v>-7.9444435036568617E-4</c:v>
                </c:pt>
                <c:pt idx="24">
                  <c:v>-1.60481432676296E-3</c:v>
                </c:pt>
                <c:pt idx="25">
                  <c:v>-2.3153421700123911E-3</c:v>
                </c:pt>
                <c:pt idx="26">
                  <c:v>-2.9656988836288534E-3</c:v>
                </c:pt>
                <c:pt idx="27">
                  <c:v>-3.5445844450329167E-3</c:v>
                </c:pt>
                <c:pt idx="28">
                  <c:v>-4.0557198653878856E-3</c:v>
                </c:pt>
                <c:pt idx="29">
                  <c:v>-4.5037393112844493E-3</c:v>
                </c:pt>
                <c:pt idx="30">
                  <c:v>-4.8938951194394953E-3</c:v>
                </c:pt>
                <c:pt idx="31">
                  <c:v>-5.2404185055175967E-3</c:v>
                </c:pt>
                <c:pt idx="32">
                  <c:v>-5.5422725489899793E-3</c:v>
                </c:pt>
                <c:pt idx="33">
                  <c:v>-5.8032426491746447E-3</c:v>
                </c:pt>
                <c:pt idx="34">
                  <c:v>-6.0272350228289806E-3</c:v>
                </c:pt>
                <c:pt idx="35">
                  <c:v>-6.2180067120486404E-3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BC-46A1-8051-5FF16B24E7D2}"/>
            </c:ext>
          </c:extLst>
        </c:ser>
        <c:ser>
          <c:idx val="5"/>
          <c:order val="5"/>
          <c:tx>
            <c:strRef>
              <c:f>Données!$B$189</c:f>
              <c:strCache>
                <c:ptCount val="1"/>
                <c:pt idx="0">
                  <c:v>Oil&amp;Gas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Données!$C$189:$AL$189</c:f>
              <c:numCache>
                <c:formatCode>0%</c:formatCode>
                <c:ptCount val="36"/>
                <c:pt idx="0">
                  <c:v>1.9363173657777066E-2</c:v>
                </c:pt>
                <c:pt idx="1">
                  <c:v>2.1889078256114747E-2</c:v>
                </c:pt>
                <c:pt idx="2">
                  <c:v>2.3173858132339742E-2</c:v>
                </c:pt>
                <c:pt idx="3">
                  <c:v>2.4061636053436253E-2</c:v>
                </c:pt>
                <c:pt idx="4">
                  <c:v>2.4601046612126698E-2</c:v>
                </c:pt>
                <c:pt idx="5">
                  <c:v>2.4851104845463379E-2</c:v>
                </c:pt>
                <c:pt idx="6">
                  <c:v>2.4875306326832103E-2</c:v>
                </c:pt>
                <c:pt idx="7">
                  <c:v>2.4685629900144113E-2</c:v>
                </c:pt>
                <c:pt idx="8">
                  <c:v>2.4311170752625344E-2</c:v>
                </c:pt>
                <c:pt idx="9">
                  <c:v>2.3784424188978637E-2</c:v>
                </c:pt>
                <c:pt idx="10">
                  <c:v>2.4705286911152813E-2</c:v>
                </c:pt>
                <c:pt idx="11">
                  <c:v>2.3081833578633137E-2</c:v>
                </c:pt>
                <c:pt idx="12">
                  <c:v>2.12022150897897E-2</c:v>
                </c:pt>
                <c:pt idx="13">
                  <c:v>1.9260859806514041E-2</c:v>
                </c:pt>
                <c:pt idx="14">
                  <c:v>1.7318066102961271E-2</c:v>
                </c:pt>
                <c:pt idx="15">
                  <c:v>1.540880305073733E-2</c:v>
                </c:pt>
                <c:pt idx="16">
                  <c:v>1.3624172652344058E-2</c:v>
                </c:pt>
                <c:pt idx="17">
                  <c:v>1.1925048771115998E-2</c:v>
                </c:pt>
                <c:pt idx="18">
                  <c:v>1.0324084541949663E-2</c:v>
                </c:pt>
                <c:pt idx="19">
                  <c:v>8.8323270547936428E-3</c:v>
                </c:pt>
                <c:pt idx="20">
                  <c:v>7.4451008852605138E-3</c:v>
                </c:pt>
                <c:pt idx="21">
                  <c:v>6.1909407250577697E-3</c:v>
                </c:pt>
                <c:pt idx="22">
                  <c:v>5.0547860134158018E-3</c:v>
                </c:pt>
                <c:pt idx="23">
                  <c:v>4.0335462046925397E-3</c:v>
                </c:pt>
                <c:pt idx="24">
                  <c:v>3.1224443815247582E-3</c:v>
                </c:pt>
                <c:pt idx="25">
                  <c:v>2.2784178844292846E-3</c:v>
                </c:pt>
                <c:pt idx="26">
                  <c:v>1.5305751292280512E-3</c:v>
                </c:pt>
                <c:pt idx="27">
                  <c:v>8.7424511435640895E-4</c:v>
                </c:pt>
                <c:pt idx="28">
                  <c:v>3.0171759918218299E-4</c:v>
                </c:pt>
                <c:pt idx="29">
                  <c:v>-1.9541941480794023E-4</c:v>
                </c:pt>
                <c:pt idx="30">
                  <c:v>-6.2493477311031942E-4</c:v>
                </c:pt>
                <c:pt idx="31">
                  <c:v>-1.0097487292728413E-3</c:v>
                </c:pt>
                <c:pt idx="32">
                  <c:v>-1.3409069687270181E-3</c:v>
                </c:pt>
                <c:pt idx="33">
                  <c:v>-1.6226138071504526E-3</c:v>
                </c:pt>
                <c:pt idx="34">
                  <c:v>-1.8596356020275095E-3</c:v>
                </c:pt>
                <c:pt idx="35">
                  <c:v>-2.0564190348022482E-3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BC-46A1-8051-5FF16B24E7D2}"/>
            </c:ext>
          </c:extLst>
        </c:ser>
        <c:ser>
          <c:idx val="6"/>
          <c:order val="6"/>
          <c:tx>
            <c:strRef>
              <c:f>Données!$B$190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cat>
            <c:numRef>
              <c:f>Données!$C$183:$AL$183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Données!$C$190:$AL$190</c:f>
              <c:numCache>
                <c:formatCode>0%</c:formatCode>
                <c:ptCount val="36"/>
                <c:pt idx="0">
                  <c:v>1.0983184585796169E-2</c:v>
                </c:pt>
                <c:pt idx="1">
                  <c:v>1.2739883491098336E-2</c:v>
                </c:pt>
                <c:pt idx="2">
                  <c:v>1.3543371935511361E-2</c:v>
                </c:pt>
                <c:pt idx="3">
                  <c:v>1.3948016208805925E-2</c:v>
                </c:pt>
                <c:pt idx="4">
                  <c:v>1.3872582656970556E-2</c:v>
                </c:pt>
                <c:pt idx="5">
                  <c:v>1.3408937673361265E-2</c:v>
                </c:pt>
                <c:pt idx="6">
                  <c:v>1.2720623501377482E-2</c:v>
                </c:pt>
                <c:pt idx="7">
                  <c:v>1.1908967014980343E-2</c:v>
                </c:pt>
                <c:pt idx="8">
                  <c:v>1.1041446100148233E-2</c:v>
                </c:pt>
                <c:pt idx="9">
                  <c:v>1.016634751983303E-2</c:v>
                </c:pt>
                <c:pt idx="10">
                  <c:v>1.0208696798478245E-2</c:v>
                </c:pt>
                <c:pt idx="11">
                  <c:v>9.0298163204878268E-3</c:v>
                </c:pt>
                <c:pt idx="12">
                  <c:v>7.681966389819106E-3</c:v>
                </c:pt>
                <c:pt idx="13">
                  <c:v>6.3467834900656772E-3</c:v>
                </c:pt>
                <c:pt idx="14">
                  <c:v>5.0873718542003843E-3</c:v>
                </c:pt>
                <c:pt idx="15">
                  <c:v>3.937712032478613E-3</c:v>
                </c:pt>
                <c:pt idx="16">
                  <c:v>2.9514664643117694E-3</c:v>
                </c:pt>
                <c:pt idx="17">
                  <c:v>2.1135095362638801E-3</c:v>
                </c:pt>
                <c:pt idx="18">
                  <c:v>1.4264652606281736E-3</c:v>
                </c:pt>
                <c:pt idx="19">
                  <c:v>8.8921534851271744E-4</c:v>
                </c:pt>
                <c:pt idx="20">
                  <c:v>4.8884312397334817E-4</c:v>
                </c:pt>
                <c:pt idx="21">
                  <c:v>2.2762056359204585E-4</c:v>
                </c:pt>
                <c:pt idx="22">
                  <c:v>8.538324132345565E-5</c:v>
                </c:pt>
                <c:pt idx="23">
                  <c:v>4.6486546187773925E-5</c:v>
                </c:pt>
                <c:pt idx="24">
                  <c:v>9.4501620986120471E-5</c:v>
                </c:pt>
                <c:pt idx="25">
                  <c:v>1.909792106864483E-4</c:v>
                </c:pt>
                <c:pt idx="26">
                  <c:v>3.3781469497684569E-4</c:v>
                </c:pt>
                <c:pt idx="27">
                  <c:v>5.2126037165312056E-4</c:v>
                </c:pt>
                <c:pt idx="28">
                  <c:v>7.2799536519951857E-4</c:v>
                </c:pt>
                <c:pt idx="29">
                  <c:v>9.4630574791287891E-4</c:v>
                </c:pt>
                <c:pt idx="30">
                  <c:v>1.1669721251330589E-3</c:v>
                </c:pt>
                <c:pt idx="31">
                  <c:v>1.3739508706172021E-3</c:v>
                </c:pt>
                <c:pt idx="32">
                  <c:v>1.5679488144340059E-3</c:v>
                </c:pt>
                <c:pt idx="33">
                  <c:v>1.7444542058731027E-3</c:v>
                </c:pt>
                <c:pt idx="34">
                  <c:v>1.8996980273142672E-3</c:v>
                </c:pt>
                <c:pt idx="35">
                  <c:v>2.0312609394899095E-3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BC-46A1-8051-5FF16B24E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Données!$B$184</c15:sqref>
                        </c15:formulaRef>
                      </c:ext>
                    </c:extLst>
                    <c:strCache>
                      <c:ptCount val="1"/>
                      <c:pt idx="0">
                        <c:v>Average</c:v>
                      </c:pt>
                    </c:strCache>
                  </c:strRef>
                </c:tx>
                <c:spPr>
                  <a:ln w="38100" cap="rnd">
                    <a:solidFill>
                      <a:schemeClr val="tx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Données!$C$183:$AL$183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Données!$C$184:$AL$184</c15:sqref>
                        </c15:formulaRef>
                      </c:ext>
                    </c:extLst>
                    <c:numCache>
                      <c:formatCode>0%</c:formatCode>
                      <c:ptCount val="36"/>
                      <c:pt idx="0">
                        <c:v>1.4033255974235326E-2</c:v>
                      </c:pt>
                      <c:pt idx="1">
                        <c:v>1.7433415537032593E-2</c:v>
                      </c:pt>
                      <c:pt idx="2">
                        <c:v>1.9385639665835619E-2</c:v>
                      </c:pt>
                      <c:pt idx="3">
                        <c:v>2.0519476277243598E-2</c:v>
                      </c:pt>
                      <c:pt idx="4">
                        <c:v>2.1077105457538936E-2</c:v>
                      </c:pt>
                      <c:pt idx="5">
                        <c:v>2.119305647137093E-2</c:v>
                      </c:pt>
                      <c:pt idx="6">
                        <c:v>2.0985304097170365E-2</c:v>
                      </c:pt>
                      <c:pt idx="7">
                        <c:v>2.0507458251655786E-2</c:v>
                      </c:pt>
                      <c:pt idx="8">
                        <c:v>1.9816205871374004E-2</c:v>
                      </c:pt>
                      <c:pt idx="9">
                        <c:v>1.8960824408335242E-2</c:v>
                      </c:pt>
                      <c:pt idx="10">
                        <c:v>1.9007803434947013E-2</c:v>
                      </c:pt>
                      <c:pt idx="11">
                        <c:v>1.7432711330493955E-2</c:v>
                      </c:pt>
                      <c:pt idx="12">
                        <c:v>1.5601259544997248E-2</c:v>
                      </c:pt>
                      <c:pt idx="13">
                        <c:v>1.3657008178032504E-2</c:v>
                      </c:pt>
                      <c:pt idx="14">
                        <c:v>1.1664991100930999E-2</c:v>
                      </c:pt>
                      <c:pt idx="15">
                        <c:v>9.6657708450385016E-3</c:v>
                      </c:pt>
                      <c:pt idx="16">
                        <c:v>7.7357545230505309E-3</c:v>
                      </c:pt>
                      <c:pt idx="17">
                        <c:v>5.8602597038390769E-3</c:v>
                      </c:pt>
                      <c:pt idx="18">
                        <c:v>4.0524449650591876E-3</c:v>
                      </c:pt>
                      <c:pt idx="19">
                        <c:v>2.3230530403277605E-3</c:v>
                      </c:pt>
                      <c:pt idx="20">
                        <c:v>6.8224539901895476E-4</c:v>
                      </c:pt>
                      <c:pt idx="21">
                        <c:v>-8.7074196267189485E-4</c:v>
                      </c:pt>
                      <c:pt idx="22">
                        <c:v>-2.33234729950893E-3</c:v>
                      </c:pt>
                      <c:pt idx="23">
                        <c:v>-3.7021201408224957E-3</c:v>
                      </c:pt>
                      <c:pt idx="24">
                        <c:v>-4.9815854364400058E-3</c:v>
                      </c:pt>
                      <c:pt idx="25">
                        <c:v>-6.1685602572543186E-3</c:v>
                      </c:pt>
                      <c:pt idx="26">
                        <c:v>-7.2929207887160175E-3</c:v>
                      </c:pt>
                      <c:pt idx="27">
                        <c:v>-8.3412308183674622E-3</c:v>
                      </c:pt>
                      <c:pt idx="28">
                        <c:v>-9.3141639608896876E-3</c:v>
                      </c:pt>
                      <c:pt idx="29">
                        <c:v>-1.0213324645877764E-2</c:v>
                      </c:pt>
                      <c:pt idx="30">
                        <c:v>-1.1040940595097859E-2</c:v>
                      </c:pt>
                      <c:pt idx="31">
                        <c:v>-1.1810674333210147E-2</c:v>
                      </c:pt>
                      <c:pt idx="32">
                        <c:v>-1.2516181992172859E-2</c:v>
                      </c:pt>
                      <c:pt idx="33">
                        <c:v>-1.3158638720932259E-2</c:v>
                      </c:pt>
                      <c:pt idx="34">
                        <c:v>-1.3739527213924019E-2</c:v>
                      </c:pt>
                      <c:pt idx="35">
                        <c:v>-1.4260403529546606E-2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7BC-46A1-8051-5FF16B24E7D2}"/>
                  </c:ext>
                </c:extLst>
              </c15:ser>
            </c15:filteredLineSeries>
          </c:ext>
        </c:extLst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  <c:min val="-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Energy intensity</a:t>
            </a:r>
          </a:p>
          <a:p>
            <a:pPr>
              <a:defRPr/>
            </a:pPr>
            <a:r>
              <a:rPr lang="fr-FR" sz="1800"/>
              <a:t>(%</a:t>
            </a:r>
            <a:r>
              <a:rPr lang="fr-FR" sz="1800" baseline="0"/>
              <a:t> deviation from baseline)</a:t>
            </a:r>
            <a:endParaRPr lang="fr-FR" sz="1800"/>
          </a:p>
        </c:rich>
      </c:tx>
      <c:layout>
        <c:manualLayout>
          <c:xMode val="edge"/>
          <c:yMode val="edge"/>
          <c:x val="0.35804858323293964"/>
          <c:y val="1.256157562381740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Données!$B$254</c:f>
              <c:strCache>
                <c:ptCount val="1"/>
                <c:pt idx="0">
                  <c:v>Firms</c:v>
                </c:pt>
              </c:strCache>
            </c:strRef>
          </c:tx>
          <c:spPr>
            <a:ln w="412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Données!$C$254:$AL$254</c:f>
              <c:numCache>
                <c:formatCode>0%</c:formatCode>
                <c:ptCount val="36"/>
                <c:pt idx="0">
                  <c:v>-3.9151684482252591E-3</c:v>
                </c:pt>
                <c:pt idx="1">
                  <c:v>-6.5153337460027716E-3</c:v>
                </c:pt>
                <c:pt idx="2">
                  <c:v>-8.0348479800679273E-3</c:v>
                </c:pt>
                <c:pt idx="3">
                  <c:v>-9.3073013615229128E-3</c:v>
                </c:pt>
                <c:pt idx="4">
                  <c:v>-1.0359017596954234E-2</c:v>
                </c:pt>
                <c:pt idx="5">
                  <c:v>-1.1176012971553573E-2</c:v>
                </c:pt>
                <c:pt idx="6">
                  <c:v>-1.1784145237107135E-2</c:v>
                </c:pt>
                <c:pt idx="7">
                  <c:v>-1.2226194185817607E-2</c:v>
                </c:pt>
                <c:pt idx="8">
                  <c:v>-1.2544285299423086E-2</c:v>
                </c:pt>
                <c:pt idx="9">
                  <c:v>-1.2775735115639453E-2</c:v>
                </c:pt>
                <c:pt idx="10">
                  <c:v>-1.3300403607213185E-2</c:v>
                </c:pt>
                <c:pt idx="11">
                  <c:v>-1.3400855828728075E-2</c:v>
                </c:pt>
                <c:pt idx="12">
                  <c:v>-1.3257968121203278E-2</c:v>
                </c:pt>
                <c:pt idx="13">
                  <c:v>-1.3039985900333395E-2</c:v>
                </c:pt>
                <c:pt idx="14">
                  <c:v>-1.2790980090752968E-2</c:v>
                </c:pt>
                <c:pt idx="15">
                  <c:v>-1.2538748350883311E-2</c:v>
                </c:pt>
                <c:pt idx="16">
                  <c:v>-1.2312162014016859E-2</c:v>
                </c:pt>
                <c:pt idx="17">
                  <c:v>-1.2125999282747046E-2</c:v>
                </c:pt>
                <c:pt idx="18">
                  <c:v>-1.1988719394604552E-2</c:v>
                </c:pt>
                <c:pt idx="19">
                  <c:v>-1.190681354641554E-2</c:v>
                </c:pt>
                <c:pt idx="20">
                  <c:v>-1.1880028909871609E-2</c:v>
                </c:pt>
                <c:pt idx="21">
                  <c:v>-1.1915153696805292E-2</c:v>
                </c:pt>
                <c:pt idx="22">
                  <c:v>-1.2004758877801169E-2</c:v>
                </c:pt>
                <c:pt idx="23">
                  <c:v>-1.2144514049577948E-2</c:v>
                </c:pt>
                <c:pt idx="24">
                  <c:v>-1.2329753921555997E-2</c:v>
                </c:pt>
                <c:pt idx="25">
                  <c:v>-1.2546350821197372E-2</c:v>
                </c:pt>
                <c:pt idx="26">
                  <c:v>-1.2804142078358449E-2</c:v>
                </c:pt>
                <c:pt idx="27">
                  <c:v>-1.3090192378314103E-2</c:v>
                </c:pt>
                <c:pt idx="28">
                  <c:v>-1.3397566255506477E-2</c:v>
                </c:pt>
                <c:pt idx="29">
                  <c:v>-1.3719597507437786E-2</c:v>
                </c:pt>
                <c:pt idx="30">
                  <c:v>-1.4050855405322249E-2</c:v>
                </c:pt>
                <c:pt idx="31">
                  <c:v>-1.4385710639418847E-2</c:v>
                </c:pt>
                <c:pt idx="32">
                  <c:v>-1.4721056091771101E-2</c:v>
                </c:pt>
                <c:pt idx="33">
                  <c:v>-1.5054438733386188E-2</c:v>
                </c:pt>
                <c:pt idx="34">
                  <c:v>-1.5383279039354325E-2</c:v>
                </c:pt>
                <c:pt idx="35">
                  <c:v>-1.5705581199238372E-2</c:v>
                </c:pt>
              </c:numCache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044A-4877-A4A9-C7609B9F9543}"/>
            </c:ext>
          </c:extLst>
        </c:ser>
        <c:ser>
          <c:idx val="1"/>
          <c:order val="1"/>
          <c:tx>
            <c:strRef>
              <c:f>Données!$B$255</c:f>
              <c:strCache>
                <c:ptCount val="1"/>
                <c:pt idx="0">
                  <c:v>Agriculture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Données!$C$255:$AL$255</c:f>
              <c:numCache>
                <c:formatCode>0%</c:formatCode>
                <c:ptCount val="36"/>
                <c:pt idx="0">
                  <c:v>6.3088762147402999E-3</c:v>
                </c:pt>
                <c:pt idx="1">
                  <c:v>6.1899521958628245E-3</c:v>
                </c:pt>
                <c:pt idx="2">
                  <c:v>6.2244896350296397E-3</c:v>
                </c:pt>
                <c:pt idx="3">
                  <c:v>6.3216572885618216E-3</c:v>
                </c:pt>
                <c:pt idx="4">
                  <c:v>6.5563097166145834E-3</c:v>
                </c:pt>
                <c:pt idx="5">
                  <c:v>6.9946145709174345E-3</c:v>
                </c:pt>
                <c:pt idx="6">
                  <c:v>7.6674664688975991E-3</c:v>
                </c:pt>
                <c:pt idx="7">
                  <c:v>8.5234865894165956E-3</c:v>
                </c:pt>
                <c:pt idx="8">
                  <c:v>9.5294837169326296E-3</c:v>
                </c:pt>
                <c:pt idx="9">
                  <c:v>1.0653596617244077E-2</c:v>
                </c:pt>
                <c:pt idx="10">
                  <c:v>1.1903453061420155E-2</c:v>
                </c:pt>
                <c:pt idx="11">
                  <c:v>1.3090505639851147E-2</c:v>
                </c:pt>
                <c:pt idx="12">
                  <c:v>1.4542875670780386E-2</c:v>
                </c:pt>
                <c:pt idx="13">
                  <c:v>1.612063711601297E-2</c:v>
                </c:pt>
                <c:pt idx="14">
                  <c:v>1.7785621752583358E-2</c:v>
                </c:pt>
                <c:pt idx="15">
                  <c:v>1.9513579488995569E-2</c:v>
                </c:pt>
                <c:pt idx="16">
                  <c:v>2.1395626972141812E-2</c:v>
                </c:pt>
                <c:pt idx="17">
                  <c:v>2.3310739388613833E-2</c:v>
                </c:pt>
                <c:pt idx="18">
                  <c:v>2.523622377911261E-2</c:v>
                </c:pt>
                <c:pt idx="19">
                  <c:v>2.716141096050384E-2</c:v>
                </c:pt>
                <c:pt idx="20">
                  <c:v>2.9078902600883527E-2</c:v>
                </c:pt>
                <c:pt idx="21">
                  <c:v>3.0981741291766118E-2</c:v>
                </c:pt>
                <c:pt idx="22">
                  <c:v>3.2870874012984164E-2</c:v>
                </c:pt>
                <c:pt idx="23">
                  <c:v>3.4746764213894554E-2</c:v>
                </c:pt>
                <c:pt idx="24">
                  <c:v>3.6609166826462758E-2</c:v>
                </c:pt>
                <c:pt idx="25">
                  <c:v>3.8455329725751941E-2</c:v>
                </c:pt>
                <c:pt idx="26">
                  <c:v>4.0230575629095933E-2</c:v>
                </c:pt>
                <c:pt idx="27">
                  <c:v>4.1988922512268045E-2</c:v>
                </c:pt>
                <c:pt idx="28">
                  <c:v>4.3740622339009994E-2</c:v>
                </c:pt>
                <c:pt idx="29">
                  <c:v>4.5489284096342342E-2</c:v>
                </c:pt>
                <c:pt idx="30">
                  <c:v>4.7237095719734778E-2</c:v>
                </c:pt>
                <c:pt idx="31">
                  <c:v>4.8957352508546492E-2</c:v>
                </c:pt>
                <c:pt idx="32">
                  <c:v>5.0677845837529212E-2</c:v>
                </c:pt>
                <c:pt idx="33">
                  <c:v>5.2402646050623058E-2</c:v>
                </c:pt>
                <c:pt idx="34">
                  <c:v>5.4133561825039367E-2</c:v>
                </c:pt>
                <c:pt idx="35">
                  <c:v>5.587186225597085E-2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44A-4877-A4A9-C7609B9F9543}"/>
            </c:ext>
          </c:extLst>
        </c:ser>
        <c:ser>
          <c:idx val="2"/>
          <c:order val="2"/>
          <c:tx>
            <c:strRef>
              <c:f>Données!$B$256</c:f>
              <c:strCache>
                <c:ptCount val="1"/>
                <c:pt idx="0">
                  <c:v>Industry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Données!$C$256:$AL$256</c:f>
              <c:numCache>
                <c:formatCode>0%</c:formatCode>
                <c:ptCount val="36"/>
                <c:pt idx="0">
                  <c:v>-2.9096358661964139E-3</c:v>
                </c:pt>
                <c:pt idx="1">
                  <c:v>-6.4369236625509973E-3</c:v>
                </c:pt>
                <c:pt idx="2">
                  <c:v>-8.2334812400666202E-3</c:v>
                </c:pt>
                <c:pt idx="3">
                  <c:v>-9.670715986481615E-3</c:v>
                </c:pt>
                <c:pt idx="4">
                  <c:v>-1.081105980700936E-2</c:v>
                </c:pt>
                <c:pt idx="5">
                  <c:v>-1.1633262061174987E-2</c:v>
                </c:pt>
                <c:pt idx="6">
                  <c:v>-1.2165532717691274E-2</c:v>
                </c:pt>
                <c:pt idx="7">
                  <c:v>-1.2457905981102191E-2</c:v>
                </c:pt>
                <c:pt idx="8">
                  <c:v>-1.2563009102959488E-2</c:v>
                </c:pt>
                <c:pt idx="9">
                  <c:v>-1.2529700122389853E-2</c:v>
                </c:pt>
                <c:pt idx="10">
                  <c:v>-1.2635388804637993E-2</c:v>
                </c:pt>
                <c:pt idx="11">
                  <c:v>-1.253974425027693E-2</c:v>
                </c:pt>
                <c:pt idx="12">
                  <c:v>-1.2087184874602808E-2</c:v>
                </c:pt>
                <c:pt idx="13">
                  <c:v>-1.1520250160962697E-2</c:v>
                </c:pt>
                <c:pt idx="14">
                  <c:v>-1.0896086823844131E-2</c:v>
                </c:pt>
                <c:pt idx="15">
                  <c:v>-1.025142110758448E-2</c:v>
                </c:pt>
                <c:pt idx="16">
                  <c:v>-9.6238534294231792E-3</c:v>
                </c:pt>
                <c:pt idx="17">
                  <c:v>-9.040434061508007E-3</c:v>
                </c:pt>
                <c:pt idx="18">
                  <c:v>-8.5151643841188118E-3</c:v>
                </c:pt>
                <c:pt idx="19">
                  <c:v>-8.0608576064639115E-3</c:v>
                </c:pt>
                <c:pt idx="20">
                  <c:v>-7.6850384278066564E-3</c:v>
                </c:pt>
                <c:pt idx="21">
                  <c:v>-7.3901857116136505E-3</c:v>
                </c:pt>
                <c:pt idx="22">
                  <c:v>-7.1762048238879217E-3</c:v>
                </c:pt>
                <c:pt idx="23">
                  <c:v>-7.039518154287272E-3</c:v>
                </c:pt>
                <c:pt idx="24">
                  <c:v>-6.9756518035236637E-3</c:v>
                </c:pt>
                <c:pt idx="25">
                  <c:v>-6.9783993336882677E-3</c:v>
                </c:pt>
                <c:pt idx="26">
                  <c:v>-7.0393751813955241E-3</c:v>
                </c:pt>
                <c:pt idx="27">
                  <c:v>-7.152225487448538E-3</c:v>
                </c:pt>
                <c:pt idx="28">
                  <c:v>-7.3094453654312108E-3</c:v>
                </c:pt>
                <c:pt idx="29">
                  <c:v>-7.5027534770869542E-3</c:v>
                </c:pt>
                <c:pt idx="30">
                  <c:v>-7.7250984032924963E-3</c:v>
                </c:pt>
                <c:pt idx="31">
                  <c:v>-7.9695680427699367E-3</c:v>
                </c:pt>
                <c:pt idx="32">
                  <c:v>-8.2309585928423967E-3</c:v>
                </c:pt>
                <c:pt idx="33">
                  <c:v>-8.5060122809927918E-3</c:v>
                </c:pt>
                <c:pt idx="34">
                  <c:v>-8.7908056579981686E-3</c:v>
                </c:pt>
                <c:pt idx="35">
                  <c:v>-9.0820438294925143E-3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4A-4877-A4A9-C7609B9F9543}"/>
            </c:ext>
          </c:extLst>
        </c:ser>
        <c:ser>
          <c:idx val="3"/>
          <c:order val="3"/>
          <c:tx>
            <c:strRef>
              <c:f>Données!$B$257</c:f>
              <c:strCache>
                <c:ptCount val="1"/>
                <c:pt idx="0">
                  <c:v>Transport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Données!$C$257:$AL$257</c:f>
              <c:numCache>
                <c:formatCode>0%</c:formatCode>
                <c:ptCount val="36"/>
                <c:pt idx="0">
                  <c:v>4.8479181120486547E-3</c:v>
                </c:pt>
                <c:pt idx="1">
                  <c:v>3.2654520124599795E-3</c:v>
                </c:pt>
                <c:pt idx="2">
                  <c:v>2.8916113234027652E-3</c:v>
                </c:pt>
                <c:pt idx="3">
                  <c:v>2.7348465010208489E-3</c:v>
                </c:pt>
                <c:pt idx="4">
                  <c:v>2.653419296194004E-3</c:v>
                </c:pt>
                <c:pt idx="5">
                  <c:v>2.6293308349425448E-3</c:v>
                </c:pt>
                <c:pt idx="6">
                  <c:v>2.6650041810476477E-3</c:v>
                </c:pt>
                <c:pt idx="7">
                  <c:v>2.7441386952697933E-3</c:v>
                </c:pt>
                <c:pt idx="8">
                  <c:v>2.8612787698616415E-3</c:v>
                </c:pt>
                <c:pt idx="9">
                  <c:v>3.0102866968120257E-3</c:v>
                </c:pt>
                <c:pt idx="10">
                  <c:v>3.5540808477676489E-3</c:v>
                </c:pt>
                <c:pt idx="11">
                  <c:v>3.3686442040941067E-3</c:v>
                </c:pt>
                <c:pt idx="12">
                  <c:v>3.4031144743975617E-3</c:v>
                </c:pt>
                <c:pt idx="13">
                  <c:v>3.5033296565836203E-3</c:v>
                </c:pt>
                <c:pt idx="14">
                  <c:v>3.6389034269137532E-3</c:v>
                </c:pt>
                <c:pt idx="15">
                  <c:v>3.7993820293851233E-3</c:v>
                </c:pt>
                <c:pt idx="16">
                  <c:v>3.9956742263085321E-3</c:v>
                </c:pt>
                <c:pt idx="17">
                  <c:v>4.1988207723695492E-3</c:v>
                </c:pt>
                <c:pt idx="18">
                  <c:v>4.408892795503272E-3</c:v>
                </c:pt>
                <c:pt idx="19">
                  <c:v>4.6230999617618007E-3</c:v>
                </c:pt>
                <c:pt idx="20">
                  <c:v>4.8376316576499434E-3</c:v>
                </c:pt>
                <c:pt idx="21">
                  <c:v>5.053430284681637E-3</c:v>
                </c:pt>
                <c:pt idx="22">
                  <c:v>5.2667095628469163E-3</c:v>
                </c:pt>
                <c:pt idx="23">
                  <c:v>5.4770587612680277E-3</c:v>
                </c:pt>
                <c:pt idx="24">
                  <c:v>5.6837543434273829E-3</c:v>
                </c:pt>
                <c:pt idx="25">
                  <c:v>5.8824743469931828E-3</c:v>
                </c:pt>
                <c:pt idx="26">
                  <c:v>6.0739246495451482E-3</c:v>
                </c:pt>
                <c:pt idx="27">
                  <c:v>6.2632962120225955E-3</c:v>
                </c:pt>
                <c:pt idx="28">
                  <c:v>6.4500193393342009E-3</c:v>
                </c:pt>
                <c:pt idx="29">
                  <c:v>6.6342633220537461E-3</c:v>
                </c:pt>
                <c:pt idx="30">
                  <c:v>6.8163079703358331E-3</c:v>
                </c:pt>
                <c:pt idx="31">
                  <c:v>6.9920731675361392E-3</c:v>
                </c:pt>
                <c:pt idx="32">
                  <c:v>7.1676421541546631E-3</c:v>
                </c:pt>
                <c:pt idx="33">
                  <c:v>7.3423076378882346E-3</c:v>
                </c:pt>
                <c:pt idx="34">
                  <c:v>7.5162871933118769E-3</c:v>
                </c:pt>
                <c:pt idx="35">
                  <c:v>7.6899116074338192E-3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4A-4877-A4A9-C7609B9F9543}"/>
            </c:ext>
          </c:extLst>
        </c:ser>
        <c:ser>
          <c:idx val="4"/>
          <c:order val="4"/>
          <c:tx>
            <c:strRef>
              <c:f>Données!$B$258</c:f>
              <c:strCache>
                <c:ptCount val="1"/>
                <c:pt idx="0">
                  <c:v>Services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Données!$C$258:$AL$258</c:f>
              <c:numCache>
                <c:formatCode>0%</c:formatCode>
                <c:ptCount val="36"/>
                <c:pt idx="0">
                  <c:v>3.0114016078752748E-4</c:v>
                </c:pt>
                <c:pt idx="1">
                  <c:v>-2.0129334855386594E-3</c:v>
                </c:pt>
                <c:pt idx="2">
                  <c:v>-4.1628837266460827E-3</c:v>
                </c:pt>
                <c:pt idx="3">
                  <c:v>-6.0966542076219543E-3</c:v>
                </c:pt>
                <c:pt idx="4">
                  <c:v>-7.6729103122161746E-3</c:v>
                </c:pt>
                <c:pt idx="5">
                  <c:v>-8.8523984042480075E-3</c:v>
                </c:pt>
                <c:pt idx="6">
                  <c:v>-9.6723359723136504E-3</c:v>
                </c:pt>
                <c:pt idx="7">
                  <c:v>-1.0205019986023633E-2</c:v>
                </c:pt>
                <c:pt idx="8">
                  <c:v>-1.051846734165085E-2</c:v>
                </c:pt>
                <c:pt idx="9">
                  <c:v>-1.067024823742857E-2</c:v>
                </c:pt>
                <c:pt idx="10">
                  <c:v>-1.0710559394563002E-2</c:v>
                </c:pt>
                <c:pt idx="11">
                  <c:v>-1.0845566377242544E-2</c:v>
                </c:pt>
                <c:pt idx="12">
                  <c:v>-1.0763993834406294E-2</c:v>
                </c:pt>
                <c:pt idx="13">
                  <c:v>-1.0523253596529614E-2</c:v>
                </c:pt>
                <c:pt idx="14">
                  <c:v>-1.0168801945306671E-2</c:v>
                </c:pt>
                <c:pt idx="15">
                  <c:v>-9.7465978100728101E-3</c:v>
                </c:pt>
                <c:pt idx="16">
                  <c:v>-9.2912818763322136E-3</c:v>
                </c:pt>
                <c:pt idx="17">
                  <c:v>-8.8423158003956281E-3</c:v>
                </c:pt>
                <c:pt idx="18">
                  <c:v>-8.4223650447556864E-3</c:v>
                </c:pt>
                <c:pt idx="19">
                  <c:v>-8.0466259770923809E-3</c:v>
                </c:pt>
                <c:pt idx="20">
                  <c:v>-7.7246421439096657E-3</c:v>
                </c:pt>
                <c:pt idx="21">
                  <c:v>-7.4601876560795866E-3</c:v>
                </c:pt>
                <c:pt idx="22">
                  <c:v>-7.2516933887352142E-3</c:v>
                </c:pt>
                <c:pt idx="23">
                  <c:v>-7.0975563312126733E-3</c:v>
                </c:pt>
                <c:pt idx="24">
                  <c:v>-6.9947000646176649E-3</c:v>
                </c:pt>
                <c:pt idx="25">
                  <c:v>-6.9414290013510849E-3</c:v>
                </c:pt>
                <c:pt idx="26">
                  <c:v>-6.9364461453250703E-3</c:v>
                </c:pt>
                <c:pt idx="27">
                  <c:v>-6.9659904106191828E-3</c:v>
                </c:pt>
                <c:pt idx="28">
                  <c:v>-7.0219036907659405E-3</c:v>
                </c:pt>
                <c:pt idx="29">
                  <c:v>-7.0964798758842429E-3</c:v>
                </c:pt>
                <c:pt idx="30">
                  <c:v>-7.183511812820953E-3</c:v>
                </c:pt>
                <c:pt idx="31">
                  <c:v>-7.2798782361428449E-3</c:v>
                </c:pt>
                <c:pt idx="32">
                  <c:v>-7.3793640828476725E-3</c:v>
                </c:pt>
                <c:pt idx="33">
                  <c:v>-7.4779458046101421E-3</c:v>
                </c:pt>
                <c:pt idx="34">
                  <c:v>-7.5720628393671774E-3</c:v>
                </c:pt>
                <c:pt idx="35">
                  <c:v>-7.6589222380285538E-3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4A-4877-A4A9-C7609B9F9543}"/>
            </c:ext>
          </c:extLst>
        </c:ser>
        <c:ser>
          <c:idx val="5"/>
          <c:order val="5"/>
          <c:tx>
            <c:strRef>
              <c:f>Données!$B$259</c:f>
              <c:strCache>
                <c:ptCount val="1"/>
                <c:pt idx="0">
                  <c:v>Households</c:v>
                </c:pt>
              </c:strCache>
            </c:strRef>
          </c:tx>
          <c:spPr>
            <a:ln w="41275" cap="rnd">
              <a:solidFill>
                <a:schemeClr val="accent5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Données!$C$259:$AL$259</c:f>
              <c:numCache>
                <c:formatCode>0%</c:formatCode>
                <c:ptCount val="36"/>
                <c:pt idx="0">
                  <c:v>4.6588988679734378E-3</c:v>
                </c:pt>
                <c:pt idx="1">
                  <c:v>1.1490308507878355E-2</c:v>
                </c:pt>
                <c:pt idx="2">
                  <c:v>1.7478613423136835E-2</c:v>
                </c:pt>
                <c:pt idx="3">
                  <c:v>2.2596961711242702E-2</c:v>
                </c:pt>
                <c:pt idx="4">
                  <c:v>2.718890315914968E-2</c:v>
                </c:pt>
                <c:pt idx="5">
                  <c:v>3.1054840268988304E-2</c:v>
                </c:pt>
                <c:pt idx="6">
                  <c:v>3.4155512219442352E-2</c:v>
                </c:pt>
                <c:pt idx="7">
                  <c:v>3.6582048479956386E-2</c:v>
                </c:pt>
                <c:pt idx="8">
                  <c:v>3.8475498261130392E-2</c:v>
                </c:pt>
                <c:pt idx="9">
                  <c:v>3.9976826497522877E-2</c:v>
                </c:pt>
                <c:pt idx="10">
                  <c:v>4.1476084110622979E-2</c:v>
                </c:pt>
                <c:pt idx="11">
                  <c:v>4.2642860912919911E-2</c:v>
                </c:pt>
                <c:pt idx="12">
                  <c:v>4.3439299651238272E-2</c:v>
                </c:pt>
                <c:pt idx="13">
                  <c:v>4.39290500618994E-2</c:v>
                </c:pt>
                <c:pt idx="14">
                  <c:v>4.418437796839636E-2</c:v>
                </c:pt>
                <c:pt idx="15">
                  <c:v>4.4279598810922138E-2</c:v>
                </c:pt>
                <c:pt idx="16">
                  <c:v>4.4304564544927594E-2</c:v>
                </c:pt>
                <c:pt idx="17">
                  <c:v>4.431532254355286E-2</c:v>
                </c:pt>
                <c:pt idx="18">
                  <c:v>4.43489042741394E-2</c:v>
                </c:pt>
                <c:pt idx="19">
                  <c:v>4.4429681878107141E-2</c:v>
                </c:pt>
                <c:pt idx="20">
                  <c:v>4.4578444085904279E-2</c:v>
                </c:pt>
                <c:pt idx="21">
                  <c:v>4.4790951314530147E-2</c:v>
                </c:pt>
                <c:pt idx="22">
                  <c:v>4.507463587498961E-2</c:v>
                </c:pt>
                <c:pt idx="23">
                  <c:v>4.543156113218072E-2</c:v>
                </c:pt>
                <c:pt idx="24">
                  <c:v>4.5860514800534657E-2</c:v>
                </c:pt>
                <c:pt idx="25">
                  <c:v>4.6373516724093733E-2</c:v>
                </c:pt>
                <c:pt idx="26">
                  <c:v>4.6929805612816233E-2</c:v>
                </c:pt>
                <c:pt idx="27">
                  <c:v>4.752743372658208E-2</c:v>
                </c:pt>
                <c:pt idx="28">
                  <c:v>4.8166438660169009E-2</c:v>
                </c:pt>
                <c:pt idx="29">
                  <c:v>4.8849615822802006E-2</c:v>
                </c:pt>
                <c:pt idx="30">
                  <c:v>4.9575927483858084E-2</c:v>
                </c:pt>
                <c:pt idx="31">
                  <c:v>5.033588786087928E-2</c:v>
                </c:pt>
                <c:pt idx="32">
                  <c:v>5.1123591383215095E-2</c:v>
                </c:pt>
                <c:pt idx="33">
                  <c:v>5.1932541740614235E-2</c:v>
                </c:pt>
                <c:pt idx="34">
                  <c:v>5.2758607017713954E-2</c:v>
                </c:pt>
                <c:pt idx="35">
                  <c:v>5.3598374171629271E-2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4A-4877-A4A9-C7609B9F9543}"/>
            </c:ext>
          </c:extLst>
        </c:ser>
        <c:ser>
          <c:idx val="6"/>
          <c:order val="6"/>
          <c:tx>
            <c:strRef>
              <c:f>Données!$B$260</c:f>
              <c:strCache>
                <c:ptCount val="1"/>
                <c:pt idx="0">
                  <c:v>Households (housing)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Données!$C$260:$AL$260</c:f>
              <c:numCache>
                <c:formatCode>0%</c:formatCode>
                <c:ptCount val="36"/>
                <c:pt idx="0">
                  <c:v>4.6588988679732157E-3</c:v>
                </c:pt>
                <c:pt idx="1">
                  <c:v>1.2501945527806146E-2</c:v>
                </c:pt>
                <c:pt idx="2">
                  <c:v>1.9515384741054298E-2</c:v>
                </c:pt>
                <c:pt idx="3">
                  <c:v>2.5719289263603562E-2</c:v>
                </c:pt>
                <c:pt idx="4">
                  <c:v>3.1567340077510941E-2</c:v>
                </c:pt>
                <c:pt idx="5">
                  <c:v>3.6669912571914987E-2</c:v>
                </c:pt>
                <c:pt idx="6">
                  <c:v>4.0877046915455351E-2</c:v>
                </c:pt>
                <c:pt idx="7">
                  <c:v>4.4254455929901848E-2</c:v>
                </c:pt>
                <c:pt idx="8">
                  <c:v>4.6958012223549561E-2</c:v>
                </c:pt>
                <c:pt idx="9">
                  <c:v>4.9156970573903225E-2</c:v>
                </c:pt>
                <c:pt idx="10">
                  <c:v>5.1295687305796811E-2</c:v>
                </c:pt>
                <c:pt idx="11">
                  <c:v>5.3024637397592889E-2</c:v>
                </c:pt>
                <c:pt idx="12">
                  <c:v>5.4310344327524351E-2</c:v>
                </c:pt>
                <c:pt idx="13">
                  <c:v>5.5231156058921815E-2</c:v>
                </c:pt>
                <c:pt idx="14">
                  <c:v>5.5869028318347391E-2</c:v>
                </c:pt>
                <c:pt idx="15">
                  <c:v>5.6309982811985959E-2</c:v>
                </c:pt>
                <c:pt idx="16">
                  <c:v>5.6660843026071994E-2</c:v>
                </c:pt>
                <c:pt idx="17">
                  <c:v>5.6988201603678901E-2</c:v>
                </c:pt>
                <c:pt idx="18">
                  <c:v>5.7335878026240961E-2</c:v>
                </c:pt>
                <c:pt idx="19">
                  <c:v>5.7732594759136946E-2</c:v>
                </c:pt>
                <c:pt idx="20">
                  <c:v>5.8206424367742038E-2</c:v>
                </c:pt>
                <c:pt idx="21">
                  <c:v>5.874653283826281E-2</c:v>
                </c:pt>
                <c:pt idx="22">
                  <c:v>5.9363526177870662E-2</c:v>
                </c:pt>
                <c:pt idx="23">
                  <c:v>6.0061588645162534E-2</c:v>
                </c:pt>
                <c:pt idx="24">
                  <c:v>6.08411324504603E-2</c:v>
                </c:pt>
                <c:pt idx="25">
                  <c:v>6.1729958738393265E-2</c:v>
                </c:pt>
                <c:pt idx="26">
                  <c:v>6.2666839337379265E-2</c:v>
                </c:pt>
                <c:pt idx="27">
                  <c:v>6.3651552228690678E-2</c:v>
                </c:pt>
                <c:pt idx="28">
                  <c:v>6.4686333011092501E-2</c:v>
                </c:pt>
                <c:pt idx="29">
                  <c:v>6.5778374292656094E-2</c:v>
                </c:pt>
                <c:pt idx="30">
                  <c:v>6.6929081180135519E-2</c:v>
                </c:pt>
                <c:pt idx="31">
                  <c:v>6.8128376911414934E-2</c:v>
                </c:pt>
                <c:pt idx="32">
                  <c:v>6.9369689200866613E-2</c:v>
                </c:pt>
                <c:pt idx="33">
                  <c:v>7.0644689880882128E-2</c:v>
                </c:pt>
                <c:pt idx="34">
                  <c:v>7.1948655397152006E-2</c:v>
                </c:pt>
                <c:pt idx="35">
                  <c:v>7.3277913276135864E-2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44A-4877-A4A9-C7609B9F9543}"/>
            </c:ext>
          </c:extLst>
        </c:ser>
        <c:ser>
          <c:idx val="7"/>
          <c:order val="7"/>
          <c:tx>
            <c:strRef>
              <c:f>Données!$B$261</c:f>
              <c:strCache>
                <c:ptCount val="1"/>
                <c:pt idx="0">
                  <c:v>Households (transport)</c:v>
                </c:pt>
              </c:strCache>
            </c:strRef>
          </c:tx>
          <c:spPr>
            <a:ln w="28575" cap="rnd">
              <a:solidFill>
                <a:srgbClr val="7030A0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Données!$C$253:$AL$253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Données!$C$261:$AL$261</c:f>
              <c:numCache>
                <c:formatCode>0%</c:formatCode>
                <c:ptCount val="36"/>
                <c:pt idx="0">
                  <c:v>4.6588988679734378E-3</c:v>
                </c:pt>
                <c:pt idx="1">
                  <c:v>9.4794162070785948E-3</c:v>
                </c:pt>
                <c:pt idx="2">
                  <c:v>1.3415259738484231E-2</c:v>
                </c:pt>
                <c:pt idx="3">
                  <c:v>1.6386764861040737E-2</c:v>
                </c:pt>
                <c:pt idx="4">
                  <c:v>1.8536282509832303E-2</c:v>
                </c:pt>
                <c:pt idx="5">
                  <c:v>2.004387061674251E-2</c:v>
                </c:pt>
                <c:pt idx="6">
                  <c:v>2.1083795487869761E-2</c:v>
                </c:pt>
                <c:pt idx="7">
                  <c:v>2.1785929888547217E-2</c:v>
                </c:pt>
                <c:pt idx="8">
                  <c:v>2.2254286487344066E-2</c:v>
                </c:pt>
                <c:pt idx="9">
                  <c:v>2.2569963487065525E-2</c:v>
                </c:pt>
                <c:pt idx="10">
                  <c:v>2.3008905718824746E-2</c:v>
                </c:pt>
                <c:pt idx="11">
                  <c:v>2.3286865123656186E-2</c:v>
                </c:pt>
                <c:pt idx="12">
                  <c:v>2.3351054089863377E-2</c:v>
                </c:pt>
                <c:pt idx="13">
                  <c:v>2.3232469184856441E-2</c:v>
                </c:pt>
                <c:pt idx="14">
                  <c:v>2.2981352727665882E-2</c:v>
                </c:pt>
                <c:pt idx="15">
                  <c:v>2.2647389304167209E-2</c:v>
                </c:pt>
                <c:pt idx="16">
                  <c:v>2.2287453639417087E-2</c:v>
                </c:pt>
                <c:pt idx="17">
                  <c:v>2.1937254060770739E-2</c:v>
                </c:pt>
                <c:pt idx="18">
                  <c:v>2.1620867652267561E-2</c:v>
                </c:pt>
                <c:pt idx="19">
                  <c:v>2.1354466978153797E-2</c:v>
                </c:pt>
                <c:pt idx="20">
                  <c:v>2.1152193106680928E-2</c:v>
                </c:pt>
                <c:pt idx="21">
                  <c:v>2.1009834972839148E-2</c:v>
                </c:pt>
                <c:pt idx="22">
                  <c:v>2.0932076745417971E-2</c:v>
                </c:pt>
                <c:pt idx="23">
                  <c:v>2.0918805883580971E-2</c:v>
                </c:pt>
                <c:pt idx="24">
                  <c:v>2.0966855039530774E-2</c:v>
                </c:pt>
                <c:pt idx="25">
                  <c:v>2.108135273193823E-2</c:v>
                </c:pt>
                <c:pt idx="26">
                  <c:v>2.1231482386568468E-2</c:v>
                </c:pt>
                <c:pt idx="27">
                  <c:v>2.1414080730630669E-2</c:v>
                </c:pt>
                <c:pt idx="28">
                  <c:v>2.1626971001714734E-2</c:v>
                </c:pt>
                <c:pt idx="29">
                  <c:v>2.1867222348013859E-2</c:v>
                </c:pt>
                <c:pt idx="30">
                  <c:v>2.213108325548907E-2</c:v>
                </c:pt>
                <c:pt idx="31">
                  <c:v>2.2410978480011279E-2</c:v>
                </c:pt>
                <c:pt idx="32">
                  <c:v>2.2702833579256954E-2</c:v>
                </c:pt>
                <c:pt idx="33">
                  <c:v>2.3003631909105593E-2</c:v>
                </c:pt>
                <c:pt idx="34">
                  <c:v>2.3310652163365919E-2</c:v>
                </c:pt>
                <c:pt idx="35">
                  <c:v>2.3621302362295982E-2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44A-4877-A4A9-C7609B9F9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08477712"/>
        <c:axId val="1008474760"/>
        <c:extLst/>
      </c:lineChart>
      <c:dateAx>
        <c:axId val="1008477712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4760"/>
        <c:crosses val="autoZero"/>
        <c:auto val="1"/>
        <c:lblOffset val="100"/>
        <c:baseTimeUnit val="years"/>
        <c:majorUnit val="5"/>
        <c:majorTimeUnit val="years"/>
      </c:dateAx>
      <c:valAx>
        <c:axId val="1008474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1008477712"/>
        <c:crosses val="autoZero"/>
        <c:crossBetween val="between"/>
        <c:majorUnit val="4.0000000000000008E-2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value</a:t>
            </a:r>
            <a:r>
              <a:rPr lang="fr-FR" sz="2800" baseline="0"/>
              <a:t> added</a:t>
            </a:r>
          </a:p>
          <a:p>
            <a:pPr>
              <a:defRPr/>
            </a:pPr>
            <a:r>
              <a:rPr lang="fr-FR" sz="1800" i="0" baseline="0"/>
              <a:t>(% deviation from baseline</a:t>
            </a:r>
            <a:r>
              <a:rPr lang="fr-FR" baseline="0"/>
              <a:t>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8498092735021525E-2"/>
          <c:y val="0.17564708710766092"/>
          <c:w val="0.88919974947941849"/>
          <c:h val="0.655305443529590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Données!$B$108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Données!$C$108:$E$108</c:f>
              <c:numCache>
                <c:formatCode>0.0%</c:formatCode>
                <c:ptCount val="3"/>
                <c:pt idx="0">
                  <c:v>-9.4222501774330988E-2</c:v>
                </c:pt>
                <c:pt idx="1">
                  <c:v>-0.13079599871188838</c:v>
                </c:pt>
                <c:pt idx="2">
                  <c:v>-0.16997923822846689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Données!$B$109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Données!$C$109:$E$109</c:f>
              <c:numCache>
                <c:formatCode>0.0%</c:formatCode>
                <c:ptCount val="3"/>
                <c:pt idx="0">
                  <c:v>-5.9366296123251949E-2</c:v>
                </c:pt>
                <c:pt idx="1">
                  <c:v>-7.6613744279621046E-2</c:v>
                </c:pt>
                <c:pt idx="2">
                  <c:v>-9.1822549249498328E-2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Données!$B$110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Données!$C$110:$E$110</c:f>
              <c:numCache>
                <c:formatCode>0.0%</c:formatCode>
                <c:ptCount val="3"/>
                <c:pt idx="0">
                  <c:v>-4.6789035097015236E-2</c:v>
                </c:pt>
                <c:pt idx="1">
                  <c:v>-5.6402949992931516E-2</c:v>
                </c:pt>
                <c:pt idx="2">
                  <c:v>-6.9406915828656018E-2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Données!$B$111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Données!$C$111:$E$111</c:f>
              <c:numCache>
                <c:formatCode>0.0%</c:formatCode>
                <c:ptCount val="3"/>
                <c:pt idx="0">
                  <c:v>-3.7316584914438511E-2</c:v>
                </c:pt>
                <c:pt idx="1">
                  <c:v>-4.305587371335922E-2</c:v>
                </c:pt>
                <c:pt idx="2">
                  <c:v>-5.0749644683943697E-2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5"/>
          <c:order val="5"/>
          <c:tx>
            <c:strRef>
              <c:f>Données!$B$114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Données!$C$114:$E$114</c:f>
              <c:numCache>
                <c:formatCode>0.0%</c:formatCode>
                <c:ptCount val="3"/>
                <c:pt idx="0">
                  <c:v>-2.5415380271850217E-2</c:v>
                </c:pt>
                <c:pt idx="1">
                  <c:v>-3.0345891390528998E-2</c:v>
                </c:pt>
                <c:pt idx="2">
                  <c:v>-4.0894828169875587E-2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ser>
          <c:idx val="6"/>
          <c:order val="6"/>
          <c:tx>
            <c:v>Average</c:v>
          </c:tx>
          <c:spPr>
            <a:solidFill>
              <a:schemeClr val="bg1"/>
            </a:solidFill>
            <a:ln w="25400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Données!$C$106:$E$106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Données!$C$107:$E$107</c:f>
              <c:numCache>
                <c:formatCode>0.0%</c:formatCode>
                <c:ptCount val="3"/>
                <c:pt idx="0">
                  <c:v>-4.2042835153456554E-2</c:v>
                </c:pt>
                <c:pt idx="1">
                  <c:v>-5.0380878476964507E-2</c:v>
                </c:pt>
                <c:pt idx="2">
                  <c:v>-6.0119143506200366E-2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7-4A45-A893-6FC38B935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Données!$B$112</c15:sqref>
                        </c15:formulaRef>
                      </c:ext>
                    </c:extLst>
                    <c:strCache>
                      <c:ptCount val="1"/>
                      <c:pt idx="0">
                        <c:v>Oil&amp;Gas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Données!$C$106:$E$106</c15:sqref>
                        </c15:formulaRef>
                      </c:ext>
                    </c:extLst>
                    <c:strCache>
                      <c:ptCount val="3"/>
                      <c:pt idx="0">
                        <c:v>2030</c:v>
                      </c:pt>
                      <c:pt idx="1">
                        <c:v>2040</c:v>
                      </c:pt>
                      <c:pt idx="2">
                        <c:v>2050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Données!$C$112:$E$112</c15:sqref>
                        </c15:formulaRef>
                      </c:ext>
                    </c:extLst>
                    <c:numCache>
                      <c:formatCode>0.0%</c:formatCode>
                      <c:ptCount val="3"/>
                      <c:pt idx="0">
                        <c:v>3.735840066500188E-2</c:v>
                      </c:pt>
                      <c:pt idx="1">
                        <c:v>5.2012724769372493E-2</c:v>
                      </c:pt>
                      <c:pt idx="2">
                        <c:v>6.0718762051155235E-2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C3EF-431D-9A51-747E617C00CC}"/>
                  </c:ext>
                </c:extLst>
              </c15:ser>
            </c15:filteredBarSeries>
          </c:ext>
        </c:extLst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Données!$C$117:$E$117</c:f>
              <c:numCache>
                <c:formatCode>0.0%</c:formatCode>
                <c:ptCount val="3"/>
                <c:pt idx="0">
                  <c:v>-9.4222501774331002E-2</c:v>
                </c:pt>
                <c:pt idx="1">
                  <c:v>-0.13079599871188841</c:v>
                </c:pt>
                <c:pt idx="2">
                  <c:v>-0.16997923822846683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Données!$B$118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0.0%</c:formatCode>
                <c:ptCount val="3"/>
                <c:pt idx="0">
                  <c:v>-5.9366296123251949E-2</c:v>
                </c:pt>
                <c:pt idx="1">
                  <c:v>-7.6613744279621088E-2</c:v>
                </c:pt>
                <c:pt idx="2">
                  <c:v>-9.1822549249498286E-2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Données!$B$119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0.0%</c:formatCode>
                <c:ptCount val="3"/>
                <c:pt idx="0">
                  <c:v>-4.6789035097015264E-2</c:v>
                </c:pt>
                <c:pt idx="1">
                  <c:v>-5.6402949992931495E-2</c:v>
                </c:pt>
                <c:pt idx="2">
                  <c:v>-6.9406915828655991E-2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Données!$B$120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0.0%</c:formatCode>
                <c:ptCount val="3"/>
                <c:pt idx="0">
                  <c:v>-3.7316584914438566E-2</c:v>
                </c:pt>
                <c:pt idx="1">
                  <c:v>-4.3055873713359172E-2</c:v>
                </c:pt>
                <c:pt idx="2">
                  <c:v>-5.0749644683943718E-2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Données!$B$121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0.0%</c:formatCode>
                <c:ptCount val="3"/>
                <c:pt idx="0">
                  <c:v>3.7358400665001845E-2</c:v>
                </c:pt>
                <c:pt idx="1">
                  <c:v>5.2012724769372465E-2</c:v>
                </c:pt>
                <c:pt idx="2">
                  <c:v>6.0718762051155339E-2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Données!$B$122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Données!$C$116:$E$116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0.0%</c:formatCode>
                <c:ptCount val="3"/>
                <c:pt idx="0">
                  <c:v>-2.5415380271850196E-2</c:v>
                </c:pt>
                <c:pt idx="1">
                  <c:v>-3.0345891390529012E-2</c:v>
                </c:pt>
                <c:pt idx="2">
                  <c:v>-4.0894828169875552E-2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Sectoral production</a:t>
            </a:r>
          </a:p>
          <a:p>
            <a:pPr>
              <a:defRPr/>
            </a:pPr>
            <a:r>
              <a:rPr lang="fr-FR" sz="1800" baseline="0"/>
              <a:t>(% deviation from baseline)</a:t>
            </a:r>
          </a:p>
          <a:p>
            <a:pPr>
              <a:defRPr/>
            </a:pPr>
            <a:endParaRPr lang="fr-FR"/>
          </a:p>
        </c:rich>
      </c:tx>
      <c:layout>
        <c:manualLayout>
          <c:xMode val="edge"/>
          <c:yMode val="edge"/>
          <c:x val="0.32042331569230875"/>
          <c:y val="1.25748508923028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9.1663560631932678E-2"/>
          <c:y val="0.16258101222189938"/>
          <c:w val="0.88919974947941849"/>
          <c:h val="0.5784454513859894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Données!$B$147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Données!$C$147:$E$147</c:f>
              <c:numCache>
                <c:formatCode>0.0%</c:formatCode>
                <c:ptCount val="3"/>
                <c:pt idx="0">
                  <c:v>-5.5234344663263955E-2</c:v>
                </c:pt>
                <c:pt idx="1">
                  <c:v>-4.6176143747233354E-2</c:v>
                </c:pt>
                <c:pt idx="2">
                  <c:v>-7.952331315361541E-2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Données!$B$148</c:f>
              <c:strCache>
                <c:ptCount val="1"/>
                <c:pt idx="0">
                  <c:v>Industry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Données!$C$148:$E$148</c:f>
              <c:numCache>
                <c:formatCode>0.0%</c:formatCode>
                <c:ptCount val="3"/>
                <c:pt idx="0">
                  <c:v>-6.0582078911568429E-2</c:v>
                </c:pt>
                <c:pt idx="1">
                  <c:v>-5.6025152620205965E-2</c:v>
                </c:pt>
                <c:pt idx="2">
                  <c:v>-9.304530630666491E-2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Données!$B$149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Données!$C$149:$E$149</c:f>
              <c:numCache>
                <c:formatCode>0.0%</c:formatCode>
                <c:ptCount val="3"/>
                <c:pt idx="0">
                  <c:v>-5.0353457887280254E-2</c:v>
                </c:pt>
                <c:pt idx="1">
                  <c:v>-6.2127628121042701E-2</c:v>
                </c:pt>
                <c:pt idx="2">
                  <c:v>-7.5485301955704798E-2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Données!$B$150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Données!$C$150:$E$150</c:f>
              <c:numCache>
                <c:formatCode>0.0%</c:formatCode>
                <c:ptCount val="3"/>
                <c:pt idx="0">
                  <c:v>-3.9279709702273451E-2</c:v>
                </c:pt>
                <c:pt idx="1">
                  <c:v>-5.1137601504764901E-2</c:v>
                </c:pt>
                <c:pt idx="2">
                  <c:v>-5.3362024433785293E-2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Données!$B$151</c:f>
              <c:strCache>
                <c:ptCount val="1"/>
                <c:pt idx="0">
                  <c:v>Oil&amp;Gas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Données!$C$151:$E$151</c:f>
              <c:numCache>
                <c:formatCode>0.0%</c:formatCode>
                <c:ptCount val="3"/>
                <c:pt idx="0">
                  <c:v>-5.8656320000848111E-2</c:v>
                </c:pt>
                <c:pt idx="1">
                  <c:v>-3.9775760618420669E-2</c:v>
                </c:pt>
                <c:pt idx="2">
                  <c:v>-8.5418960553977186E-2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Données!$B$152</c:f>
              <c:strCache>
                <c:ptCount val="1"/>
                <c:pt idx="0">
                  <c:v>Renewable Oil&amp;Gas</c:v>
                </c:pt>
              </c:strCache>
            </c:strRef>
          </c:tx>
          <c:spPr>
            <a:pattFill prst="narHorz">
              <a:fgClr>
                <a:srgbClr val="7030A0"/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Données!$C$152:$E$152</c:f>
              <c:numCache>
                <c:formatCode>0.0%</c:formatCode>
                <c:ptCount val="3"/>
                <c:pt idx="0">
                  <c:v>-5.7102163713411688E-2</c:v>
                </c:pt>
                <c:pt idx="1">
                  <c:v>-5.9821042760270705E-2</c:v>
                </c:pt>
                <c:pt idx="2">
                  <c:v>-8.1380884500491107E-2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ser>
          <c:idx val="7"/>
          <c:order val="6"/>
          <c:tx>
            <c:strRef>
              <c:f>Données!$B$153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Données!$C$153:$E$153</c:f>
              <c:numCache>
                <c:formatCode>0.0%</c:formatCode>
                <c:ptCount val="3"/>
                <c:pt idx="0">
                  <c:v>-2.5499610920764963E-2</c:v>
                </c:pt>
                <c:pt idx="1">
                  <c:v>-5.8206440163327711E-2</c:v>
                </c:pt>
                <c:pt idx="2">
                  <c:v>-4.1070326594657314E-2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52-45B6-A986-EF05989A50E2}"/>
            </c:ext>
          </c:extLst>
        </c:ser>
        <c:ser>
          <c:idx val="6"/>
          <c:order val="7"/>
          <c:tx>
            <c:strRef>
              <c:f>Données!$B$146</c:f>
              <c:strCache>
                <c:ptCount val="1"/>
                <c:pt idx="0">
                  <c:v>Average</c:v>
                </c:pt>
              </c:strCache>
            </c:strRef>
          </c:tx>
          <c:spPr>
            <a:solidFill>
              <a:schemeClr val="bg1"/>
            </a:solidFill>
            <a:ln w="15875">
              <a:solidFill>
                <a:schemeClr val="tx1"/>
              </a:solidFill>
            </a:ln>
            <a:effectLst/>
          </c:spPr>
          <c:invertIfNegative val="0"/>
          <c:cat>
            <c:strRef>
              <c:f>Données!$C$145:$E$145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Données!$C$146:$E$146</c:f>
              <c:numCache>
                <c:formatCode>0.0%</c:formatCode>
                <c:ptCount val="3"/>
                <c:pt idx="0">
                  <c:v>-4.5393931819479261E-2</c:v>
                </c:pt>
                <c:pt idx="1">
                  <c:v>0</c:v>
                </c:pt>
                <c:pt idx="2">
                  <c:v>-6.5002261741736303E-2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52-45B6-A986-EF05989A50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  <c:max val="4.0000000000000008E-2"/>
          <c:min val="-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Données!$B$156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Données!$C$156:$E$156</c:f>
              <c:numCache>
                <c:formatCode>0.0%</c:formatCode>
                <c:ptCount val="3"/>
                <c:pt idx="0">
                  <c:v>-5.5234344663263935E-2</c:v>
                </c:pt>
                <c:pt idx="1">
                  <c:v>-6.5337657415153516E-2</c:v>
                </c:pt>
                <c:pt idx="2">
                  <c:v>-7.9523313153615383E-2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Données!$B$157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Données!$C$157:$E$157</c:f>
              <c:numCache>
                <c:formatCode>0.0%</c:formatCode>
                <c:ptCount val="3"/>
                <c:pt idx="0">
                  <c:v>-6.0582078911568416E-2</c:v>
                </c:pt>
                <c:pt idx="1">
                  <c:v>-7.7304773259364246E-2</c:v>
                </c:pt>
                <c:pt idx="2">
                  <c:v>-9.3045306306664854E-2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Données!$B$158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Données!$C$158:$E$158</c:f>
              <c:numCache>
                <c:formatCode>0.0%</c:formatCode>
                <c:ptCount val="3"/>
                <c:pt idx="0">
                  <c:v>-5.0353457887280295E-2</c:v>
                </c:pt>
                <c:pt idx="1">
                  <c:v>-6.117498124096854E-2</c:v>
                </c:pt>
                <c:pt idx="2">
                  <c:v>-7.5485301955704798E-2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Données!$B$159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Données!$C$159:$E$159</c:f>
              <c:numCache>
                <c:formatCode>0.0%</c:formatCode>
                <c:ptCount val="3"/>
                <c:pt idx="0">
                  <c:v>-3.9279709702273458E-2</c:v>
                </c:pt>
                <c:pt idx="1">
                  <c:v>-4.5246244636942379E-2</c:v>
                </c:pt>
                <c:pt idx="2">
                  <c:v>-5.3362024433785238E-2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Données!$B$160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Données!$C$160:$E$160</c:f>
              <c:numCache>
                <c:formatCode>0.0%</c:formatCode>
                <c:ptCount val="3"/>
                <c:pt idx="0">
                  <c:v>-5.8656320000848083E-2</c:v>
                </c:pt>
                <c:pt idx="1">
                  <c:v>-7.0971386348882781E-2</c:v>
                </c:pt>
                <c:pt idx="2">
                  <c:v>-8.5418960553977241E-2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Données!$B$161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Données!$C$155:$E$155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Données!$C$161:$E$161</c:f>
              <c:numCache>
                <c:formatCode>0.0%</c:formatCode>
                <c:ptCount val="3"/>
                <c:pt idx="0">
                  <c:v>-2.5499610920764915E-2</c:v>
                </c:pt>
                <c:pt idx="1">
                  <c:v>-3.0444368467508642E-2</c:v>
                </c:pt>
                <c:pt idx="2">
                  <c:v>-4.1070326594657369E-2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chart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chart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chart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chart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chart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chart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chart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chart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chart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chart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chartsheets/sheet1.xml><?xml version="1.0" encoding="utf-8"?>
<chartsheet xmlns="http://schemas.openxmlformats.org/spreadsheetml/2006/main" xmlns:r="http://schemas.openxmlformats.org/officeDocument/2006/relationships">
  <sheetPr codeName="Graphique2">
    <tabColor rgb="FFFF0000"/>
  </sheetPr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 codeName="Graphique3">
    <tabColor rgb="FFFF0000"/>
  </sheetPr>
  <sheetViews>
    <sheetView zoomScale="4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 codeName="Graphique4">
    <tabColor rgb="FFFF0000"/>
  </sheetPr>
  <sheetViews>
    <sheetView zoomScale="55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 codeName="Graphique5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 codeName="Graphique6"/>
  <sheetViews>
    <sheetView zoomScale="7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 codeName="Graphique7">
    <tabColor rgb="FFFF000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 codeName="Graphique8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8.xml><?xml version="1.0" encoding="utf-8"?>
<chartsheet xmlns="http://schemas.openxmlformats.org/spreadsheetml/2006/main" xmlns:r="http://schemas.openxmlformats.org/officeDocument/2006/relationships">
  <sheetPr codeName="Graphique9">
    <tabColor theme="7"/>
  </sheetPr>
  <sheetViews>
    <sheetView zoomScale="55" workbookViewId="0"/>
  </sheetViews>
  <pageMargins left="0.7" right="0.7" top="0.75" bottom="0.75" header="0.3" footer="0.3"/>
  <drawing r:id="rId1"/>
</chartsheet>
</file>

<file path=xl/chartsheets/sheet9.xml><?xml version="1.0" encoding="utf-8"?>
<chartsheet xmlns="http://schemas.openxmlformats.org/spreadsheetml/2006/main" xmlns:r="http://schemas.openxmlformats.org/officeDocument/2006/relationships">
  <sheetPr codeName="Graphique10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0.xml><?xml version="1.0" encoding="utf-8"?>
<chartsheet xmlns="http://schemas.openxmlformats.org/spreadsheetml/2006/main" xmlns:r="http://schemas.openxmlformats.org/officeDocument/2006/relationships">
  <sheetPr codeName="Graphique11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1.xml><?xml version="1.0" encoding="utf-8"?>
<chartsheet xmlns="http://schemas.openxmlformats.org/spreadsheetml/2006/main" xmlns:r="http://schemas.openxmlformats.org/officeDocument/2006/relationships">
  <sheetPr codeName="Graphique12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2.xml><?xml version="1.0" encoding="utf-8"?>
<chartsheet xmlns="http://schemas.openxmlformats.org/spreadsheetml/2006/main" xmlns:r="http://schemas.openxmlformats.org/officeDocument/2006/relationships">
  <sheetPr codeName="Graphique13">
    <tabColor theme="7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3.xml><?xml version="1.0" encoding="utf-8"?>
<chartsheet xmlns="http://schemas.openxmlformats.org/spreadsheetml/2006/main" xmlns:r="http://schemas.openxmlformats.org/officeDocument/2006/relationships">
  <sheetPr codeName="Graphique14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4.xml><?xml version="1.0" encoding="utf-8"?>
<chartsheet xmlns="http://schemas.openxmlformats.org/spreadsheetml/2006/main" xmlns:r="http://schemas.openxmlformats.org/officeDocument/2006/relationships">
  <sheetPr codeName="Graphique15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5.xml><?xml version="1.0" encoding="utf-8"?>
<chartsheet xmlns="http://schemas.openxmlformats.org/spreadsheetml/2006/main" xmlns:r="http://schemas.openxmlformats.org/officeDocument/2006/relationships">
  <sheetPr codeName="Graphique16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6.xml><?xml version="1.0" encoding="utf-8"?>
<chartsheet xmlns="http://schemas.openxmlformats.org/spreadsheetml/2006/main" xmlns:r="http://schemas.openxmlformats.org/officeDocument/2006/relationships">
  <sheetPr codeName="Graphique17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7.xml><?xml version="1.0" encoding="utf-8"?>
<chartsheet xmlns="http://schemas.openxmlformats.org/spreadsheetml/2006/main" xmlns:r="http://schemas.openxmlformats.org/officeDocument/2006/relationships">
  <sheetPr codeName="Graphique18">
    <tabColor rgb="FF7030A0"/>
  </sheetPr>
  <sheetViews>
    <sheetView zoomScale="55" workbookViewId="0"/>
  </sheetViews>
  <pageMargins left="0.7" right="0.7" top="0.75" bottom="0.75" header="0.3" footer="0.3"/>
  <drawing r:id="rId1"/>
</chartsheet>
</file>

<file path=xl/chartsheets/sheet18.xml><?xml version="1.0" encoding="utf-8"?>
<chartsheet xmlns="http://schemas.openxmlformats.org/spreadsheetml/2006/main" xmlns:r="http://schemas.openxmlformats.org/officeDocument/2006/relationships">
  <sheetPr codeName="Graphique19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19.xml><?xml version="1.0" encoding="utf-8"?>
<chartsheet xmlns="http://schemas.openxmlformats.org/spreadsheetml/2006/main" xmlns:r="http://schemas.openxmlformats.org/officeDocument/2006/relationships">
  <sheetPr codeName="Graphique20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chartsheets/sheet20.xml><?xml version="1.0" encoding="utf-8"?>
<chartsheet xmlns="http://schemas.openxmlformats.org/spreadsheetml/2006/main" xmlns:r="http://schemas.openxmlformats.org/officeDocument/2006/relationships">
  <sheetPr codeName="Graphique21">
    <tabColor rgb="FF7030A0"/>
  </sheetPr>
  <sheetViews>
    <sheetView zoomScale="70" workbookViewId="0"/>
  </sheetViews>
  <pageMargins left="0.7" right="0.7" top="0.75" bottom="0.75" header="0.3" footer="0.3"/>
  <drawing r:id="rId1"/>
</chartsheet>
</file>

<file path=xl/chartsheets/sheet21.xml><?xml version="1.0" encoding="utf-8"?>
<chartsheet xmlns="http://schemas.openxmlformats.org/spreadsheetml/2006/main" xmlns:r="http://schemas.openxmlformats.org/officeDocument/2006/relationships">
  <sheetPr codeName="Graphique22">
    <tabColor rgb="FF7030A0"/>
  </sheetPr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302750" cy="608012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9305636" cy="6084455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1.xml><?xml version="1.0" encoding="utf-8"?>
<c:userShapes xmlns:c="http://schemas.openxmlformats.org/drawingml/2006/chart">
  <cdr:relSizeAnchor xmlns:cdr="http://schemas.openxmlformats.org/drawingml/2006/chartDrawing">
    <cdr:from>
      <cdr:x>0.85707</cdr:x>
      <cdr:y>0.69417</cdr:y>
    </cdr:from>
    <cdr:to>
      <cdr:x>0.94221</cdr:x>
      <cdr:y>0.74196</cdr:y>
    </cdr:to>
    <cdr:sp macro="" textlink="">
      <cdr:nvSpPr>
        <cdr:cNvPr id="2" name="ZoneTexte 1"/>
        <cdr:cNvSpPr txBox="1"/>
      </cdr:nvSpPr>
      <cdr:spPr>
        <a:xfrm xmlns:a="http://schemas.openxmlformats.org/drawingml/2006/main">
          <a:off x="7963123" y="4206915"/>
          <a:ext cx="790965" cy="28964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endParaRPr lang="fr-FR" sz="2000" b="1">
            <a:latin typeface="Marianne Light" panose="02000000000000000000" pitchFamily="50" charset="0"/>
          </a:endParaRPr>
        </a:p>
      </cdr:txBody>
    </cdr:sp>
  </cdr:relSizeAnchor>
  <cdr:relSizeAnchor xmlns:cdr="http://schemas.openxmlformats.org/drawingml/2006/chartDrawing">
    <cdr:from>
      <cdr:x>0.86541</cdr:x>
      <cdr:y>0.19309</cdr:y>
    </cdr:from>
    <cdr:to>
      <cdr:x>0.98047</cdr:x>
      <cdr:y>0.26796</cdr:y>
    </cdr:to>
    <cdr:sp macro="" textlink="">
      <cdr:nvSpPr>
        <cdr:cNvPr id="4" name="ZoneTexte 3"/>
        <cdr:cNvSpPr txBox="1"/>
      </cdr:nvSpPr>
      <cdr:spPr>
        <a:xfrm xmlns:a="http://schemas.openxmlformats.org/drawingml/2006/main">
          <a:off x="8038886" y="1170088"/>
          <a:ext cx="1068828" cy="453698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 i="0">
              <a:latin typeface="Marianne Light" panose="02000000000000000000" pitchFamily="50" charset="0"/>
            </a:rPr>
            <a:t>+500%</a:t>
          </a:r>
        </a:p>
      </cdr:txBody>
    </cdr:sp>
  </cdr:relSizeAnchor>
  <cdr:relSizeAnchor xmlns:cdr="http://schemas.openxmlformats.org/drawingml/2006/chartDrawing">
    <cdr:from>
      <cdr:x>0.78711</cdr:x>
      <cdr:y>0.67216</cdr:y>
    </cdr:from>
    <cdr:to>
      <cdr:x>0.88477</cdr:x>
      <cdr:y>0.73503</cdr:y>
    </cdr:to>
    <cdr:sp macro="" textlink="">
      <cdr:nvSpPr>
        <cdr:cNvPr id="5" name="ZoneTexte 4"/>
        <cdr:cNvSpPr txBox="1"/>
      </cdr:nvSpPr>
      <cdr:spPr>
        <a:xfrm xmlns:a="http://schemas.openxmlformats.org/drawingml/2006/main">
          <a:off x="7311571" y="4073072"/>
          <a:ext cx="907143" cy="381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fr-FR" sz="1800" b="0">
              <a:latin typeface="Marianne Light" panose="02000000000000000000" pitchFamily="50" charset="0"/>
            </a:rPr>
            <a:t>-42%</a:t>
          </a:r>
        </a:p>
      </cdr:txBody>
    </cdr:sp>
  </cdr:relSizeAnchor>
</c:userShapes>
</file>

<file path=xl/drawings/drawing22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2-03-04_18-53-41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  <sheetName val="Import"/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/>
      <sheetData sheetId="2"/>
      <sheetData sheetId="3">
        <row r="2">
          <cell r="B2">
            <v>3802656.1510000001</v>
          </cell>
          <cell r="C2">
            <v>3832679.1129999999</v>
          </cell>
          <cell r="D2">
            <v>3871408.8849999998</v>
          </cell>
          <cell r="E2">
            <v>3915646.148</v>
          </cell>
          <cell r="F2">
            <v>3964366.0920000002</v>
          </cell>
          <cell r="G2">
            <v>4016832.4750000001</v>
          </cell>
          <cell r="H2">
            <v>4069812.0290000001</v>
          </cell>
          <cell r="I2">
            <v>4124562.3859999999</v>
          </cell>
          <cell r="J2">
            <v>4180929.4389999998</v>
          </cell>
          <cell r="K2">
            <v>4238710.2220000001</v>
          </cell>
          <cell r="L2">
            <v>4297528.8190000001</v>
          </cell>
          <cell r="M2">
            <v>4360927.0310000004</v>
          </cell>
          <cell r="N2">
            <v>4425885.4630000005</v>
          </cell>
          <cell r="O2">
            <v>4492023.66</v>
          </cell>
          <cell r="P2">
            <v>4559157.9519999996</v>
          </cell>
          <cell r="Q2">
            <v>4627180.091</v>
          </cell>
          <cell r="R2">
            <v>4695792.3849999998</v>
          </cell>
          <cell r="S2">
            <v>4765116.0290000001</v>
          </cell>
          <cell r="T2">
            <v>4835147.91</v>
          </cell>
          <cell r="U2">
            <v>4905892.7920000004</v>
          </cell>
          <cell r="V2">
            <v>4974099.0039999997</v>
          </cell>
          <cell r="W2">
            <v>5045216.4079999998</v>
          </cell>
          <cell r="X2">
            <v>5117443.0480000004</v>
          </cell>
          <cell r="Y2">
            <v>5190700.2989999996</v>
          </cell>
          <cell r="Z2">
            <v>5264982.5180000002</v>
          </cell>
          <cell r="AA2">
            <v>5330906.9740000004</v>
          </cell>
          <cell r="AB2">
            <v>5399730.5199999996</v>
          </cell>
          <cell r="AC2">
            <v>5469012.8020000001</v>
          </cell>
          <cell r="AD2">
            <v>5538860.2359999996</v>
          </cell>
          <cell r="AE2">
            <v>5609430.358</v>
          </cell>
          <cell r="AF2">
            <v>5680859.665</v>
          </cell>
          <cell r="AG2">
            <v>5753318.0460000001</v>
          </cell>
          <cell r="AH2">
            <v>5826824.2340000002</v>
          </cell>
          <cell r="AI2">
            <v>5901410.2779999999</v>
          </cell>
          <cell r="AJ2">
            <v>5977089.2070000004</v>
          </cell>
          <cell r="AK2">
            <v>6053861.1830000002</v>
          </cell>
          <cell r="AL2">
            <v>6130123.3459999999</v>
          </cell>
          <cell r="AM2">
            <v>6206865.2939999998</v>
          </cell>
          <cell r="AN2">
            <v>6284235.0489999996</v>
          </cell>
          <cell r="AO2">
            <v>6362325.1430000002</v>
          </cell>
          <cell r="AP2">
            <v>6441210.9749999996</v>
          </cell>
          <cell r="AQ2">
            <v>6521068.6919999998</v>
          </cell>
          <cell r="AR2">
            <v>6601873.449</v>
          </cell>
          <cell r="AS2">
            <v>6683653.4910000004</v>
          </cell>
          <cell r="AT2">
            <v>6766427.4299999997</v>
          </cell>
          <cell r="AU2">
            <v>6850205.2769999998</v>
          </cell>
          <cell r="AV2">
            <v>6935595.4529999997</v>
          </cell>
          <cell r="AW2">
            <v>7022192.6069999998</v>
          </cell>
          <cell r="AX2">
            <v>7109939.8739999998</v>
          </cell>
          <cell r="AY2">
            <v>7198799.5719999997</v>
          </cell>
          <cell r="AZ2">
            <v>7288746.108</v>
          </cell>
          <cell r="BA2">
            <v>8694272.4759999998</v>
          </cell>
          <cell r="BB2">
            <v>8840634.7420000006</v>
          </cell>
          <cell r="BC2">
            <v>8989308.7599999998</v>
          </cell>
          <cell r="BD2">
            <v>9140327.6300000008</v>
          </cell>
          <cell r="BE2">
            <v>9293727.1170000006</v>
          </cell>
        </row>
        <row r="3">
          <cell r="B3">
            <v>3859362.8769999999</v>
          </cell>
          <cell r="C3">
            <v>3908270.1009999998</v>
          </cell>
          <cell r="D3">
            <v>3962069.2280000001</v>
          </cell>
          <cell r="E3">
            <v>4019511.3670000001</v>
          </cell>
          <cell r="F3">
            <v>4080255.4750000001</v>
          </cell>
          <cell r="G3">
            <v>4143927.4419999998</v>
          </cell>
          <cell r="H3">
            <v>4207559.4890000001</v>
          </cell>
          <cell r="I3">
            <v>4272581.2709999997</v>
          </cell>
          <cell r="J3">
            <v>4339001.517</v>
          </cell>
          <cell r="K3">
            <v>4406764.1679999996</v>
          </cell>
          <cell r="L3">
            <v>4480406.0329999998</v>
          </cell>
          <cell r="M3">
            <v>4552217.8289999999</v>
          </cell>
          <cell r="N3">
            <v>4624727.4239999996</v>
          </cell>
          <cell r="O3">
            <v>4698046.068</v>
          </cell>
          <cell r="P3">
            <v>4772200.3480000002</v>
          </cell>
          <cell r="Q3">
            <v>4847214.2019999996</v>
          </cell>
          <cell r="R3">
            <v>4923123.2309999997</v>
          </cell>
          <cell r="S3">
            <v>4999973.1310000001</v>
          </cell>
          <cell r="T3">
            <v>5077814.9989999998</v>
          </cell>
          <cell r="U3">
            <v>5156701.102</v>
          </cell>
          <cell r="V3">
            <v>5233255.7680000002</v>
          </cell>
          <cell r="W3">
            <v>5313205.6320000002</v>
          </cell>
          <cell r="X3">
            <v>5394678.6030000001</v>
          </cell>
          <cell r="Y3">
            <v>5477598.7450000001</v>
          </cell>
          <cell r="Z3">
            <v>5561956.7209999999</v>
          </cell>
          <cell r="AA3">
            <v>5637837.6509999996</v>
          </cell>
          <cell r="AB3">
            <v>5716951.4349999996</v>
          </cell>
          <cell r="AC3">
            <v>5796788.8870000001</v>
          </cell>
          <cell r="AD3">
            <v>5877455.5650000004</v>
          </cell>
          <cell r="AE3">
            <v>5959108.4539999999</v>
          </cell>
          <cell r="AF3">
            <v>6041880.5729999999</v>
          </cell>
          <cell r="AG3">
            <v>6125866.5240000002</v>
          </cell>
          <cell r="AH3">
            <v>6211124.6909999996</v>
          </cell>
          <cell r="AI3">
            <v>6297684.6050000004</v>
          </cell>
          <cell r="AJ3">
            <v>6385555.3959999997</v>
          </cell>
          <cell r="AK3">
            <v>6474733.5049999999</v>
          </cell>
          <cell r="AL3">
            <v>6562799.7130000005</v>
          </cell>
          <cell r="AM3">
            <v>6651295.6140000001</v>
          </cell>
          <cell r="AN3">
            <v>6740437.574</v>
          </cell>
          <cell r="AO3">
            <v>6830366.6540000001</v>
          </cell>
          <cell r="AP3">
            <v>6921197.2130000005</v>
          </cell>
          <cell r="AQ3">
            <v>7013024.5619999999</v>
          </cell>
          <cell r="AR3">
            <v>7105925.4680000003</v>
          </cell>
          <cell r="AS3">
            <v>7199958.9230000004</v>
          </cell>
          <cell r="AT3">
            <v>7295168.3439999996</v>
          </cell>
          <cell r="AU3">
            <v>7391584.9139999999</v>
          </cell>
          <cell r="AV3">
            <v>7489450.551</v>
          </cell>
          <cell r="AW3">
            <v>7588641.1490000002</v>
          </cell>
          <cell r="AX3">
            <v>7689151.8480000002</v>
          </cell>
          <cell r="AY3">
            <v>7790980.6100000003</v>
          </cell>
          <cell r="AZ3">
            <v>7894128.398</v>
          </cell>
          <cell r="BA3">
            <v>8712181.8599999994</v>
          </cell>
          <cell r="BB3">
            <v>8859098.2300000004</v>
          </cell>
          <cell r="BC3">
            <v>9008308.0109999999</v>
          </cell>
          <cell r="BD3">
            <v>9159849.0710000005</v>
          </cell>
          <cell r="BE3">
            <v>9313761.7990000006</v>
          </cell>
        </row>
        <row r="4">
          <cell r="B4">
            <v>80409.283410000004</v>
          </cell>
          <cell r="C4">
            <v>80597.161519999994</v>
          </cell>
          <cell r="D4">
            <v>81004.206099999996</v>
          </cell>
          <cell r="E4">
            <v>81603.922869999995</v>
          </cell>
          <cell r="F4">
            <v>82375.010890000005</v>
          </cell>
          <cell r="G4">
            <v>83290.466390000001</v>
          </cell>
          <cell r="H4">
            <v>84272.375690000001</v>
          </cell>
          <cell r="I4">
            <v>85326.161550000004</v>
          </cell>
          <cell r="J4">
            <v>86438.579880000005</v>
          </cell>
          <cell r="K4">
            <v>87597.769459999996</v>
          </cell>
          <cell r="L4">
            <v>88760.618589999998</v>
          </cell>
          <cell r="M4">
            <v>90072.456330000001</v>
          </cell>
          <cell r="N4">
            <v>91422.28933</v>
          </cell>
          <cell r="O4">
            <v>92799.468229999999</v>
          </cell>
          <cell r="P4">
            <v>94198.249400000001</v>
          </cell>
          <cell r="Q4">
            <v>95614.459730000002</v>
          </cell>
          <cell r="R4">
            <v>97039.837209999998</v>
          </cell>
          <cell r="S4">
            <v>98474.743319999994</v>
          </cell>
          <cell r="T4">
            <v>99917.932939999999</v>
          </cell>
          <cell r="U4">
            <v>101368.9026</v>
          </cell>
          <cell r="V4">
            <v>102765.10159999999</v>
          </cell>
          <cell r="W4">
            <v>104203.50840000001</v>
          </cell>
          <cell r="X4">
            <v>105658.6581</v>
          </cell>
          <cell r="Y4">
            <v>107129.36259999999</v>
          </cell>
          <cell r="Z4">
            <v>108615.7022</v>
          </cell>
          <cell r="AA4">
            <v>109938.85249999999</v>
          </cell>
          <cell r="AB4">
            <v>111292.6688</v>
          </cell>
          <cell r="AC4">
            <v>112647.1442</v>
          </cell>
          <cell r="AD4">
            <v>114007.07709999999</v>
          </cell>
          <cell r="AE4">
            <v>115377.7577</v>
          </cell>
          <cell r="AF4">
            <v>116763.55190000001</v>
          </cell>
          <cell r="AG4">
            <v>118169.1652</v>
          </cell>
          <cell r="AH4">
            <v>119595.99619999999</v>
          </cell>
          <cell r="AI4">
            <v>121045.2476</v>
          </cell>
          <cell r="AJ4">
            <v>122517.465</v>
          </cell>
          <cell r="AK4">
            <v>124012.7977</v>
          </cell>
          <cell r="AL4">
            <v>125502.855</v>
          </cell>
          <cell r="AM4">
            <v>127002.6338</v>
          </cell>
          <cell r="AN4">
            <v>128516.1134</v>
          </cell>
          <cell r="AO4">
            <v>130045.5491</v>
          </cell>
          <cell r="AP4">
            <v>131592.77249999999</v>
          </cell>
          <cell r="AQ4">
            <v>133161.79329999999</v>
          </cell>
          <cell r="AR4">
            <v>134752.73389999999</v>
          </cell>
          <cell r="AS4">
            <v>136366.3793</v>
          </cell>
          <cell r="AT4">
            <v>138003.10769999999</v>
          </cell>
          <cell r="AU4">
            <v>139663.03479999999</v>
          </cell>
          <cell r="AV4">
            <v>141358.5232</v>
          </cell>
          <cell r="AW4">
            <v>143083.18729999999</v>
          </cell>
          <cell r="AX4">
            <v>144835.67360000001</v>
          </cell>
          <cell r="AY4">
            <v>146614.52840000001</v>
          </cell>
          <cell r="AZ4">
            <v>148418.51190000001</v>
          </cell>
          <cell r="BA4">
            <v>179121.29980000001</v>
          </cell>
          <cell r="BB4">
            <v>182052.38750000001</v>
          </cell>
          <cell r="BC4">
            <v>185032.44380000001</v>
          </cell>
          <cell r="BD4">
            <v>188062.4975</v>
          </cell>
          <cell r="BE4">
            <v>191143.62390000001</v>
          </cell>
        </row>
        <row r="5">
          <cell r="B5">
            <v>81862.317689999996</v>
          </cell>
          <cell r="C5">
            <v>82566.293350000007</v>
          </cell>
          <cell r="D5">
            <v>83408.24712</v>
          </cell>
          <cell r="E5">
            <v>84394.135490000001</v>
          </cell>
          <cell r="F5">
            <v>85513.737269999998</v>
          </cell>
          <cell r="G5">
            <v>86747.141109999997</v>
          </cell>
          <cell r="H5">
            <v>88023.011870000002</v>
          </cell>
          <cell r="I5">
            <v>89352.745760000005</v>
          </cell>
          <cell r="J5">
            <v>90728.791670000006</v>
          </cell>
          <cell r="K5">
            <v>92144.440789999993</v>
          </cell>
          <cell r="L5">
            <v>93684.438460000005</v>
          </cell>
          <cell r="M5">
            <v>95204.281560000003</v>
          </cell>
          <cell r="N5">
            <v>96739.494139999995</v>
          </cell>
          <cell r="O5">
            <v>98290.115699999995</v>
          </cell>
          <cell r="P5">
            <v>99855.244179999994</v>
          </cell>
          <cell r="Q5">
            <v>101434.5433</v>
          </cell>
          <cell r="R5">
            <v>103028.3468</v>
          </cell>
          <cell r="S5">
            <v>104637.4743</v>
          </cell>
          <cell r="T5">
            <v>106263.03170000001</v>
          </cell>
          <cell r="U5">
            <v>107906.2585</v>
          </cell>
          <cell r="V5">
            <v>109501.3659</v>
          </cell>
          <cell r="W5">
            <v>111153.59390000001</v>
          </cell>
          <cell r="X5">
            <v>112835.3913</v>
          </cell>
          <cell r="Y5">
            <v>114545.8631</v>
          </cell>
          <cell r="Z5">
            <v>116285.1918</v>
          </cell>
          <cell r="AA5">
            <v>117859.65059999999</v>
          </cell>
          <cell r="AB5">
            <v>119477.60709999999</v>
          </cell>
          <cell r="AC5">
            <v>121105.55409999999</v>
          </cell>
          <cell r="AD5">
            <v>122748.32090000001</v>
          </cell>
          <cell r="AE5">
            <v>124411.4102</v>
          </cell>
          <cell r="AF5">
            <v>126099.30869999999</v>
          </cell>
          <cell r="AG5">
            <v>127815.2175</v>
          </cell>
          <cell r="AH5">
            <v>129561.1897</v>
          </cell>
          <cell r="AI5">
            <v>131338.3829</v>
          </cell>
          <cell r="AJ5">
            <v>133147.32149999999</v>
          </cell>
          <cell r="AK5">
            <v>134988.12450000001</v>
          </cell>
          <cell r="AL5">
            <v>136813.6244</v>
          </cell>
          <cell r="AM5">
            <v>138648.9896</v>
          </cell>
          <cell r="AN5">
            <v>140499.5232</v>
          </cell>
          <cell r="AO5">
            <v>142369.18220000001</v>
          </cell>
          <cell r="AP5">
            <v>144261.37609999999</v>
          </cell>
          <cell r="AQ5">
            <v>146178.98449999999</v>
          </cell>
          <cell r="AR5">
            <v>148124.30129999999</v>
          </cell>
          <cell r="AS5">
            <v>150099.03880000001</v>
          </cell>
          <cell r="AT5">
            <v>152104.39559999999</v>
          </cell>
          <cell r="AU5">
            <v>154141.1679</v>
          </cell>
          <cell r="AV5">
            <v>156214.19450000001</v>
          </cell>
          <cell r="AW5">
            <v>158321.61350000001</v>
          </cell>
          <cell r="AX5">
            <v>160463.21160000001</v>
          </cell>
          <cell r="AY5">
            <v>162638.50150000001</v>
          </cell>
          <cell r="AZ5">
            <v>164847.02069999999</v>
          </cell>
          <cell r="BA5">
            <v>179820.1868</v>
          </cell>
          <cell r="BB5">
            <v>182786.1537</v>
          </cell>
          <cell r="BC5">
            <v>185801.83230000001</v>
          </cell>
          <cell r="BD5">
            <v>188868.416</v>
          </cell>
          <cell r="BE5">
            <v>191987.14980000001</v>
          </cell>
        </row>
        <row r="6">
          <cell r="B6">
            <v>6509.8632100000004</v>
          </cell>
          <cell r="C6">
            <v>6454.8679750000001</v>
          </cell>
          <cell r="D6">
            <v>6406.9652230000002</v>
          </cell>
          <cell r="E6">
            <v>6372.484383</v>
          </cell>
          <cell r="F6">
            <v>6350.0578500000001</v>
          </cell>
          <cell r="G6">
            <v>6337.3949629999997</v>
          </cell>
          <cell r="H6">
            <v>6329.4244669999998</v>
          </cell>
          <cell r="I6">
            <v>6325.7350809999998</v>
          </cell>
          <cell r="J6">
            <v>6324.8088699999998</v>
          </cell>
          <cell r="K6">
            <v>6325.6620590000002</v>
          </cell>
          <cell r="L6">
            <v>6328.6454030000004</v>
          </cell>
          <cell r="M6">
            <v>6334.9652269999997</v>
          </cell>
          <cell r="N6">
            <v>6341.6920490000002</v>
          </cell>
          <cell r="O6">
            <v>6349.045333</v>
          </cell>
          <cell r="P6">
            <v>6357.1785239999999</v>
          </cell>
          <cell r="Q6">
            <v>6366.1404689999999</v>
          </cell>
          <cell r="R6">
            <v>6375.7346269999998</v>
          </cell>
          <cell r="S6">
            <v>6385.9682229999999</v>
          </cell>
          <cell r="T6">
            <v>6396.8245079999997</v>
          </cell>
          <cell r="U6">
            <v>6408.2849530000003</v>
          </cell>
          <cell r="V6">
            <v>6417.1810889999997</v>
          </cell>
          <cell r="W6">
            <v>6428.6804810000003</v>
          </cell>
          <cell r="X6">
            <v>6441.3033420000002</v>
          </cell>
          <cell r="Y6">
            <v>6454.6892459999999</v>
          </cell>
          <cell r="Z6">
            <v>6468.6822050000001</v>
          </cell>
          <cell r="AA6">
            <v>6474.4774930000003</v>
          </cell>
          <cell r="AB6">
            <v>6482.4976239999996</v>
          </cell>
          <cell r="AC6">
            <v>6491.3134799999998</v>
          </cell>
          <cell r="AD6">
            <v>6500.7488279999998</v>
          </cell>
          <cell r="AE6">
            <v>6510.7347920000002</v>
          </cell>
          <cell r="AF6">
            <v>6521.2508749999997</v>
          </cell>
          <cell r="AG6">
            <v>6532.3454929999998</v>
          </cell>
          <cell r="AH6">
            <v>6544.0078640000002</v>
          </cell>
          <cell r="AI6">
            <v>6556.2305550000001</v>
          </cell>
          <cell r="AJ6">
            <v>6569.0017319999997</v>
          </cell>
          <cell r="AK6">
            <v>6582.3086020000001</v>
          </cell>
          <cell r="AL6">
            <v>6594.6397610000004</v>
          </cell>
          <cell r="AM6">
            <v>6607.1194869999999</v>
          </cell>
          <cell r="AN6">
            <v>6619.9994939999997</v>
          </cell>
          <cell r="AO6">
            <v>6633.3240990000004</v>
          </cell>
          <cell r="AP6">
            <v>6647.0852619999996</v>
          </cell>
          <cell r="AQ6">
            <v>6661.3447260000003</v>
          </cell>
          <cell r="AR6">
            <v>6676.0708500000001</v>
          </cell>
          <cell r="AS6">
            <v>6691.244428</v>
          </cell>
          <cell r="AT6">
            <v>6706.8465180000003</v>
          </cell>
          <cell r="AU6">
            <v>6722.8626999999997</v>
          </cell>
          <cell r="AV6">
            <v>6739.7105300000003</v>
          </cell>
          <cell r="AW6">
            <v>6757.1929689999997</v>
          </cell>
          <cell r="AX6">
            <v>6775.2232430000004</v>
          </cell>
          <cell r="AY6">
            <v>6793.7267659999998</v>
          </cell>
          <cell r="AZ6">
            <v>6812.6538540000001</v>
          </cell>
          <cell r="BA6">
            <v>7275.9010410000001</v>
          </cell>
          <cell r="BB6">
            <v>7319.939942</v>
          </cell>
          <cell r="BC6">
            <v>7365.0971440000003</v>
          </cell>
          <cell r="BD6">
            <v>7411.357497</v>
          </cell>
          <cell r="BE6">
            <v>7458.7240760000004</v>
          </cell>
        </row>
        <row r="7">
          <cell r="B7">
            <v>6537.0436380000001</v>
          </cell>
          <cell r="C7">
            <v>6520.5894909999997</v>
          </cell>
          <cell r="D7">
            <v>6493.4031530000002</v>
          </cell>
          <cell r="E7">
            <v>6466.5478649999995</v>
          </cell>
          <cell r="F7">
            <v>6443.1967690000001</v>
          </cell>
          <cell r="G7">
            <v>6427.5787909999999</v>
          </cell>
          <cell r="H7">
            <v>6417.7670669999998</v>
          </cell>
          <cell r="I7">
            <v>6414.4662490000001</v>
          </cell>
          <cell r="J7">
            <v>6416.5245029999996</v>
          </cell>
          <cell r="K7">
            <v>6422.583318</v>
          </cell>
          <cell r="L7">
            <v>6436.2885980000001</v>
          </cell>
          <cell r="M7">
            <v>6449.0609850000001</v>
          </cell>
          <cell r="N7">
            <v>6462.5598669999999</v>
          </cell>
          <cell r="O7">
            <v>6476.9382990000004</v>
          </cell>
          <cell r="P7">
            <v>6492.174387</v>
          </cell>
          <cell r="Q7">
            <v>6508.2037959999998</v>
          </cell>
          <cell r="R7">
            <v>6524.9661130000004</v>
          </cell>
          <cell r="S7">
            <v>6542.4181319999998</v>
          </cell>
          <cell r="T7">
            <v>6560.5347320000001</v>
          </cell>
          <cell r="U7">
            <v>6579.3055400000003</v>
          </cell>
          <cell r="V7">
            <v>6595.4415300000001</v>
          </cell>
          <cell r="W7">
            <v>6614.4165510000003</v>
          </cell>
          <cell r="X7">
            <v>6634.6809990000002</v>
          </cell>
          <cell r="Y7">
            <v>6655.9049990000003</v>
          </cell>
          <cell r="Z7">
            <v>6677.9569590000001</v>
          </cell>
          <cell r="AA7">
            <v>6691.5639819999997</v>
          </cell>
          <cell r="AB7">
            <v>6707.7074629999997</v>
          </cell>
          <cell r="AC7">
            <v>6724.8184499999998</v>
          </cell>
          <cell r="AD7">
            <v>6742.7438620000003</v>
          </cell>
          <cell r="AE7">
            <v>6761.43786</v>
          </cell>
          <cell r="AF7">
            <v>6780.8923580000001</v>
          </cell>
          <cell r="AG7">
            <v>6801.1091850000003</v>
          </cell>
          <cell r="AH7">
            <v>6822.0894689999996</v>
          </cell>
          <cell r="AI7">
            <v>6843.830449</v>
          </cell>
          <cell r="AJ7">
            <v>6866.3255630000003</v>
          </cell>
          <cell r="AK7">
            <v>6889.5657970000002</v>
          </cell>
          <cell r="AL7">
            <v>6911.4454850000002</v>
          </cell>
          <cell r="AM7">
            <v>6933.3502490000001</v>
          </cell>
          <cell r="AN7">
            <v>6955.6449519999996</v>
          </cell>
          <cell r="AO7">
            <v>6978.4908009999999</v>
          </cell>
          <cell r="AP7">
            <v>7001.9660389999999</v>
          </cell>
          <cell r="AQ7">
            <v>7026.1136800000004</v>
          </cell>
          <cell r="AR7">
            <v>7050.9595429999999</v>
          </cell>
          <cell r="AS7">
            <v>7076.5144879999998</v>
          </cell>
          <cell r="AT7">
            <v>7102.7650100000001</v>
          </cell>
          <cell r="AU7">
            <v>7129.6327080000001</v>
          </cell>
          <cell r="AV7">
            <v>7156.9145500000004</v>
          </cell>
          <cell r="AW7">
            <v>7184.394593</v>
          </cell>
          <cell r="AX7">
            <v>7212.1426920000004</v>
          </cell>
          <cell r="AY7">
            <v>7240.3718360000003</v>
          </cell>
          <cell r="AZ7">
            <v>7269.2771819999998</v>
          </cell>
          <cell r="BA7">
            <v>7529.5319959999997</v>
          </cell>
          <cell r="BB7">
            <v>7579.4214339999999</v>
          </cell>
          <cell r="BC7">
            <v>7630.342662</v>
          </cell>
          <cell r="BD7">
            <v>7682.333181</v>
          </cell>
          <cell r="BE7">
            <v>7735.4170240000003</v>
          </cell>
        </row>
        <row r="8">
          <cell r="B8">
            <v>155484.32889999999</v>
          </cell>
          <cell r="C8">
            <v>156202.24590000001</v>
          </cell>
          <cell r="D8">
            <v>157257.90489999999</v>
          </cell>
          <cell r="E8">
            <v>158637.91310000001</v>
          </cell>
          <cell r="F8">
            <v>160316.65909999999</v>
          </cell>
          <cell r="G8">
            <v>162253.29319999999</v>
          </cell>
          <cell r="H8">
            <v>164307.95869999999</v>
          </cell>
          <cell r="I8">
            <v>166493.0398</v>
          </cell>
          <cell r="J8">
            <v>168786.94500000001</v>
          </cell>
          <cell r="K8">
            <v>171169.81090000001</v>
          </cell>
          <cell r="L8">
            <v>173600.15580000001</v>
          </cell>
          <cell r="M8">
            <v>176258.3003</v>
          </cell>
          <cell r="N8">
            <v>178988.2268</v>
          </cell>
          <cell r="O8">
            <v>181776.7684</v>
          </cell>
          <cell r="P8">
            <v>184613.59599999999</v>
          </cell>
          <cell r="Q8">
            <v>187490.2524</v>
          </cell>
          <cell r="R8">
            <v>190390.50630000001</v>
          </cell>
          <cell r="S8">
            <v>193314.7916</v>
          </cell>
          <cell r="T8">
            <v>196259.79819999999</v>
          </cell>
          <cell r="U8">
            <v>199223.51680000001</v>
          </cell>
          <cell r="V8">
            <v>202084.9327</v>
          </cell>
          <cell r="W8">
            <v>205024.94560000001</v>
          </cell>
          <cell r="X8">
            <v>207998.14439999999</v>
          </cell>
          <cell r="Y8">
            <v>211002.5723</v>
          </cell>
          <cell r="Z8">
            <v>214038.13089999999</v>
          </cell>
          <cell r="AA8">
            <v>216760.09419999999</v>
          </cell>
          <cell r="AB8">
            <v>219528.9302</v>
          </cell>
          <cell r="AC8">
            <v>222292.07680000001</v>
          </cell>
          <cell r="AD8">
            <v>225060.8254</v>
          </cell>
          <cell r="AE8">
            <v>227846.78349999999</v>
          </cell>
          <cell r="AF8">
            <v>230659.42170000001</v>
          </cell>
          <cell r="AG8">
            <v>233508.56109999999</v>
          </cell>
          <cell r="AH8">
            <v>236397.32440000001</v>
          </cell>
          <cell r="AI8">
            <v>239328.56330000001</v>
          </cell>
          <cell r="AJ8">
            <v>242303.8278</v>
          </cell>
          <cell r="AK8">
            <v>245323.84770000001</v>
          </cell>
          <cell r="AL8">
            <v>248333.50349999999</v>
          </cell>
          <cell r="AM8">
            <v>251357.42800000001</v>
          </cell>
          <cell r="AN8">
            <v>254403.71950000001</v>
          </cell>
          <cell r="AO8">
            <v>257478.17749999999</v>
          </cell>
          <cell r="AP8">
            <v>260585.8199</v>
          </cell>
          <cell r="AQ8">
            <v>263735.55650000001</v>
          </cell>
          <cell r="AR8">
            <v>266928.20439999999</v>
          </cell>
          <cell r="AS8">
            <v>270166.00270000001</v>
          </cell>
          <cell r="AT8">
            <v>273450.28810000001</v>
          </cell>
          <cell r="AU8">
            <v>276781.73609999998</v>
          </cell>
          <cell r="AV8">
            <v>280184.38549999997</v>
          </cell>
          <cell r="AW8">
            <v>283644.98680000001</v>
          </cell>
          <cell r="AX8">
            <v>287161.21960000001</v>
          </cell>
          <cell r="AY8">
            <v>290730.78110000002</v>
          </cell>
          <cell r="AZ8">
            <v>294351.71370000002</v>
          </cell>
          <cell r="BA8">
            <v>350298.37439999997</v>
          </cell>
          <cell r="BB8">
            <v>355986.72869999998</v>
          </cell>
          <cell r="BC8">
            <v>361766.7818</v>
          </cell>
          <cell r="BD8">
            <v>367640.6189</v>
          </cell>
          <cell r="BE8">
            <v>373610.44949999999</v>
          </cell>
        </row>
        <row r="9">
          <cell r="B9">
            <v>157864.05040000001</v>
          </cell>
          <cell r="C9">
            <v>159519.2034</v>
          </cell>
          <cell r="D9">
            <v>161394.6177</v>
          </cell>
          <cell r="E9">
            <v>163504.99280000001</v>
          </cell>
          <cell r="F9">
            <v>165840.0484</v>
          </cell>
          <cell r="G9">
            <v>168370.1182</v>
          </cell>
          <cell r="H9">
            <v>170966.9197</v>
          </cell>
          <cell r="I9">
            <v>173653.30300000001</v>
          </cell>
          <cell r="J9">
            <v>176418.4368</v>
          </cell>
          <cell r="K9">
            <v>179252.5105</v>
          </cell>
          <cell r="L9">
            <v>182317.94149999999</v>
          </cell>
          <cell r="M9">
            <v>185349.57930000001</v>
          </cell>
          <cell r="N9">
            <v>188408.7671</v>
          </cell>
          <cell r="O9">
            <v>191494.78909999999</v>
          </cell>
          <cell r="P9">
            <v>194605.95689999999</v>
          </cell>
          <cell r="Q9">
            <v>197741.8296</v>
          </cell>
          <cell r="R9">
            <v>200903.23329999999</v>
          </cell>
          <cell r="S9">
            <v>204091.86360000001</v>
          </cell>
          <cell r="T9">
            <v>207309.89929999999</v>
          </cell>
          <cell r="U9">
            <v>210559.7211</v>
          </cell>
          <cell r="V9">
            <v>213716.65779999999</v>
          </cell>
          <cell r="W9">
            <v>216974.95439999999</v>
          </cell>
          <cell r="X9">
            <v>220287.4552</v>
          </cell>
          <cell r="Y9">
            <v>223653.40729999999</v>
          </cell>
          <cell r="Z9">
            <v>227073.3272</v>
          </cell>
          <cell r="AA9">
            <v>230179.86369999999</v>
          </cell>
          <cell r="AB9">
            <v>233353.08749999999</v>
          </cell>
          <cell r="AC9">
            <v>236537.01579999999</v>
          </cell>
          <cell r="AD9">
            <v>239743.33540000001</v>
          </cell>
          <cell r="AE9">
            <v>242984.07310000001</v>
          </cell>
          <cell r="AF9">
            <v>246268.8749</v>
          </cell>
          <cell r="AG9">
            <v>249604.65580000001</v>
          </cell>
          <cell r="AH9">
            <v>252995.94399999999</v>
          </cell>
          <cell r="AI9">
            <v>256445.4191</v>
          </cell>
          <cell r="AJ9">
            <v>259954.4564</v>
          </cell>
          <cell r="AK9">
            <v>263523.5956</v>
          </cell>
          <cell r="AL9">
            <v>267063.73249999998</v>
          </cell>
          <cell r="AM9">
            <v>270619.2267</v>
          </cell>
          <cell r="AN9">
            <v>274200.2758</v>
          </cell>
          <cell r="AO9">
            <v>277815.17009999999</v>
          </cell>
          <cell r="AP9">
            <v>281471.26059999998</v>
          </cell>
          <cell r="AQ9">
            <v>285174.81780000002</v>
          </cell>
          <cell r="AR9">
            <v>288930.87300000002</v>
          </cell>
          <cell r="AS9">
            <v>292743.22039999999</v>
          </cell>
          <cell r="AT9">
            <v>296614.5613</v>
          </cell>
          <cell r="AU9">
            <v>300546.74300000002</v>
          </cell>
          <cell r="AV9">
            <v>304549.22230000002</v>
          </cell>
          <cell r="AW9">
            <v>308619.06199999998</v>
          </cell>
          <cell r="AX9">
            <v>312756.04609999998</v>
          </cell>
          <cell r="AY9">
            <v>316959.22330000001</v>
          </cell>
          <cell r="AZ9">
            <v>321227.6936</v>
          </cell>
          <cell r="BA9">
            <v>351018.65299999999</v>
          </cell>
          <cell r="BB9">
            <v>356745.55609999999</v>
          </cell>
          <cell r="BC9">
            <v>362565.28129999997</v>
          </cell>
          <cell r="BD9">
            <v>368480.17609999998</v>
          </cell>
          <cell r="BE9">
            <v>374492.70890000003</v>
          </cell>
        </row>
        <row r="10">
          <cell r="B10">
            <v>121076.573</v>
          </cell>
          <cell r="C10">
            <v>122935.0972</v>
          </cell>
          <cell r="D10">
            <v>125193.05319999999</v>
          </cell>
          <cell r="E10">
            <v>127428.4344</v>
          </cell>
          <cell r="F10">
            <v>129539.0291</v>
          </cell>
          <cell r="G10">
            <v>131518.08559999999</v>
          </cell>
          <cell r="H10">
            <v>133267.33300000001</v>
          </cell>
          <cell r="I10">
            <v>134930.3033</v>
          </cell>
          <cell r="J10">
            <v>136539.3204</v>
          </cell>
          <cell r="K10">
            <v>138114.6563</v>
          </cell>
          <cell r="L10">
            <v>139456.5042</v>
          </cell>
          <cell r="M10">
            <v>141260.6238</v>
          </cell>
          <cell r="N10">
            <v>143064.89319999999</v>
          </cell>
          <cell r="O10">
            <v>144860.01560000001</v>
          </cell>
          <cell r="P10">
            <v>146644.3763</v>
          </cell>
          <cell r="Q10">
            <v>148419.98790000001</v>
          </cell>
          <cell r="R10">
            <v>150170.03769999999</v>
          </cell>
          <cell r="S10">
            <v>151918.23300000001</v>
          </cell>
          <cell r="T10">
            <v>153669.7611</v>
          </cell>
          <cell r="U10">
            <v>155429.1624</v>
          </cell>
          <cell r="V10">
            <v>157057.15659999999</v>
          </cell>
          <cell r="W10">
            <v>158834.73250000001</v>
          </cell>
          <cell r="X10">
            <v>160640.4431</v>
          </cell>
          <cell r="Y10">
            <v>162471.60219999999</v>
          </cell>
          <cell r="Z10">
            <v>164328.24040000001</v>
          </cell>
          <cell r="AA10">
            <v>165803.6838</v>
          </cell>
          <cell r="AB10">
            <v>167505.06200000001</v>
          </cell>
          <cell r="AC10">
            <v>169247.30189999999</v>
          </cell>
          <cell r="AD10">
            <v>171028.12340000001</v>
          </cell>
          <cell r="AE10">
            <v>172846.671</v>
          </cell>
          <cell r="AF10">
            <v>174702.04980000001</v>
          </cell>
          <cell r="AG10">
            <v>176599.22880000001</v>
          </cell>
          <cell r="AH10">
            <v>178531.18780000001</v>
          </cell>
          <cell r="AI10">
            <v>180496.2691</v>
          </cell>
          <cell r="AJ10">
            <v>182492.91709999999</v>
          </cell>
          <cell r="AK10">
            <v>184519.70360000001</v>
          </cell>
          <cell r="AL10">
            <v>186537.1839</v>
          </cell>
          <cell r="AM10">
            <v>188578.71780000001</v>
          </cell>
          <cell r="AN10">
            <v>190647.3394</v>
          </cell>
          <cell r="AO10">
            <v>192743.72709999999</v>
          </cell>
          <cell r="AP10">
            <v>194867.7377</v>
          </cell>
          <cell r="AQ10">
            <v>197028.76869999999</v>
          </cell>
          <cell r="AR10">
            <v>199217.0509</v>
          </cell>
          <cell r="AS10">
            <v>201431.5471</v>
          </cell>
          <cell r="AT10">
            <v>203671.37830000001</v>
          </cell>
          <cell r="AU10">
            <v>205935.79800000001</v>
          </cell>
          <cell r="AV10">
            <v>208268.05489999999</v>
          </cell>
          <cell r="AW10">
            <v>210626.9247</v>
          </cell>
          <cell r="AX10">
            <v>213010.1635</v>
          </cell>
          <cell r="AY10">
            <v>215416.60320000001</v>
          </cell>
          <cell r="AZ10">
            <v>217845.7268</v>
          </cell>
          <cell r="BA10">
            <v>275411.86959999998</v>
          </cell>
          <cell r="BB10">
            <v>279995.66629999998</v>
          </cell>
          <cell r="BC10">
            <v>284667.75870000001</v>
          </cell>
          <cell r="BD10">
            <v>289429.39720000001</v>
          </cell>
          <cell r="BE10">
            <v>294281.80160000001</v>
          </cell>
        </row>
        <row r="11">
          <cell r="B11">
            <v>125926.7249</v>
          </cell>
          <cell r="C11">
            <v>128329.3838</v>
          </cell>
          <cell r="D11">
            <v>131029.2882</v>
          </cell>
          <cell r="E11">
            <v>133658.57010000001</v>
          </cell>
          <cell r="F11">
            <v>136145.4173</v>
          </cell>
          <cell r="G11">
            <v>138504.73240000001</v>
          </cell>
          <cell r="H11">
            <v>140655.02540000001</v>
          </cell>
          <cell r="I11">
            <v>142745.69209999999</v>
          </cell>
          <cell r="J11">
            <v>144813.21160000001</v>
          </cell>
          <cell r="K11">
            <v>146879.6838</v>
          </cell>
          <cell r="L11">
            <v>149169.66269999999</v>
          </cell>
          <cell r="M11">
            <v>151281.39749999999</v>
          </cell>
          <cell r="N11">
            <v>153401.56330000001</v>
          </cell>
          <cell r="O11">
            <v>155539.91560000001</v>
          </cell>
          <cell r="P11">
            <v>157701.51790000001</v>
          </cell>
          <cell r="Q11">
            <v>159889.83360000001</v>
          </cell>
          <cell r="R11">
            <v>162107.6937</v>
          </cell>
          <cell r="S11">
            <v>164357.63029999999</v>
          </cell>
          <cell r="T11">
            <v>166641.97700000001</v>
          </cell>
          <cell r="U11">
            <v>168962.8854</v>
          </cell>
          <cell r="V11">
            <v>171165.92540000001</v>
          </cell>
          <cell r="W11">
            <v>173554.7427</v>
          </cell>
          <cell r="X11">
            <v>175995.3352</v>
          </cell>
          <cell r="Y11">
            <v>178483.4901</v>
          </cell>
          <cell r="Z11">
            <v>181017.90359999999</v>
          </cell>
          <cell r="AA11">
            <v>183147.2536</v>
          </cell>
          <cell r="AB11">
            <v>185528.3977</v>
          </cell>
          <cell r="AC11">
            <v>187966.56520000001</v>
          </cell>
          <cell r="AD11">
            <v>190459.27489999999</v>
          </cell>
          <cell r="AE11">
            <v>193005.45</v>
          </cell>
          <cell r="AF11">
            <v>195603.94529999999</v>
          </cell>
          <cell r="AG11">
            <v>198253.39139999999</v>
          </cell>
          <cell r="AH11">
            <v>200952.27540000001</v>
          </cell>
          <cell r="AI11">
            <v>203699.06080000001</v>
          </cell>
          <cell r="AJ11">
            <v>206492.29509999999</v>
          </cell>
          <cell r="AK11">
            <v>209330.68859999999</v>
          </cell>
          <cell r="AL11">
            <v>212103.88709999999</v>
          </cell>
          <cell r="AM11">
            <v>214911.7121</v>
          </cell>
          <cell r="AN11">
            <v>217760.11780000001</v>
          </cell>
          <cell r="AO11">
            <v>220651.5013</v>
          </cell>
          <cell r="AP11">
            <v>223586.7561</v>
          </cell>
          <cell r="AQ11">
            <v>226566.016</v>
          </cell>
          <cell r="AR11">
            <v>229589.00899999999</v>
          </cell>
          <cell r="AS11">
            <v>232655.25949999999</v>
          </cell>
          <cell r="AT11">
            <v>235764.2163</v>
          </cell>
          <cell r="AU11">
            <v>238915.34169999999</v>
          </cell>
          <cell r="AV11">
            <v>242118.08559999999</v>
          </cell>
          <cell r="AW11">
            <v>245362.93350000001</v>
          </cell>
          <cell r="AX11">
            <v>248649.0785</v>
          </cell>
          <cell r="AY11">
            <v>251976.1557</v>
          </cell>
          <cell r="AZ11">
            <v>255344.07279999999</v>
          </cell>
          <cell r="BA11">
            <v>276935.37959999999</v>
          </cell>
          <cell r="BB11">
            <v>281600.92109999998</v>
          </cell>
          <cell r="BC11">
            <v>286356.38660000003</v>
          </cell>
          <cell r="BD11">
            <v>291203.18199999997</v>
          </cell>
          <cell r="BE11">
            <v>296142.67499999999</v>
          </cell>
        </row>
        <row r="12">
          <cell r="B12">
            <v>21776.34893</v>
          </cell>
          <cell r="C12">
            <v>21936.239219999999</v>
          </cell>
          <cell r="D12">
            <v>22151.096699999998</v>
          </cell>
          <cell r="E12">
            <v>22402.005379999999</v>
          </cell>
          <cell r="F12">
            <v>22680.641240000001</v>
          </cell>
          <cell r="G12">
            <v>22981.016869999999</v>
          </cell>
          <cell r="H12">
            <v>23286.196889999999</v>
          </cell>
          <cell r="I12">
            <v>23599.904589999998</v>
          </cell>
          <cell r="J12">
            <v>23921.267879999999</v>
          </cell>
          <cell r="K12">
            <v>24249.421709999999</v>
          </cell>
          <cell r="L12">
            <v>24575.035540000001</v>
          </cell>
          <cell r="M12">
            <v>24935.929629999999</v>
          </cell>
          <cell r="N12">
            <v>25306.451130000001</v>
          </cell>
          <cell r="O12">
            <v>25684.100439999998</v>
          </cell>
          <cell r="P12">
            <v>26067.8197</v>
          </cell>
          <cell r="Q12">
            <v>26457.171320000001</v>
          </cell>
          <cell r="R12">
            <v>26850.582839999999</v>
          </cell>
          <cell r="S12">
            <v>27249.171129999999</v>
          </cell>
          <cell r="T12">
            <v>27653.243839999999</v>
          </cell>
          <cell r="U12">
            <v>28063.12226</v>
          </cell>
          <cell r="V12">
            <v>28463.89373</v>
          </cell>
          <cell r="W12">
            <v>28879.414100000002</v>
          </cell>
          <cell r="X12">
            <v>29303.53584</v>
          </cell>
          <cell r="Y12">
            <v>29735.971750000001</v>
          </cell>
          <cell r="Z12">
            <v>30176.746719999999</v>
          </cell>
          <cell r="AA12">
            <v>30582.187529999999</v>
          </cell>
          <cell r="AB12">
            <v>30999.629290000001</v>
          </cell>
          <cell r="AC12">
            <v>31421.06912</v>
          </cell>
          <cell r="AD12">
            <v>31847.05169</v>
          </cell>
          <cell r="AE12">
            <v>32278.258330000001</v>
          </cell>
          <cell r="AF12">
            <v>32715.24641</v>
          </cell>
          <cell r="AG12">
            <v>33158.833599999998</v>
          </cell>
          <cell r="AH12">
            <v>33608.914199999999</v>
          </cell>
          <cell r="AI12">
            <v>34065.487289999997</v>
          </cell>
          <cell r="AJ12">
            <v>34528.436540000002</v>
          </cell>
          <cell r="AK12">
            <v>34997.563439999998</v>
          </cell>
          <cell r="AL12">
            <v>35466.341009999996</v>
          </cell>
          <cell r="AM12">
            <v>35937.073909999999</v>
          </cell>
          <cell r="AN12">
            <v>36410.314149999998</v>
          </cell>
          <cell r="AO12">
            <v>36886.331870000002</v>
          </cell>
          <cell r="AP12">
            <v>37365.302450000003</v>
          </cell>
          <cell r="AQ12">
            <v>37848.082490000001</v>
          </cell>
          <cell r="AR12">
            <v>38334.301740000003</v>
          </cell>
          <cell r="AS12">
            <v>38823.976880000002</v>
          </cell>
          <cell r="AT12">
            <v>39317.103320000002</v>
          </cell>
          <cell r="AU12">
            <v>39813.655229999997</v>
          </cell>
          <cell r="AV12">
            <v>40317.122369999997</v>
          </cell>
          <cell r="AW12">
            <v>40825.261570000002</v>
          </cell>
          <cell r="AX12">
            <v>41337.723339999997</v>
          </cell>
          <cell r="AY12">
            <v>41854.2664</v>
          </cell>
          <cell r="AZ12">
            <v>42374.73098</v>
          </cell>
          <cell r="BA12">
            <v>52774.763420000003</v>
          </cell>
          <cell r="BB12">
            <v>53722.473180000001</v>
          </cell>
          <cell r="BC12">
            <v>54682.407440000003</v>
          </cell>
          <cell r="BD12">
            <v>55654.485569999997</v>
          </cell>
          <cell r="BE12">
            <v>56638.647239999998</v>
          </cell>
        </row>
        <row r="13">
          <cell r="B13">
            <v>22135.232380000001</v>
          </cell>
          <cell r="C13">
            <v>22414.733619999999</v>
          </cell>
          <cell r="D13">
            <v>22724.067210000001</v>
          </cell>
          <cell r="E13">
            <v>23057.3652</v>
          </cell>
          <cell r="F13">
            <v>23411.98028</v>
          </cell>
          <cell r="G13">
            <v>23785.15899</v>
          </cell>
          <cell r="H13">
            <v>24162.095359999999</v>
          </cell>
          <cell r="I13">
            <v>24547.676289999999</v>
          </cell>
          <cell r="J13">
            <v>24941.930369999998</v>
          </cell>
          <cell r="K13">
            <v>25344.723379999999</v>
          </cell>
          <cell r="L13">
            <v>25777.720219999999</v>
          </cell>
          <cell r="M13">
            <v>26207.088169999999</v>
          </cell>
          <cell r="N13">
            <v>26642.20117</v>
          </cell>
          <cell r="O13">
            <v>27083.857029999999</v>
          </cell>
          <cell r="P13">
            <v>27532.431240000002</v>
          </cell>
          <cell r="Q13">
            <v>27988.230100000001</v>
          </cell>
          <cell r="R13">
            <v>28451.57445</v>
          </cell>
          <cell r="S13">
            <v>28922.808079999999</v>
          </cell>
          <cell r="T13">
            <v>29402.282179999998</v>
          </cell>
          <cell r="U13">
            <v>29890.334579999999</v>
          </cell>
          <cell r="V13">
            <v>30371.02666</v>
          </cell>
          <cell r="W13">
            <v>30869.647550000002</v>
          </cell>
          <cell r="X13">
            <v>31379.448820000001</v>
          </cell>
          <cell r="Y13">
            <v>31899.99396</v>
          </cell>
          <cell r="Z13">
            <v>32431.131140000001</v>
          </cell>
          <cell r="AA13">
            <v>32925.675029999999</v>
          </cell>
          <cell r="AB13">
            <v>33433.45321</v>
          </cell>
          <cell r="AC13">
            <v>33945.950409999998</v>
          </cell>
          <cell r="AD13">
            <v>34463.59618</v>
          </cell>
          <cell r="AE13">
            <v>34986.97378</v>
          </cell>
          <cell r="AF13">
            <v>35516.543339999997</v>
          </cell>
          <cell r="AG13">
            <v>36052.581729999998</v>
          </cell>
          <cell r="AH13">
            <v>36595.184849999998</v>
          </cell>
          <cell r="AI13">
            <v>37144.296199999997</v>
          </cell>
          <cell r="AJ13">
            <v>37699.746870000003</v>
          </cell>
          <cell r="AK13">
            <v>38261.297070000001</v>
          </cell>
          <cell r="AL13">
            <v>38817.180899999999</v>
          </cell>
          <cell r="AM13">
            <v>39373.111069999999</v>
          </cell>
          <cell r="AN13">
            <v>39930.039830000002</v>
          </cell>
          <cell r="AO13">
            <v>40488.556360000002</v>
          </cell>
          <cell r="AP13">
            <v>41049.11591</v>
          </cell>
          <cell r="AQ13">
            <v>41612.09446</v>
          </cell>
          <cell r="AR13">
            <v>42177.80169</v>
          </cell>
          <cell r="AS13">
            <v>42746.48691</v>
          </cell>
          <cell r="AT13">
            <v>43318.347800000003</v>
          </cell>
          <cell r="AU13">
            <v>43893.543969999999</v>
          </cell>
          <cell r="AV13">
            <v>44473.263619999998</v>
          </cell>
          <cell r="AW13">
            <v>45057.092340000003</v>
          </cell>
          <cell r="AX13">
            <v>45645.058360000003</v>
          </cell>
          <cell r="AY13">
            <v>46237.224869999998</v>
          </cell>
          <cell r="AZ13">
            <v>46833.692790000001</v>
          </cell>
          <cell r="BA13">
            <v>52895.144769999999</v>
          </cell>
          <cell r="BB13">
            <v>53841.176039999998</v>
          </cell>
          <cell r="BC13">
            <v>54798.63222</v>
          </cell>
          <cell r="BD13">
            <v>55767.451399999998</v>
          </cell>
          <cell r="BE13">
            <v>56747.601349999997</v>
          </cell>
        </row>
        <row r="14">
          <cell r="B14">
            <v>15931.89402</v>
          </cell>
          <cell r="C14">
            <v>16034.676740000001</v>
          </cell>
          <cell r="D14">
            <v>16184.9656</v>
          </cell>
          <cell r="E14">
            <v>16364.48545</v>
          </cell>
          <cell r="F14">
            <v>16567.144619999999</v>
          </cell>
          <cell r="G14">
            <v>16788.237939999999</v>
          </cell>
          <cell r="H14">
            <v>17011.54161</v>
          </cell>
          <cell r="I14">
            <v>17242.661840000001</v>
          </cell>
          <cell r="J14">
            <v>17480.020820000002</v>
          </cell>
          <cell r="K14">
            <v>17722.01195</v>
          </cell>
          <cell r="L14">
            <v>17954.05877</v>
          </cell>
          <cell r="M14">
            <v>18224.151610000001</v>
          </cell>
          <cell r="N14">
            <v>18498.576280000001</v>
          </cell>
          <cell r="O14">
            <v>18775.174060000001</v>
          </cell>
          <cell r="P14">
            <v>19053.080099999999</v>
          </cell>
          <cell r="Q14">
            <v>19331.879679999998</v>
          </cell>
          <cell r="R14">
            <v>19609.73791</v>
          </cell>
          <cell r="S14">
            <v>19888.03026</v>
          </cell>
          <cell r="T14">
            <v>20166.964800000002</v>
          </cell>
          <cell r="U14">
            <v>20446.798409999999</v>
          </cell>
          <cell r="V14">
            <v>20713.141869999999</v>
          </cell>
          <cell r="W14">
            <v>20991.759389999999</v>
          </cell>
          <cell r="X14">
            <v>21273.798839999999</v>
          </cell>
          <cell r="Y14">
            <v>21559.071400000001</v>
          </cell>
          <cell r="Z14">
            <v>21847.787110000001</v>
          </cell>
          <cell r="AA14">
            <v>22098.154460000002</v>
          </cell>
          <cell r="AB14">
            <v>22363.82762</v>
          </cell>
          <cell r="AC14">
            <v>22632.2003</v>
          </cell>
          <cell r="AD14">
            <v>22903.643049999999</v>
          </cell>
          <cell r="AE14">
            <v>23178.879239999998</v>
          </cell>
          <cell r="AF14">
            <v>23458.543539999999</v>
          </cell>
          <cell r="AG14">
            <v>23743.591899999999</v>
          </cell>
          <cell r="AH14">
            <v>24033.908149999999</v>
          </cell>
          <cell r="AI14">
            <v>24329.609919999999</v>
          </cell>
          <cell r="AJ14">
            <v>24630.71704</v>
          </cell>
          <cell r="AK14">
            <v>24937.17741</v>
          </cell>
          <cell r="AL14">
            <v>25243.589680000001</v>
          </cell>
          <cell r="AM14">
            <v>25553.052179999999</v>
          </cell>
          <cell r="AN14">
            <v>25866.125479999999</v>
          </cell>
          <cell r="AO14">
            <v>26183.092980000001</v>
          </cell>
          <cell r="AP14">
            <v>26504.1603</v>
          </cell>
          <cell r="AQ14">
            <v>26830.290590000001</v>
          </cell>
          <cell r="AR14">
            <v>27160.947970000001</v>
          </cell>
          <cell r="AS14">
            <v>27496.152689999999</v>
          </cell>
          <cell r="AT14">
            <v>27835.897499999999</v>
          </cell>
          <cell r="AU14">
            <v>28180.145140000001</v>
          </cell>
          <cell r="AV14">
            <v>28532.613130000002</v>
          </cell>
          <cell r="AW14">
            <v>28890.26166</v>
          </cell>
          <cell r="AX14">
            <v>29252.766350000002</v>
          </cell>
          <cell r="AY14">
            <v>29619.915130000001</v>
          </cell>
          <cell r="AZ14">
            <v>29991.549729999999</v>
          </cell>
          <cell r="BA14">
            <v>36300.431920000003</v>
          </cell>
          <cell r="BB14">
            <v>36916.198770000003</v>
          </cell>
          <cell r="BC14">
            <v>37543.095710000001</v>
          </cell>
          <cell r="BD14">
            <v>38181.311820000003</v>
          </cell>
          <cell r="BE14">
            <v>38831.034959999997</v>
          </cell>
        </row>
        <row r="15">
          <cell r="B15">
            <v>16338.48991</v>
          </cell>
          <cell r="C15">
            <v>16530.087790000001</v>
          </cell>
          <cell r="D15">
            <v>16748.270390000001</v>
          </cell>
          <cell r="E15">
            <v>16986.67971</v>
          </cell>
          <cell r="F15">
            <v>17242.737809999999</v>
          </cell>
          <cell r="G15">
            <v>17513.36695</v>
          </cell>
          <cell r="H15">
            <v>17783.64213</v>
          </cell>
          <cell r="I15">
            <v>18060.022239999998</v>
          </cell>
          <cell r="J15">
            <v>18341.854749999999</v>
          </cell>
          <cell r="K15">
            <v>18628.39847</v>
          </cell>
          <cell r="L15">
            <v>18940.293580000001</v>
          </cell>
          <cell r="M15">
            <v>19240.397870000001</v>
          </cell>
          <cell r="N15">
            <v>19541.91864</v>
          </cell>
          <cell r="O15">
            <v>19845.5236</v>
          </cell>
          <cell r="P15">
            <v>20151.425309999999</v>
          </cell>
          <cell r="Q15">
            <v>20459.847170000001</v>
          </cell>
          <cell r="R15">
            <v>20771.090889999999</v>
          </cell>
          <cell r="S15">
            <v>21085.520659999998</v>
          </cell>
          <cell r="T15">
            <v>21403.533510000001</v>
          </cell>
          <cell r="U15">
            <v>21725.533100000001</v>
          </cell>
          <cell r="V15">
            <v>22036.169249999999</v>
          </cell>
          <cell r="W15">
            <v>22363.016039999999</v>
          </cell>
          <cell r="X15">
            <v>22696.441139999999</v>
          </cell>
          <cell r="Y15">
            <v>23036.149069999999</v>
          </cell>
          <cell r="Z15">
            <v>23382.221010000001</v>
          </cell>
          <cell r="AA15">
            <v>23689.30013</v>
          </cell>
          <cell r="AB15">
            <v>24014.405159999998</v>
          </cell>
          <cell r="AC15">
            <v>24344.25231</v>
          </cell>
          <cell r="AD15">
            <v>24679.116999999998</v>
          </cell>
          <cell r="AE15">
            <v>25019.646250000002</v>
          </cell>
          <cell r="AF15">
            <v>25366.401819999999</v>
          </cell>
          <cell r="AG15">
            <v>25719.773499999999</v>
          </cell>
          <cell r="AH15">
            <v>26079.983530000001</v>
          </cell>
          <cell r="AI15">
            <v>26447.117559999999</v>
          </cell>
          <cell r="AJ15">
            <v>26821.16216</v>
          </cell>
          <cell r="AK15">
            <v>27202.040130000001</v>
          </cell>
          <cell r="AL15">
            <v>27578.586770000002</v>
          </cell>
          <cell r="AM15">
            <v>27958.581279999999</v>
          </cell>
          <cell r="AN15">
            <v>28342.914540000002</v>
          </cell>
          <cell r="AO15">
            <v>28732.080330000001</v>
          </cell>
          <cell r="AP15">
            <v>29126.460620000002</v>
          </cell>
          <cell r="AQ15">
            <v>29526.366989999999</v>
          </cell>
          <cell r="AR15">
            <v>29932.040799999999</v>
          </cell>
          <cell r="AS15">
            <v>30343.65353</v>
          </cell>
          <cell r="AT15">
            <v>30761.314180000001</v>
          </cell>
          <cell r="AU15">
            <v>31185.082770000001</v>
          </cell>
          <cell r="AV15">
            <v>31615.99912</v>
          </cell>
          <cell r="AW15">
            <v>32053.36117</v>
          </cell>
          <cell r="AX15">
            <v>32497.081770000001</v>
          </cell>
          <cell r="AY15">
            <v>32947.073450000004</v>
          </cell>
          <cell r="AZ15">
            <v>33403.263469999998</v>
          </cell>
          <cell r="BA15">
            <v>36460.51715</v>
          </cell>
          <cell r="BB15">
            <v>37084.866710000002</v>
          </cell>
          <cell r="BC15">
            <v>37720.52203</v>
          </cell>
          <cell r="BD15">
            <v>38367.690739999998</v>
          </cell>
          <cell r="BE15">
            <v>39026.581709999999</v>
          </cell>
        </row>
        <row r="16">
          <cell r="B16">
            <v>84341.80098</v>
          </cell>
          <cell r="C16">
            <v>84988.359620000003</v>
          </cell>
          <cell r="D16">
            <v>85868.295629999993</v>
          </cell>
          <cell r="E16">
            <v>86872.240279999998</v>
          </cell>
          <cell r="F16">
            <v>87974.059829999998</v>
          </cell>
          <cell r="G16">
            <v>89153.68806</v>
          </cell>
          <cell r="H16">
            <v>90318.071259999997</v>
          </cell>
          <cell r="I16">
            <v>91516.318929999994</v>
          </cell>
          <cell r="J16">
            <v>92739.725949999993</v>
          </cell>
          <cell r="K16">
            <v>93979.985650000002</v>
          </cell>
          <cell r="L16">
            <v>95117.614260000002</v>
          </cell>
          <cell r="M16">
            <v>96526.314419999995</v>
          </cell>
          <cell r="N16">
            <v>97949.346890000001</v>
          </cell>
          <cell r="O16">
            <v>99376.733500000002</v>
          </cell>
          <cell r="P16">
            <v>100805.1063</v>
          </cell>
          <cell r="Q16">
            <v>102233.2194</v>
          </cell>
          <cell r="R16">
            <v>103649.6655</v>
          </cell>
          <cell r="S16">
            <v>105065.35219999999</v>
          </cell>
          <cell r="T16">
            <v>106481.8891</v>
          </cell>
          <cell r="U16">
            <v>107901.1859</v>
          </cell>
          <cell r="V16">
            <v>109235.90270000001</v>
          </cell>
          <cell r="W16">
            <v>110654.79090000001</v>
          </cell>
          <cell r="X16">
            <v>112088.5506</v>
          </cell>
          <cell r="Y16">
            <v>113537.62940000001</v>
          </cell>
          <cell r="Z16">
            <v>115003.89350000001</v>
          </cell>
          <cell r="AA16">
            <v>116233.5959</v>
          </cell>
          <cell r="AB16">
            <v>117587.1249</v>
          </cell>
          <cell r="AC16">
            <v>118958.2803</v>
          </cell>
          <cell r="AD16">
            <v>120348.7763</v>
          </cell>
          <cell r="AE16">
            <v>121761.67419999999</v>
          </cell>
          <cell r="AF16">
            <v>123199.60980000001</v>
          </cell>
          <cell r="AG16">
            <v>124667.81600000001</v>
          </cell>
          <cell r="AH16">
            <v>126164.43520000001</v>
          </cell>
          <cell r="AI16">
            <v>127689.8866</v>
          </cell>
          <cell r="AJ16">
            <v>129244.13589999999</v>
          </cell>
          <cell r="AK16">
            <v>130826.8055</v>
          </cell>
          <cell r="AL16">
            <v>132408.36790000001</v>
          </cell>
          <cell r="AM16">
            <v>134010.4057</v>
          </cell>
          <cell r="AN16">
            <v>135634.48439999999</v>
          </cell>
          <cell r="AO16">
            <v>137281.1709</v>
          </cell>
          <cell r="AP16">
            <v>138950.78810000001</v>
          </cell>
          <cell r="AQ16">
            <v>140648.94349999999</v>
          </cell>
          <cell r="AR16">
            <v>142370.8824</v>
          </cell>
          <cell r="AS16">
            <v>144116.37880000001</v>
          </cell>
          <cell r="AT16">
            <v>145885.13759999999</v>
          </cell>
          <cell r="AU16">
            <v>147676.783</v>
          </cell>
          <cell r="AV16">
            <v>149515.7378</v>
          </cell>
          <cell r="AW16">
            <v>151379.72820000001</v>
          </cell>
          <cell r="AX16">
            <v>153267.4915</v>
          </cell>
          <cell r="AY16">
            <v>155178.17139999999</v>
          </cell>
          <cell r="AZ16">
            <v>157111.10449999999</v>
          </cell>
          <cell r="BA16">
            <v>194268.86120000001</v>
          </cell>
          <cell r="BB16">
            <v>197611.76019999999</v>
          </cell>
          <cell r="BC16">
            <v>201017.3364</v>
          </cell>
          <cell r="BD16">
            <v>204486.6298</v>
          </cell>
          <cell r="BE16">
            <v>208020.64610000001</v>
          </cell>
        </row>
        <row r="17">
          <cell r="B17">
            <v>87184.058229999995</v>
          </cell>
          <cell r="C17">
            <v>88262.675369999997</v>
          </cell>
          <cell r="D17">
            <v>89492.640520000001</v>
          </cell>
          <cell r="E17">
            <v>90815.614579999994</v>
          </cell>
          <cell r="F17">
            <v>92218.382190000004</v>
          </cell>
          <cell r="G17">
            <v>93686.525469999993</v>
          </cell>
          <cell r="H17">
            <v>95132.285229999994</v>
          </cell>
          <cell r="I17">
            <v>96608.066070000001</v>
          </cell>
          <cell r="J17">
            <v>98109.463940000001</v>
          </cell>
          <cell r="K17">
            <v>99632.332110000003</v>
          </cell>
          <cell r="L17">
            <v>101304.4379</v>
          </cell>
          <cell r="M17">
            <v>102881.2464</v>
          </cell>
          <cell r="N17">
            <v>104466.7016</v>
          </cell>
          <cell r="O17">
            <v>106063.4531</v>
          </cell>
          <cell r="P17">
            <v>107672.6204</v>
          </cell>
          <cell r="Q17">
            <v>109295.5673</v>
          </cell>
          <cell r="R17">
            <v>110934.08689999999</v>
          </cell>
          <cell r="S17">
            <v>112590.2879</v>
          </cell>
          <cell r="T17">
            <v>114266.4402</v>
          </cell>
          <cell r="U17">
            <v>115964.8431</v>
          </cell>
          <cell r="V17">
            <v>117590.8003</v>
          </cell>
          <cell r="W17">
            <v>119326.18090000001</v>
          </cell>
          <cell r="X17">
            <v>121095.2031</v>
          </cell>
          <cell r="Y17">
            <v>122897.4725</v>
          </cell>
          <cell r="Z17">
            <v>124733.9492</v>
          </cell>
          <cell r="AA17">
            <v>126325.6902</v>
          </cell>
          <cell r="AB17">
            <v>128059.34080000001</v>
          </cell>
          <cell r="AC17">
            <v>129822.9515</v>
          </cell>
          <cell r="AD17">
            <v>131617.50700000001</v>
          </cell>
          <cell r="AE17">
            <v>133445.5171</v>
          </cell>
          <cell r="AF17">
            <v>135309.14490000001</v>
          </cell>
          <cell r="AG17">
            <v>137209.86199999999</v>
          </cell>
          <cell r="AH17">
            <v>139148.45670000001</v>
          </cell>
          <cell r="AI17">
            <v>141125.14869999999</v>
          </cell>
          <cell r="AJ17">
            <v>143139.7347</v>
          </cell>
          <cell r="AK17">
            <v>145191.73149999999</v>
          </cell>
          <cell r="AL17">
            <v>147212.4333</v>
          </cell>
          <cell r="AM17">
            <v>149258.38039999999</v>
          </cell>
          <cell r="AN17">
            <v>151332.35320000001</v>
          </cell>
          <cell r="AO17">
            <v>153435.73490000001</v>
          </cell>
          <cell r="AP17">
            <v>155569.6011</v>
          </cell>
          <cell r="AQ17">
            <v>157734.84570000001</v>
          </cell>
          <cell r="AR17">
            <v>159932.15770000001</v>
          </cell>
          <cell r="AS17">
            <v>162162.00659999999</v>
          </cell>
          <cell r="AT17">
            <v>164424.6574</v>
          </cell>
          <cell r="AU17">
            <v>166720.21249999999</v>
          </cell>
          <cell r="AV17">
            <v>169054.89509999999</v>
          </cell>
          <cell r="AW17">
            <v>171423.45269999999</v>
          </cell>
          <cell r="AX17">
            <v>173825.50719999999</v>
          </cell>
          <cell r="AY17">
            <v>176260.70310000001</v>
          </cell>
          <cell r="AZ17">
            <v>178728.7543</v>
          </cell>
          <cell r="BA17">
            <v>195144.80350000001</v>
          </cell>
          <cell r="BB17">
            <v>198536.37779999999</v>
          </cell>
          <cell r="BC17">
            <v>201991.7243</v>
          </cell>
          <cell r="BD17">
            <v>205511.9504</v>
          </cell>
          <cell r="BE17">
            <v>209098.14439999999</v>
          </cell>
        </row>
        <row r="18">
          <cell r="B18">
            <v>28282.076949999999</v>
          </cell>
          <cell r="C18">
            <v>28489.29809</v>
          </cell>
          <cell r="D18">
            <v>28788.18361</v>
          </cell>
          <cell r="E18">
            <v>29130.95967</v>
          </cell>
          <cell r="F18">
            <v>29505.237130000001</v>
          </cell>
          <cell r="G18">
            <v>29903.956989999999</v>
          </cell>
          <cell r="H18">
            <v>30299.04348</v>
          </cell>
          <cell r="I18">
            <v>30703.855800000001</v>
          </cell>
          <cell r="J18">
            <v>31116.528770000001</v>
          </cell>
          <cell r="K18">
            <v>31534.751970000001</v>
          </cell>
          <cell r="L18">
            <v>31922.45262</v>
          </cell>
          <cell r="M18">
            <v>32392.372810000001</v>
          </cell>
          <cell r="N18">
            <v>32868.929199999999</v>
          </cell>
          <cell r="O18">
            <v>33347.230190000002</v>
          </cell>
          <cell r="P18">
            <v>33825.823499999999</v>
          </cell>
          <cell r="Q18">
            <v>34304.26311</v>
          </cell>
          <cell r="R18">
            <v>34779.03458</v>
          </cell>
          <cell r="S18">
            <v>35253.49482</v>
          </cell>
          <cell r="T18">
            <v>35728.342279999997</v>
          </cell>
          <cell r="U18">
            <v>36204.301670000001</v>
          </cell>
          <cell r="V18">
            <v>36655.177949999998</v>
          </cell>
          <cell r="W18">
            <v>37129.973940000003</v>
          </cell>
          <cell r="X18">
            <v>37610.794829999999</v>
          </cell>
          <cell r="Y18">
            <v>38097.420180000001</v>
          </cell>
          <cell r="Z18">
            <v>38590.38809</v>
          </cell>
          <cell r="AA18">
            <v>39013.29479</v>
          </cell>
          <cell r="AB18">
            <v>39469.076289999997</v>
          </cell>
          <cell r="AC18">
            <v>39931.259440000002</v>
          </cell>
          <cell r="AD18">
            <v>40400.081400000003</v>
          </cell>
          <cell r="AE18">
            <v>40876.524319999997</v>
          </cell>
          <cell r="AF18">
            <v>41361.479789999998</v>
          </cell>
          <cell r="AG18">
            <v>41856.637069999997</v>
          </cell>
          <cell r="AH18">
            <v>42361.475760000001</v>
          </cell>
          <cell r="AI18">
            <v>42876.081839999999</v>
          </cell>
          <cell r="AJ18">
            <v>43400.390670000001</v>
          </cell>
          <cell r="AK18">
            <v>43934.213640000002</v>
          </cell>
          <cell r="AL18">
            <v>44468.983460000003</v>
          </cell>
          <cell r="AM18">
            <v>45009.790569999997</v>
          </cell>
          <cell r="AN18">
            <v>45557.285519999998</v>
          </cell>
          <cell r="AO18">
            <v>46111.69616</v>
          </cell>
          <cell r="AP18">
            <v>46673.130219999999</v>
          </cell>
          <cell r="AQ18">
            <v>47243.340940000002</v>
          </cell>
          <cell r="AR18">
            <v>47820.898209999999</v>
          </cell>
          <cell r="AS18">
            <v>48405.66663</v>
          </cell>
          <cell r="AT18">
            <v>48997.515090000001</v>
          </cell>
          <cell r="AU18">
            <v>49596.290359999999</v>
          </cell>
          <cell r="AV18">
            <v>50209.562339999997</v>
          </cell>
          <cell r="AW18">
            <v>50830.766320000002</v>
          </cell>
          <cell r="AX18">
            <v>51459.270570000001</v>
          </cell>
          <cell r="AY18">
            <v>52094.715859999997</v>
          </cell>
          <cell r="AZ18">
            <v>52736.845240000002</v>
          </cell>
          <cell r="BA18">
            <v>65374.391609999999</v>
          </cell>
          <cell r="BB18">
            <v>66504.938649999996</v>
          </cell>
          <cell r="BC18">
            <v>67655.673490000001</v>
          </cell>
          <cell r="BD18">
            <v>68826.861879999997</v>
          </cell>
          <cell r="BE18">
            <v>70018.761929999993</v>
          </cell>
        </row>
        <row r="19">
          <cell r="B19">
            <v>29140.398969999998</v>
          </cell>
          <cell r="C19">
            <v>29509.433799999999</v>
          </cell>
          <cell r="D19">
            <v>29927.532220000001</v>
          </cell>
          <cell r="E19">
            <v>30375.55831</v>
          </cell>
          <cell r="F19">
            <v>30847.929</v>
          </cell>
          <cell r="G19">
            <v>31340.255120000002</v>
          </cell>
          <cell r="H19">
            <v>31826.505150000001</v>
          </cell>
          <cell r="I19">
            <v>32321.220209999999</v>
          </cell>
          <cell r="J19">
            <v>32823.985999999997</v>
          </cell>
          <cell r="K19">
            <v>33333.919139999998</v>
          </cell>
          <cell r="L19">
            <v>33889.651669999999</v>
          </cell>
          <cell r="M19">
            <v>34420.417090000003</v>
          </cell>
          <cell r="N19">
            <v>34953.457020000002</v>
          </cell>
          <cell r="O19">
            <v>35490.256930000003</v>
          </cell>
          <cell r="P19">
            <v>36031.368029999998</v>
          </cell>
          <cell r="Q19">
            <v>36577.316809999997</v>
          </cell>
          <cell r="R19">
            <v>37128.746140000003</v>
          </cell>
          <cell r="S19">
            <v>37686.399219999999</v>
          </cell>
          <cell r="T19">
            <v>38251.072220000002</v>
          </cell>
          <cell r="U19">
            <v>38823.568039999998</v>
          </cell>
          <cell r="V19">
            <v>39375.467879999997</v>
          </cell>
          <cell r="W19">
            <v>39959.495819999996</v>
          </cell>
          <cell r="X19">
            <v>40555.926249999997</v>
          </cell>
          <cell r="Y19">
            <v>41164.191209999997</v>
          </cell>
          <cell r="Z19">
            <v>41784.471490000004</v>
          </cell>
          <cell r="AA19">
            <v>42332.731059999998</v>
          </cell>
          <cell r="AB19">
            <v>42919.150179999997</v>
          </cell>
          <cell r="AC19">
            <v>43515.779600000002</v>
          </cell>
          <cell r="AD19">
            <v>44122.579169999997</v>
          </cell>
          <cell r="AE19">
            <v>44740.311679999999</v>
          </cell>
          <cell r="AF19">
            <v>45369.678059999998</v>
          </cell>
          <cell r="AG19">
            <v>46011.148930000003</v>
          </cell>
          <cell r="AH19">
            <v>46664.952239999999</v>
          </cell>
          <cell r="AI19">
            <v>47331.108890000003</v>
          </cell>
          <cell r="AJ19">
            <v>48009.484250000001</v>
          </cell>
          <cell r="AK19">
            <v>48699.840889999999</v>
          </cell>
          <cell r="AL19">
            <v>49381.389580000003</v>
          </cell>
          <cell r="AM19">
            <v>50069.530559999999</v>
          </cell>
          <cell r="AN19">
            <v>50765.598619999997</v>
          </cell>
          <cell r="AO19">
            <v>51470.173920000001</v>
          </cell>
          <cell r="AP19">
            <v>52183.6561</v>
          </cell>
          <cell r="AQ19">
            <v>52906.360489999999</v>
          </cell>
          <cell r="AR19">
            <v>53638.526290000002</v>
          </cell>
          <cell r="AS19">
            <v>54380.31583</v>
          </cell>
          <cell r="AT19">
            <v>55131.820789999998</v>
          </cell>
          <cell r="AU19">
            <v>55893.076739999997</v>
          </cell>
          <cell r="AV19">
            <v>56665.955090000003</v>
          </cell>
          <cell r="AW19">
            <v>57449.007510000003</v>
          </cell>
          <cell r="AX19">
            <v>58242.06581</v>
          </cell>
          <cell r="AY19">
            <v>59045.021240000002</v>
          </cell>
          <cell r="AZ19">
            <v>59857.800779999998</v>
          </cell>
          <cell r="BA19">
            <v>65674.958790000004</v>
          </cell>
          <cell r="BB19">
            <v>66820.09246</v>
          </cell>
          <cell r="BC19">
            <v>67985.551479999995</v>
          </cell>
          <cell r="BD19">
            <v>69171.626420000001</v>
          </cell>
          <cell r="BE19">
            <v>70378.605540000004</v>
          </cell>
        </row>
        <row r="20">
          <cell r="B20">
            <v>78052.947920000006</v>
          </cell>
          <cell r="C20">
            <v>78605.662649999998</v>
          </cell>
          <cell r="D20">
            <v>79450.663480000003</v>
          </cell>
          <cell r="E20">
            <v>80422.260769999993</v>
          </cell>
          <cell r="F20">
            <v>81473.249460000006</v>
          </cell>
          <cell r="G20">
            <v>82579.971640000003</v>
          </cell>
          <cell r="H20">
            <v>83666.249089999998</v>
          </cell>
          <cell r="I20">
            <v>84769.311929999996</v>
          </cell>
          <cell r="J20">
            <v>85886.805439999996</v>
          </cell>
          <cell r="K20">
            <v>87014.774470000004</v>
          </cell>
          <cell r="L20">
            <v>88054.442179999998</v>
          </cell>
          <cell r="M20">
            <v>89318.077569999994</v>
          </cell>
          <cell r="N20">
            <v>90603.569499999998</v>
          </cell>
          <cell r="O20">
            <v>91895.080919999993</v>
          </cell>
          <cell r="P20">
            <v>93188.541440000001</v>
          </cell>
          <cell r="Q20">
            <v>94483.329889999994</v>
          </cell>
          <cell r="R20">
            <v>95770.530989999999</v>
          </cell>
          <cell r="S20">
            <v>97060.029240000003</v>
          </cell>
          <cell r="T20">
            <v>98354.486969999998</v>
          </cell>
          <cell r="U20">
            <v>99656.354470000006</v>
          </cell>
          <cell r="V20">
            <v>100895.63800000001</v>
          </cell>
          <cell r="W20">
            <v>102203.93949999999</v>
          </cell>
          <cell r="X20">
            <v>103533.8509</v>
          </cell>
          <cell r="Y20">
            <v>104884.03690000001</v>
          </cell>
          <cell r="Z20">
            <v>106255.6116</v>
          </cell>
          <cell r="AA20">
            <v>107443.3242</v>
          </cell>
          <cell r="AB20">
            <v>108723.11599999999</v>
          </cell>
          <cell r="AC20">
            <v>110025.2262</v>
          </cell>
          <cell r="AD20">
            <v>111348.75599999999</v>
          </cell>
          <cell r="AE20">
            <v>112695.32919999999</v>
          </cell>
          <cell r="AF20">
            <v>114066.54889999999</v>
          </cell>
          <cell r="AG20">
            <v>115466.40760000001</v>
          </cell>
          <cell r="AH20">
            <v>116892.9856</v>
          </cell>
          <cell r="AI20">
            <v>118346.07429999999</v>
          </cell>
          <cell r="AJ20">
            <v>119825.1652</v>
          </cell>
          <cell r="AK20">
            <v>121329.4791</v>
          </cell>
          <cell r="AL20">
            <v>122836.5361</v>
          </cell>
          <cell r="AM20">
            <v>124359.4342</v>
          </cell>
          <cell r="AN20">
            <v>125899.65850000001</v>
          </cell>
          <cell r="AO20">
            <v>127457.47100000001</v>
          </cell>
          <cell r="AP20">
            <v>129032.8079</v>
          </cell>
          <cell r="AQ20">
            <v>130630.20970000001</v>
          </cell>
          <cell r="AR20">
            <v>132245.56349999999</v>
          </cell>
          <cell r="AS20">
            <v>133878.2867</v>
          </cell>
          <cell r="AT20">
            <v>135527.92430000001</v>
          </cell>
          <cell r="AU20">
            <v>137194.02420000001</v>
          </cell>
          <cell r="AV20">
            <v>138897.3982</v>
          </cell>
          <cell r="AW20">
            <v>140620.27859999999</v>
          </cell>
          <cell r="AX20">
            <v>142360.72630000001</v>
          </cell>
          <cell r="AY20">
            <v>144117.77299999999</v>
          </cell>
          <cell r="AZ20">
            <v>145890.80050000001</v>
          </cell>
          <cell r="BA20">
            <v>183022.07269999999</v>
          </cell>
          <cell r="BB20">
            <v>186256.61790000001</v>
          </cell>
          <cell r="BC20">
            <v>189546.32399999999</v>
          </cell>
          <cell r="BD20">
            <v>192891.60990000001</v>
          </cell>
          <cell r="BE20">
            <v>196292.88219999999</v>
          </cell>
        </row>
        <row r="21">
          <cell r="B21">
            <v>80401.828540000002</v>
          </cell>
          <cell r="C21">
            <v>81419.5821</v>
          </cell>
          <cell r="D21">
            <v>82583.786229999998</v>
          </cell>
          <cell r="E21">
            <v>83831.167090000003</v>
          </cell>
          <cell r="F21">
            <v>85141.175480000005</v>
          </cell>
          <cell r="G21">
            <v>86500.723759999993</v>
          </cell>
          <cell r="H21">
            <v>87840.3364</v>
          </cell>
          <cell r="I21">
            <v>89200.271859999993</v>
          </cell>
          <cell r="J21">
            <v>90581.363580000005</v>
          </cell>
          <cell r="K21">
            <v>91982.59951</v>
          </cell>
          <cell r="L21">
            <v>93508.939679999996</v>
          </cell>
          <cell r="M21">
            <v>94971.059680000006</v>
          </cell>
          <cell r="N21">
            <v>96441.826799999995</v>
          </cell>
          <cell r="O21">
            <v>97926.689490000004</v>
          </cell>
          <cell r="P21">
            <v>99427.755590000001</v>
          </cell>
          <cell r="Q21">
            <v>100946.7167</v>
          </cell>
          <cell r="R21">
            <v>102485.38159999999</v>
          </cell>
          <cell r="S21">
            <v>104045.7136</v>
          </cell>
          <cell r="T21">
            <v>105629.75</v>
          </cell>
          <cell r="U21">
            <v>107239.5018</v>
          </cell>
          <cell r="V21">
            <v>108798.33440000001</v>
          </cell>
          <cell r="W21">
            <v>110447.6718</v>
          </cell>
          <cell r="X21">
            <v>112135.00350000001</v>
          </cell>
          <cell r="Y21">
            <v>113857.8355</v>
          </cell>
          <cell r="Z21">
            <v>115616.19439999999</v>
          </cell>
          <cell r="AA21">
            <v>117183.5705</v>
          </cell>
          <cell r="AB21">
            <v>118855.59910000001</v>
          </cell>
          <cell r="AC21">
            <v>120558.8205</v>
          </cell>
          <cell r="AD21">
            <v>122291.607</v>
          </cell>
          <cell r="AE21">
            <v>124055.00659999999</v>
          </cell>
          <cell r="AF21">
            <v>125850.12880000001</v>
          </cell>
          <cell r="AG21">
            <v>127677.6364</v>
          </cell>
          <cell r="AH21">
            <v>129537.6728</v>
          </cell>
          <cell r="AI21">
            <v>131429.92319999999</v>
          </cell>
          <cell r="AJ21">
            <v>133353.7274</v>
          </cell>
          <cell r="AK21">
            <v>135308.20420000001</v>
          </cell>
          <cell r="AL21">
            <v>137237.11060000001</v>
          </cell>
          <cell r="AM21">
            <v>139181.57689999999</v>
          </cell>
          <cell r="AN21">
            <v>141145.46679999999</v>
          </cell>
          <cell r="AO21">
            <v>143130.1514</v>
          </cell>
          <cell r="AP21">
            <v>145136.40520000001</v>
          </cell>
          <cell r="AQ21">
            <v>147164.78260000001</v>
          </cell>
          <cell r="AR21">
            <v>149215.6882</v>
          </cell>
          <cell r="AS21">
            <v>151289.3885</v>
          </cell>
          <cell r="AT21">
            <v>153386.02650000001</v>
          </cell>
          <cell r="AU21">
            <v>155505.6508</v>
          </cell>
          <cell r="AV21">
            <v>157653.3051</v>
          </cell>
          <cell r="AW21">
            <v>159825.125</v>
          </cell>
          <cell r="AX21">
            <v>162020.68169999999</v>
          </cell>
          <cell r="AY21">
            <v>164239.80489999999</v>
          </cell>
          <cell r="AZ21">
            <v>166482.45860000001</v>
          </cell>
          <cell r="BA21">
            <v>183905.85140000001</v>
          </cell>
          <cell r="BB21">
            <v>187177.02359999999</v>
          </cell>
          <cell r="BC21">
            <v>190503.01850000001</v>
          </cell>
          <cell r="BD21">
            <v>193884.32029999999</v>
          </cell>
          <cell r="BE21">
            <v>197321.42540000001</v>
          </cell>
        </row>
        <row r="22">
          <cell r="B22">
            <v>78018.861380000002</v>
          </cell>
          <cell r="C22">
            <v>78904.096739999994</v>
          </cell>
          <cell r="D22">
            <v>79967.004220000003</v>
          </cell>
          <cell r="E22">
            <v>81093.365609999993</v>
          </cell>
          <cell r="F22">
            <v>82257.202480000007</v>
          </cell>
          <cell r="G22">
            <v>83443.335160000002</v>
          </cell>
          <cell r="H22">
            <v>84565.581340000004</v>
          </cell>
          <cell r="I22">
            <v>85687.900680000006</v>
          </cell>
          <cell r="J22">
            <v>86807.89632</v>
          </cell>
          <cell r="K22">
            <v>87923.12328</v>
          </cell>
          <cell r="L22">
            <v>88883.42108</v>
          </cell>
          <cell r="M22">
            <v>90159.342780000006</v>
          </cell>
          <cell r="N22">
            <v>91433.710800000001</v>
          </cell>
          <cell r="O22">
            <v>92700.541440000001</v>
          </cell>
          <cell r="P22">
            <v>93958.953219999996</v>
          </cell>
          <cell r="Q22">
            <v>95210.183009999993</v>
          </cell>
          <cell r="R22">
            <v>96442.876969999998</v>
          </cell>
          <cell r="S22">
            <v>97672.517779999995</v>
          </cell>
          <cell r="T22">
            <v>98902.160409999997</v>
          </cell>
          <cell r="U22">
            <v>100134.7496</v>
          </cell>
          <cell r="V22">
            <v>101284.4669</v>
          </cell>
          <cell r="W22">
            <v>102526.1418</v>
          </cell>
          <cell r="X22">
            <v>103782.1033</v>
          </cell>
          <cell r="Y22">
            <v>105053.49460000001</v>
          </cell>
          <cell r="Z22">
            <v>106342.1826</v>
          </cell>
          <cell r="AA22">
            <v>107397.4054</v>
          </cell>
          <cell r="AB22">
            <v>108597.2084</v>
          </cell>
          <cell r="AC22">
            <v>109818.4979</v>
          </cell>
          <cell r="AD22">
            <v>111062.1928</v>
          </cell>
          <cell r="AE22">
            <v>112329.77589999999</v>
          </cell>
          <cell r="AF22">
            <v>113622.4844</v>
          </cell>
          <cell r="AG22">
            <v>114945.128</v>
          </cell>
          <cell r="AH22">
            <v>116294.2404</v>
          </cell>
          <cell r="AI22">
            <v>117669.6398</v>
          </cell>
          <cell r="AJ22">
            <v>119070.84940000001</v>
          </cell>
          <cell r="AK22">
            <v>120497.1724</v>
          </cell>
          <cell r="AL22">
            <v>121926.1416</v>
          </cell>
          <cell r="AM22">
            <v>123375.9069</v>
          </cell>
          <cell r="AN22">
            <v>124846.7383</v>
          </cell>
          <cell r="AO22">
            <v>126338.3818</v>
          </cell>
          <cell r="AP22">
            <v>127850.4724</v>
          </cell>
          <cell r="AQ22">
            <v>129389.1403</v>
          </cell>
          <cell r="AR22">
            <v>130947.9305</v>
          </cell>
          <cell r="AS22">
            <v>132526.3297</v>
          </cell>
          <cell r="AT22">
            <v>134123.8572</v>
          </cell>
          <cell r="AU22">
            <v>135740.0392</v>
          </cell>
          <cell r="AV22">
            <v>137403.10010000001</v>
          </cell>
          <cell r="AW22">
            <v>139085.88870000001</v>
          </cell>
          <cell r="AX22">
            <v>140787.38279999999</v>
          </cell>
          <cell r="AY22">
            <v>142506.92050000001</v>
          </cell>
          <cell r="AZ22">
            <v>144244.04730000001</v>
          </cell>
          <cell r="BA22">
            <v>183523.55319999999</v>
          </cell>
          <cell r="BB22">
            <v>186745.99849999999</v>
          </cell>
          <cell r="BC22">
            <v>190030.42559999999</v>
          </cell>
          <cell r="BD22">
            <v>193377.65919999999</v>
          </cell>
          <cell r="BE22">
            <v>196788.48449999999</v>
          </cell>
        </row>
        <row r="23">
          <cell r="B23">
            <v>81289.904599999994</v>
          </cell>
          <cell r="C23">
            <v>82527.293669999999</v>
          </cell>
          <cell r="D23">
            <v>83884.974929999997</v>
          </cell>
          <cell r="E23">
            <v>85288.086410000004</v>
          </cell>
          <cell r="F23">
            <v>86725.831200000001</v>
          </cell>
          <cell r="G23">
            <v>88189.611059999996</v>
          </cell>
          <cell r="H23">
            <v>89597.834189999994</v>
          </cell>
          <cell r="I23">
            <v>91015.275590000005</v>
          </cell>
          <cell r="J23">
            <v>92441.625400000004</v>
          </cell>
          <cell r="K23">
            <v>93876.618000000002</v>
          </cell>
          <cell r="L23">
            <v>95451.857820000005</v>
          </cell>
          <cell r="M23">
            <v>96914.087440000003</v>
          </cell>
          <cell r="N23">
            <v>98382.755319999997</v>
          </cell>
          <cell r="O23">
            <v>99861.225659999996</v>
          </cell>
          <cell r="P23">
            <v>101351.8299</v>
          </cell>
          <cell r="Q23">
            <v>102856.81329999999</v>
          </cell>
          <cell r="R23">
            <v>104378.51730000001</v>
          </cell>
          <cell r="S23">
            <v>105919.35769999999</v>
          </cell>
          <cell r="T23">
            <v>107481.7453</v>
          </cell>
          <cell r="U23">
            <v>109068.00260000001</v>
          </cell>
          <cell r="V23">
            <v>110583.0171</v>
          </cell>
          <cell r="W23">
            <v>112216.7242</v>
          </cell>
          <cell r="X23">
            <v>113883.28350000001</v>
          </cell>
          <cell r="Y23">
            <v>115582.8073</v>
          </cell>
          <cell r="Z23">
            <v>117316.13129999999</v>
          </cell>
          <cell r="AA23">
            <v>118803.1263</v>
          </cell>
          <cell r="AB23">
            <v>120453.5984</v>
          </cell>
          <cell r="AC23">
            <v>122137.7059</v>
          </cell>
          <cell r="AD23">
            <v>123855.7461</v>
          </cell>
          <cell r="AE23">
            <v>125608.7101</v>
          </cell>
          <cell r="AF23">
            <v>127397.4348</v>
          </cell>
          <cell r="AG23">
            <v>129222.38310000001</v>
          </cell>
          <cell r="AH23">
            <v>131083.61189999999</v>
          </cell>
          <cell r="AI23">
            <v>132980.82519999999</v>
          </cell>
          <cell r="AJ23">
            <v>134913.46590000001</v>
          </cell>
          <cell r="AK23">
            <v>136880.81690000001</v>
          </cell>
          <cell r="AL23">
            <v>138813.6539</v>
          </cell>
          <cell r="AM23">
            <v>140773.98560000001</v>
          </cell>
          <cell r="AN23">
            <v>142763.17420000001</v>
          </cell>
          <cell r="AO23">
            <v>144781.70120000001</v>
          </cell>
          <cell r="AP23">
            <v>146829.82509999999</v>
          </cell>
          <cell r="AQ23">
            <v>148907.71909999999</v>
          </cell>
          <cell r="AR23">
            <v>151015.48300000001</v>
          </cell>
          <cell r="AS23">
            <v>153153.13329999999</v>
          </cell>
          <cell r="AT23">
            <v>155320.6048</v>
          </cell>
          <cell r="AU23">
            <v>157517.76819999999</v>
          </cell>
          <cell r="AV23">
            <v>159750.7145</v>
          </cell>
          <cell r="AW23">
            <v>162013.5374</v>
          </cell>
          <cell r="AX23">
            <v>164305.89989999999</v>
          </cell>
          <cell r="AY23">
            <v>166627.57370000001</v>
          </cell>
          <cell r="AZ23">
            <v>168978.4228</v>
          </cell>
          <cell r="BA23">
            <v>184523.6764</v>
          </cell>
          <cell r="BB23">
            <v>187799.9662</v>
          </cell>
          <cell r="BC23">
            <v>191139.277</v>
          </cell>
          <cell r="BD23">
            <v>194542.50580000001</v>
          </cell>
          <cell r="BE23">
            <v>198010.52179999999</v>
          </cell>
        </row>
        <row r="24">
          <cell r="B24">
            <v>102620.1612</v>
          </cell>
          <cell r="C24">
            <v>103204.8321</v>
          </cell>
          <cell r="D24">
            <v>104131.0482</v>
          </cell>
          <cell r="E24">
            <v>105254.7968</v>
          </cell>
          <cell r="F24">
            <v>106520.4374</v>
          </cell>
          <cell r="G24">
            <v>107894.3732</v>
          </cell>
          <cell r="H24">
            <v>109282.8425</v>
          </cell>
          <cell r="I24">
            <v>110716.02860000001</v>
          </cell>
          <cell r="J24">
            <v>112189.37880000001</v>
          </cell>
          <cell r="K24">
            <v>113696.83900000001</v>
          </cell>
          <cell r="L24">
            <v>115170.39200000001</v>
          </cell>
          <cell r="M24">
            <v>116851.569</v>
          </cell>
          <cell r="N24">
            <v>118575.56939999999</v>
          </cell>
          <cell r="O24">
            <v>120326.14139999999</v>
          </cell>
          <cell r="P24">
            <v>122096.7838</v>
          </cell>
          <cell r="Q24">
            <v>123884.58319999999</v>
          </cell>
          <cell r="R24">
            <v>125679.61840000001</v>
          </cell>
          <cell r="S24">
            <v>127488.30740000001</v>
          </cell>
          <cell r="T24">
            <v>129311.7257</v>
          </cell>
          <cell r="U24">
            <v>131151.0154</v>
          </cell>
          <cell r="V24">
            <v>132921.69680000001</v>
          </cell>
          <cell r="W24">
            <v>134767.09229999999</v>
          </cell>
          <cell r="X24">
            <v>136642.9841</v>
          </cell>
          <cell r="Y24">
            <v>138546.77679999999</v>
          </cell>
          <cell r="Z24">
            <v>140478.57740000001</v>
          </cell>
          <cell r="AA24">
            <v>142193.21979999999</v>
          </cell>
          <cell r="AB24">
            <v>143984.78719999999</v>
          </cell>
          <cell r="AC24">
            <v>145794.3561</v>
          </cell>
          <cell r="AD24">
            <v>147623.44070000001</v>
          </cell>
          <cell r="AE24">
            <v>149475.68659999999</v>
          </cell>
          <cell r="AF24">
            <v>151354.38620000001</v>
          </cell>
          <cell r="AG24">
            <v>153264.55480000001</v>
          </cell>
          <cell r="AH24">
            <v>155205.73499999999</v>
          </cell>
          <cell r="AI24">
            <v>157178.41459999999</v>
          </cell>
          <cell r="AJ24">
            <v>159182.5784</v>
          </cell>
          <cell r="AK24">
            <v>161217.8493</v>
          </cell>
          <cell r="AL24">
            <v>163249.7709</v>
          </cell>
          <cell r="AM24">
            <v>165296.25810000001</v>
          </cell>
          <cell r="AN24">
            <v>167361.261</v>
          </cell>
          <cell r="AO24">
            <v>169446.82130000001</v>
          </cell>
          <cell r="AP24">
            <v>171554.42180000001</v>
          </cell>
          <cell r="AQ24">
            <v>173689.5024</v>
          </cell>
          <cell r="AR24">
            <v>175849.87580000001</v>
          </cell>
          <cell r="AS24">
            <v>178035.82430000001</v>
          </cell>
          <cell r="AT24">
            <v>180247.48970000001</v>
          </cell>
          <cell r="AU24">
            <v>182484.84899999999</v>
          </cell>
          <cell r="AV24">
            <v>184768.23980000001</v>
          </cell>
          <cell r="AW24">
            <v>187082.9235</v>
          </cell>
          <cell r="AX24">
            <v>189426.76259999999</v>
          </cell>
          <cell r="AY24">
            <v>191798.44130000001</v>
          </cell>
          <cell r="AZ24">
            <v>194197.08609999999</v>
          </cell>
          <cell r="BA24">
            <v>237062.62289999999</v>
          </cell>
          <cell r="BB24">
            <v>241147.1697</v>
          </cell>
          <cell r="BC24">
            <v>245299.2776</v>
          </cell>
          <cell r="BD24">
            <v>249519.81039999999</v>
          </cell>
          <cell r="BE24">
            <v>253809.6715</v>
          </cell>
        </row>
        <row r="25">
          <cell r="B25">
            <v>104800.5695</v>
          </cell>
          <cell r="C25">
            <v>105992.8845</v>
          </cell>
          <cell r="D25">
            <v>107370.0024</v>
          </cell>
          <cell r="E25">
            <v>108879.993</v>
          </cell>
          <cell r="F25">
            <v>110498.606</v>
          </cell>
          <cell r="G25">
            <v>112206.4584</v>
          </cell>
          <cell r="H25">
            <v>113918.705</v>
          </cell>
          <cell r="I25">
            <v>115670.3842</v>
          </cell>
          <cell r="J25">
            <v>117461.4638</v>
          </cell>
          <cell r="K25">
            <v>119289.95600000001</v>
          </cell>
          <cell r="L25">
            <v>121276.9945</v>
          </cell>
          <cell r="M25">
            <v>123216.2996</v>
          </cell>
          <cell r="N25">
            <v>125172.7871</v>
          </cell>
          <cell r="O25">
            <v>127151.1471</v>
          </cell>
          <cell r="P25">
            <v>129152.7248</v>
          </cell>
          <cell r="Q25">
            <v>131178.52129999999</v>
          </cell>
          <cell r="R25">
            <v>133229.79980000001</v>
          </cell>
          <cell r="S25">
            <v>135308.11189999999</v>
          </cell>
          <cell r="T25">
            <v>137415.17989999999</v>
          </cell>
          <cell r="U25">
            <v>139552.76920000001</v>
          </cell>
          <cell r="V25">
            <v>141630.8983</v>
          </cell>
          <cell r="W25">
            <v>143802.68789999999</v>
          </cell>
          <cell r="X25">
            <v>146020.35380000001</v>
          </cell>
          <cell r="Y25">
            <v>148280.81090000001</v>
          </cell>
          <cell r="Z25">
            <v>150583.60380000001</v>
          </cell>
          <cell r="AA25">
            <v>152663.49840000001</v>
          </cell>
          <cell r="AB25">
            <v>154832.3621</v>
          </cell>
          <cell r="AC25">
            <v>157028.40640000001</v>
          </cell>
          <cell r="AD25">
            <v>159252.85</v>
          </cell>
          <cell r="AE25">
            <v>161509.1182</v>
          </cell>
          <cell r="AF25">
            <v>163800.2549</v>
          </cell>
          <cell r="AG25">
            <v>166128.38380000001</v>
          </cell>
          <cell r="AH25">
            <v>168494.70069999999</v>
          </cell>
          <cell r="AI25">
            <v>170899.63810000001</v>
          </cell>
          <cell r="AJ25">
            <v>173343.07990000001</v>
          </cell>
          <cell r="AK25">
            <v>175824.56880000001</v>
          </cell>
          <cell r="AL25">
            <v>178278.90979999999</v>
          </cell>
          <cell r="AM25">
            <v>180746.6599</v>
          </cell>
          <cell r="AN25">
            <v>183234.3976</v>
          </cell>
          <cell r="AO25">
            <v>185745.81049999999</v>
          </cell>
          <cell r="AP25">
            <v>188283.63080000001</v>
          </cell>
          <cell r="AQ25">
            <v>190850.03940000001</v>
          </cell>
          <cell r="AR25">
            <v>193446.74729999999</v>
          </cell>
          <cell r="AS25">
            <v>196075.03159999999</v>
          </cell>
          <cell r="AT25">
            <v>198735.79440000001</v>
          </cell>
          <cell r="AU25">
            <v>201429.6496</v>
          </cell>
          <cell r="AV25">
            <v>204162.93169999999</v>
          </cell>
          <cell r="AW25">
            <v>206932.26149999999</v>
          </cell>
          <cell r="AX25">
            <v>209737.29430000001</v>
          </cell>
          <cell r="AY25">
            <v>212577.74950000001</v>
          </cell>
          <cell r="AZ25">
            <v>215453.4719</v>
          </cell>
          <cell r="BA25">
            <v>237783.5478</v>
          </cell>
          <cell r="BB25">
            <v>241895.67249999999</v>
          </cell>
          <cell r="BC25">
            <v>246074.98370000001</v>
          </cell>
          <cell r="BD25">
            <v>250322.47320000001</v>
          </cell>
          <cell r="BE25">
            <v>254639.1814</v>
          </cell>
        </row>
        <row r="26">
          <cell r="B26">
            <v>269712.36430000002</v>
          </cell>
          <cell r="C26">
            <v>271882.60690000001</v>
          </cell>
          <cell r="D26">
            <v>274508.85550000001</v>
          </cell>
          <cell r="E26">
            <v>277513.01990000001</v>
          </cell>
          <cell r="F26">
            <v>280819.79139999999</v>
          </cell>
          <cell r="G26">
            <v>284373.02039999998</v>
          </cell>
          <cell r="H26">
            <v>288033.78889999999</v>
          </cell>
          <cell r="I26">
            <v>291800.3247</v>
          </cell>
          <cell r="J26">
            <v>295676.71679999999</v>
          </cell>
          <cell r="K26">
            <v>299667.24359999999</v>
          </cell>
          <cell r="L26">
            <v>303821.8493</v>
          </cell>
          <cell r="M26">
            <v>308175.13559999998</v>
          </cell>
          <cell r="N26">
            <v>312706.23249999998</v>
          </cell>
          <cell r="O26">
            <v>317398.1287</v>
          </cell>
          <cell r="P26">
            <v>322241.4339</v>
          </cell>
          <cell r="Q26">
            <v>327232.15299999999</v>
          </cell>
          <cell r="R26">
            <v>332362.20539999998</v>
          </cell>
          <cell r="S26">
            <v>337632.42940000002</v>
          </cell>
          <cell r="T26">
            <v>343043.99280000001</v>
          </cell>
          <cell r="U26">
            <v>348597.6349</v>
          </cell>
          <cell r="V26">
            <v>354163.63520000002</v>
          </cell>
          <cell r="W26">
            <v>359893.74280000001</v>
          </cell>
          <cell r="X26">
            <v>365782.96759999997</v>
          </cell>
          <cell r="Y26">
            <v>371826.02840000001</v>
          </cell>
          <cell r="Z26">
            <v>378018.79440000001</v>
          </cell>
          <cell r="AA26">
            <v>383981.06280000001</v>
          </cell>
          <cell r="AB26">
            <v>389973.61009999999</v>
          </cell>
          <cell r="AC26">
            <v>396008.27399999998</v>
          </cell>
          <cell r="AD26">
            <v>402091.40149999998</v>
          </cell>
          <cell r="AE26">
            <v>408227.95409999997</v>
          </cell>
          <cell r="AF26">
            <v>414421.5735</v>
          </cell>
          <cell r="AG26">
            <v>420676.52299999999</v>
          </cell>
          <cell r="AH26">
            <v>426993.03730000003</v>
          </cell>
          <cell r="AI26">
            <v>433369.70740000001</v>
          </cell>
          <cell r="AJ26">
            <v>439803.92330000002</v>
          </cell>
          <cell r="AK26">
            <v>446292.31510000001</v>
          </cell>
          <cell r="AL26">
            <v>452760.31719999999</v>
          </cell>
          <cell r="AM26">
            <v>459216.13959999999</v>
          </cell>
          <cell r="AN26">
            <v>465664.44589999999</v>
          </cell>
          <cell r="AO26">
            <v>472107.7648</v>
          </cell>
          <cell r="AP26">
            <v>478548.02260000003</v>
          </cell>
          <cell r="AQ26">
            <v>484990.77630000003</v>
          </cell>
          <cell r="AR26">
            <v>491437.72720000002</v>
          </cell>
          <cell r="AS26">
            <v>497890.19059999997</v>
          </cell>
          <cell r="AT26">
            <v>504349.22989999998</v>
          </cell>
          <cell r="AU26">
            <v>510815.74459999998</v>
          </cell>
          <cell r="AV26">
            <v>517311.95500000002</v>
          </cell>
          <cell r="AW26">
            <v>523836.4314</v>
          </cell>
          <cell r="AX26">
            <v>530387.03709999996</v>
          </cell>
          <cell r="AY26">
            <v>536962.10389999999</v>
          </cell>
          <cell r="AZ26">
            <v>543560.90410000004</v>
          </cell>
          <cell r="BA26">
            <v>696884.66639999999</v>
          </cell>
          <cell r="BB26">
            <v>709947.75120000006</v>
          </cell>
          <cell r="BC26">
            <v>723115.34360000002</v>
          </cell>
          <cell r="BD26">
            <v>736382.24600000004</v>
          </cell>
          <cell r="BE26">
            <v>749743.90249999997</v>
          </cell>
        </row>
        <row r="27">
          <cell r="B27">
            <v>271361.6054</v>
          </cell>
          <cell r="C27">
            <v>274962.2758</v>
          </cell>
          <cell r="D27">
            <v>278828.4374</v>
          </cell>
          <cell r="E27">
            <v>282962.74920000002</v>
          </cell>
          <cell r="F27">
            <v>287353.39520000003</v>
          </cell>
          <cell r="G27">
            <v>291984.18800000002</v>
          </cell>
          <cell r="H27">
            <v>296738.6789</v>
          </cell>
          <cell r="I27">
            <v>301625.3247</v>
          </cell>
          <cell r="J27">
            <v>306653.13199999998</v>
          </cell>
          <cell r="K27">
            <v>311829.37219999998</v>
          </cell>
          <cell r="L27">
            <v>317340.60080000001</v>
          </cell>
          <cell r="M27">
            <v>322978.59989999997</v>
          </cell>
          <cell r="N27">
            <v>328750.38709999999</v>
          </cell>
          <cell r="O27">
            <v>334661.81510000001</v>
          </cell>
          <cell r="P27">
            <v>340715.97259999998</v>
          </cell>
          <cell r="Q27">
            <v>346914.46480000002</v>
          </cell>
          <cell r="R27">
            <v>353258.26</v>
          </cell>
          <cell r="S27">
            <v>359748.03450000001</v>
          </cell>
          <cell r="T27">
            <v>366384.20110000001</v>
          </cell>
          <cell r="U27">
            <v>373166.80440000002</v>
          </cell>
          <cell r="V27">
            <v>379958.37400000001</v>
          </cell>
          <cell r="W27">
            <v>386916.3602</v>
          </cell>
          <cell r="X27">
            <v>394035.67930000002</v>
          </cell>
          <cell r="Y27">
            <v>401310.39569999999</v>
          </cell>
          <cell r="Z27">
            <v>408735.31199999998</v>
          </cell>
          <cell r="AA27">
            <v>415905.05349999998</v>
          </cell>
          <cell r="AB27">
            <v>423085.16399999999</v>
          </cell>
          <cell r="AC27">
            <v>430286.96549999999</v>
          </cell>
          <cell r="AD27">
            <v>437516.31660000002</v>
          </cell>
          <cell r="AE27">
            <v>444777.72619999998</v>
          </cell>
          <cell r="AF27">
            <v>452074.26919999998</v>
          </cell>
          <cell r="AG27">
            <v>459407.30670000002</v>
          </cell>
          <cell r="AH27">
            <v>466776.43890000001</v>
          </cell>
          <cell r="AI27">
            <v>474179.728</v>
          </cell>
          <cell r="AJ27">
            <v>481614.09769999998</v>
          </cell>
          <cell r="AK27">
            <v>489075.79619999998</v>
          </cell>
          <cell r="AL27">
            <v>496462.12060000002</v>
          </cell>
          <cell r="AM27">
            <v>503782.7145</v>
          </cell>
          <cell r="AN27">
            <v>511045.86040000001</v>
          </cell>
          <cell r="AO27">
            <v>518258.12199999997</v>
          </cell>
          <cell r="AP27">
            <v>525425.16540000006</v>
          </cell>
          <cell r="AQ27">
            <v>532552.15760000004</v>
          </cell>
          <cell r="AR27">
            <v>539643.88320000004</v>
          </cell>
          <cell r="AS27">
            <v>546704.76870000002</v>
          </cell>
          <cell r="AT27">
            <v>553738.92850000004</v>
          </cell>
          <cell r="AU27">
            <v>560750.27220000001</v>
          </cell>
          <cell r="AV27">
            <v>567751.66130000004</v>
          </cell>
          <cell r="AW27">
            <v>574745.79299999995</v>
          </cell>
          <cell r="AX27">
            <v>581735.78150000004</v>
          </cell>
          <cell r="AY27">
            <v>588725.14469999995</v>
          </cell>
          <cell r="AZ27">
            <v>595717.95730000001</v>
          </cell>
          <cell r="BA27">
            <v>696433.33770000003</v>
          </cell>
          <cell r="BB27">
            <v>709265.26879999996</v>
          </cell>
          <cell r="BC27">
            <v>722177.89289999998</v>
          </cell>
          <cell r="BD27">
            <v>735166.22560000001</v>
          </cell>
          <cell r="BE27">
            <v>748226.09380000003</v>
          </cell>
        </row>
        <row r="28">
          <cell r="B28">
            <v>6696.0620040000003</v>
          </cell>
          <cell r="C28">
            <v>6741.171139</v>
          </cell>
          <cell r="D28">
            <v>6798.239313</v>
          </cell>
          <cell r="E28">
            <v>6863.882552</v>
          </cell>
          <cell r="F28">
            <v>6937.1704490000002</v>
          </cell>
          <cell r="G28">
            <v>7017.0854509999999</v>
          </cell>
          <cell r="H28">
            <v>7098.4394599999996</v>
          </cell>
          <cell r="I28">
            <v>7182.9497940000001</v>
          </cell>
          <cell r="J28">
            <v>7270.1905699999998</v>
          </cell>
          <cell r="K28">
            <v>7359.6394140000002</v>
          </cell>
          <cell r="L28">
            <v>7449.2720099999997</v>
          </cell>
          <cell r="M28">
            <v>7547.7318690000002</v>
          </cell>
          <cell r="N28">
            <v>7648.2991609999999</v>
          </cell>
          <cell r="O28">
            <v>7750.2356579999996</v>
          </cell>
          <cell r="P28">
            <v>7853.1853449999999</v>
          </cell>
          <cell r="Q28">
            <v>7956.933293</v>
          </cell>
          <cell r="R28">
            <v>8060.9248660000003</v>
          </cell>
          <cell r="S28">
            <v>8165.3932450000002</v>
          </cell>
          <cell r="T28">
            <v>8270.3397029999996</v>
          </cell>
          <cell r="U28">
            <v>8375.7866049999993</v>
          </cell>
          <cell r="V28">
            <v>8476.7493790000008</v>
          </cell>
          <cell r="W28">
            <v>8581.6594249999998</v>
          </cell>
          <cell r="X28">
            <v>8687.8626920000006</v>
          </cell>
          <cell r="Y28">
            <v>8795.2150010000005</v>
          </cell>
          <cell r="Z28">
            <v>8903.7391389999993</v>
          </cell>
          <cell r="AA28">
            <v>8999.0830580000002</v>
          </cell>
          <cell r="AB28">
            <v>9098.6041729999997</v>
          </cell>
          <cell r="AC28">
            <v>9198.7954570000002</v>
          </cell>
          <cell r="AD28">
            <v>9299.7789749999993</v>
          </cell>
          <cell r="AE28">
            <v>9401.8228990000007</v>
          </cell>
          <cell r="AF28">
            <v>9505.1678439999996</v>
          </cell>
          <cell r="AG28">
            <v>9610.1177360000001</v>
          </cell>
          <cell r="AH28">
            <v>9716.6993440000006</v>
          </cell>
          <cell r="AI28">
            <v>9824.9701320000004</v>
          </cell>
          <cell r="AJ28">
            <v>9934.9544380000007</v>
          </cell>
          <cell r="AK28">
            <v>10046.65273</v>
          </cell>
          <cell r="AL28">
            <v>10157.809509999999</v>
          </cell>
          <cell r="AM28">
            <v>10269.75253</v>
          </cell>
          <cell r="AN28">
            <v>10382.742050000001</v>
          </cell>
          <cell r="AO28">
            <v>10496.920840000001</v>
          </cell>
          <cell r="AP28">
            <v>10612.398440000001</v>
          </cell>
          <cell r="AQ28">
            <v>10729.465889999999</v>
          </cell>
          <cell r="AR28">
            <v>10848.04385</v>
          </cell>
          <cell r="AS28">
            <v>10968.160159999999</v>
          </cell>
          <cell r="AT28">
            <v>11089.82922</v>
          </cell>
          <cell r="AU28">
            <v>11213.052009999999</v>
          </cell>
          <cell r="AV28">
            <v>11338.85058</v>
          </cell>
          <cell r="AW28">
            <v>11466.48357</v>
          </cell>
          <cell r="AX28">
            <v>11595.83698</v>
          </cell>
          <cell r="AY28">
            <v>11726.83885</v>
          </cell>
          <cell r="AZ28">
            <v>11859.43757</v>
          </cell>
          <cell r="BA28">
            <v>13889.72669</v>
          </cell>
          <cell r="BB28">
            <v>14101.70952</v>
          </cell>
          <cell r="BC28">
            <v>14317.214830000001</v>
          </cell>
          <cell r="BD28">
            <v>14536.30652</v>
          </cell>
          <cell r="BE28">
            <v>14759.04989</v>
          </cell>
        </row>
        <row r="29">
          <cell r="B29">
            <v>6796.2633029999997</v>
          </cell>
          <cell r="C29">
            <v>6871.5918590000001</v>
          </cell>
          <cell r="D29">
            <v>6952.4412899999998</v>
          </cell>
          <cell r="E29">
            <v>7038.8415429999995</v>
          </cell>
          <cell r="F29">
            <v>7130.7826859999996</v>
          </cell>
          <cell r="G29">
            <v>7227.7094870000001</v>
          </cell>
          <cell r="H29">
            <v>7324.847401</v>
          </cell>
          <cell r="I29">
            <v>7424.2270259999996</v>
          </cell>
          <cell r="J29">
            <v>7525.7502770000001</v>
          </cell>
          <cell r="K29">
            <v>7629.1993769999999</v>
          </cell>
          <cell r="L29">
            <v>7741.5250239999996</v>
          </cell>
          <cell r="M29">
            <v>7850.6579339999998</v>
          </cell>
          <cell r="N29">
            <v>7960.3621649999995</v>
          </cell>
          <cell r="O29">
            <v>8070.8638650000003</v>
          </cell>
          <cell r="P29">
            <v>8182.201274</v>
          </cell>
          <cell r="Q29">
            <v>8294.4116520000007</v>
          </cell>
          <cell r="R29">
            <v>8407.5605880000003</v>
          </cell>
          <cell r="S29">
            <v>8521.7375900000006</v>
          </cell>
          <cell r="T29">
            <v>8637.046069</v>
          </cell>
          <cell r="U29">
            <v>8753.5945859999993</v>
          </cell>
          <cell r="V29">
            <v>8866.1969389999995</v>
          </cell>
          <cell r="W29">
            <v>8983.7497249999997</v>
          </cell>
          <cell r="X29">
            <v>9103.4561809999996</v>
          </cell>
          <cell r="Y29">
            <v>9225.1620160000002</v>
          </cell>
          <cell r="Z29">
            <v>9348.8693669999993</v>
          </cell>
          <cell r="AA29">
            <v>9459.3364729999994</v>
          </cell>
          <cell r="AB29">
            <v>9574.690106</v>
          </cell>
          <cell r="AC29">
            <v>9691.2905520000004</v>
          </cell>
          <cell r="AD29">
            <v>9809.2419680000003</v>
          </cell>
          <cell r="AE29">
            <v>9928.7966959999994</v>
          </cell>
          <cell r="AF29">
            <v>10050.177</v>
          </cell>
          <cell r="AG29">
            <v>10173.54141</v>
          </cell>
          <cell r="AH29">
            <v>10298.98698</v>
          </cell>
          <cell r="AI29">
            <v>10426.56148</v>
          </cell>
          <cell r="AJ29">
            <v>10556.277389999999</v>
          </cell>
          <cell r="AK29">
            <v>10688.12473</v>
          </cell>
          <cell r="AL29">
            <v>10818.39265</v>
          </cell>
          <cell r="AM29">
            <v>10949.46027</v>
          </cell>
          <cell r="AN29">
            <v>11081.70709</v>
          </cell>
          <cell r="AO29">
            <v>11215.34967</v>
          </cell>
          <cell r="AP29">
            <v>11350.555630000001</v>
          </cell>
          <cell r="AQ29">
            <v>11487.46148</v>
          </cell>
          <cell r="AR29">
            <v>11626.1739</v>
          </cell>
          <cell r="AS29">
            <v>11766.7708</v>
          </cell>
          <cell r="AT29">
            <v>11909.304910000001</v>
          </cell>
          <cell r="AU29">
            <v>12053.809139999999</v>
          </cell>
          <cell r="AV29">
            <v>12200.637720000001</v>
          </cell>
          <cell r="AW29">
            <v>12349.58569</v>
          </cell>
          <cell r="AX29">
            <v>12500.625019999999</v>
          </cell>
          <cell r="AY29">
            <v>12653.73287</v>
          </cell>
          <cell r="AZ29">
            <v>12808.89099</v>
          </cell>
          <cell r="BA29">
            <v>13924.567080000001</v>
          </cell>
          <cell r="BB29">
            <v>14138.27967</v>
          </cell>
          <cell r="BC29">
            <v>14355.5419</v>
          </cell>
          <cell r="BD29">
            <v>14576.423720000001</v>
          </cell>
          <cell r="BE29">
            <v>14800.996429999999</v>
          </cell>
        </row>
        <row r="30">
          <cell r="B30">
            <v>77034.137480000005</v>
          </cell>
          <cell r="C30">
            <v>77553.090760000006</v>
          </cell>
          <cell r="D30">
            <v>78209.625539999994</v>
          </cell>
          <cell r="E30">
            <v>78964.811230000007</v>
          </cell>
          <cell r="F30">
            <v>79807.944109999997</v>
          </cell>
          <cell r="G30">
            <v>80727.317790000001</v>
          </cell>
          <cell r="H30">
            <v>81663.246400000004</v>
          </cell>
          <cell r="I30">
            <v>82635.48659</v>
          </cell>
          <cell r="J30">
            <v>83639.138879999999</v>
          </cell>
          <cell r="K30">
            <v>84668.193650000001</v>
          </cell>
          <cell r="L30">
            <v>85699.362380000006</v>
          </cell>
          <cell r="M30">
            <v>86832.083410000007</v>
          </cell>
          <cell r="N30">
            <v>87989.049199999994</v>
          </cell>
          <cell r="O30">
            <v>89161.76685</v>
          </cell>
          <cell r="P30">
            <v>90346.140639999998</v>
          </cell>
          <cell r="Q30">
            <v>91539.697939999998</v>
          </cell>
          <cell r="R30">
            <v>92736.058000000005</v>
          </cell>
          <cell r="S30">
            <v>93937.903420000002</v>
          </cell>
          <cell r="T30">
            <v>95145.248860000007</v>
          </cell>
          <cell r="U30">
            <v>96358.351590000006</v>
          </cell>
          <cell r="V30">
            <v>97519.867150000005</v>
          </cell>
          <cell r="W30">
            <v>98726.793680000002</v>
          </cell>
          <cell r="X30">
            <v>99948.597940000007</v>
          </cell>
          <cell r="Y30">
            <v>101183.62119999999</v>
          </cell>
          <cell r="Z30">
            <v>102432.1257</v>
          </cell>
          <cell r="AA30">
            <v>103528.9997</v>
          </cell>
          <cell r="AB30">
            <v>104673.9299</v>
          </cell>
          <cell r="AC30">
            <v>105826.5699</v>
          </cell>
          <cell r="AD30">
            <v>106988.3241</v>
          </cell>
          <cell r="AE30">
            <v>108162.27770000001</v>
          </cell>
          <cell r="AF30">
            <v>109351.19869999999</v>
          </cell>
          <cell r="AG30">
            <v>110558.5836</v>
          </cell>
          <cell r="AH30">
            <v>111784.7405</v>
          </cell>
          <cell r="AI30">
            <v>113030.3303</v>
          </cell>
          <cell r="AJ30">
            <v>114295.63310000001</v>
          </cell>
          <cell r="AK30">
            <v>115580.65429999999</v>
          </cell>
          <cell r="AL30">
            <v>116859.4457</v>
          </cell>
          <cell r="AM30">
            <v>118147.2824</v>
          </cell>
          <cell r="AN30">
            <v>119447.1584</v>
          </cell>
          <cell r="AO30">
            <v>120760.7162</v>
          </cell>
          <cell r="AP30">
            <v>122089.216</v>
          </cell>
          <cell r="AQ30">
            <v>123436.0061</v>
          </cell>
          <cell r="AR30">
            <v>124800.1737</v>
          </cell>
          <cell r="AS30">
            <v>126182.0392</v>
          </cell>
          <cell r="AT30">
            <v>127581.76790000001</v>
          </cell>
          <cell r="AU30">
            <v>128999.37149999999</v>
          </cell>
          <cell r="AV30">
            <v>130446.6078</v>
          </cell>
          <cell r="AW30">
            <v>131914.94810000001</v>
          </cell>
          <cell r="AX30">
            <v>133403.08069999999</v>
          </cell>
          <cell r="AY30">
            <v>134910.17790000001</v>
          </cell>
          <cell r="AZ30">
            <v>136435.6458</v>
          </cell>
          <cell r="BA30">
            <v>159792.89240000001</v>
          </cell>
          <cell r="BB30">
            <v>162231.62650000001</v>
          </cell>
          <cell r="BC30">
            <v>164710.88459999999</v>
          </cell>
          <cell r="BD30">
            <v>167231.40169999999</v>
          </cell>
          <cell r="BE30">
            <v>169793.92929999999</v>
          </cell>
        </row>
        <row r="31">
          <cell r="B31">
            <v>78186.892730000007</v>
          </cell>
          <cell r="C31">
            <v>79053.502139999997</v>
          </cell>
          <cell r="D31">
            <v>79983.625870000003</v>
          </cell>
          <cell r="E31">
            <v>80977.60845</v>
          </cell>
          <cell r="F31">
            <v>82035.335609999995</v>
          </cell>
          <cell r="G31">
            <v>83150.419750000001</v>
          </cell>
          <cell r="H31">
            <v>84267.932620000007</v>
          </cell>
          <cell r="I31">
            <v>85411.235010000004</v>
          </cell>
          <cell r="J31">
            <v>86579.198510000002</v>
          </cell>
          <cell r="K31">
            <v>87769.317739999999</v>
          </cell>
          <cell r="L31">
            <v>89061.556280000004</v>
          </cell>
          <cell r="M31">
            <v>90317.064299999998</v>
          </cell>
          <cell r="N31">
            <v>91579.145040000003</v>
          </cell>
          <cell r="O31">
            <v>92850.400160000005</v>
          </cell>
          <cell r="P31">
            <v>94131.269610000003</v>
          </cell>
          <cell r="Q31">
            <v>95422.182050000003</v>
          </cell>
          <cell r="R31">
            <v>96723.892019999999</v>
          </cell>
          <cell r="S31">
            <v>98037.429269999993</v>
          </cell>
          <cell r="T31">
            <v>99363.983479999995</v>
          </cell>
          <cell r="U31">
            <v>100704.8036</v>
          </cell>
          <cell r="V31">
            <v>102000.2254</v>
          </cell>
          <cell r="W31">
            <v>103352.599</v>
          </cell>
          <cell r="X31">
            <v>104729.7493</v>
          </cell>
          <cell r="Y31">
            <v>106129.90119999999</v>
          </cell>
          <cell r="Z31">
            <v>107553.0794</v>
          </cell>
          <cell r="AA31">
            <v>108823.9365</v>
          </cell>
          <cell r="AB31">
            <v>110151.0102</v>
          </cell>
          <cell r="AC31">
            <v>111492.4277</v>
          </cell>
          <cell r="AD31">
            <v>112849.3873</v>
          </cell>
          <cell r="AE31">
            <v>114224.792</v>
          </cell>
          <cell r="AF31">
            <v>115621.1989</v>
          </cell>
          <cell r="AG31">
            <v>117040.4317</v>
          </cell>
          <cell r="AH31">
            <v>118483.607</v>
          </cell>
          <cell r="AI31">
            <v>119951.2743</v>
          </cell>
          <cell r="AJ31">
            <v>121443.57739999999</v>
          </cell>
          <cell r="AK31">
            <v>122960.4011</v>
          </cell>
          <cell r="AL31">
            <v>124459.0546</v>
          </cell>
          <cell r="AM31">
            <v>125966.90820000001</v>
          </cell>
          <cell r="AN31">
            <v>127488.32769999999</v>
          </cell>
          <cell r="AO31">
            <v>129025.80469999999</v>
          </cell>
          <cell r="AP31">
            <v>130581.2674</v>
          </cell>
          <cell r="AQ31">
            <v>132156.28630000001</v>
          </cell>
          <cell r="AR31">
            <v>133752.08859999999</v>
          </cell>
          <cell r="AS31">
            <v>135369.57079999999</v>
          </cell>
          <cell r="AT31">
            <v>137009.3394</v>
          </cell>
          <cell r="AU31">
            <v>138671.77299999999</v>
          </cell>
          <cell r="AV31">
            <v>140360.94690000001</v>
          </cell>
          <cell r="AW31">
            <v>142074.5031</v>
          </cell>
          <cell r="AX31">
            <v>143812.11910000001</v>
          </cell>
          <cell r="AY31">
            <v>145573.53219999999</v>
          </cell>
          <cell r="AZ31">
            <v>147358.5324</v>
          </cell>
          <cell r="BA31">
            <v>160193.71</v>
          </cell>
          <cell r="BB31">
            <v>162652.34390000001</v>
          </cell>
          <cell r="BC31">
            <v>165151.8143</v>
          </cell>
          <cell r="BD31">
            <v>167692.9258</v>
          </cell>
          <cell r="BE31">
            <v>170276.4988</v>
          </cell>
        </row>
        <row r="32">
          <cell r="B32">
            <v>14747.1711</v>
          </cell>
          <cell r="C32">
            <v>14933.78433</v>
          </cell>
          <cell r="D32">
            <v>15147.32994</v>
          </cell>
          <cell r="E32">
            <v>15368.96112</v>
          </cell>
          <cell r="F32">
            <v>15594.84139</v>
          </cell>
          <cell r="G32">
            <v>15821.880569999999</v>
          </cell>
          <cell r="H32">
            <v>16031.67107</v>
          </cell>
          <cell r="I32">
            <v>16239.08034</v>
          </cell>
          <cell r="J32">
            <v>16443.55935</v>
          </cell>
          <cell r="K32">
            <v>16644.92441</v>
          </cell>
          <cell r="L32">
            <v>16807.656319999998</v>
          </cell>
          <cell r="M32">
            <v>17042.51699</v>
          </cell>
          <cell r="N32">
            <v>17274.950690000001</v>
          </cell>
          <cell r="O32">
            <v>17504.754199999999</v>
          </cell>
          <cell r="P32">
            <v>17732.099920000001</v>
          </cell>
          <cell r="Q32">
            <v>17957.41474</v>
          </cell>
          <cell r="R32">
            <v>18178.21067</v>
          </cell>
          <cell r="S32">
            <v>18398.144469999999</v>
          </cell>
          <cell r="T32">
            <v>18617.890350000001</v>
          </cell>
          <cell r="U32">
            <v>18838.10399</v>
          </cell>
          <cell r="V32">
            <v>19040.78213</v>
          </cell>
          <cell r="W32">
            <v>19264.132870000001</v>
          </cell>
          <cell r="X32">
            <v>19489.8223</v>
          </cell>
          <cell r="Y32">
            <v>19718.265019999999</v>
          </cell>
          <cell r="Z32">
            <v>19949.850740000002</v>
          </cell>
          <cell r="AA32">
            <v>20131.945179999999</v>
          </cell>
          <cell r="AB32">
            <v>20348.221399999999</v>
          </cell>
          <cell r="AC32">
            <v>20568.997619999998</v>
          </cell>
          <cell r="AD32">
            <v>20794.465059999999</v>
          </cell>
          <cell r="AE32">
            <v>21024.752779999999</v>
          </cell>
          <cell r="AF32">
            <v>21259.927830000001</v>
          </cell>
          <cell r="AG32">
            <v>21500.905490000001</v>
          </cell>
          <cell r="AH32">
            <v>21746.756280000001</v>
          </cell>
          <cell r="AI32">
            <v>21997.390189999998</v>
          </cell>
          <cell r="AJ32">
            <v>22252.683010000001</v>
          </cell>
          <cell r="AK32">
            <v>22512.487789999999</v>
          </cell>
          <cell r="AL32">
            <v>22772.716420000001</v>
          </cell>
          <cell r="AM32">
            <v>23037.333409999999</v>
          </cell>
          <cell r="AN32">
            <v>23306.2359</v>
          </cell>
          <cell r="AO32">
            <v>23579.282650000001</v>
          </cell>
          <cell r="AP32">
            <v>23856.325379999998</v>
          </cell>
          <cell r="AQ32">
            <v>24138.688870000002</v>
          </cell>
          <cell r="AR32">
            <v>24424.821889999999</v>
          </cell>
          <cell r="AS32">
            <v>24714.609240000002</v>
          </cell>
          <cell r="AT32">
            <v>25007.946349999998</v>
          </cell>
          <cell r="AU32">
            <v>25304.739860000001</v>
          </cell>
          <cell r="AV32">
            <v>25611.279009999998</v>
          </cell>
          <cell r="AW32">
            <v>25921.259290000002</v>
          </cell>
          <cell r="AX32">
            <v>26234.59503</v>
          </cell>
          <cell r="AY32">
            <v>26551.213080000001</v>
          </cell>
          <cell r="AZ32">
            <v>26871.06105</v>
          </cell>
          <cell r="BA32">
            <v>34739.093679999998</v>
          </cell>
          <cell r="BB32">
            <v>35350.257310000001</v>
          </cell>
          <cell r="BC32">
            <v>35973.748610000002</v>
          </cell>
          <cell r="BD32">
            <v>36609.742610000001</v>
          </cell>
          <cell r="BE32">
            <v>37258.403209999997</v>
          </cell>
        </row>
        <row r="33">
          <cell r="B33">
            <v>15488.613649999999</v>
          </cell>
          <cell r="C33">
            <v>15731.88845</v>
          </cell>
          <cell r="D33">
            <v>15998.2899</v>
          </cell>
          <cell r="E33">
            <v>16271.259609999999</v>
          </cell>
          <cell r="F33">
            <v>16549.12199</v>
          </cell>
          <cell r="G33">
            <v>16830.225600000002</v>
          </cell>
          <cell r="H33">
            <v>17097.328450000001</v>
          </cell>
          <cell r="I33">
            <v>17365.453590000001</v>
          </cell>
          <cell r="J33">
            <v>17634.34851</v>
          </cell>
          <cell r="K33">
            <v>17904.02865</v>
          </cell>
          <cell r="L33">
            <v>18202.513050000001</v>
          </cell>
          <cell r="M33">
            <v>18474.2232</v>
          </cell>
          <cell r="N33">
            <v>18747.39474</v>
          </cell>
          <cell r="O33">
            <v>19022.533599999999</v>
          </cell>
          <cell r="P33">
            <v>19300.129730000001</v>
          </cell>
          <cell r="Q33">
            <v>19580.66705</v>
          </cell>
          <cell r="R33">
            <v>19864.623660000001</v>
          </cell>
          <cell r="S33">
            <v>20152.467209999999</v>
          </cell>
          <cell r="T33">
            <v>20444.64731</v>
          </cell>
          <cell r="U33">
            <v>20741.58755</v>
          </cell>
          <cell r="V33">
            <v>21023.1021</v>
          </cell>
          <cell r="W33">
            <v>21330.880270000001</v>
          </cell>
          <cell r="X33">
            <v>21644.625980000001</v>
          </cell>
          <cell r="Y33">
            <v>21964.545819999999</v>
          </cell>
          <cell r="Z33">
            <v>22290.83294</v>
          </cell>
          <cell r="AA33">
            <v>22564.226009999998</v>
          </cell>
          <cell r="AB33">
            <v>22875.979670000001</v>
          </cell>
          <cell r="AC33">
            <v>23194.78427</v>
          </cell>
          <cell r="AD33">
            <v>23520.729749999999</v>
          </cell>
          <cell r="AE33">
            <v>23853.868780000001</v>
          </cell>
          <cell r="AF33">
            <v>24194.210790000001</v>
          </cell>
          <cell r="AG33">
            <v>24541.72221</v>
          </cell>
          <cell r="AH33">
            <v>24896.330620000001</v>
          </cell>
          <cell r="AI33">
            <v>25257.932629999999</v>
          </cell>
          <cell r="AJ33">
            <v>25626.40394</v>
          </cell>
          <cell r="AK33">
            <v>26001.610199999999</v>
          </cell>
          <cell r="AL33">
            <v>26368.931560000001</v>
          </cell>
          <cell r="AM33">
            <v>26742.646649999999</v>
          </cell>
          <cell r="AN33">
            <v>27122.745019999998</v>
          </cell>
          <cell r="AO33">
            <v>27509.187450000001</v>
          </cell>
          <cell r="AP33">
            <v>27901.924370000001</v>
          </cell>
          <cell r="AQ33">
            <v>28300.902750000001</v>
          </cell>
          <cell r="AR33">
            <v>28706.068370000001</v>
          </cell>
          <cell r="AS33">
            <v>29117.366440000002</v>
          </cell>
          <cell r="AT33">
            <v>29534.742470000001</v>
          </cell>
          <cell r="AU33">
            <v>29958.143840000001</v>
          </cell>
          <cell r="AV33">
            <v>30388.84634</v>
          </cell>
          <cell r="AW33">
            <v>30825.490430000002</v>
          </cell>
          <cell r="AX33">
            <v>31268.032329999998</v>
          </cell>
          <cell r="AY33">
            <v>31716.441900000002</v>
          </cell>
          <cell r="AZ33">
            <v>32170.704040000001</v>
          </cell>
          <cell r="BA33">
            <v>34943.773430000001</v>
          </cell>
          <cell r="BB33">
            <v>35566.895409999997</v>
          </cell>
          <cell r="BC33">
            <v>36202.660819999997</v>
          </cell>
          <cell r="BD33">
            <v>36851.256710000001</v>
          </cell>
          <cell r="BE33">
            <v>37512.862710000001</v>
          </cell>
        </row>
        <row r="34">
          <cell r="B34">
            <v>20150.133440000001</v>
          </cell>
          <cell r="C34">
            <v>20368.40508</v>
          </cell>
          <cell r="D34">
            <v>20627.840850000001</v>
          </cell>
          <cell r="E34">
            <v>20912.004219999999</v>
          </cell>
          <cell r="F34">
            <v>21218.73288</v>
          </cell>
          <cell r="G34">
            <v>21546.35497</v>
          </cell>
          <cell r="H34">
            <v>21874.61147</v>
          </cell>
          <cell r="I34">
            <v>22214.014019999999</v>
          </cell>
          <cell r="J34">
            <v>22563.300950000001</v>
          </cell>
          <cell r="K34">
            <v>22920.834030000002</v>
          </cell>
          <cell r="L34">
            <v>23266.637360000001</v>
          </cell>
          <cell r="M34">
            <v>23669.967560000001</v>
          </cell>
          <cell r="N34">
            <v>24080.594290000001</v>
          </cell>
          <cell r="O34">
            <v>24497.182690000001</v>
          </cell>
          <cell r="P34">
            <v>24918.881959999999</v>
          </cell>
          <cell r="Q34">
            <v>25345.071329999999</v>
          </cell>
          <cell r="R34">
            <v>25772.845809999999</v>
          </cell>
          <cell r="S34">
            <v>26203.980250000001</v>
          </cell>
          <cell r="T34">
            <v>26638.399170000001</v>
          </cell>
          <cell r="U34">
            <v>27076.145810000002</v>
          </cell>
          <cell r="V34">
            <v>27494.846300000001</v>
          </cell>
          <cell r="W34">
            <v>27932.92121</v>
          </cell>
          <cell r="X34">
            <v>28376.975829999999</v>
          </cell>
          <cell r="Y34">
            <v>28826.952649999999</v>
          </cell>
          <cell r="Z34">
            <v>29283.08237</v>
          </cell>
          <cell r="AA34">
            <v>29680.397410000001</v>
          </cell>
          <cell r="AB34">
            <v>30099.317889999998</v>
          </cell>
          <cell r="AC34">
            <v>30520.660759999999</v>
          </cell>
          <cell r="AD34">
            <v>30945.80024</v>
          </cell>
          <cell r="AE34">
            <v>31376.226610000002</v>
          </cell>
          <cell r="AF34">
            <v>31813.188129999999</v>
          </cell>
          <cell r="AG34">
            <v>32258.360379999998</v>
          </cell>
          <cell r="AH34">
            <v>32711.780159999998</v>
          </cell>
          <cell r="AI34">
            <v>33173.833659999997</v>
          </cell>
          <cell r="AJ34">
            <v>33644.738290000001</v>
          </cell>
          <cell r="AK34">
            <v>34124.597730000001</v>
          </cell>
          <cell r="AL34">
            <v>34604.647129999998</v>
          </cell>
          <cell r="AM34">
            <v>35089.496679999997</v>
          </cell>
          <cell r="AN34">
            <v>35580.189469999998</v>
          </cell>
          <cell r="AO34">
            <v>36077.502050000003</v>
          </cell>
          <cell r="AP34">
            <v>36582.111559999998</v>
          </cell>
          <cell r="AQ34">
            <v>37095.799290000003</v>
          </cell>
          <cell r="AR34">
            <v>37618.041019999997</v>
          </cell>
          <cell r="AS34">
            <v>38149.122239999997</v>
          </cell>
          <cell r="AT34">
            <v>38689.221270000002</v>
          </cell>
          <cell r="AU34">
            <v>39238.433129999998</v>
          </cell>
          <cell r="AV34">
            <v>39802.568890000002</v>
          </cell>
          <cell r="AW34">
            <v>40377.169450000001</v>
          </cell>
          <cell r="AX34">
            <v>40961.93073</v>
          </cell>
          <cell r="AY34">
            <v>41556.613319999997</v>
          </cell>
          <cell r="AZ34">
            <v>42161.040829999998</v>
          </cell>
          <cell r="BA34">
            <v>52337.766199999998</v>
          </cell>
          <cell r="BB34">
            <v>53349.739670000003</v>
          </cell>
          <cell r="BC34">
            <v>54382.347670000003</v>
          </cell>
          <cell r="BD34">
            <v>55436.091399999998</v>
          </cell>
          <cell r="BE34">
            <v>56511.49512</v>
          </cell>
        </row>
        <row r="35">
          <cell r="B35">
            <v>20693.635730000002</v>
          </cell>
          <cell r="C35">
            <v>21015.807949999999</v>
          </cell>
          <cell r="D35">
            <v>21379.066360000001</v>
          </cell>
          <cell r="E35">
            <v>21763.414570000001</v>
          </cell>
          <cell r="F35">
            <v>22164.718440000001</v>
          </cell>
          <cell r="G35">
            <v>22581.112130000001</v>
          </cell>
          <cell r="H35">
            <v>22993.303800000002</v>
          </cell>
          <cell r="I35">
            <v>23412.814330000001</v>
          </cell>
          <cell r="J35">
            <v>23839.788270000001</v>
          </cell>
          <cell r="K35">
            <v>24273.981049999999</v>
          </cell>
          <cell r="L35">
            <v>24746.95361</v>
          </cell>
          <cell r="M35">
            <v>25203.933239999998</v>
          </cell>
          <cell r="N35">
            <v>25664.738239999999</v>
          </cell>
          <cell r="O35">
            <v>26129.796630000001</v>
          </cell>
          <cell r="P35">
            <v>26599.301530000001</v>
          </cell>
          <cell r="Q35">
            <v>27073.54667</v>
          </cell>
          <cell r="R35">
            <v>27552.95463</v>
          </cell>
          <cell r="S35">
            <v>28038.036899999999</v>
          </cell>
          <cell r="T35">
            <v>28529.34765</v>
          </cell>
          <cell r="U35">
            <v>29027.448329999999</v>
          </cell>
          <cell r="V35">
            <v>29508.670569999998</v>
          </cell>
          <cell r="W35">
            <v>30014.553650000002</v>
          </cell>
          <cell r="X35">
            <v>30530.72335</v>
          </cell>
          <cell r="Y35">
            <v>31057.194520000001</v>
          </cell>
          <cell r="Z35">
            <v>31594.190780000001</v>
          </cell>
          <cell r="AA35">
            <v>32071.226129999999</v>
          </cell>
          <cell r="AB35">
            <v>32574.137869999999</v>
          </cell>
          <cell r="AC35">
            <v>33082.762119999999</v>
          </cell>
          <cell r="AD35">
            <v>33598.472390000003</v>
          </cell>
          <cell r="AE35">
            <v>34122.751579999996</v>
          </cell>
          <cell r="AF35">
            <v>34656.817569999999</v>
          </cell>
          <cell r="AG35">
            <v>35201.5579</v>
          </cell>
          <cell r="AH35">
            <v>35757.560859999998</v>
          </cell>
          <cell r="AI35">
            <v>36325.17841</v>
          </cell>
          <cell r="AJ35">
            <v>36904.594080000003</v>
          </cell>
          <cell r="AK35">
            <v>37495.883320000001</v>
          </cell>
          <cell r="AL35">
            <v>38081.56525</v>
          </cell>
          <cell r="AM35">
            <v>38673.282639999998</v>
          </cell>
          <cell r="AN35">
            <v>39272.387629999997</v>
          </cell>
          <cell r="AO35">
            <v>39879.942170000002</v>
          </cell>
          <cell r="AP35">
            <v>40496.882749999997</v>
          </cell>
          <cell r="AQ35">
            <v>41124.016060000002</v>
          </cell>
          <cell r="AR35">
            <v>41762.000639999998</v>
          </cell>
          <cell r="AS35">
            <v>42411.345589999997</v>
          </cell>
          <cell r="AT35">
            <v>43072.426270000004</v>
          </cell>
          <cell r="AU35">
            <v>43745.51079</v>
          </cell>
          <cell r="AV35">
            <v>44432.411410000001</v>
          </cell>
          <cell r="AW35">
            <v>45132.203860000001</v>
          </cell>
          <cell r="AX35">
            <v>45844.878089999998</v>
          </cell>
          <cell r="AY35">
            <v>46570.429170000003</v>
          </cell>
          <cell r="AZ35">
            <v>47308.862359999999</v>
          </cell>
          <cell r="BA35">
            <v>52479.261599999998</v>
          </cell>
          <cell r="BB35">
            <v>53498.937100000003</v>
          </cell>
          <cell r="BC35">
            <v>54539.476699999999</v>
          </cell>
          <cell r="BD35">
            <v>55601.42121</v>
          </cell>
          <cell r="BE35">
            <v>56685.3272</v>
          </cell>
        </row>
        <row r="36">
          <cell r="B36">
            <v>1991517.727</v>
          </cell>
          <cell r="C36">
            <v>2004902.524</v>
          </cell>
          <cell r="D36">
            <v>2023285.0290000001</v>
          </cell>
          <cell r="E36">
            <v>2045106.8470000001</v>
          </cell>
          <cell r="F36">
            <v>2069747.7139999999</v>
          </cell>
          <cell r="G36">
            <v>2096752.3289999999</v>
          </cell>
          <cell r="H36">
            <v>2124476.0440000002</v>
          </cell>
          <cell r="I36">
            <v>2153314.1690000002</v>
          </cell>
          <cell r="J36">
            <v>2183164.3679999998</v>
          </cell>
          <cell r="K36">
            <v>2213891.4389999998</v>
          </cell>
          <cell r="L36">
            <v>2245219.4440000001</v>
          </cell>
          <cell r="M36">
            <v>2279028.2889999999</v>
          </cell>
          <cell r="N36">
            <v>2313773.0040000002</v>
          </cell>
          <cell r="O36">
            <v>2349215.1140000001</v>
          </cell>
          <cell r="P36">
            <v>2385232.8769999999</v>
          </cell>
          <cell r="Q36">
            <v>2421748.0090000001</v>
          </cell>
          <cell r="R36">
            <v>2458590.236</v>
          </cell>
          <cell r="S36">
            <v>2495793.4810000001</v>
          </cell>
          <cell r="T36">
            <v>2533342.7590000001</v>
          </cell>
          <cell r="U36">
            <v>2571228.5639999998</v>
          </cell>
          <cell r="V36">
            <v>2607874.3080000002</v>
          </cell>
          <cell r="W36">
            <v>2645725.2000000002</v>
          </cell>
          <cell r="X36">
            <v>2684136.5180000002</v>
          </cell>
          <cell r="Y36">
            <v>2723052.0809999998</v>
          </cell>
          <cell r="Z36">
            <v>2762462.1469999999</v>
          </cell>
          <cell r="AA36">
            <v>2797839.1189999999</v>
          </cell>
          <cell r="AB36">
            <v>2834105.54</v>
          </cell>
          <cell r="AC36">
            <v>2870505.9959999998</v>
          </cell>
          <cell r="AD36">
            <v>2907114.3459999999</v>
          </cell>
          <cell r="AE36">
            <v>2944036.9180000001</v>
          </cell>
          <cell r="AF36">
            <v>2981366.1519999998</v>
          </cell>
          <cell r="AG36">
            <v>3019205.7969999998</v>
          </cell>
          <cell r="AH36">
            <v>3057580.8420000002</v>
          </cell>
          <cell r="AI36">
            <v>3096515.6490000002</v>
          </cell>
          <cell r="AJ36">
            <v>3136022.5120000001</v>
          </cell>
          <cell r="AK36">
            <v>3176105.608</v>
          </cell>
          <cell r="AL36">
            <v>3216010.0649999999</v>
          </cell>
          <cell r="AM36">
            <v>3256107.4019999998</v>
          </cell>
          <cell r="AN36">
            <v>3296497.4879999999</v>
          </cell>
          <cell r="AO36">
            <v>3337246.5460000001</v>
          </cell>
          <cell r="AP36">
            <v>3378410.0819999999</v>
          </cell>
          <cell r="AQ36">
            <v>3420092.05</v>
          </cell>
          <cell r="AR36">
            <v>3462296.054</v>
          </cell>
          <cell r="AS36">
            <v>3505043.844</v>
          </cell>
          <cell r="AT36">
            <v>3548349.986</v>
          </cell>
          <cell r="AU36">
            <v>3592222.6239999998</v>
          </cell>
          <cell r="AV36">
            <v>3636965.2519999999</v>
          </cell>
          <cell r="AW36">
            <v>3682401.514</v>
          </cell>
          <cell r="AX36">
            <v>3728494.0070000002</v>
          </cell>
          <cell r="AY36">
            <v>3775217.7880000002</v>
          </cell>
          <cell r="AZ36">
            <v>3822555.4840000002</v>
          </cell>
          <cell r="BA36">
            <v>4542533.9309999999</v>
          </cell>
          <cell r="BB36">
            <v>4617958.6519999998</v>
          </cell>
          <cell r="BC36">
            <v>4694587.21</v>
          </cell>
          <cell r="BD36">
            <v>4772441.5109999999</v>
          </cell>
          <cell r="BE36">
            <v>4851545.0520000001</v>
          </cell>
        </row>
        <row r="37">
          <cell r="B37">
            <v>2019902.0549999999</v>
          </cell>
          <cell r="C37">
            <v>2044810.273</v>
          </cell>
          <cell r="D37">
            <v>2072261.432</v>
          </cell>
          <cell r="E37">
            <v>2101936.699</v>
          </cell>
          <cell r="F37">
            <v>2133645.003</v>
          </cell>
          <cell r="G37">
            <v>2167136.821</v>
          </cell>
          <cell r="H37">
            <v>2200914.2039999999</v>
          </cell>
          <cell r="I37">
            <v>2235476.0180000002</v>
          </cell>
          <cell r="J37">
            <v>2270821.6359999999</v>
          </cell>
          <cell r="K37">
            <v>2306910.9730000002</v>
          </cell>
          <cell r="L37">
            <v>2345918.3730000001</v>
          </cell>
          <cell r="M37">
            <v>2384349.4640000002</v>
          </cell>
          <cell r="N37">
            <v>2423093.4649999999</v>
          </cell>
          <cell r="O37">
            <v>2462211.8119999999</v>
          </cell>
          <cell r="P37">
            <v>2501713.7250000001</v>
          </cell>
          <cell r="Q37">
            <v>2541607.892</v>
          </cell>
          <cell r="R37">
            <v>2581911.2349999999</v>
          </cell>
          <cell r="S37">
            <v>2622647.5890000002</v>
          </cell>
          <cell r="T37">
            <v>2663844.568</v>
          </cell>
          <cell r="U37">
            <v>2705530.8909999998</v>
          </cell>
          <cell r="V37">
            <v>2746079.9879999999</v>
          </cell>
          <cell r="W37">
            <v>2788080.2880000002</v>
          </cell>
          <cell r="X37">
            <v>2830867.5469999998</v>
          </cell>
          <cell r="Y37">
            <v>2874392.8229999999</v>
          </cell>
          <cell r="Z37">
            <v>2918649.0060000001</v>
          </cell>
          <cell r="AA37">
            <v>2958846.398</v>
          </cell>
          <cell r="AB37">
            <v>3000116.182</v>
          </cell>
          <cell r="AC37">
            <v>3041681.0529999998</v>
          </cell>
          <cell r="AD37">
            <v>3083618.0189999999</v>
          </cell>
          <cell r="AE37">
            <v>3126035.8739999998</v>
          </cell>
          <cell r="AF37">
            <v>3169026.909</v>
          </cell>
          <cell r="AG37">
            <v>3212657.7</v>
          </cell>
          <cell r="AH37">
            <v>3256970.8509999998</v>
          </cell>
          <cell r="AI37">
            <v>3301990.023</v>
          </cell>
          <cell r="AJ37">
            <v>3347725.5389999999</v>
          </cell>
          <cell r="AK37">
            <v>3394179.3769999999</v>
          </cell>
          <cell r="AL37">
            <v>3440186.3849999998</v>
          </cell>
          <cell r="AM37">
            <v>3486366.2570000002</v>
          </cell>
          <cell r="AN37">
            <v>3532862.784</v>
          </cell>
          <cell r="AO37">
            <v>3579772.0320000001</v>
          </cell>
          <cell r="AP37">
            <v>3627172.4789999998</v>
          </cell>
          <cell r="AQ37">
            <v>3675129.43</v>
          </cell>
          <cell r="AR37">
            <v>3723695.122</v>
          </cell>
          <cell r="AS37">
            <v>3772909.2140000002</v>
          </cell>
          <cell r="AT37">
            <v>3822800.36</v>
          </cell>
          <cell r="AU37">
            <v>3873388.62</v>
          </cell>
          <cell r="AV37">
            <v>3924794.49</v>
          </cell>
          <cell r="AW37">
            <v>3976973.645</v>
          </cell>
          <cell r="AX37">
            <v>4029921.969</v>
          </cell>
          <cell r="AY37">
            <v>4083632.6290000002</v>
          </cell>
          <cell r="AZ37">
            <v>4138100.2519999999</v>
          </cell>
          <cell r="BA37">
            <v>4550279.9239999996</v>
          </cell>
          <cell r="BB37">
            <v>4626018.0379999997</v>
          </cell>
          <cell r="BC37">
            <v>4702960.2850000001</v>
          </cell>
          <cell r="BD37">
            <v>4781131.4129999997</v>
          </cell>
          <cell r="BE37">
            <v>4860557.57</v>
          </cell>
        </row>
        <row r="38">
          <cell r="B38">
            <v>539513.72739999997</v>
          </cell>
          <cell r="C38">
            <v>546709.27560000005</v>
          </cell>
          <cell r="D38">
            <v>554718.67630000005</v>
          </cell>
          <cell r="E38">
            <v>563070.652</v>
          </cell>
          <cell r="F38">
            <v>571740.02280000004</v>
          </cell>
          <cell r="G38">
            <v>580701.24369999999</v>
          </cell>
          <cell r="H38">
            <v>589417.64569999999</v>
          </cell>
          <cell r="I38">
            <v>598324.8149</v>
          </cell>
          <cell r="J38">
            <v>607413.8763</v>
          </cell>
          <cell r="K38">
            <v>616674.35490000003</v>
          </cell>
          <cell r="L38">
            <v>626869.3578</v>
          </cell>
          <cell r="M38">
            <v>636553.96329999994</v>
          </cell>
          <cell r="N38">
            <v>646413.16960000002</v>
          </cell>
          <cell r="O38">
            <v>656437.45940000005</v>
          </cell>
          <cell r="P38">
            <v>666620.65379999997</v>
          </cell>
          <cell r="Q38">
            <v>676958.60939999996</v>
          </cell>
          <cell r="R38">
            <v>687442.82369999995</v>
          </cell>
          <cell r="S38">
            <v>698075.17980000004</v>
          </cell>
          <cell r="T38">
            <v>708856.04390000005</v>
          </cell>
          <cell r="U38">
            <v>719786.34710000001</v>
          </cell>
          <cell r="V38">
            <v>730206.45589999994</v>
          </cell>
          <cell r="W38">
            <v>741382.60290000006</v>
          </cell>
          <cell r="X38">
            <v>752728.6335</v>
          </cell>
          <cell r="Y38">
            <v>764242.17749999999</v>
          </cell>
          <cell r="Z38">
            <v>775925.00710000005</v>
          </cell>
          <cell r="AA38">
            <v>785865.30850000004</v>
          </cell>
          <cell r="AB38">
            <v>796818.99439999997</v>
          </cell>
          <cell r="AC38">
            <v>807899.3946</v>
          </cell>
          <cell r="AD38">
            <v>819112.25529999996</v>
          </cell>
          <cell r="AE38">
            <v>830467.70909999998</v>
          </cell>
          <cell r="AF38">
            <v>841974.95169999998</v>
          </cell>
          <cell r="AG38">
            <v>853643.06660000002</v>
          </cell>
          <cell r="AH38">
            <v>865476.55700000003</v>
          </cell>
          <cell r="AI38">
            <v>877479.20979999995</v>
          </cell>
          <cell r="AJ38">
            <v>889653.8798</v>
          </cell>
          <cell r="AK38">
            <v>902002.84750000003</v>
          </cell>
          <cell r="AL38">
            <v>914080.35660000006</v>
          </cell>
          <cell r="AM38">
            <v>926297.83160000003</v>
          </cell>
          <cell r="AN38">
            <v>938664.35510000004</v>
          </cell>
          <cell r="AO38">
            <v>951186.2929</v>
          </cell>
          <cell r="AP38">
            <v>963869.6189</v>
          </cell>
          <cell r="AQ38">
            <v>976722.85759999999</v>
          </cell>
          <cell r="AR38">
            <v>989749.41370000003</v>
          </cell>
          <cell r="AS38">
            <v>1002953.056</v>
          </cell>
          <cell r="AT38">
            <v>1016336.927</v>
          </cell>
          <cell r="AU38">
            <v>1029903.634</v>
          </cell>
          <cell r="AV38">
            <v>1043708.085</v>
          </cell>
          <cell r="AW38">
            <v>1057708.679</v>
          </cell>
          <cell r="AX38">
            <v>1071904.9939999999</v>
          </cell>
          <cell r="AY38">
            <v>1086297.4099999999</v>
          </cell>
          <cell r="AZ38">
            <v>1100886.7960000001</v>
          </cell>
          <cell r="BA38">
            <v>1233911.6610000001</v>
          </cell>
          <cell r="BB38">
            <v>1255059.872</v>
          </cell>
          <cell r="BC38">
            <v>1276567.656</v>
          </cell>
          <cell r="BD38">
            <v>1298441.4480000001</v>
          </cell>
          <cell r="BE38">
            <v>1320687.8959999999</v>
          </cell>
        </row>
        <row r="39">
          <cell r="B39">
            <v>540981.0466</v>
          </cell>
          <cell r="C39">
            <v>548901.48160000006</v>
          </cell>
          <cell r="D39">
            <v>557490.91910000006</v>
          </cell>
          <cell r="E39">
            <v>566341.16070000001</v>
          </cell>
          <cell r="F39">
            <v>575449.53639999998</v>
          </cell>
          <cell r="G39">
            <v>584803.37450000003</v>
          </cell>
          <cell r="H39">
            <v>593876.6446</v>
          </cell>
          <cell r="I39">
            <v>603113.36410000001</v>
          </cell>
          <cell r="J39">
            <v>612512.49659999995</v>
          </cell>
          <cell r="K39">
            <v>622070.52430000005</v>
          </cell>
          <cell r="L39">
            <v>632676.5527</v>
          </cell>
          <cell r="M39">
            <v>642625.07449999999</v>
          </cell>
          <cell r="N39">
            <v>652706.25899999996</v>
          </cell>
          <cell r="O39">
            <v>662926.51130000001</v>
          </cell>
          <cell r="P39">
            <v>673287.55870000005</v>
          </cell>
          <cell r="Q39">
            <v>683791.47730000003</v>
          </cell>
          <cell r="R39">
            <v>694441.23629999999</v>
          </cell>
          <cell r="S39">
            <v>705240.4325</v>
          </cell>
          <cell r="T39">
            <v>716192.95920000004</v>
          </cell>
          <cell r="U39">
            <v>727302.77060000005</v>
          </cell>
          <cell r="V39">
            <v>737908.52509999997</v>
          </cell>
          <cell r="W39">
            <v>749283.97779999999</v>
          </cell>
          <cell r="X39">
            <v>760842.83409999998</v>
          </cell>
          <cell r="Y39">
            <v>772583.45510000002</v>
          </cell>
          <cell r="Z39">
            <v>784507.98010000004</v>
          </cell>
          <cell r="AA39">
            <v>794691.5246</v>
          </cell>
          <cell r="AB39">
            <v>805899.22400000005</v>
          </cell>
          <cell r="AC39">
            <v>817243.67960000003</v>
          </cell>
          <cell r="AD39">
            <v>828730.90379999997</v>
          </cell>
          <cell r="AE39">
            <v>840371.23939999996</v>
          </cell>
          <cell r="AF39">
            <v>852173.88809999998</v>
          </cell>
          <cell r="AG39">
            <v>864145.96239999996</v>
          </cell>
          <cell r="AH39">
            <v>876292.62919999997</v>
          </cell>
          <cell r="AI39">
            <v>888617.5577</v>
          </cell>
          <cell r="AJ39">
            <v>901123.40469999996</v>
          </cell>
          <cell r="AK39">
            <v>913812.23199999996</v>
          </cell>
          <cell r="AL39">
            <v>926217.04139999999</v>
          </cell>
          <cell r="AM39">
            <v>938760.11250000005</v>
          </cell>
          <cell r="AN39">
            <v>951453.07880000002</v>
          </cell>
          <cell r="AO39">
            <v>964304.12639999995</v>
          </cell>
          <cell r="AP39">
            <v>977320.65460000001</v>
          </cell>
          <cell r="AQ39">
            <v>990509.36659999995</v>
          </cell>
          <cell r="AR39">
            <v>1003876.086</v>
          </cell>
          <cell r="AS39">
            <v>1017425.699</v>
          </cell>
          <cell r="AT39">
            <v>1031162.238</v>
          </cell>
          <cell r="AU39">
            <v>1045089.071</v>
          </cell>
          <cell r="AV39">
            <v>1059251.7309999999</v>
          </cell>
          <cell r="AW39">
            <v>1073614.7919999999</v>
          </cell>
          <cell r="AX39">
            <v>1088179.933</v>
          </cell>
          <cell r="AY39">
            <v>1102948.649</v>
          </cell>
          <cell r="AZ39">
            <v>1117922.5419999999</v>
          </cell>
          <cell r="BA39">
            <v>1234252.1529999999</v>
          </cell>
          <cell r="BB39">
            <v>1255414.557</v>
          </cell>
          <cell r="BC39">
            <v>1276936.693</v>
          </cell>
          <cell r="BD39">
            <v>1298825.179</v>
          </cell>
          <cell r="BE39">
            <v>1321086.8219999999</v>
          </cell>
        </row>
        <row r="40">
          <cell r="B40">
            <v>4138.9434520000004</v>
          </cell>
          <cell r="C40">
            <v>4159.1782640000001</v>
          </cell>
          <cell r="D40">
            <v>4193.6856260000004</v>
          </cell>
          <cell r="E40">
            <v>4236.5994280000004</v>
          </cell>
          <cell r="F40">
            <v>4285.9297820000002</v>
          </cell>
          <cell r="G40">
            <v>4340.2934400000004</v>
          </cell>
          <cell r="H40">
            <v>4395.8209859999997</v>
          </cell>
          <cell r="I40">
            <v>4453.3620650000003</v>
          </cell>
          <cell r="J40">
            <v>4512.5742730000002</v>
          </cell>
          <cell r="K40">
            <v>4573.0703759999997</v>
          </cell>
          <cell r="L40">
            <v>4631.8985240000002</v>
          </cell>
          <cell r="M40">
            <v>4698.843597</v>
          </cell>
          <cell r="N40">
            <v>4767.3980359999996</v>
          </cell>
          <cell r="O40">
            <v>4836.6944400000002</v>
          </cell>
          <cell r="P40">
            <v>4906.4457039999998</v>
          </cell>
          <cell r="Q40">
            <v>4976.5362610000002</v>
          </cell>
          <cell r="R40">
            <v>5046.5794210000004</v>
          </cell>
          <cell r="S40">
            <v>5116.8446530000001</v>
          </cell>
          <cell r="T40">
            <v>5187.4056659999997</v>
          </cell>
          <cell r="U40">
            <v>5258.3367109999999</v>
          </cell>
          <cell r="V40">
            <v>5326.4081580000002</v>
          </cell>
          <cell r="W40">
            <v>5397.1336199999996</v>
          </cell>
          <cell r="X40">
            <v>5468.9733580000002</v>
          </cell>
          <cell r="Y40">
            <v>5541.8065500000002</v>
          </cell>
          <cell r="Z40">
            <v>5615.6604980000002</v>
          </cell>
          <cell r="AA40">
            <v>5681.110694</v>
          </cell>
          <cell r="AB40">
            <v>5749.3675089999997</v>
          </cell>
          <cell r="AC40">
            <v>5818.4738230000003</v>
          </cell>
          <cell r="AD40">
            <v>5888.4427999999998</v>
          </cell>
          <cell r="AE40">
            <v>5959.4253369999997</v>
          </cell>
          <cell r="AF40">
            <v>6031.5640830000002</v>
          </cell>
          <cell r="AG40">
            <v>6105.0666920000003</v>
          </cell>
          <cell r="AH40">
            <v>6179.9192270000003</v>
          </cell>
          <cell r="AI40">
            <v>6256.1380049999998</v>
          </cell>
          <cell r="AJ40">
            <v>6333.7179619999997</v>
          </cell>
          <cell r="AK40">
            <v>6412.636794</v>
          </cell>
          <cell r="AL40">
            <v>6491.5915489999998</v>
          </cell>
          <cell r="AM40">
            <v>6571.2046680000003</v>
          </cell>
          <cell r="AN40">
            <v>6651.6416360000003</v>
          </cell>
          <cell r="AO40">
            <v>6732.9780339999998</v>
          </cell>
          <cell r="AP40">
            <v>6815.2615699999997</v>
          </cell>
          <cell r="AQ40">
            <v>6898.6954660000001</v>
          </cell>
          <cell r="AR40">
            <v>6983.1808069999997</v>
          </cell>
          <cell r="AS40">
            <v>7068.7127119999996</v>
          </cell>
          <cell r="AT40">
            <v>7155.284748</v>
          </cell>
          <cell r="AU40">
            <v>7242.8847150000001</v>
          </cell>
          <cell r="AV40">
            <v>7332.3041089999997</v>
          </cell>
          <cell r="AW40">
            <v>7422.9603589999997</v>
          </cell>
          <cell r="AX40">
            <v>7514.744737</v>
          </cell>
          <cell r="AY40">
            <v>7607.5965900000001</v>
          </cell>
          <cell r="AZ40">
            <v>7701.4739509999999</v>
          </cell>
          <cell r="BA40">
            <v>9299.3698519999998</v>
          </cell>
          <cell r="BB40">
            <v>9457.0824250000005</v>
          </cell>
          <cell r="BC40">
            <v>9617.4964099999997</v>
          </cell>
          <cell r="BD40">
            <v>9780.6466670000009</v>
          </cell>
          <cell r="BE40">
            <v>9946.5684729999994</v>
          </cell>
        </row>
        <row r="41">
          <cell r="B41">
            <v>4225.5978999999998</v>
          </cell>
          <cell r="C41">
            <v>4270.7791150000003</v>
          </cell>
          <cell r="D41">
            <v>4321.9936740000003</v>
          </cell>
          <cell r="E41">
            <v>4378.7258979999997</v>
          </cell>
          <cell r="F41">
            <v>4440.3850220000004</v>
          </cell>
          <cell r="G41">
            <v>4506.1954809999997</v>
          </cell>
          <cell r="H41">
            <v>4572.6726589999998</v>
          </cell>
          <cell r="I41">
            <v>4640.8869869999999</v>
          </cell>
          <cell r="J41">
            <v>4710.7004880000004</v>
          </cell>
          <cell r="K41">
            <v>4781.9116329999997</v>
          </cell>
          <cell r="L41">
            <v>4859.118152</v>
          </cell>
          <cell r="M41">
            <v>4934.3911029999999</v>
          </cell>
          <cell r="N41">
            <v>5010.0366750000003</v>
          </cell>
          <cell r="O41">
            <v>5086.3180249999996</v>
          </cell>
          <cell r="P41">
            <v>5163.3127119999999</v>
          </cell>
          <cell r="Q41">
            <v>5241.0800200000003</v>
          </cell>
          <cell r="R41">
            <v>5319.692403</v>
          </cell>
          <cell r="S41">
            <v>5399.235987</v>
          </cell>
          <cell r="T41">
            <v>5479.804607</v>
          </cell>
          <cell r="U41">
            <v>5561.4936299999999</v>
          </cell>
          <cell r="V41">
            <v>5640.8637230000004</v>
          </cell>
          <cell r="W41">
            <v>5723.7813070000002</v>
          </cell>
          <cell r="X41">
            <v>5808.5602529999996</v>
          </cell>
          <cell r="Y41">
            <v>5895.0416459999997</v>
          </cell>
          <cell r="Z41">
            <v>5983.2144770000004</v>
          </cell>
          <cell r="AA41">
            <v>6062.890523</v>
          </cell>
          <cell r="AB41">
            <v>6145.9164259999998</v>
          </cell>
          <cell r="AC41">
            <v>6230.2243630000003</v>
          </cell>
          <cell r="AD41">
            <v>6315.797082</v>
          </cell>
          <cell r="AE41">
            <v>6402.7618259999999</v>
          </cell>
          <cell r="AF41">
            <v>6491.2394340000001</v>
          </cell>
          <cell r="AG41">
            <v>6581.3129499999995</v>
          </cell>
          <cell r="AH41">
            <v>6673.0257320000001</v>
          </cell>
          <cell r="AI41">
            <v>6766.3880520000002</v>
          </cell>
          <cell r="AJ41">
            <v>6861.3859810000004</v>
          </cell>
          <cell r="AK41">
            <v>6957.9900969999999</v>
          </cell>
          <cell r="AL41">
            <v>7053.6828809999997</v>
          </cell>
          <cell r="AM41">
            <v>7149.9690460000002</v>
          </cell>
          <cell r="AN41">
            <v>7247.1385069999997</v>
          </cell>
          <cell r="AO41">
            <v>7345.3299360000001</v>
          </cell>
          <cell r="AP41">
            <v>7444.6393280000002</v>
          </cell>
          <cell r="AQ41">
            <v>7545.1413359999997</v>
          </cell>
          <cell r="AR41">
            <v>7646.8927659999999</v>
          </cell>
          <cell r="AS41">
            <v>7749.9337150000001</v>
          </cell>
          <cell r="AT41">
            <v>7854.2895140000001</v>
          </cell>
          <cell r="AU41">
            <v>7959.9734790000002</v>
          </cell>
          <cell r="AV41">
            <v>8067.2152070000002</v>
          </cell>
          <cell r="AW41">
            <v>8175.8803289999996</v>
          </cell>
          <cell r="AX41">
            <v>8285.9401259999995</v>
          </cell>
          <cell r="AY41">
            <v>8397.3808700000009</v>
          </cell>
          <cell r="AZ41">
            <v>8510.1941750000005</v>
          </cell>
          <cell r="BA41">
            <v>9336.7969190000003</v>
          </cell>
          <cell r="BB41">
            <v>9496.1710920000005</v>
          </cell>
          <cell r="BC41">
            <v>9658.2496090000004</v>
          </cell>
          <cell r="BD41">
            <v>9823.0714029999999</v>
          </cell>
          <cell r="BE41">
            <v>9990.6764860000003</v>
          </cell>
        </row>
        <row r="42">
          <cell r="B42">
            <v>34751.321020000003</v>
          </cell>
          <cell r="C42">
            <v>34857.154540000003</v>
          </cell>
          <cell r="D42">
            <v>34984.939839999999</v>
          </cell>
          <cell r="E42">
            <v>35151.179779999999</v>
          </cell>
          <cell r="F42">
            <v>35366.473310000001</v>
          </cell>
          <cell r="G42">
            <v>35628.788350000003</v>
          </cell>
          <cell r="H42">
            <v>35910.51799</v>
          </cell>
          <cell r="I42">
            <v>36218.647830000002</v>
          </cell>
          <cell r="J42">
            <v>36548.074410000001</v>
          </cell>
          <cell r="K42">
            <v>36893.886400000003</v>
          </cell>
          <cell r="L42">
            <v>37224.756419999998</v>
          </cell>
          <cell r="M42">
            <v>37631.029349999997</v>
          </cell>
          <cell r="N42">
            <v>38052.278339999997</v>
          </cell>
          <cell r="O42">
            <v>38483.138769999998</v>
          </cell>
          <cell r="P42">
            <v>38921.64892</v>
          </cell>
          <cell r="Q42">
            <v>39366.552620000002</v>
          </cell>
          <cell r="R42">
            <v>39814.176350000002</v>
          </cell>
          <cell r="S42">
            <v>40266.046020000002</v>
          </cell>
          <cell r="T42">
            <v>40721.726929999997</v>
          </cell>
          <cell r="U42">
            <v>41180.836150000003</v>
          </cell>
          <cell r="V42">
            <v>41618.896009999997</v>
          </cell>
          <cell r="W42">
            <v>42077.547989999999</v>
          </cell>
          <cell r="X42">
            <v>42541.630490000003</v>
          </cell>
          <cell r="Y42">
            <v>43009.986440000001</v>
          </cell>
          <cell r="Z42">
            <v>43482.494489999997</v>
          </cell>
          <cell r="AA42">
            <v>43890.057659999999</v>
          </cell>
          <cell r="AB42">
            <v>44320.518320000003</v>
          </cell>
          <cell r="AC42">
            <v>44752.879679999998</v>
          </cell>
          <cell r="AD42">
            <v>45186.798820000004</v>
          </cell>
          <cell r="AE42">
            <v>45623.088320000003</v>
          </cell>
          <cell r="AF42">
            <v>46062.630989999998</v>
          </cell>
          <cell r="AG42">
            <v>46506.970800000003</v>
          </cell>
          <cell r="AH42">
            <v>46955.998339999998</v>
          </cell>
          <cell r="AI42">
            <v>47410.062590000001</v>
          </cell>
          <cell r="AJ42">
            <v>47869.429680000001</v>
          </cell>
          <cell r="AK42">
            <v>48334.27216</v>
          </cell>
          <cell r="AL42">
            <v>48795.938779999997</v>
          </cell>
          <cell r="AM42">
            <v>49259.67381</v>
          </cell>
          <cell r="AN42">
            <v>49726.667719999998</v>
          </cell>
          <cell r="AO42">
            <v>50197.55141</v>
          </cell>
          <cell r="AP42">
            <v>50672.760240000003</v>
          </cell>
          <cell r="AQ42">
            <v>51153.906779999998</v>
          </cell>
          <cell r="AR42">
            <v>51640.148820000002</v>
          </cell>
          <cell r="AS42">
            <v>52131.589260000001</v>
          </cell>
          <cell r="AT42">
            <v>52628.311609999997</v>
          </cell>
          <cell r="AU42">
            <v>53130.344420000001</v>
          </cell>
          <cell r="AV42">
            <v>53643.722580000001</v>
          </cell>
          <cell r="AW42">
            <v>54163.496299999999</v>
          </cell>
          <cell r="AX42">
            <v>54689.244379999996</v>
          </cell>
          <cell r="AY42">
            <v>55220.781089999997</v>
          </cell>
          <cell r="AZ42">
            <v>55757.940410000003</v>
          </cell>
          <cell r="BA42">
            <v>67926.883799999996</v>
          </cell>
          <cell r="BB42">
            <v>68915.504950000002</v>
          </cell>
          <cell r="BC42">
            <v>69920.264439999999</v>
          </cell>
          <cell r="BD42">
            <v>70941.557520000002</v>
          </cell>
          <cell r="BE42">
            <v>71979.801760000002</v>
          </cell>
        </row>
        <row r="43">
          <cell r="B43">
            <v>35478.336779999998</v>
          </cell>
          <cell r="C43">
            <v>35744.193520000001</v>
          </cell>
          <cell r="D43">
            <v>36000.990510000003</v>
          </cell>
          <cell r="E43">
            <v>36292.427069999998</v>
          </cell>
          <cell r="F43">
            <v>36629.837019999999</v>
          </cell>
          <cell r="G43">
            <v>37012.753219999999</v>
          </cell>
          <cell r="H43">
            <v>37414.35224</v>
          </cell>
          <cell r="I43">
            <v>37841.751049999999</v>
          </cell>
          <cell r="J43">
            <v>38290.141170000003</v>
          </cell>
          <cell r="K43">
            <v>38755.053050000002</v>
          </cell>
          <cell r="L43">
            <v>39268.913410000001</v>
          </cell>
          <cell r="M43">
            <v>39767.624539999997</v>
          </cell>
          <cell r="N43">
            <v>40272.122259999996</v>
          </cell>
          <cell r="O43">
            <v>40783.065459999998</v>
          </cell>
          <cell r="P43">
            <v>41300.049180000002</v>
          </cell>
          <cell r="Q43">
            <v>41822.701739999997</v>
          </cell>
          <cell r="R43">
            <v>42350.833509999997</v>
          </cell>
          <cell r="S43">
            <v>42884.416620000004</v>
          </cell>
          <cell r="T43">
            <v>43423.541879999997</v>
          </cell>
          <cell r="U43">
            <v>43968.38061</v>
          </cell>
          <cell r="V43">
            <v>44492.661330000003</v>
          </cell>
          <cell r="W43">
            <v>45042.396979999998</v>
          </cell>
          <cell r="X43">
            <v>45601.065990000003</v>
          </cell>
          <cell r="Y43">
            <v>46167.620869999999</v>
          </cell>
          <cell r="Z43">
            <v>46742.053659999998</v>
          </cell>
          <cell r="AA43">
            <v>47248.08324</v>
          </cell>
          <cell r="AB43">
            <v>47781.66648</v>
          </cell>
          <cell r="AC43">
            <v>48320.337650000001</v>
          </cell>
          <cell r="AD43">
            <v>48863.659079999998</v>
          </cell>
          <cell r="AE43">
            <v>49412.384870000002</v>
          </cell>
          <cell r="AF43">
            <v>49967.357859999996</v>
          </cell>
          <cell r="AG43">
            <v>50529.292730000001</v>
          </cell>
          <cell r="AH43">
            <v>51098.735560000001</v>
          </cell>
          <cell r="AI43">
            <v>51676.075709999997</v>
          </cell>
          <cell r="AJ43">
            <v>52261.573640000002</v>
          </cell>
          <cell r="AK43">
            <v>52855.392249999997</v>
          </cell>
          <cell r="AL43">
            <v>53439.176760000002</v>
          </cell>
          <cell r="AM43">
            <v>54026.269639999999</v>
          </cell>
          <cell r="AN43">
            <v>54618.35138</v>
          </cell>
          <cell r="AO43">
            <v>55216.190649999997</v>
          </cell>
          <cell r="AP43">
            <v>55820.364020000001</v>
          </cell>
          <cell r="AQ43">
            <v>56431.367879999998</v>
          </cell>
          <cell r="AR43">
            <v>57049.624479999999</v>
          </cell>
          <cell r="AS43">
            <v>57675.475850000003</v>
          </cell>
          <cell r="AT43">
            <v>58309.178220000002</v>
          </cell>
          <cell r="AU43">
            <v>58950.884010000002</v>
          </cell>
          <cell r="AV43">
            <v>59602.19629</v>
          </cell>
          <cell r="AW43">
            <v>60261.943800000001</v>
          </cell>
          <cell r="AX43">
            <v>60929.872730000003</v>
          </cell>
          <cell r="AY43">
            <v>61606.433440000001</v>
          </cell>
          <cell r="AZ43">
            <v>62292.006009999997</v>
          </cell>
          <cell r="BA43">
            <v>67946.043550000002</v>
          </cell>
          <cell r="BB43">
            <v>68930.646030000004</v>
          </cell>
          <cell r="BC43">
            <v>69931.037639999995</v>
          </cell>
          <cell r="BD43">
            <v>70947.610119999998</v>
          </cell>
          <cell r="BE43">
            <v>71980.767460000003</v>
          </cell>
        </row>
        <row r="44">
          <cell r="B44">
            <v>3859.1057989999999</v>
          </cell>
          <cell r="C44">
            <v>3864.8642890000001</v>
          </cell>
          <cell r="D44">
            <v>3870.258382</v>
          </cell>
          <cell r="E44">
            <v>3880.8243900000002</v>
          </cell>
          <cell r="F44">
            <v>3898.3393970000002</v>
          </cell>
          <cell r="G44">
            <v>3922.3784900000001</v>
          </cell>
          <cell r="H44">
            <v>3949.8608610000001</v>
          </cell>
          <cell r="I44">
            <v>3981.0726519999998</v>
          </cell>
          <cell r="J44">
            <v>4015.187418</v>
          </cell>
          <cell r="K44">
            <v>4051.5235929999999</v>
          </cell>
          <cell r="L44">
            <v>4086.7041650000001</v>
          </cell>
          <cell r="M44">
            <v>4129.9281819999997</v>
          </cell>
          <cell r="N44">
            <v>4174.8738249999997</v>
          </cell>
          <cell r="O44">
            <v>4221.0536330000004</v>
          </cell>
          <cell r="P44">
            <v>4268.2398759999996</v>
          </cell>
          <cell r="Q44">
            <v>4316.2636439999997</v>
          </cell>
          <cell r="R44">
            <v>4364.7103870000001</v>
          </cell>
          <cell r="S44">
            <v>4413.6930910000001</v>
          </cell>
          <cell r="T44">
            <v>4463.1250120000004</v>
          </cell>
          <cell r="U44">
            <v>4512.9331080000002</v>
          </cell>
          <cell r="V44">
            <v>4560.7284540000001</v>
          </cell>
          <cell r="W44">
            <v>4610.4781300000004</v>
          </cell>
          <cell r="X44">
            <v>4660.6529389999996</v>
          </cell>
          <cell r="Y44">
            <v>4711.1740410000002</v>
          </cell>
          <cell r="Z44">
            <v>4762.0292250000002</v>
          </cell>
          <cell r="AA44">
            <v>4806.5467900000003</v>
          </cell>
          <cell r="AB44">
            <v>4853.1511280000004</v>
          </cell>
          <cell r="AC44">
            <v>4899.6533950000003</v>
          </cell>
          <cell r="AD44">
            <v>4946.0834679999998</v>
          </cell>
          <cell r="AE44">
            <v>4992.5491519999996</v>
          </cell>
          <cell r="AF44">
            <v>5039.1575780000003</v>
          </cell>
          <cell r="AG44">
            <v>5086.0799209999996</v>
          </cell>
          <cell r="AH44">
            <v>5133.3191260000003</v>
          </cell>
          <cell r="AI44">
            <v>5180.9266230000003</v>
          </cell>
          <cell r="AJ44">
            <v>5228.9411719999998</v>
          </cell>
          <cell r="AK44">
            <v>5277.390163</v>
          </cell>
          <cell r="AL44">
            <v>5325.4794830000001</v>
          </cell>
          <cell r="AM44">
            <v>5373.6849009999996</v>
          </cell>
          <cell r="AN44">
            <v>5422.1006699999998</v>
          </cell>
          <cell r="AO44">
            <v>5470.7882570000002</v>
          </cell>
          <cell r="AP44">
            <v>5519.7983329999997</v>
          </cell>
          <cell r="AQ44">
            <v>5569.3031369999999</v>
          </cell>
          <cell r="AR44">
            <v>5619.2270360000002</v>
          </cell>
          <cell r="AS44">
            <v>5669.5913629999995</v>
          </cell>
          <cell r="AT44">
            <v>5720.4114799999998</v>
          </cell>
          <cell r="AU44">
            <v>5771.6949420000001</v>
          </cell>
          <cell r="AV44">
            <v>5824.0453550000002</v>
          </cell>
          <cell r="AW44">
            <v>5876.9665850000001</v>
          </cell>
          <cell r="AX44">
            <v>5930.4271799999997</v>
          </cell>
          <cell r="AY44">
            <v>5984.4072910000004</v>
          </cell>
          <cell r="AZ44">
            <v>6038.8862349999999</v>
          </cell>
          <cell r="BA44">
            <v>7347.7758219999996</v>
          </cell>
          <cell r="BB44">
            <v>7449.9415129999998</v>
          </cell>
          <cell r="BC44">
            <v>7553.7110700000003</v>
          </cell>
          <cell r="BD44">
            <v>7659.1339539999999</v>
          </cell>
          <cell r="BE44">
            <v>7766.2621429999999</v>
          </cell>
        </row>
        <row r="45">
          <cell r="B45">
            <v>3931.255087</v>
          </cell>
          <cell r="C45">
            <v>3952.958846</v>
          </cell>
          <cell r="D45">
            <v>3972.5560839999998</v>
          </cell>
          <cell r="E45">
            <v>3997.35923</v>
          </cell>
          <cell r="F45">
            <v>4029.1252479999998</v>
          </cell>
          <cell r="G45">
            <v>4067.2748849999998</v>
          </cell>
          <cell r="H45">
            <v>4108.652752</v>
          </cell>
          <cell r="I45">
            <v>4153.5180499999997</v>
          </cell>
          <cell r="J45">
            <v>4201.0787790000004</v>
          </cell>
          <cell r="K45">
            <v>4250.7141609999999</v>
          </cell>
          <cell r="L45">
            <v>4305.4321900000004</v>
          </cell>
          <cell r="M45">
            <v>4358.9817460000004</v>
          </cell>
          <cell r="N45">
            <v>4413.3928089999999</v>
          </cell>
          <cell r="O45">
            <v>4468.5992759999999</v>
          </cell>
          <cell r="P45">
            <v>4524.494299</v>
          </cell>
          <cell r="Q45">
            <v>4580.9965670000001</v>
          </cell>
          <cell r="R45">
            <v>4638.0538539999998</v>
          </cell>
          <cell r="S45">
            <v>4695.6368380000004</v>
          </cell>
          <cell r="T45">
            <v>4753.7328420000003</v>
          </cell>
          <cell r="U45">
            <v>4812.3409869999996</v>
          </cell>
          <cell r="V45">
            <v>4868.9017000000003</v>
          </cell>
          <cell r="W45">
            <v>4927.8492630000001</v>
          </cell>
          <cell r="X45">
            <v>4987.5204569999996</v>
          </cell>
          <cell r="Y45">
            <v>5047.8637369999997</v>
          </cell>
          <cell r="Z45">
            <v>5108.8913819999998</v>
          </cell>
          <cell r="AA45">
            <v>5163.205723</v>
          </cell>
          <cell r="AB45">
            <v>5220.0871969999998</v>
          </cell>
          <cell r="AC45">
            <v>5277.1845409999996</v>
          </cell>
          <cell r="AD45">
            <v>5334.5270069999997</v>
          </cell>
          <cell r="AE45">
            <v>5392.2257810000001</v>
          </cell>
          <cell r="AF45">
            <v>5450.3910960000003</v>
          </cell>
          <cell r="AG45">
            <v>5509.1151220000002</v>
          </cell>
          <cell r="AH45">
            <v>5568.4697990000004</v>
          </cell>
          <cell r="AI45">
            <v>5628.508855</v>
          </cell>
          <cell r="AJ45">
            <v>5689.2711170000002</v>
          </cell>
          <cell r="AK45">
            <v>5750.7840120000001</v>
          </cell>
          <cell r="AL45">
            <v>5811.2738650000001</v>
          </cell>
          <cell r="AM45">
            <v>5872.0428449999999</v>
          </cell>
          <cell r="AN45">
            <v>5933.218578</v>
          </cell>
          <cell r="AO45">
            <v>5994.8757290000003</v>
          </cell>
          <cell r="AP45">
            <v>6057.0800929999996</v>
          </cell>
          <cell r="AQ45">
            <v>6119.8922810000004</v>
          </cell>
          <cell r="AR45">
            <v>6183.3656989999999</v>
          </cell>
          <cell r="AS45">
            <v>6247.5450790000004</v>
          </cell>
          <cell r="AT45">
            <v>6312.4662689999996</v>
          </cell>
          <cell r="AU45">
            <v>6378.1569159999999</v>
          </cell>
          <cell r="AV45">
            <v>6444.7992469999999</v>
          </cell>
          <cell r="AW45">
            <v>6512.2916660000001</v>
          </cell>
          <cell r="AX45">
            <v>6580.6355279999998</v>
          </cell>
          <cell r="AY45">
            <v>6649.8364940000001</v>
          </cell>
          <cell r="AZ45">
            <v>6719.8990450000001</v>
          </cell>
          <cell r="BA45">
            <v>7331.8069230000001</v>
          </cell>
          <cell r="BB45">
            <v>7432.871486</v>
          </cell>
          <cell r="BC45">
            <v>7535.4863310000001</v>
          </cell>
          <cell r="BD45">
            <v>7639.6964379999999</v>
          </cell>
          <cell r="BE45">
            <v>7745.5498040000002</v>
          </cell>
        </row>
        <row r="46">
          <cell r="B46">
            <v>392.64249280000001</v>
          </cell>
          <cell r="C46">
            <v>394.67652559999999</v>
          </cell>
          <cell r="D46">
            <v>397.20461649999999</v>
          </cell>
          <cell r="E46">
            <v>400.01347570000001</v>
          </cell>
          <cell r="F46">
            <v>403.17665069999998</v>
          </cell>
          <cell r="G46">
            <v>406.71837210000001</v>
          </cell>
          <cell r="H46">
            <v>410.34210469999999</v>
          </cell>
          <cell r="I46">
            <v>414.17895859999999</v>
          </cell>
          <cell r="J46">
            <v>418.20890179999998</v>
          </cell>
          <cell r="K46">
            <v>422.39275550000002</v>
          </cell>
          <cell r="L46">
            <v>426.47876200000002</v>
          </cell>
          <cell r="M46">
            <v>431.29682000000003</v>
          </cell>
          <cell r="N46">
            <v>436.27317410000001</v>
          </cell>
          <cell r="O46">
            <v>441.34638769999998</v>
          </cell>
          <cell r="P46">
            <v>446.49582220000002</v>
          </cell>
          <cell r="Q46">
            <v>451.70899350000002</v>
          </cell>
          <cell r="R46">
            <v>456.94987850000001</v>
          </cell>
          <cell r="S46">
            <v>462.2328473</v>
          </cell>
          <cell r="T46">
            <v>467.55443550000001</v>
          </cell>
          <cell r="U46">
            <v>472.91150970000001</v>
          </cell>
          <cell r="V46">
            <v>477.98318010000003</v>
          </cell>
          <cell r="W46">
            <v>483.30627759999999</v>
          </cell>
          <cell r="X46">
            <v>488.71137870000001</v>
          </cell>
          <cell r="Y46">
            <v>494.17523790000001</v>
          </cell>
          <cell r="Z46">
            <v>499.69416910000001</v>
          </cell>
          <cell r="AA46">
            <v>504.3599395</v>
          </cell>
          <cell r="AB46">
            <v>509.28430589999999</v>
          </cell>
          <cell r="AC46">
            <v>514.25920810000002</v>
          </cell>
          <cell r="AD46">
            <v>519.27336539999999</v>
          </cell>
          <cell r="AE46">
            <v>524.33462429999997</v>
          </cell>
          <cell r="AF46">
            <v>529.45292949999998</v>
          </cell>
          <cell r="AG46">
            <v>534.64470789999996</v>
          </cell>
          <cell r="AH46">
            <v>539.90990820000002</v>
          </cell>
          <cell r="AI46">
            <v>545.25220320000005</v>
          </cell>
          <cell r="AJ46">
            <v>550.67467739999995</v>
          </cell>
          <cell r="AK46">
            <v>556.17937989999996</v>
          </cell>
          <cell r="AL46">
            <v>561.62782909999999</v>
          </cell>
          <cell r="AM46">
            <v>567.10249759999999</v>
          </cell>
          <cell r="AN46">
            <v>572.62845560000005</v>
          </cell>
          <cell r="AO46">
            <v>578.21754420000002</v>
          </cell>
          <cell r="AP46">
            <v>583.87641359999998</v>
          </cell>
          <cell r="AQ46">
            <v>589.6215674</v>
          </cell>
          <cell r="AR46">
            <v>595.44527579999999</v>
          </cell>
          <cell r="AS46">
            <v>601.34820769999999</v>
          </cell>
          <cell r="AT46">
            <v>607.33095700000001</v>
          </cell>
          <cell r="AU46">
            <v>613.39356339999995</v>
          </cell>
          <cell r="AV46">
            <v>619.59918210000001</v>
          </cell>
          <cell r="AW46">
            <v>625.8983637</v>
          </cell>
          <cell r="AX46">
            <v>632.28537359999996</v>
          </cell>
          <cell r="AY46">
            <v>638.75832339999999</v>
          </cell>
          <cell r="AZ46">
            <v>645.31569249999995</v>
          </cell>
          <cell r="BA46">
            <v>765.24011380000002</v>
          </cell>
          <cell r="BB46">
            <v>776.48617630000001</v>
          </cell>
          <cell r="BC46">
            <v>787.92153589999998</v>
          </cell>
          <cell r="BD46">
            <v>799.54989030000002</v>
          </cell>
          <cell r="BE46">
            <v>811.37528320000001</v>
          </cell>
        </row>
        <row r="47">
          <cell r="B47">
            <v>400.48580179999999</v>
          </cell>
          <cell r="C47">
            <v>404.4220995</v>
          </cell>
          <cell r="D47">
            <v>408.36509840000002</v>
          </cell>
          <cell r="E47">
            <v>412.50125259999999</v>
          </cell>
          <cell r="F47">
            <v>416.89862290000002</v>
          </cell>
          <cell r="G47">
            <v>421.61832440000001</v>
          </cell>
          <cell r="H47">
            <v>426.39217710000003</v>
          </cell>
          <cell r="I47">
            <v>431.36491460000002</v>
          </cell>
          <cell r="J47">
            <v>436.52519810000001</v>
          </cell>
          <cell r="K47">
            <v>441.84206369999998</v>
          </cell>
          <cell r="L47">
            <v>447.75561090000002</v>
          </cell>
          <cell r="M47">
            <v>453.4564737</v>
          </cell>
          <cell r="N47">
            <v>459.182142</v>
          </cell>
          <cell r="O47">
            <v>464.9602974</v>
          </cell>
          <cell r="P47">
            <v>470.79488889999999</v>
          </cell>
          <cell r="Q47">
            <v>476.6863151</v>
          </cell>
          <cell r="R47">
            <v>482.63549970000003</v>
          </cell>
          <cell r="S47">
            <v>488.64454119999999</v>
          </cell>
          <cell r="T47">
            <v>494.71658580000002</v>
          </cell>
          <cell r="U47">
            <v>500.8555427</v>
          </cell>
          <cell r="V47">
            <v>506.72246250000001</v>
          </cell>
          <cell r="W47">
            <v>512.89993119999997</v>
          </cell>
          <cell r="X47">
            <v>519.20570799999996</v>
          </cell>
          <cell r="Y47">
            <v>525.61695950000001</v>
          </cell>
          <cell r="Z47">
            <v>532.13055710000003</v>
          </cell>
          <cell r="AA47">
            <v>537.76204740000003</v>
          </cell>
          <cell r="AB47">
            <v>543.70575799999995</v>
          </cell>
          <cell r="AC47">
            <v>549.73920190000001</v>
          </cell>
          <cell r="AD47">
            <v>555.84857260000001</v>
          </cell>
          <cell r="AE47">
            <v>562.0392319</v>
          </cell>
          <cell r="AF47">
            <v>568.31952490000003</v>
          </cell>
          <cell r="AG47">
            <v>574.69701129999999</v>
          </cell>
          <cell r="AH47">
            <v>581.1775629</v>
          </cell>
          <cell r="AI47">
            <v>587.76532689999999</v>
          </cell>
          <cell r="AJ47">
            <v>594.46296670000004</v>
          </cell>
          <cell r="AK47">
            <v>601.27198339999995</v>
          </cell>
          <cell r="AL47">
            <v>607.9575274</v>
          </cell>
          <cell r="AM47">
            <v>614.67884830000003</v>
          </cell>
          <cell r="AN47">
            <v>621.46678399999996</v>
          </cell>
          <cell r="AO47">
            <v>628.33396340000002</v>
          </cell>
          <cell r="AP47">
            <v>635.28818980000005</v>
          </cell>
          <cell r="AQ47">
            <v>642.33533599999998</v>
          </cell>
          <cell r="AR47">
            <v>649.48002380000003</v>
          </cell>
          <cell r="AS47">
            <v>656.72581379999997</v>
          </cell>
          <cell r="AT47">
            <v>664.07523679999997</v>
          </cell>
          <cell r="AU47">
            <v>671.52959929999997</v>
          </cell>
          <cell r="AV47">
            <v>679.10886740000001</v>
          </cell>
          <cell r="AW47">
            <v>686.78680120000001</v>
          </cell>
          <cell r="AX47">
            <v>694.54541229999995</v>
          </cell>
          <cell r="AY47">
            <v>702.40611330000002</v>
          </cell>
          <cell r="AZ47">
            <v>710.38766499999997</v>
          </cell>
          <cell r="BA47">
            <v>768.46091969999998</v>
          </cell>
          <cell r="BB47">
            <v>779.74758099999997</v>
          </cell>
          <cell r="BC47">
            <v>791.22139240000001</v>
          </cell>
          <cell r="BD47">
            <v>802.88681480000002</v>
          </cell>
          <cell r="BE47">
            <v>814.74811299999999</v>
          </cell>
        </row>
        <row r="48">
          <cell r="B48">
            <v>551.2069146</v>
          </cell>
          <cell r="C48">
            <v>554.06236950000005</v>
          </cell>
          <cell r="D48">
            <v>557.61140260000002</v>
          </cell>
          <cell r="E48">
            <v>561.55458910000004</v>
          </cell>
          <cell r="F48">
            <v>565.99517820000005</v>
          </cell>
          <cell r="G48">
            <v>570.96718539999995</v>
          </cell>
          <cell r="H48">
            <v>576.05432329999996</v>
          </cell>
          <cell r="I48">
            <v>581.44064909999997</v>
          </cell>
          <cell r="J48">
            <v>587.09804120000001</v>
          </cell>
          <cell r="K48">
            <v>592.97149890000003</v>
          </cell>
          <cell r="L48">
            <v>598.70759499999997</v>
          </cell>
          <cell r="M48">
            <v>605.47137359999999</v>
          </cell>
          <cell r="N48">
            <v>612.45737440000005</v>
          </cell>
          <cell r="O48">
            <v>619.57935029999999</v>
          </cell>
          <cell r="P48">
            <v>626.80832829999997</v>
          </cell>
          <cell r="Q48">
            <v>634.12678240000002</v>
          </cell>
          <cell r="R48">
            <v>641.48414219999995</v>
          </cell>
          <cell r="S48">
            <v>648.90058069999998</v>
          </cell>
          <cell r="T48">
            <v>656.37123469999995</v>
          </cell>
          <cell r="U48">
            <v>663.89170530000001</v>
          </cell>
          <cell r="V48">
            <v>671.01151489999995</v>
          </cell>
          <cell r="W48">
            <v>678.48428779999995</v>
          </cell>
          <cell r="X48">
            <v>686.07218039999998</v>
          </cell>
          <cell r="Y48">
            <v>693.74256009999999</v>
          </cell>
          <cell r="Z48">
            <v>701.49025180000001</v>
          </cell>
          <cell r="AA48">
            <v>708.04024319999996</v>
          </cell>
          <cell r="AB48">
            <v>714.95326169999998</v>
          </cell>
          <cell r="AC48">
            <v>721.93722430000003</v>
          </cell>
          <cell r="AD48">
            <v>728.97629480000001</v>
          </cell>
          <cell r="AE48">
            <v>736.08148840000001</v>
          </cell>
          <cell r="AF48">
            <v>743.26676569999995</v>
          </cell>
          <cell r="AG48">
            <v>750.55518749999999</v>
          </cell>
          <cell r="AH48">
            <v>757.94668209999998</v>
          </cell>
          <cell r="AI48">
            <v>765.44640500000003</v>
          </cell>
          <cell r="AJ48">
            <v>773.05868680000003</v>
          </cell>
          <cell r="AK48">
            <v>780.78640380000002</v>
          </cell>
          <cell r="AL48">
            <v>788.43515030000003</v>
          </cell>
          <cell r="AM48">
            <v>796.12070440000002</v>
          </cell>
          <cell r="AN48">
            <v>803.87826070000006</v>
          </cell>
          <cell r="AO48">
            <v>811.72444240000004</v>
          </cell>
          <cell r="AP48">
            <v>819.66858490000004</v>
          </cell>
          <cell r="AQ48">
            <v>827.73385689999998</v>
          </cell>
          <cell r="AR48">
            <v>835.90940690000002</v>
          </cell>
          <cell r="AS48">
            <v>844.19617400000004</v>
          </cell>
          <cell r="AT48">
            <v>852.59499189999997</v>
          </cell>
          <cell r="AU48">
            <v>861.10591629999999</v>
          </cell>
          <cell r="AV48">
            <v>869.81760689999999</v>
          </cell>
          <cell r="AW48">
            <v>878.66064489999997</v>
          </cell>
          <cell r="AX48">
            <v>887.62697949999995</v>
          </cell>
          <cell r="AY48">
            <v>896.71396000000004</v>
          </cell>
          <cell r="AZ48">
            <v>905.91945169999997</v>
          </cell>
          <cell r="BA48">
            <v>1074.2740530000001</v>
          </cell>
          <cell r="BB48">
            <v>1090.0617159999999</v>
          </cell>
          <cell r="BC48">
            <v>1106.1151219999999</v>
          </cell>
          <cell r="BD48">
            <v>1122.4394609999999</v>
          </cell>
          <cell r="BE48">
            <v>1139.0404109999999</v>
          </cell>
        </row>
        <row r="49">
          <cell r="B49">
            <v>562.21765909999999</v>
          </cell>
          <cell r="C49">
            <v>567.74358789999997</v>
          </cell>
          <cell r="D49">
            <v>573.27892429999997</v>
          </cell>
          <cell r="E49">
            <v>579.08541969999999</v>
          </cell>
          <cell r="F49">
            <v>585.25862040000004</v>
          </cell>
          <cell r="G49">
            <v>591.88432220000004</v>
          </cell>
          <cell r="H49">
            <v>598.58604360000004</v>
          </cell>
          <cell r="I49">
            <v>605.56696739999995</v>
          </cell>
          <cell r="J49">
            <v>612.81117549999999</v>
          </cell>
          <cell r="K49">
            <v>620.27519970000003</v>
          </cell>
          <cell r="L49">
            <v>628.57686909999995</v>
          </cell>
          <cell r="M49">
            <v>636.57996349999996</v>
          </cell>
          <cell r="N49">
            <v>644.61788109999998</v>
          </cell>
          <cell r="O49">
            <v>652.72948199999996</v>
          </cell>
          <cell r="P49">
            <v>660.92031010000005</v>
          </cell>
          <cell r="Q49">
            <v>669.19092509999996</v>
          </cell>
          <cell r="R49">
            <v>677.54262349999999</v>
          </cell>
          <cell r="S49">
            <v>685.97835139999995</v>
          </cell>
          <cell r="T49">
            <v>694.50252550000005</v>
          </cell>
          <cell r="U49">
            <v>703.12063360000002</v>
          </cell>
          <cell r="V49">
            <v>711.35684549999996</v>
          </cell>
          <cell r="W49">
            <v>720.0290182</v>
          </cell>
          <cell r="X49">
            <v>728.8813146</v>
          </cell>
          <cell r="Y49">
            <v>737.88168059999998</v>
          </cell>
          <cell r="Z49">
            <v>747.02572420000001</v>
          </cell>
          <cell r="AA49">
            <v>754.93143099999998</v>
          </cell>
          <cell r="AB49">
            <v>763.27544469999998</v>
          </cell>
          <cell r="AC49">
            <v>771.74542970000005</v>
          </cell>
          <cell r="AD49">
            <v>780.32200360000002</v>
          </cell>
          <cell r="AE49">
            <v>789.0126937</v>
          </cell>
          <cell r="AF49">
            <v>797.82921510000006</v>
          </cell>
          <cell r="AG49">
            <v>806.78218030000005</v>
          </cell>
          <cell r="AH49">
            <v>815.87983250000002</v>
          </cell>
          <cell r="AI49">
            <v>825.12799380000001</v>
          </cell>
          <cell r="AJ49">
            <v>834.53040290000001</v>
          </cell>
          <cell r="AK49">
            <v>844.08916729999999</v>
          </cell>
          <cell r="AL49">
            <v>853.47459579999997</v>
          </cell>
          <cell r="AM49">
            <v>862.91024949999996</v>
          </cell>
          <cell r="AN49">
            <v>872.43941959999995</v>
          </cell>
          <cell r="AO49">
            <v>882.07983509999997</v>
          </cell>
          <cell r="AP49">
            <v>891.84245050000004</v>
          </cell>
          <cell r="AQ49">
            <v>901.7355106</v>
          </cell>
          <cell r="AR49">
            <v>911.76550310000005</v>
          </cell>
          <cell r="AS49">
            <v>921.93742699999996</v>
          </cell>
          <cell r="AT49">
            <v>932.25483499999996</v>
          </cell>
          <cell r="AU49">
            <v>942.71956109999996</v>
          </cell>
          <cell r="AV49">
            <v>953.35963470000002</v>
          </cell>
          <cell r="AW49">
            <v>964.13821889999997</v>
          </cell>
          <cell r="AX49">
            <v>975.03006119999998</v>
          </cell>
          <cell r="AY49">
            <v>986.0652212</v>
          </cell>
          <cell r="AZ49">
            <v>997.27003609999997</v>
          </cell>
          <cell r="BA49">
            <v>1078.7955460000001</v>
          </cell>
          <cell r="BB49">
            <v>1094.640204</v>
          </cell>
          <cell r="BC49">
            <v>1110.7475899999999</v>
          </cell>
          <cell r="BD49">
            <v>1127.123967</v>
          </cell>
          <cell r="BE49">
            <v>1143.775322</v>
          </cell>
        </row>
        <row r="50">
          <cell r="B50">
            <v>45807.482940000002</v>
          </cell>
          <cell r="C50">
            <v>46004.052609999999</v>
          </cell>
          <cell r="D50">
            <v>46187.409110000001</v>
          </cell>
          <cell r="E50">
            <v>46390.669179999997</v>
          </cell>
          <cell r="F50">
            <v>46638.957029999998</v>
          </cell>
          <cell r="G50">
            <v>46938.33092</v>
          </cell>
          <cell r="H50">
            <v>47260.298410000003</v>
          </cell>
          <cell r="I50">
            <v>47609.521489999999</v>
          </cell>
          <cell r="J50">
            <v>47980.057390000002</v>
          </cell>
          <cell r="K50">
            <v>48365.064810000003</v>
          </cell>
          <cell r="L50">
            <v>48750.592349999999</v>
          </cell>
          <cell r="M50">
            <v>49181.96226</v>
          </cell>
          <cell r="N50">
            <v>49623.887089999997</v>
          </cell>
          <cell r="O50">
            <v>50070.613420000001</v>
          </cell>
          <cell r="P50">
            <v>50519.825900000003</v>
          </cell>
          <cell r="Q50">
            <v>50970.06151</v>
          </cell>
          <cell r="R50">
            <v>51418.48605</v>
          </cell>
          <cell r="S50">
            <v>51865.987910000003</v>
          </cell>
          <cell r="T50">
            <v>52312.556680000002</v>
          </cell>
          <cell r="U50">
            <v>52758.394249999998</v>
          </cell>
          <cell r="V50">
            <v>53175.629359999999</v>
          </cell>
          <cell r="W50">
            <v>53610.488149999997</v>
          </cell>
          <cell r="X50">
            <v>54051.620909999998</v>
          </cell>
          <cell r="Y50">
            <v>54497.511109999999</v>
          </cell>
          <cell r="Z50">
            <v>54948.394639999999</v>
          </cell>
          <cell r="AA50">
            <v>55324.397810000002</v>
          </cell>
          <cell r="AB50">
            <v>55718.27822</v>
          </cell>
          <cell r="AC50">
            <v>56117.949690000001</v>
          </cell>
          <cell r="AD50">
            <v>56523.401749999997</v>
          </cell>
          <cell r="AE50">
            <v>56936.082770000001</v>
          </cell>
          <cell r="AF50">
            <v>57357.452100000002</v>
          </cell>
          <cell r="AG50">
            <v>57789.2454</v>
          </cell>
          <cell r="AH50">
            <v>58231.924570000003</v>
          </cell>
          <cell r="AI50">
            <v>58686.032639999998</v>
          </cell>
          <cell r="AJ50">
            <v>59151.888180000002</v>
          </cell>
          <cell r="AK50">
            <v>59629.599370000004</v>
          </cell>
          <cell r="AL50">
            <v>60105.473039999997</v>
          </cell>
          <cell r="AM50">
            <v>60586.596669999999</v>
          </cell>
          <cell r="AN50">
            <v>61075.587850000004</v>
          </cell>
          <cell r="AO50">
            <v>61573.688569999998</v>
          </cell>
          <cell r="AP50">
            <v>62081.520270000001</v>
          </cell>
          <cell r="AQ50">
            <v>62600.261890000002</v>
          </cell>
          <cell r="AR50">
            <v>63129.36924</v>
          </cell>
          <cell r="AS50">
            <v>63668.796280000002</v>
          </cell>
          <cell r="AT50">
            <v>64218.477529999996</v>
          </cell>
          <cell r="AU50">
            <v>64778.294650000003</v>
          </cell>
          <cell r="AV50">
            <v>65352.941169999998</v>
          </cell>
          <cell r="AW50">
            <v>65938.948220000006</v>
          </cell>
          <cell r="AX50">
            <v>66535.732470000003</v>
          </cell>
          <cell r="AY50">
            <v>67143.040729999993</v>
          </cell>
          <cell r="AZ50">
            <v>67760.655150000006</v>
          </cell>
          <cell r="BA50">
            <v>75081.2601</v>
          </cell>
          <cell r="BB50">
            <v>76031.318859999999</v>
          </cell>
          <cell r="BC50">
            <v>76999.102410000007</v>
          </cell>
          <cell r="BD50">
            <v>77984.709340000001</v>
          </cell>
          <cell r="BE50">
            <v>78988.25331</v>
          </cell>
        </row>
        <row r="51">
          <cell r="B51">
            <v>46370.096879999997</v>
          </cell>
          <cell r="C51">
            <v>46710.39935</v>
          </cell>
          <cell r="D51">
            <v>46998.392240000001</v>
          </cell>
          <cell r="E51">
            <v>47291.161030000003</v>
          </cell>
          <cell r="F51">
            <v>47608.212180000002</v>
          </cell>
          <cell r="G51">
            <v>47964.580240000003</v>
          </cell>
          <cell r="H51">
            <v>48338.274160000001</v>
          </cell>
          <cell r="I51">
            <v>48736.86767</v>
          </cell>
          <cell r="J51">
            <v>49155.812729999998</v>
          </cell>
          <cell r="K51">
            <v>49589.341630000003</v>
          </cell>
          <cell r="L51">
            <v>50073.668299999998</v>
          </cell>
          <cell r="M51">
            <v>50540.592960000002</v>
          </cell>
          <cell r="N51">
            <v>51005.948799999998</v>
          </cell>
          <cell r="O51">
            <v>51472.319259999997</v>
          </cell>
          <cell r="P51">
            <v>51940.378909999999</v>
          </cell>
          <cell r="Q51">
            <v>52410.552880000003</v>
          </cell>
          <cell r="R51">
            <v>52883.374280000004</v>
          </cell>
          <cell r="S51">
            <v>53359.530279999999</v>
          </cell>
          <cell r="T51">
            <v>53839.832569999999</v>
          </cell>
          <cell r="U51">
            <v>54325.171979999999</v>
          </cell>
          <cell r="V51">
            <v>54786.826240000002</v>
          </cell>
          <cell r="W51">
            <v>55273.347959999999</v>
          </cell>
          <cell r="X51">
            <v>55772.673510000001</v>
          </cell>
          <cell r="Y51">
            <v>56283.053950000001</v>
          </cell>
          <cell r="Z51">
            <v>56804.434600000001</v>
          </cell>
          <cell r="AA51">
            <v>57252.31295</v>
          </cell>
          <cell r="AB51">
            <v>57723.051189999998</v>
          </cell>
          <cell r="AC51">
            <v>58203.721109999999</v>
          </cell>
          <cell r="AD51">
            <v>58693.80298</v>
          </cell>
          <cell r="AE51">
            <v>59194.326849999998</v>
          </cell>
          <cell r="AF51">
            <v>59706.421869999998</v>
          </cell>
          <cell r="AG51">
            <v>60230.977250000004</v>
          </cell>
          <cell r="AH51">
            <v>60768.585059999998</v>
          </cell>
          <cell r="AI51">
            <v>61319.564180000001</v>
          </cell>
          <cell r="AJ51">
            <v>61884.010540000003</v>
          </cell>
          <cell r="AK51">
            <v>62461.854209999998</v>
          </cell>
          <cell r="AL51">
            <v>63032.733059999999</v>
          </cell>
          <cell r="AM51">
            <v>63608.438009999998</v>
          </cell>
          <cell r="AN51">
            <v>64191.9712</v>
          </cell>
          <cell r="AO51">
            <v>64784.644809999998</v>
          </cell>
          <cell r="AP51">
            <v>65387.26496</v>
          </cell>
          <cell r="AQ51">
            <v>66000.411510000005</v>
          </cell>
          <cell r="AR51">
            <v>66624.505099999995</v>
          </cell>
          <cell r="AS51">
            <v>67259.832160000005</v>
          </cell>
          <cell r="AT51">
            <v>67906.522459999993</v>
          </cell>
          <cell r="AU51">
            <v>68564.442060000001</v>
          </cell>
          <cell r="AV51">
            <v>69234.439140000002</v>
          </cell>
          <cell r="AW51">
            <v>69914.838589999999</v>
          </cell>
          <cell r="AX51">
            <v>70604.517340000006</v>
          </cell>
          <cell r="AY51">
            <v>71305.005220000006</v>
          </cell>
          <cell r="AZ51">
            <v>72017.716709999993</v>
          </cell>
          <cell r="BA51">
            <v>76493.494720000002</v>
          </cell>
          <cell r="BB51">
            <v>77489.911290000004</v>
          </cell>
          <cell r="BC51">
            <v>78504.211280000003</v>
          </cell>
          <cell r="BD51">
            <v>79536.728640000001</v>
          </cell>
          <cell r="BE51">
            <v>80587.747329999998</v>
          </cell>
        </row>
        <row r="52">
          <cell r="B52">
            <v>912.93670329999998</v>
          </cell>
          <cell r="C52">
            <v>916.85430929999995</v>
          </cell>
          <cell r="D52">
            <v>920.50857859999996</v>
          </cell>
          <cell r="E52">
            <v>924.55952330000002</v>
          </cell>
          <cell r="F52">
            <v>929.50786530000005</v>
          </cell>
          <cell r="G52">
            <v>935.47434469999996</v>
          </cell>
          <cell r="H52">
            <v>941.89111170000001</v>
          </cell>
          <cell r="I52">
            <v>948.85107870000002</v>
          </cell>
          <cell r="J52">
            <v>956.23580700000002</v>
          </cell>
          <cell r="K52">
            <v>963.90895090000004</v>
          </cell>
          <cell r="L52">
            <v>971.59246059999998</v>
          </cell>
          <cell r="M52">
            <v>980.18960249999998</v>
          </cell>
          <cell r="N52">
            <v>988.99710219999997</v>
          </cell>
          <cell r="O52">
            <v>997.90029530000004</v>
          </cell>
          <cell r="P52">
            <v>1006.853037</v>
          </cell>
          <cell r="Q52">
            <v>1015.826169</v>
          </cell>
          <cell r="R52">
            <v>1024.7632080000001</v>
          </cell>
          <cell r="S52">
            <v>1033.681857</v>
          </cell>
          <cell r="T52">
            <v>1042.5819100000001</v>
          </cell>
          <cell r="U52">
            <v>1051.46739</v>
          </cell>
          <cell r="V52">
            <v>1059.782827</v>
          </cell>
          <cell r="W52">
            <v>1068.4495019999999</v>
          </cell>
          <cell r="X52">
            <v>1077.241215</v>
          </cell>
          <cell r="Y52">
            <v>1086.127745</v>
          </cell>
          <cell r="Z52">
            <v>1095.1137900000001</v>
          </cell>
          <cell r="AA52">
            <v>1102.6074799999999</v>
          </cell>
          <cell r="AB52">
            <v>1110.4574620000001</v>
          </cell>
          <cell r="AC52">
            <v>1118.4228579999999</v>
          </cell>
          <cell r="AD52">
            <v>1126.503461</v>
          </cell>
          <cell r="AE52">
            <v>1134.7281359999999</v>
          </cell>
          <cell r="AF52">
            <v>1143.1259669999999</v>
          </cell>
          <cell r="AG52">
            <v>1151.7315470000001</v>
          </cell>
          <cell r="AH52">
            <v>1160.554081</v>
          </cell>
          <cell r="AI52">
            <v>1169.6043910000001</v>
          </cell>
          <cell r="AJ52">
            <v>1178.8888260000001</v>
          </cell>
          <cell r="AK52">
            <v>1188.409543</v>
          </cell>
          <cell r="AL52">
            <v>1197.8936389999999</v>
          </cell>
          <cell r="AM52">
            <v>1207.4823650000001</v>
          </cell>
          <cell r="AN52">
            <v>1217.2278899999999</v>
          </cell>
          <cell r="AO52">
            <v>1227.1549680000001</v>
          </cell>
          <cell r="AP52">
            <v>1237.2759820000001</v>
          </cell>
          <cell r="AQ52">
            <v>1247.6144300000001</v>
          </cell>
          <cell r="AR52">
            <v>1258.159465</v>
          </cell>
          <cell r="AS52">
            <v>1268.9101700000001</v>
          </cell>
          <cell r="AT52">
            <v>1279.865241</v>
          </cell>
          <cell r="AU52">
            <v>1291.0223169999999</v>
          </cell>
          <cell r="AV52">
            <v>1302.4749420000001</v>
          </cell>
          <cell r="AW52">
            <v>1314.15398</v>
          </cell>
          <cell r="AX52">
            <v>1326.047806</v>
          </cell>
          <cell r="AY52">
            <v>1338.1513749999999</v>
          </cell>
          <cell r="AZ52">
            <v>1350.460343</v>
          </cell>
          <cell r="BA52">
            <v>1496.358972</v>
          </cell>
          <cell r="BB52">
            <v>1515.29351</v>
          </cell>
          <cell r="BC52">
            <v>1534.5813000000001</v>
          </cell>
          <cell r="BD52">
            <v>1554.2243080000001</v>
          </cell>
          <cell r="BE52">
            <v>1574.224798</v>
          </cell>
        </row>
        <row r="53">
          <cell r="B53">
            <v>924.14952019999998</v>
          </cell>
          <cell r="C53">
            <v>930.93170069999996</v>
          </cell>
          <cell r="D53">
            <v>936.67135859999996</v>
          </cell>
          <cell r="E53">
            <v>942.50619940000001</v>
          </cell>
          <cell r="F53">
            <v>948.82498420000002</v>
          </cell>
          <cell r="G53">
            <v>955.92734970000004</v>
          </cell>
          <cell r="H53">
            <v>963.37501699999996</v>
          </cell>
          <cell r="I53">
            <v>971.31892970000001</v>
          </cell>
          <cell r="J53">
            <v>979.66844600000002</v>
          </cell>
          <cell r="K53">
            <v>988.30861600000003</v>
          </cell>
          <cell r="L53">
            <v>997.96117860000004</v>
          </cell>
          <cell r="M53">
            <v>1007.266921</v>
          </cell>
          <cell r="N53">
            <v>1016.541398</v>
          </cell>
          <cell r="O53">
            <v>1025.836096</v>
          </cell>
          <cell r="P53">
            <v>1035.1644590000001</v>
          </cell>
          <cell r="Q53">
            <v>1044.53496</v>
          </cell>
          <cell r="R53">
            <v>1053.958224</v>
          </cell>
          <cell r="S53">
            <v>1063.447946</v>
          </cell>
          <cell r="T53">
            <v>1073.0203039999999</v>
          </cell>
          <cell r="U53">
            <v>1082.6930500000001</v>
          </cell>
          <cell r="V53">
            <v>1091.8937550000001</v>
          </cell>
          <cell r="W53">
            <v>1101.590064</v>
          </cell>
          <cell r="X53">
            <v>1111.5415519999999</v>
          </cell>
          <cell r="Y53">
            <v>1121.7133630000001</v>
          </cell>
          <cell r="Z53">
            <v>1132.1044059999999</v>
          </cell>
          <cell r="AA53">
            <v>1141.030559</v>
          </cell>
          <cell r="AB53">
            <v>1150.4123059999999</v>
          </cell>
          <cell r="AC53">
            <v>1159.99199</v>
          </cell>
          <cell r="AD53">
            <v>1169.7592520000001</v>
          </cell>
          <cell r="AE53">
            <v>1179.7346230000001</v>
          </cell>
          <cell r="AF53">
            <v>1189.940605</v>
          </cell>
          <cell r="AG53">
            <v>1200.39492</v>
          </cell>
          <cell r="AH53">
            <v>1211.1093679999999</v>
          </cell>
          <cell r="AI53">
            <v>1222.0903040000001</v>
          </cell>
          <cell r="AJ53">
            <v>1233.339641</v>
          </cell>
          <cell r="AK53">
            <v>1244.855984</v>
          </cell>
          <cell r="AL53">
            <v>1256.23352</v>
          </cell>
          <cell r="AM53">
            <v>1267.707238</v>
          </cell>
          <cell r="AN53">
            <v>1279.3369729999999</v>
          </cell>
          <cell r="AO53">
            <v>1291.1488750000001</v>
          </cell>
          <cell r="AP53">
            <v>1303.1590100000001</v>
          </cell>
          <cell r="AQ53">
            <v>1315.378935</v>
          </cell>
          <cell r="AR53">
            <v>1327.8170319999999</v>
          </cell>
          <cell r="AS53">
            <v>1340.4790109999999</v>
          </cell>
          <cell r="AT53">
            <v>1353.3674579999999</v>
          </cell>
          <cell r="AU53">
            <v>1366.479703</v>
          </cell>
          <cell r="AV53">
            <v>1379.8326509999999</v>
          </cell>
          <cell r="AW53">
            <v>1393.3929169999999</v>
          </cell>
          <cell r="AX53">
            <v>1407.138117</v>
          </cell>
          <cell r="AY53">
            <v>1421.0987419999999</v>
          </cell>
          <cell r="AZ53">
            <v>1435.3029819999999</v>
          </cell>
          <cell r="BA53">
            <v>1524.50461</v>
          </cell>
          <cell r="BB53">
            <v>1544.3630519999999</v>
          </cell>
          <cell r="BC53">
            <v>1564.577908</v>
          </cell>
          <cell r="BD53">
            <v>1585.1558339999999</v>
          </cell>
          <cell r="BE53">
            <v>1606.1024890000001</v>
          </cell>
        </row>
        <row r="54">
          <cell r="B54">
            <v>1326.650392</v>
          </cell>
          <cell r="C54">
            <v>1332.343331</v>
          </cell>
          <cell r="D54">
            <v>1337.6535980000001</v>
          </cell>
          <cell r="E54">
            <v>1343.5403020000001</v>
          </cell>
          <cell r="F54">
            <v>1350.731074</v>
          </cell>
          <cell r="G54">
            <v>1359.4013709999999</v>
          </cell>
          <cell r="H54">
            <v>1368.726011</v>
          </cell>
          <cell r="I54">
            <v>1378.8400119999999</v>
          </cell>
          <cell r="J54">
            <v>1389.571263</v>
          </cell>
          <cell r="K54">
            <v>1400.72163</v>
          </cell>
          <cell r="L54">
            <v>1411.88706</v>
          </cell>
          <cell r="M54">
            <v>1424.380152</v>
          </cell>
          <cell r="N54">
            <v>1437.178928</v>
          </cell>
          <cell r="O54">
            <v>1450.116763</v>
          </cell>
          <cell r="P54">
            <v>1463.1266009999999</v>
          </cell>
          <cell r="Q54">
            <v>1476.16607</v>
          </cell>
          <cell r="R54">
            <v>1489.153088</v>
          </cell>
          <cell r="S54">
            <v>1502.1133830000001</v>
          </cell>
          <cell r="T54">
            <v>1515.0466550000001</v>
          </cell>
          <cell r="U54">
            <v>1527.95875</v>
          </cell>
          <cell r="V54">
            <v>1540.0424780000001</v>
          </cell>
          <cell r="W54">
            <v>1552.636612</v>
          </cell>
          <cell r="X54">
            <v>1565.4124489999999</v>
          </cell>
          <cell r="Y54">
            <v>1578.3260680000001</v>
          </cell>
          <cell r="Z54">
            <v>1591.3843019999999</v>
          </cell>
          <cell r="AA54">
            <v>1602.273893</v>
          </cell>
          <cell r="AB54">
            <v>1613.681235</v>
          </cell>
          <cell r="AC54">
            <v>1625.2562929999999</v>
          </cell>
          <cell r="AD54">
            <v>1636.998767</v>
          </cell>
          <cell r="AE54">
            <v>1648.950601</v>
          </cell>
          <cell r="AF54">
            <v>1661.154061</v>
          </cell>
          <cell r="AG54">
            <v>1673.659414</v>
          </cell>
          <cell r="AH54">
            <v>1686.480037</v>
          </cell>
          <cell r="AI54">
            <v>1699.631658</v>
          </cell>
          <cell r="AJ54">
            <v>1713.123503</v>
          </cell>
          <cell r="AK54">
            <v>1726.9587039999999</v>
          </cell>
          <cell r="AL54">
            <v>1740.7406880000001</v>
          </cell>
          <cell r="AM54">
            <v>1754.674718</v>
          </cell>
          <cell r="AN54">
            <v>1768.836603</v>
          </cell>
          <cell r="AO54">
            <v>1783.2623149999999</v>
          </cell>
          <cell r="AP54">
            <v>1797.9698490000001</v>
          </cell>
          <cell r="AQ54">
            <v>1812.99335</v>
          </cell>
          <cell r="AR54">
            <v>1828.3170580000001</v>
          </cell>
          <cell r="AS54">
            <v>1843.9396380000001</v>
          </cell>
          <cell r="AT54">
            <v>1859.859195</v>
          </cell>
          <cell r="AU54">
            <v>1876.072302</v>
          </cell>
          <cell r="AV54">
            <v>1892.7148890000001</v>
          </cell>
          <cell r="AW54">
            <v>1909.686494</v>
          </cell>
          <cell r="AX54">
            <v>1926.970221</v>
          </cell>
          <cell r="AY54">
            <v>1944.5587390000001</v>
          </cell>
          <cell r="AZ54">
            <v>1962.4457379999999</v>
          </cell>
          <cell r="BA54">
            <v>2174.460955</v>
          </cell>
          <cell r="BB54">
            <v>2201.9760190000002</v>
          </cell>
          <cell r="BC54">
            <v>2230.0044189999999</v>
          </cell>
          <cell r="BD54">
            <v>2258.5490089999998</v>
          </cell>
          <cell r="BE54">
            <v>2287.613081</v>
          </cell>
        </row>
        <row r="55">
          <cell r="B55">
            <v>1342.9444980000001</v>
          </cell>
          <cell r="C55">
            <v>1352.800146</v>
          </cell>
          <cell r="D55">
            <v>1361.1408329999999</v>
          </cell>
          <cell r="E55">
            <v>1369.619837</v>
          </cell>
          <cell r="F55">
            <v>1378.802093</v>
          </cell>
          <cell r="G55">
            <v>1389.1230230000001</v>
          </cell>
          <cell r="H55">
            <v>1399.9457339999999</v>
          </cell>
          <cell r="I55">
            <v>1411.4895739999999</v>
          </cell>
          <cell r="J55">
            <v>1423.622824</v>
          </cell>
          <cell r="K55">
            <v>1436.1784419999999</v>
          </cell>
          <cell r="L55">
            <v>1450.2052369999999</v>
          </cell>
          <cell r="M55">
            <v>1463.7280450000001</v>
          </cell>
          <cell r="N55">
            <v>1477.2054169999999</v>
          </cell>
          <cell r="O55">
            <v>1490.712174</v>
          </cell>
          <cell r="P55">
            <v>1504.2678530000001</v>
          </cell>
          <cell r="Q55">
            <v>1517.8847659999999</v>
          </cell>
          <cell r="R55">
            <v>1531.5783510000001</v>
          </cell>
          <cell r="S55">
            <v>1545.368512</v>
          </cell>
          <cell r="T55">
            <v>1559.278755</v>
          </cell>
          <cell r="U55">
            <v>1573.3348800000001</v>
          </cell>
          <cell r="V55">
            <v>1586.70505</v>
          </cell>
          <cell r="W55">
            <v>1600.7954159999999</v>
          </cell>
          <cell r="X55">
            <v>1615.2565999999999</v>
          </cell>
          <cell r="Y55">
            <v>1630.0379499999999</v>
          </cell>
          <cell r="Z55">
            <v>1645.1378810000001</v>
          </cell>
          <cell r="AA55">
            <v>1658.1090799999999</v>
          </cell>
          <cell r="AB55">
            <v>1671.7423349999999</v>
          </cell>
          <cell r="AC55">
            <v>1685.663225</v>
          </cell>
          <cell r="AD55">
            <v>1699.8566980000001</v>
          </cell>
          <cell r="AE55">
            <v>1714.3525870000001</v>
          </cell>
          <cell r="AF55">
            <v>1729.183593</v>
          </cell>
          <cell r="AG55">
            <v>1744.3754690000001</v>
          </cell>
          <cell r="AH55">
            <v>1759.945363</v>
          </cell>
          <cell r="AI55">
            <v>1775.9025079999999</v>
          </cell>
          <cell r="AJ55">
            <v>1792.2496839999999</v>
          </cell>
          <cell r="AK55">
            <v>1808.9848649999999</v>
          </cell>
          <cell r="AL55">
            <v>1825.518335</v>
          </cell>
          <cell r="AM55">
            <v>1842.1915759999999</v>
          </cell>
          <cell r="AN55">
            <v>1859.0915339999999</v>
          </cell>
          <cell r="AO55">
            <v>1876.256212</v>
          </cell>
          <cell r="AP55">
            <v>1893.7089550000001</v>
          </cell>
          <cell r="AQ55">
            <v>1911.466559</v>
          </cell>
          <cell r="AR55">
            <v>1929.5412040000001</v>
          </cell>
          <cell r="AS55">
            <v>1947.9411869999999</v>
          </cell>
          <cell r="AT55">
            <v>1966.670265</v>
          </cell>
          <cell r="AU55">
            <v>1985.7245600000001</v>
          </cell>
          <cell r="AV55">
            <v>2005.1286359999999</v>
          </cell>
          <cell r="AW55">
            <v>2024.8339800000001</v>
          </cell>
          <cell r="AX55">
            <v>2044.8080649999999</v>
          </cell>
          <cell r="AY55">
            <v>2065.0951989999999</v>
          </cell>
          <cell r="AZ55">
            <v>2085.7363460000001</v>
          </cell>
          <cell r="BA55">
            <v>2215.3612950000002</v>
          </cell>
          <cell r="BB55">
            <v>2244.2189480000002</v>
          </cell>
          <cell r="BC55">
            <v>2273.5945299999998</v>
          </cell>
          <cell r="BD55">
            <v>2303.4977130000002</v>
          </cell>
          <cell r="BE55">
            <v>2333.9367219999999</v>
          </cell>
        </row>
        <row r="56">
          <cell r="B56">
            <v>1205.2693959999999</v>
          </cell>
          <cell r="C56">
            <v>1210.441464</v>
          </cell>
          <cell r="D56">
            <v>1215.2658719999999</v>
          </cell>
          <cell r="E56">
            <v>1220.613975</v>
          </cell>
          <cell r="F56">
            <v>1227.1468319999999</v>
          </cell>
          <cell r="G56">
            <v>1235.023846</v>
          </cell>
          <cell r="H56">
            <v>1243.4953350000001</v>
          </cell>
          <cell r="I56">
            <v>1252.6839620000001</v>
          </cell>
          <cell r="J56">
            <v>1262.433364</v>
          </cell>
          <cell r="K56">
            <v>1272.5635360000001</v>
          </cell>
          <cell r="L56">
            <v>1282.7073929999999</v>
          </cell>
          <cell r="M56">
            <v>1294.0574369999999</v>
          </cell>
          <cell r="N56">
            <v>1305.6851979999999</v>
          </cell>
          <cell r="O56">
            <v>1317.439294</v>
          </cell>
          <cell r="P56">
            <v>1329.258806</v>
          </cell>
          <cell r="Q56">
            <v>1341.105237</v>
          </cell>
          <cell r="R56">
            <v>1352.904016</v>
          </cell>
          <cell r="S56">
            <v>1364.6785179999999</v>
          </cell>
          <cell r="T56">
            <v>1376.428469</v>
          </cell>
          <cell r="U56">
            <v>1388.159181</v>
          </cell>
          <cell r="V56">
            <v>1399.1373149999999</v>
          </cell>
          <cell r="W56">
            <v>1410.5791569999999</v>
          </cell>
          <cell r="X56">
            <v>1422.186078</v>
          </cell>
          <cell r="Y56">
            <v>1433.9181739999999</v>
          </cell>
          <cell r="Z56">
            <v>1445.781653</v>
          </cell>
          <cell r="AA56">
            <v>1455.6749090000001</v>
          </cell>
          <cell r="AB56">
            <v>1466.0385429999999</v>
          </cell>
          <cell r="AC56">
            <v>1476.5545500000001</v>
          </cell>
          <cell r="AD56">
            <v>1487.222653</v>
          </cell>
          <cell r="AE56">
            <v>1498.080962</v>
          </cell>
          <cell r="AF56">
            <v>1509.1678750000001</v>
          </cell>
          <cell r="AG56">
            <v>1520.529059</v>
          </cell>
          <cell r="AH56">
            <v>1532.1766680000001</v>
          </cell>
          <cell r="AI56">
            <v>1544.12499</v>
          </cell>
          <cell r="AJ56">
            <v>1556.3824070000001</v>
          </cell>
          <cell r="AK56">
            <v>1568.9517659999999</v>
          </cell>
          <cell r="AL56">
            <v>1581.4727760000001</v>
          </cell>
          <cell r="AM56">
            <v>1594.1319209999999</v>
          </cell>
          <cell r="AN56">
            <v>1606.998075</v>
          </cell>
          <cell r="AO56">
            <v>1620.1039149999999</v>
          </cell>
          <cell r="AP56">
            <v>1633.4657930000001</v>
          </cell>
          <cell r="AQ56">
            <v>1647.1147289999999</v>
          </cell>
          <cell r="AR56">
            <v>1661.0364039999999</v>
          </cell>
          <cell r="AS56">
            <v>1675.229607</v>
          </cell>
          <cell r="AT56">
            <v>1689.6926149999999</v>
          </cell>
          <cell r="AU56">
            <v>1704.4223139999999</v>
          </cell>
          <cell r="AV56">
            <v>1719.542199</v>
          </cell>
          <cell r="AW56">
            <v>1734.960998</v>
          </cell>
          <cell r="AX56">
            <v>1750.663362</v>
          </cell>
          <cell r="AY56">
            <v>1766.6426309999999</v>
          </cell>
          <cell r="AZ56">
            <v>1782.893071</v>
          </cell>
          <cell r="BA56">
            <v>1975.510096</v>
          </cell>
          <cell r="BB56">
            <v>2000.5076879999999</v>
          </cell>
          <cell r="BC56">
            <v>2025.9716470000001</v>
          </cell>
          <cell r="BD56">
            <v>2051.9045689999998</v>
          </cell>
          <cell r="BE56">
            <v>2078.309444</v>
          </cell>
        </row>
        <row r="57">
          <cell r="B57">
            <v>1220.072684</v>
          </cell>
          <cell r="C57">
            <v>1229.0265959999999</v>
          </cell>
          <cell r="D57">
            <v>1236.604157</v>
          </cell>
          <cell r="E57">
            <v>1244.3073810000001</v>
          </cell>
          <cell r="F57">
            <v>1252.649512</v>
          </cell>
          <cell r="G57">
            <v>1262.0261350000001</v>
          </cell>
          <cell r="H57">
            <v>1271.8586299999999</v>
          </cell>
          <cell r="I57">
            <v>1282.346274</v>
          </cell>
          <cell r="J57">
            <v>1293.3694</v>
          </cell>
          <cell r="K57">
            <v>1304.776251</v>
          </cell>
          <cell r="L57">
            <v>1317.519673</v>
          </cell>
          <cell r="M57">
            <v>1329.8052210000001</v>
          </cell>
          <cell r="N57">
            <v>1342.0494900000001</v>
          </cell>
          <cell r="O57">
            <v>1354.320455</v>
          </cell>
          <cell r="P57">
            <v>1366.6358660000001</v>
          </cell>
          <cell r="Q57">
            <v>1379.0069080000001</v>
          </cell>
          <cell r="R57">
            <v>1391.4476090000001</v>
          </cell>
          <cell r="S57">
            <v>1403.9760470000001</v>
          </cell>
          <cell r="T57">
            <v>1416.613582</v>
          </cell>
          <cell r="U57">
            <v>1429.383652</v>
          </cell>
          <cell r="V57">
            <v>1441.530526</v>
          </cell>
          <cell r="W57">
            <v>1454.3317039999999</v>
          </cell>
          <cell r="X57">
            <v>1467.4697719999999</v>
          </cell>
          <cell r="Y57">
            <v>1480.898711</v>
          </cell>
          <cell r="Z57">
            <v>1494.617084</v>
          </cell>
          <cell r="AA57">
            <v>1506.401492</v>
          </cell>
          <cell r="AB57">
            <v>1518.7873810000001</v>
          </cell>
          <cell r="AC57">
            <v>1531.434589</v>
          </cell>
          <cell r="AD57">
            <v>1544.32944</v>
          </cell>
          <cell r="AE57">
            <v>1557.499037</v>
          </cell>
          <cell r="AF57">
            <v>1570.97309</v>
          </cell>
          <cell r="AG57">
            <v>1584.7749960000001</v>
          </cell>
          <cell r="AH57">
            <v>1598.9203319999999</v>
          </cell>
          <cell r="AI57">
            <v>1613.4174889999999</v>
          </cell>
          <cell r="AJ57">
            <v>1628.2689909999999</v>
          </cell>
          <cell r="AK57">
            <v>1643.472998</v>
          </cell>
          <cell r="AL57">
            <v>1658.493749</v>
          </cell>
          <cell r="AM57">
            <v>1673.6414830000001</v>
          </cell>
          <cell r="AN57">
            <v>1688.995191</v>
          </cell>
          <cell r="AO57">
            <v>1704.589397</v>
          </cell>
          <cell r="AP57">
            <v>1720.4453140000001</v>
          </cell>
          <cell r="AQ57">
            <v>1736.578197</v>
          </cell>
          <cell r="AR57">
            <v>1752.9991150000001</v>
          </cell>
          <cell r="AS57">
            <v>1769.7156030000001</v>
          </cell>
          <cell r="AT57">
            <v>1786.7310769999999</v>
          </cell>
          <cell r="AU57">
            <v>1804.0420120000001</v>
          </cell>
          <cell r="AV57">
            <v>1821.6707249999999</v>
          </cell>
          <cell r="AW57">
            <v>1839.573142</v>
          </cell>
          <cell r="AX57">
            <v>1857.719711</v>
          </cell>
          <cell r="AY57">
            <v>1876.1506870000001</v>
          </cell>
          <cell r="AZ57">
            <v>1894.903286</v>
          </cell>
          <cell r="BA57">
            <v>2012.6682860000001</v>
          </cell>
          <cell r="BB57">
            <v>2038.8856270000001</v>
          </cell>
          <cell r="BC57">
            <v>2065.5735100000002</v>
          </cell>
          <cell r="BD57">
            <v>2092.740722</v>
          </cell>
          <cell r="BE57">
            <v>2120.3947330000001</v>
          </cell>
        </row>
        <row r="58">
          <cell r="B58">
            <v>2371.945479</v>
          </cell>
          <cell r="C58">
            <v>2382.1240029999999</v>
          </cell>
          <cell r="D58">
            <v>2391.6183390000001</v>
          </cell>
          <cell r="E58">
            <v>2402.1432960000002</v>
          </cell>
          <cell r="F58">
            <v>2414.9998260000002</v>
          </cell>
          <cell r="G58">
            <v>2430.5016270000001</v>
          </cell>
          <cell r="H58">
            <v>2447.1733429999999</v>
          </cell>
          <cell r="I58">
            <v>2465.2563740000001</v>
          </cell>
          <cell r="J58">
            <v>2484.442998</v>
          </cell>
          <cell r="K58">
            <v>2504.378968</v>
          </cell>
          <cell r="L58">
            <v>2524.3418700000002</v>
          </cell>
          <cell r="M58">
            <v>2546.6785249999998</v>
          </cell>
          <cell r="N58">
            <v>2569.5617200000002</v>
          </cell>
          <cell r="O58">
            <v>2592.6935410000001</v>
          </cell>
          <cell r="P58">
            <v>2615.9540969999998</v>
          </cell>
          <cell r="Q58">
            <v>2639.267632</v>
          </cell>
          <cell r="R58">
            <v>2662.4873870000001</v>
          </cell>
          <cell r="S58">
            <v>2685.659365</v>
          </cell>
          <cell r="T58">
            <v>2708.7830279999998</v>
          </cell>
          <cell r="U58">
            <v>2731.8688280000001</v>
          </cell>
          <cell r="V58">
            <v>2753.4735719999999</v>
          </cell>
          <cell r="W58">
            <v>2775.9908829999999</v>
          </cell>
          <cell r="X58">
            <v>2798.8330649999998</v>
          </cell>
          <cell r="Y58">
            <v>2821.9215909999998</v>
          </cell>
          <cell r="Z58">
            <v>2845.2686749999998</v>
          </cell>
          <cell r="AA58">
            <v>2864.738398</v>
          </cell>
          <cell r="AB58">
            <v>2885.1338179999998</v>
          </cell>
          <cell r="AC58">
            <v>2905.829103</v>
          </cell>
          <cell r="AD58">
            <v>2926.8237130000002</v>
          </cell>
          <cell r="AE58">
            <v>2948.192642</v>
          </cell>
          <cell r="AF58">
            <v>2970.0114589999998</v>
          </cell>
          <cell r="AG58">
            <v>2992.3700370000001</v>
          </cell>
          <cell r="AH58">
            <v>3015.292293</v>
          </cell>
          <cell r="AI58">
            <v>3038.806345</v>
          </cell>
          <cell r="AJ58">
            <v>3062.9286910000001</v>
          </cell>
          <cell r="AK58">
            <v>3087.6649320000001</v>
          </cell>
          <cell r="AL58">
            <v>3112.3060230000001</v>
          </cell>
          <cell r="AM58">
            <v>3137.2189619999999</v>
          </cell>
          <cell r="AN58">
            <v>3162.5392889999998</v>
          </cell>
          <cell r="AO58">
            <v>3188.331314</v>
          </cell>
          <cell r="AP58">
            <v>3214.6272159999999</v>
          </cell>
          <cell r="AQ58">
            <v>3241.4880429999998</v>
          </cell>
          <cell r="AR58">
            <v>3268.8856139999998</v>
          </cell>
          <cell r="AS58">
            <v>3296.8175470000001</v>
          </cell>
          <cell r="AT58">
            <v>3325.2804500000002</v>
          </cell>
          <cell r="AU58">
            <v>3354.268196</v>
          </cell>
          <cell r="AV58">
            <v>3384.023819</v>
          </cell>
          <cell r="AW58">
            <v>3414.3676999999998</v>
          </cell>
          <cell r="AX58">
            <v>3445.2696310000001</v>
          </cell>
          <cell r="AY58">
            <v>3476.716504</v>
          </cell>
          <cell r="AZ58">
            <v>3508.6970369999999</v>
          </cell>
          <cell r="BA58">
            <v>3887.7633970000002</v>
          </cell>
          <cell r="BB58">
            <v>3936.9581450000001</v>
          </cell>
          <cell r="BC58">
            <v>3987.0706960000002</v>
          </cell>
          <cell r="BD58">
            <v>4038.1061549999999</v>
          </cell>
          <cell r="BE58">
            <v>4090.0704070000002</v>
          </cell>
        </row>
        <row r="59">
          <cell r="B59">
            <v>2401.078047</v>
          </cell>
          <cell r="C59">
            <v>2418.6991619999999</v>
          </cell>
          <cell r="D59">
            <v>2433.6116480000001</v>
          </cell>
          <cell r="E59">
            <v>2448.7714329999999</v>
          </cell>
          <cell r="F59">
            <v>2465.1885769999999</v>
          </cell>
          <cell r="G59">
            <v>2483.64158</v>
          </cell>
          <cell r="H59">
            <v>2502.991728</v>
          </cell>
          <cell r="I59">
            <v>2523.6311959999998</v>
          </cell>
          <cell r="J59">
            <v>2545.324482</v>
          </cell>
          <cell r="K59">
            <v>2567.7729300000001</v>
          </cell>
          <cell r="L59">
            <v>2592.851725</v>
          </cell>
          <cell r="M59">
            <v>2617.0294309999999</v>
          </cell>
          <cell r="N59">
            <v>2641.1259020000002</v>
          </cell>
          <cell r="O59">
            <v>2665.2749100000001</v>
          </cell>
          <cell r="P59">
            <v>2689.511387</v>
          </cell>
          <cell r="Q59">
            <v>2713.857344</v>
          </cell>
          <cell r="R59">
            <v>2738.3403870000002</v>
          </cell>
          <cell r="S59">
            <v>2762.9960980000001</v>
          </cell>
          <cell r="T59">
            <v>2787.8665070000002</v>
          </cell>
          <cell r="U59">
            <v>2812.9977429999999</v>
          </cell>
          <cell r="V59">
            <v>2836.9025430000002</v>
          </cell>
          <cell r="W59">
            <v>2862.0949989999999</v>
          </cell>
          <cell r="X59">
            <v>2887.9504470000002</v>
          </cell>
          <cell r="Y59">
            <v>2914.3783250000001</v>
          </cell>
          <cell r="Z59">
            <v>2941.375802</v>
          </cell>
          <cell r="AA59">
            <v>2964.5672760000002</v>
          </cell>
          <cell r="AB59">
            <v>2988.9424509999999</v>
          </cell>
          <cell r="AC59">
            <v>3013.8318960000001</v>
          </cell>
          <cell r="AD59">
            <v>3039.2087000000001</v>
          </cell>
          <cell r="AE59">
            <v>3065.126197</v>
          </cell>
          <cell r="AF59">
            <v>3091.6428580000002</v>
          </cell>
          <cell r="AG59">
            <v>3118.804725</v>
          </cell>
          <cell r="AH59">
            <v>3146.642456</v>
          </cell>
          <cell r="AI59">
            <v>3175.172564</v>
          </cell>
          <cell r="AJ59">
            <v>3204.4000160000001</v>
          </cell>
          <cell r="AK59">
            <v>3234.3211900000001</v>
          </cell>
          <cell r="AL59">
            <v>3263.8817210000002</v>
          </cell>
          <cell r="AM59">
            <v>3293.6921499999999</v>
          </cell>
          <cell r="AN59">
            <v>3323.907933</v>
          </cell>
          <cell r="AO59">
            <v>3354.5970120000002</v>
          </cell>
          <cell r="AP59">
            <v>3385.8011310000002</v>
          </cell>
          <cell r="AQ59">
            <v>3417.550315</v>
          </cell>
          <cell r="AR59">
            <v>3449.866344</v>
          </cell>
          <cell r="AS59">
            <v>3482.7640510000001</v>
          </cell>
          <cell r="AT59">
            <v>3516.2501550000002</v>
          </cell>
          <cell r="AU59">
            <v>3550.3177209999999</v>
          </cell>
          <cell r="AV59">
            <v>3585.0106660000001</v>
          </cell>
          <cell r="AW59">
            <v>3620.242256</v>
          </cell>
          <cell r="AX59">
            <v>3655.9543330000001</v>
          </cell>
          <cell r="AY59">
            <v>3692.2261159999998</v>
          </cell>
          <cell r="AZ59">
            <v>3729.130846</v>
          </cell>
          <cell r="BA59">
            <v>3960.8899540000002</v>
          </cell>
          <cell r="BB59">
            <v>4012.4851440000002</v>
          </cell>
          <cell r="BC59">
            <v>4065.006351</v>
          </cell>
          <cell r="BD59">
            <v>4118.470867</v>
          </cell>
          <cell r="BE59">
            <v>4172.8933950000001</v>
          </cell>
        </row>
        <row r="60">
          <cell r="B60">
            <v>862.29410900000005</v>
          </cell>
          <cell r="C60">
            <v>865.99439689999997</v>
          </cell>
          <cell r="D60">
            <v>869.44595589999994</v>
          </cell>
          <cell r="E60">
            <v>873.27218579999999</v>
          </cell>
          <cell r="F60">
            <v>877.94603240000004</v>
          </cell>
          <cell r="G60">
            <v>883.58153819999995</v>
          </cell>
          <cell r="H60">
            <v>889.64235310000004</v>
          </cell>
          <cell r="I60">
            <v>896.21623550000004</v>
          </cell>
          <cell r="J60">
            <v>903.19131679999998</v>
          </cell>
          <cell r="K60">
            <v>910.4388146</v>
          </cell>
          <cell r="L60">
            <v>917.6961033</v>
          </cell>
          <cell r="M60">
            <v>925.8163429</v>
          </cell>
          <cell r="N60">
            <v>934.1352713</v>
          </cell>
          <cell r="O60">
            <v>942.54458480000005</v>
          </cell>
          <cell r="P60">
            <v>951.00069840000003</v>
          </cell>
          <cell r="Q60">
            <v>959.47607170000003</v>
          </cell>
          <cell r="R60">
            <v>967.91735270000004</v>
          </cell>
          <cell r="S60">
            <v>976.34126490000006</v>
          </cell>
          <cell r="T60">
            <v>984.74761249999995</v>
          </cell>
          <cell r="U60">
            <v>993.14019559999997</v>
          </cell>
          <cell r="V60">
            <v>1000.994357</v>
          </cell>
          <cell r="W60">
            <v>1009.1802719999999</v>
          </cell>
          <cell r="X60">
            <v>1017.484291</v>
          </cell>
          <cell r="Y60">
            <v>1025.8778649999999</v>
          </cell>
          <cell r="Z60">
            <v>1034.3654349999999</v>
          </cell>
          <cell r="AA60">
            <v>1041.443434</v>
          </cell>
          <cell r="AB60">
            <v>1048.8579589999999</v>
          </cell>
          <cell r="AC60">
            <v>1056.381498</v>
          </cell>
          <cell r="AD60">
            <v>1064.013852</v>
          </cell>
          <cell r="AE60">
            <v>1071.7822860000001</v>
          </cell>
          <cell r="AF60">
            <v>1079.7142710000001</v>
          </cell>
          <cell r="AG60">
            <v>1087.8424809999999</v>
          </cell>
          <cell r="AH60">
            <v>1096.1756089999999</v>
          </cell>
          <cell r="AI60">
            <v>1104.7238789999999</v>
          </cell>
          <cell r="AJ60">
            <v>1113.4932859999999</v>
          </cell>
          <cell r="AK60">
            <v>1122.485868</v>
          </cell>
          <cell r="AL60">
            <v>1131.4438600000001</v>
          </cell>
          <cell r="AM60">
            <v>1140.500679</v>
          </cell>
          <cell r="AN60">
            <v>1149.7055989999999</v>
          </cell>
          <cell r="AO60">
            <v>1159.0820000000001</v>
          </cell>
          <cell r="AP60">
            <v>1168.6415790000001</v>
          </cell>
          <cell r="AQ60">
            <v>1178.4065310000001</v>
          </cell>
          <cell r="AR60">
            <v>1188.36661</v>
          </cell>
          <cell r="AS60">
            <v>1198.5209500000001</v>
          </cell>
          <cell r="AT60">
            <v>1208.868318</v>
          </cell>
          <cell r="AU60">
            <v>1219.406487</v>
          </cell>
          <cell r="AV60">
            <v>1230.22381</v>
          </cell>
          <cell r="AW60">
            <v>1241.2549859999999</v>
          </cell>
          <cell r="AX60">
            <v>1252.4890359999999</v>
          </cell>
          <cell r="AY60">
            <v>1263.9211929999999</v>
          </cell>
          <cell r="AZ60">
            <v>1275.547356</v>
          </cell>
          <cell r="BA60">
            <v>1413.3526690000001</v>
          </cell>
          <cell r="BB60">
            <v>1431.2368670000001</v>
          </cell>
          <cell r="BC60">
            <v>1449.4547210000001</v>
          </cell>
          <cell r="BD60">
            <v>1468.008088</v>
          </cell>
          <cell r="BE60">
            <v>1486.8991080000001</v>
          </cell>
        </row>
        <row r="61">
          <cell r="B61">
            <v>872.88492640000004</v>
          </cell>
          <cell r="C61">
            <v>879.29088460000003</v>
          </cell>
          <cell r="D61">
            <v>884.71215110000003</v>
          </cell>
          <cell r="E61">
            <v>890.22332059999997</v>
          </cell>
          <cell r="F61">
            <v>896.19158860000005</v>
          </cell>
          <cell r="G61">
            <v>902.89997029999995</v>
          </cell>
          <cell r="H61">
            <v>909.93449929999997</v>
          </cell>
          <cell r="I61">
            <v>917.43774580000002</v>
          </cell>
          <cell r="J61">
            <v>925.32409610000002</v>
          </cell>
          <cell r="K61">
            <v>933.48497699999996</v>
          </cell>
          <cell r="L61">
            <v>942.60209080000004</v>
          </cell>
          <cell r="M61">
            <v>951.39162380000005</v>
          </cell>
          <cell r="N61">
            <v>960.1516249</v>
          </cell>
          <cell r="O61">
            <v>968.93072540000003</v>
          </cell>
          <cell r="P61">
            <v>977.741624</v>
          </cell>
          <cell r="Q61">
            <v>986.5923229</v>
          </cell>
          <cell r="R61">
            <v>995.49285810000003</v>
          </cell>
          <cell r="S61">
            <v>1004.4561639999999</v>
          </cell>
          <cell r="T61">
            <v>1013.497522</v>
          </cell>
          <cell r="U61">
            <v>1022.6337</v>
          </cell>
          <cell r="V61">
            <v>1031.324022</v>
          </cell>
          <cell r="W61">
            <v>1040.482456</v>
          </cell>
          <cell r="X61">
            <v>1049.8819129999999</v>
          </cell>
          <cell r="Y61">
            <v>1059.4894710000001</v>
          </cell>
          <cell r="Z61">
            <v>1069.3041000000001</v>
          </cell>
          <cell r="AA61">
            <v>1077.7351000000001</v>
          </cell>
          <cell r="AB61">
            <v>1086.596421</v>
          </cell>
          <cell r="AC61">
            <v>1095.6446989999999</v>
          </cell>
          <cell r="AD61">
            <v>1104.87015</v>
          </cell>
          <cell r="AE61">
            <v>1114.2921650000001</v>
          </cell>
          <cell r="AF61">
            <v>1123.9319989999999</v>
          </cell>
          <cell r="AG61">
            <v>1133.80639</v>
          </cell>
          <cell r="AH61">
            <v>1143.9264840000001</v>
          </cell>
          <cell r="AI61">
            <v>1154.298284</v>
          </cell>
          <cell r="AJ61">
            <v>1164.9235960000001</v>
          </cell>
          <cell r="AK61">
            <v>1175.8011019999999</v>
          </cell>
          <cell r="AL61">
            <v>1186.547501</v>
          </cell>
          <cell r="AM61">
            <v>1197.3847470000001</v>
          </cell>
          <cell r="AN61">
            <v>1208.369355</v>
          </cell>
          <cell r="AO61">
            <v>1219.5260249999999</v>
          </cell>
          <cell r="AP61">
            <v>1230.869931</v>
          </cell>
          <cell r="AQ61">
            <v>1242.4119900000001</v>
          </cell>
          <cell r="AR61">
            <v>1254.1601189999999</v>
          </cell>
          <cell r="AS61">
            <v>1266.1197110000001</v>
          </cell>
          <cell r="AT61">
            <v>1278.2932069999999</v>
          </cell>
          <cell r="AU61">
            <v>1290.6780879999999</v>
          </cell>
          <cell r="AV61">
            <v>1303.2903180000001</v>
          </cell>
          <cell r="AW61">
            <v>1316.0983659999999</v>
          </cell>
          <cell r="AX61">
            <v>1329.0810899999999</v>
          </cell>
          <cell r="AY61">
            <v>1342.2672889999999</v>
          </cell>
          <cell r="AZ61">
            <v>1355.683589</v>
          </cell>
          <cell r="BA61">
            <v>1439.937007</v>
          </cell>
          <cell r="BB61">
            <v>1458.6938580000001</v>
          </cell>
          <cell r="BC61">
            <v>1477.7873520000001</v>
          </cell>
          <cell r="BD61">
            <v>1497.223776</v>
          </cell>
          <cell r="BE61">
            <v>1517.008474</v>
          </cell>
        </row>
        <row r="62">
          <cell r="B62">
            <v>6638.0705049999997</v>
          </cell>
          <cell r="C62">
            <v>6666.5558810000002</v>
          </cell>
          <cell r="D62">
            <v>6693.1265050000002</v>
          </cell>
          <cell r="E62">
            <v>6722.5814010000004</v>
          </cell>
          <cell r="F62">
            <v>6758.5613800000001</v>
          </cell>
          <cell r="G62">
            <v>6801.944356</v>
          </cell>
          <cell r="H62">
            <v>6848.6014260000002</v>
          </cell>
          <cell r="I62">
            <v>6899.2081669999998</v>
          </cell>
          <cell r="J62">
            <v>6952.9033980000004</v>
          </cell>
          <cell r="K62">
            <v>7008.6957329999996</v>
          </cell>
          <cell r="L62">
            <v>7064.5634389999996</v>
          </cell>
          <cell r="M62">
            <v>7127.0742719999998</v>
          </cell>
          <cell r="N62">
            <v>7191.1146410000001</v>
          </cell>
          <cell r="O62">
            <v>7255.8508089999996</v>
          </cell>
          <cell r="P62">
            <v>7320.9472500000002</v>
          </cell>
          <cell r="Q62">
            <v>7386.1919559999997</v>
          </cell>
          <cell r="R62">
            <v>7451.174215</v>
          </cell>
          <cell r="S62">
            <v>7516.0227649999997</v>
          </cell>
          <cell r="T62">
            <v>7580.7361010000004</v>
          </cell>
          <cell r="U62">
            <v>7645.3434749999997</v>
          </cell>
          <cell r="V62">
            <v>7705.8059999999996</v>
          </cell>
          <cell r="W62">
            <v>7768.8224129999999</v>
          </cell>
          <cell r="X62">
            <v>7832.7480029999997</v>
          </cell>
          <cell r="Y62">
            <v>7897.3630050000002</v>
          </cell>
          <cell r="Z62">
            <v>7962.7016020000001</v>
          </cell>
          <cell r="AA62">
            <v>8017.1891089999999</v>
          </cell>
          <cell r="AB62">
            <v>8074.2672499999999</v>
          </cell>
          <cell r="AC62">
            <v>8132.184585</v>
          </cell>
          <cell r="AD62">
            <v>8190.9396020000004</v>
          </cell>
          <cell r="AE62">
            <v>8250.7421830000003</v>
          </cell>
          <cell r="AF62">
            <v>8311.8038070000002</v>
          </cell>
          <cell r="AG62">
            <v>8374.375994</v>
          </cell>
          <cell r="AH62">
            <v>8438.5256769999996</v>
          </cell>
          <cell r="AI62">
            <v>8504.3315490000005</v>
          </cell>
          <cell r="AJ62">
            <v>8571.8397750000004</v>
          </cell>
          <cell r="AK62">
            <v>8641.0660329999992</v>
          </cell>
          <cell r="AL62">
            <v>8710.0260089999992</v>
          </cell>
          <cell r="AM62">
            <v>8779.7467699999997</v>
          </cell>
          <cell r="AN62">
            <v>8850.6076369999992</v>
          </cell>
          <cell r="AO62">
            <v>8922.7885879999994</v>
          </cell>
          <cell r="AP62">
            <v>8996.3796789999997</v>
          </cell>
          <cell r="AQ62">
            <v>9071.5517519999994</v>
          </cell>
          <cell r="AR62">
            <v>9148.2259470000008</v>
          </cell>
          <cell r="AS62">
            <v>9226.3955929999993</v>
          </cell>
          <cell r="AT62">
            <v>9306.0512010000002</v>
          </cell>
          <cell r="AU62">
            <v>9387.1756210000003</v>
          </cell>
          <cell r="AV62">
            <v>9470.4490050000004</v>
          </cell>
          <cell r="AW62">
            <v>9555.3686710000002</v>
          </cell>
          <cell r="AX62">
            <v>9641.850085</v>
          </cell>
          <cell r="AY62">
            <v>9729.8565589999998</v>
          </cell>
          <cell r="AZ62">
            <v>9819.356522</v>
          </cell>
          <cell r="BA62">
            <v>10880.202670000001</v>
          </cell>
          <cell r="BB62">
            <v>11017.877930000001</v>
          </cell>
          <cell r="BC62">
            <v>11158.121730000001</v>
          </cell>
          <cell r="BD62">
            <v>11300.94836</v>
          </cell>
          <cell r="BE62">
            <v>11446.37428</v>
          </cell>
        </row>
        <row r="63">
          <cell r="B63">
            <v>6719.6002200000003</v>
          </cell>
          <cell r="C63">
            <v>6768.9142549999997</v>
          </cell>
          <cell r="D63">
            <v>6810.6479849999996</v>
          </cell>
          <cell r="E63">
            <v>6853.0738009999995</v>
          </cell>
          <cell r="F63">
            <v>6899.0184310000004</v>
          </cell>
          <cell r="G63">
            <v>6950.6605689999997</v>
          </cell>
          <cell r="H63">
            <v>7004.8134369999998</v>
          </cell>
          <cell r="I63">
            <v>7062.5745639999996</v>
          </cell>
          <cell r="J63">
            <v>7123.2848819999999</v>
          </cell>
          <cell r="K63">
            <v>7186.108577</v>
          </cell>
          <cell r="L63">
            <v>7256.2934990000003</v>
          </cell>
          <cell r="M63">
            <v>7323.9566530000002</v>
          </cell>
          <cell r="N63">
            <v>7391.392468</v>
          </cell>
          <cell r="O63">
            <v>7458.9753110000001</v>
          </cell>
          <cell r="P63">
            <v>7526.8029420000003</v>
          </cell>
          <cell r="Q63">
            <v>7594.9369610000003</v>
          </cell>
          <cell r="R63">
            <v>7663.4546270000001</v>
          </cell>
          <cell r="S63">
            <v>7732.455516</v>
          </cell>
          <cell r="T63">
            <v>7802.0572549999997</v>
          </cell>
          <cell r="U63">
            <v>7872.3889360000003</v>
          </cell>
          <cell r="V63">
            <v>7939.2883439999996</v>
          </cell>
          <cell r="W63">
            <v>8009.7913550000003</v>
          </cell>
          <cell r="X63">
            <v>8082.1498000000001</v>
          </cell>
          <cell r="Y63">
            <v>8156.1102350000001</v>
          </cell>
          <cell r="Z63">
            <v>8231.6647350000003</v>
          </cell>
          <cell r="AA63">
            <v>8296.5678439999992</v>
          </cell>
          <cell r="AB63">
            <v>8364.7836339999994</v>
          </cell>
          <cell r="AC63">
            <v>8434.4386470000009</v>
          </cell>
          <cell r="AD63">
            <v>8505.4575679999998</v>
          </cell>
          <cell r="AE63">
            <v>8577.9896630000003</v>
          </cell>
          <cell r="AF63">
            <v>8652.1985619999996</v>
          </cell>
          <cell r="AG63">
            <v>8728.2131210000007</v>
          </cell>
          <cell r="AH63">
            <v>8806.119138</v>
          </cell>
          <cell r="AI63">
            <v>8885.9628219999995</v>
          </cell>
          <cell r="AJ63">
            <v>8967.7580780000008</v>
          </cell>
          <cell r="AK63">
            <v>9051.4947670000001</v>
          </cell>
          <cell r="AL63">
            <v>9134.2221699999991</v>
          </cell>
          <cell r="AM63">
            <v>9217.6489330000004</v>
          </cell>
          <cell r="AN63">
            <v>9302.2101060000005</v>
          </cell>
          <cell r="AO63">
            <v>9388.0958379999993</v>
          </cell>
          <cell r="AP63">
            <v>9475.4229469999991</v>
          </cell>
          <cell r="AQ63">
            <v>9564.2754609999993</v>
          </cell>
          <cell r="AR63">
            <v>9654.7143369999994</v>
          </cell>
          <cell r="AS63">
            <v>9746.7810809999992</v>
          </cell>
          <cell r="AT63">
            <v>9840.4944990000004</v>
          </cell>
          <cell r="AU63">
            <v>9935.8351829999992</v>
          </cell>
          <cell r="AV63">
            <v>10032.92604</v>
          </cell>
          <cell r="AW63">
            <v>10131.52433</v>
          </cell>
          <cell r="AX63">
            <v>10231.46731</v>
          </cell>
          <cell r="AY63">
            <v>10332.97666</v>
          </cell>
          <cell r="AZ63">
            <v>10436.25736</v>
          </cell>
          <cell r="BA63">
            <v>11084.852919999999</v>
          </cell>
          <cell r="BB63">
            <v>11229.245999999999</v>
          </cell>
          <cell r="BC63">
            <v>11376.230610000001</v>
          </cell>
          <cell r="BD63">
            <v>11525.85514</v>
          </cell>
          <cell r="BE63">
            <v>11678.160739999999</v>
          </cell>
        </row>
        <row r="64">
          <cell r="B64">
            <v>7854.38645</v>
          </cell>
          <cell r="C64">
            <v>7918.5165150000003</v>
          </cell>
          <cell r="D64">
            <v>7981.8411450000003</v>
          </cell>
          <cell r="E64">
            <v>8045.7355740000003</v>
          </cell>
          <cell r="F64">
            <v>8112.980184</v>
          </cell>
          <cell r="G64">
            <v>8184.909087</v>
          </cell>
          <cell r="H64">
            <v>8255.6673100000007</v>
          </cell>
          <cell r="I64">
            <v>8328.3464810000005</v>
          </cell>
          <cell r="J64">
            <v>8403.4559769999996</v>
          </cell>
          <cell r="K64">
            <v>8480.6820979999993</v>
          </cell>
          <cell r="L64">
            <v>8564.5731959999994</v>
          </cell>
          <cell r="M64">
            <v>8650.0906200000009</v>
          </cell>
          <cell r="N64">
            <v>8735.6013029999995</v>
          </cell>
          <cell r="O64">
            <v>8821.2227149999999</v>
          </cell>
          <cell r="P64">
            <v>8906.9784010000003</v>
          </cell>
          <cell r="Q64">
            <v>8992.795478</v>
          </cell>
          <cell r="R64">
            <v>9078.4164880000008</v>
          </cell>
          <cell r="S64">
            <v>9163.9013950000008</v>
          </cell>
          <cell r="T64">
            <v>9249.2104949999994</v>
          </cell>
          <cell r="U64">
            <v>9334.3360030000003</v>
          </cell>
          <cell r="V64">
            <v>9412.3027120000006</v>
          </cell>
          <cell r="W64">
            <v>9494.3746520000004</v>
          </cell>
          <cell r="X64">
            <v>9577.9881370000003</v>
          </cell>
          <cell r="Y64">
            <v>9662.3966490000003</v>
          </cell>
          <cell r="Z64">
            <v>9747.3783660000008</v>
          </cell>
          <cell r="AA64">
            <v>9813.3669640000007</v>
          </cell>
          <cell r="AB64">
            <v>9882.4912789999998</v>
          </cell>
          <cell r="AC64">
            <v>9952.765496</v>
          </cell>
          <cell r="AD64">
            <v>10023.870580000001</v>
          </cell>
          <cell r="AE64">
            <v>10095.80753</v>
          </cell>
          <cell r="AF64">
            <v>10168.656370000001</v>
          </cell>
          <cell r="AG64">
            <v>10242.555319999999</v>
          </cell>
          <cell r="AH64">
            <v>10317.544019999999</v>
          </cell>
          <cell r="AI64">
            <v>10393.68219</v>
          </cell>
          <cell r="AJ64">
            <v>10471.01046</v>
          </cell>
          <cell r="AK64">
            <v>10549.548629999999</v>
          </cell>
          <cell r="AL64">
            <v>10625.368049999999</v>
          </cell>
          <cell r="AM64">
            <v>10700.678379999999</v>
          </cell>
          <cell r="AN64">
            <v>10776.40105</v>
          </cell>
          <cell r="AO64">
            <v>10852.94832</v>
          </cell>
          <cell r="AP64">
            <v>10930.49928</v>
          </cell>
          <cell r="AQ64">
            <v>11009.19931</v>
          </cell>
          <cell r="AR64">
            <v>11089.005950000001</v>
          </cell>
          <cell r="AS64">
            <v>11169.91948</v>
          </cell>
          <cell r="AT64">
            <v>11251.93382</v>
          </cell>
          <cell r="AU64">
            <v>11335.03543</v>
          </cell>
          <cell r="AV64">
            <v>11419.848019999999</v>
          </cell>
          <cell r="AW64">
            <v>11505.910900000001</v>
          </cell>
          <cell r="AX64">
            <v>11593.13825</v>
          </cell>
          <cell r="AY64">
            <v>11681.50099</v>
          </cell>
          <cell r="AZ64">
            <v>11770.97694</v>
          </cell>
          <cell r="BA64">
            <v>12248.41584</v>
          </cell>
          <cell r="BB64">
            <v>12371.03154</v>
          </cell>
          <cell r="BC64">
            <v>12495.64899</v>
          </cell>
          <cell r="BD64">
            <v>12622.26433</v>
          </cell>
          <cell r="BE64">
            <v>12750.89213</v>
          </cell>
        </row>
        <row r="65">
          <cell r="B65">
            <v>7913.6606359999996</v>
          </cell>
          <cell r="C65">
            <v>7990.3891030000004</v>
          </cell>
          <cell r="D65">
            <v>8067.9693950000001</v>
          </cell>
          <cell r="E65">
            <v>8149.2163499999997</v>
          </cell>
          <cell r="F65">
            <v>8235.4516739999999</v>
          </cell>
          <cell r="G65">
            <v>8319.7968309999997</v>
          </cell>
          <cell r="H65">
            <v>8396.1485360000006</v>
          </cell>
          <cell r="I65">
            <v>8469.5897420000001</v>
          </cell>
          <cell r="J65">
            <v>8542.4909829999997</v>
          </cell>
          <cell r="K65">
            <v>8615.8540240000002</v>
          </cell>
          <cell r="L65">
            <v>8700.3020610000003</v>
          </cell>
          <cell r="M65">
            <v>8779.453947</v>
          </cell>
          <cell r="N65">
            <v>8857.1350920000004</v>
          </cell>
          <cell r="O65">
            <v>8934.5388889999995</v>
          </cell>
          <cell r="P65">
            <v>9012.1155620000009</v>
          </cell>
          <cell r="Q65">
            <v>9090.0520030000007</v>
          </cell>
          <cell r="R65">
            <v>9168.4447670000009</v>
          </cell>
          <cell r="S65">
            <v>9247.366102</v>
          </cell>
          <cell r="T65">
            <v>9326.8877300000004</v>
          </cell>
          <cell r="U65">
            <v>9407.0871330000009</v>
          </cell>
          <cell r="V65">
            <v>9480.9154099999996</v>
          </cell>
          <cell r="W65">
            <v>9559.8609520000009</v>
          </cell>
          <cell r="X65">
            <v>9641.2847920000004</v>
          </cell>
          <cell r="Y65">
            <v>9724.4043419999998</v>
          </cell>
          <cell r="Z65">
            <v>9808.949611</v>
          </cell>
          <cell r="AA65">
            <v>9874.9043280000005</v>
          </cell>
          <cell r="AB65">
            <v>9944.7323980000001</v>
          </cell>
          <cell r="AC65">
            <v>10016.36916</v>
          </cell>
          <cell r="AD65">
            <v>10089.44087</v>
          </cell>
          <cell r="AE65">
            <v>10163.8835</v>
          </cell>
          <cell r="AF65">
            <v>10239.73105</v>
          </cell>
          <cell r="AG65">
            <v>10317.035760000001</v>
          </cell>
          <cell r="AH65">
            <v>10395.84067</v>
          </cell>
          <cell r="AI65">
            <v>10476.17172</v>
          </cell>
          <cell r="AJ65">
            <v>10558.038280000001</v>
          </cell>
          <cell r="AK65">
            <v>10641.43715</v>
          </cell>
          <cell r="AL65">
            <v>10721.86406</v>
          </cell>
          <cell r="AM65">
            <v>10801.982830000001</v>
          </cell>
          <cell r="AN65">
            <v>10882.72718</v>
          </cell>
          <cell r="AO65">
            <v>10964.51283</v>
          </cell>
          <cell r="AP65">
            <v>11047.561879999999</v>
          </cell>
          <cell r="AQ65">
            <v>11132.021699999999</v>
          </cell>
          <cell r="AR65">
            <v>11218.015590000001</v>
          </cell>
          <cell r="AS65">
            <v>11305.67317</v>
          </cell>
          <cell r="AT65">
            <v>11395.162469999999</v>
          </cell>
          <cell r="AU65">
            <v>11486.759389999999</v>
          </cell>
          <cell r="AV65">
            <v>11581.4792</v>
          </cell>
          <cell r="AW65">
            <v>11676.25065</v>
          </cell>
          <cell r="AX65">
            <v>11770.600839999999</v>
          </cell>
          <cell r="AY65">
            <v>11864.915870000001</v>
          </cell>
          <cell r="AZ65">
            <v>11959.764090000001</v>
          </cell>
          <cell r="BA65">
            <v>12608.19685</v>
          </cell>
          <cell r="BB65">
            <v>12741.371359999999</v>
          </cell>
          <cell r="BC65">
            <v>12876.53918</v>
          </cell>
          <cell r="BD65">
            <v>13013.763499999999</v>
          </cell>
          <cell r="BE65">
            <v>13153.091350000001</v>
          </cell>
        </row>
        <row r="66">
          <cell r="B66">
            <v>108.4332033</v>
          </cell>
          <cell r="C66">
            <v>108.8985133</v>
          </cell>
          <cell r="D66">
            <v>109.33254580000001</v>
          </cell>
          <cell r="E66">
            <v>109.81369290000001</v>
          </cell>
          <cell r="F66">
            <v>110.40142760000001</v>
          </cell>
          <cell r="G66">
            <v>111.11009060000001</v>
          </cell>
          <cell r="H66">
            <v>111.87223609999999</v>
          </cell>
          <cell r="I66">
            <v>112.6988997</v>
          </cell>
          <cell r="J66">
            <v>113.57601390000001</v>
          </cell>
          <cell r="K66">
            <v>114.4873844</v>
          </cell>
          <cell r="L66">
            <v>115.39998610000001</v>
          </cell>
          <cell r="M66">
            <v>116.4211036</v>
          </cell>
          <cell r="N66">
            <v>117.4672061</v>
          </cell>
          <cell r="O66">
            <v>118.5246745</v>
          </cell>
          <cell r="P66">
            <v>119.5880281</v>
          </cell>
          <cell r="Q66">
            <v>120.6538035</v>
          </cell>
          <cell r="R66">
            <v>121.7152918</v>
          </cell>
          <cell r="S66">
            <v>122.774596</v>
          </cell>
          <cell r="T66">
            <v>123.83169150000001</v>
          </cell>
          <cell r="U66">
            <v>124.8870561</v>
          </cell>
          <cell r="V66">
            <v>125.8747144</v>
          </cell>
          <cell r="W66">
            <v>126.9040905</v>
          </cell>
          <cell r="X66">
            <v>127.94831809999999</v>
          </cell>
          <cell r="Y66">
            <v>129.00380730000001</v>
          </cell>
          <cell r="Z66">
            <v>130.07111649999999</v>
          </cell>
          <cell r="AA66">
            <v>130.9611725</v>
          </cell>
          <cell r="AB66">
            <v>131.8935468</v>
          </cell>
          <cell r="AC66">
            <v>132.83962919999999</v>
          </cell>
          <cell r="AD66">
            <v>133.79939529999999</v>
          </cell>
          <cell r="AE66">
            <v>134.77627330000001</v>
          </cell>
          <cell r="AF66">
            <v>135.77371790000001</v>
          </cell>
          <cell r="AG66">
            <v>136.7958376</v>
          </cell>
          <cell r="AH66">
            <v>137.84372579999999</v>
          </cell>
          <cell r="AI66">
            <v>138.9186679</v>
          </cell>
          <cell r="AJ66">
            <v>140.02141810000001</v>
          </cell>
          <cell r="AK66">
            <v>141.15223230000001</v>
          </cell>
          <cell r="AL66">
            <v>142.2786969</v>
          </cell>
          <cell r="AM66">
            <v>143.4175889</v>
          </cell>
          <cell r="AN66">
            <v>144.5751046</v>
          </cell>
          <cell r="AO66">
            <v>145.75418389999999</v>
          </cell>
          <cell r="AP66">
            <v>146.95629790000001</v>
          </cell>
          <cell r="AQ66">
            <v>148.1842374</v>
          </cell>
          <cell r="AR66">
            <v>149.43671409999999</v>
          </cell>
          <cell r="AS66">
            <v>150.71361909999999</v>
          </cell>
          <cell r="AT66">
            <v>152.0147973</v>
          </cell>
          <cell r="AU66">
            <v>153.33996859999999</v>
          </cell>
          <cell r="AV66">
            <v>154.70024340000001</v>
          </cell>
          <cell r="AW66">
            <v>156.08741019999999</v>
          </cell>
          <cell r="AX66">
            <v>157.50008829999999</v>
          </cell>
          <cell r="AY66">
            <v>158.93767829999999</v>
          </cell>
          <cell r="AZ66">
            <v>160.39966459999999</v>
          </cell>
          <cell r="BA66">
            <v>177.7286378</v>
          </cell>
          <cell r="BB66">
            <v>179.9775698</v>
          </cell>
          <cell r="BC66">
            <v>182.2684591</v>
          </cell>
          <cell r="BD66">
            <v>184.60153890000001</v>
          </cell>
          <cell r="BE66">
            <v>186.9770785</v>
          </cell>
        </row>
        <row r="67">
          <cell r="B67">
            <v>109.7649952</v>
          </cell>
          <cell r="C67">
            <v>110.5705423</v>
          </cell>
          <cell r="D67">
            <v>111.25226480000001</v>
          </cell>
          <cell r="E67">
            <v>111.9452926</v>
          </cell>
          <cell r="F67">
            <v>112.6958004</v>
          </cell>
          <cell r="G67">
            <v>113.5393772</v>
          </cell>
          <cell r="H67">
            <v>114.4239669</v>
          </cell>
          <cell r="I67">
            <v>115.3674977</v>
          </cell>
          <cell r="J67">
            <v>116.35920369999999</v>
          </cell>
          <cell r="K67">
            <v>117.38543180000001</v>
          </cell>
          <cell r="L67">
            <v>118.5319059</v>
          </cell>
          <cell r="M67">
            <v>119.63718679999999</v>
          </cell>
          <cell r="N67">
            <v>120.73875409999999</v>
          </cell>
          <cell r="O67">
            <v>121.8427231</v>
          </cell>
          <cell r="P67">
            <v>122.9506907</v>
          </cell>
          <cell r="Q67">
            <v>124.06366319999999</v>
          </cell>
          <cell r="R67">
            <v>125.18290260000001</v>
          </cell>
          <cell r="S67">
            <v>126.3100355</v>
          </cell>
          <cell r="T67">
            <v>127.4469833</v>
          </cell>
          <cell r="U67">
            <v>128.59585469999999</v>
          </cell>
          <cell r="V67">
            <v>129.68865980000001</v>
          </cell>
          <cell r="W67">
            <v>130.8403299</v>
          </cell>
          <cell r="X67">
            <v>132.0223086</v>
          </cell>
          <cell r="Y67">
            <v>133.23045590000001</v>
          </cell>
          <cell r="Z67">
            <v>134.46464230000001</v>
          </cell>
          <cell r="AA67">
            <v>135.52483770000001</v>
          </cell>
          <cell r="AB67">
            <v>136.63914600000001</v>
          </cell>
          <cell r="AC67">
            <v>137.77696399999999</v>
          </cell>
          <cell r="AD67">
            <v>138.9370615</v>
          </cell>
          <cell r="AE67">
            <v>140.1218768</v>
          </cell>
          <cell r="AF67">
            <v>141.33408270000001</v>
          </cell>
          <cell r="AG67">
            <v>142.57578419999999</v>
          </cell>
          <cell r="AH67">
            <v>143.8483828</v>
          </cell>
          <cell r="AI67">
            <v>145.15263329999999</v>
          </cell>
          <cell r="AJ67">
            <v>146.4887627</v>
          </cell>
          <cell r="AK67">
            <v>147.85660559999999</v>
          </cell>
          <cell r="AL67">
            <v>149.2079617</v>
          </cell>
          <cell r="AM67">
            <v>150.5707419</v>
          </cell>
          <cell r="AN67">
            <v>151.95205279999999</v>
          </cell>
          <cell r="AO67">
            <v>153.35500039999999</v>
          </cell>
          <cell r="AP67">
            <v>154.78149289999999</v>
          </cell>
          <cell r="AQ67">
            <v>156.23290309999999</v>
          </cell>
          <cell r="AR67">
            <v>157.7102265</v>
          </cell>
          <cell r="AS67">
            <v>159.2141412</v>
          </cell>
          <cell r="AT67">
            <v>160.74495440000001</v>
          </cell>
          <cell r="AU67">
            <v>162.30234909999999</v>
          </cell>
          <cell r="AV67">
            <v>163.88833299999999</v>
          </cell>
          <cell r="AW67">
            <v>165.49894090000001</v>
          </cell>
          <cell r="AX67">
            <v>167.1315142</v>
          </cell>
          <cell r="AY67">
            <v>168.7896744</v>
          </cell>
          <cell r="AZ67">
            <v>170.47676970000001</v>
          </cell>
          <cell r="BA67">
            <v>181.07160959999999</v>
          </cell>
          <cell r="BB67">
            <v>183.43027749999999</v>
          </cell>
          <cell r="BC67">
            <v>185.83127820000001</v>
          </cell>
          <cell r="BD67">
            <v>188.27540210000001</v>
          </cell>
          <cell r="BE67">
            <v>190.76332149999999</v>
          </cell>
        </row>
      </sheetData>
      <sheetData sheetId="4">
        <row r="2">
          <cell r="B2">
            <v>5219826.1320000002</v>
          </cell>
          <cell r="C2">
            <v>5274071.9390000002</v>
          </cell>
          <cell r="D2">
            <v>5328391.2939999998</v>
          </cell>
          <cell r="E2">
            <v>5383582.335</v>
          </cell>
          <cell r="F2">
            <v>5440118.5410000002</v>
          </cell>
          <cell r="G2">
            <v>5498297.1409999998</v>
          </cell>
          <cell r="H2">
            <v>5558120.0839999998</v>
          </cell>
          <cell r="I2">
            <v>5619601.9000000004</v>
          </cell>
          <cell r="J2">
            <v>5682772.1749999998</v>
          </cell>
          <cell r="K2">
            <v>5747666.9289999995</v>
          </cell>
          <cell r="L2">
            <v>5814294.9910000004</v>
          </cell>
          <cell r="M2">
            <v>5882984.9249999998</v>
          </cell>
          <cell r="N2">
            <v>5953900.1960000005</v>
          </cell>
          <cell r="O2">
            <v>6027119.9000000004</v>
          </cell>
          <cell r="P2">
            <v>6102686.159</v>
          </cell>
          <cell r="Q2">
            <v>6180625.7070000004</v>
          </cell>
          <cell r="R2">
            <v>6260940.1310000001</v>
          </cell>
          <cell r="S2">
            <v>6343636.0099999998</v>
          </cell>
          <cell r="T2">
            <v>6428723.1469999999</v>
          </cell>
          <cell r="U2">
            <v>6516212.7860000003</v>
          </cell>
          <cell r="V2">
            <v>6605869.5149999997</v>
          </cell>
          <cell r="W2">
            <v>6697782.307</v>
          </cell>
          <cell r="X2">
            <v>6792017.8059999999</v>
          </cell>
          <cell r="Y2">
            <v>6888621.8049999997</v>
          </cell>
          <cell r="Z2">
            <v>6987627.8090000004</v>
          </cell>
          <cell r="AA2">
            <v>7088347.5889999997</v>
          </cell>
          <cell r="AB2">
            <v>7190693.1140000001</v>
          </cell>
          <cell r="AC2">
            <v>7294607.3339999998</v>
          </cell>
          <cell r="AD2">
            <v>7400043.557</v>
          </cell>
          <cell r="AE2">
            <v>7506966.4119999995</v>
          </cell>
          <cell r="AF2">
            <v>7615350.835</v>
          </cell>
          <cell r="AG2">
            <v>7725185.1440000003</v>
          </cell>
          <cell r="AH2">
            <v>7836459.7249999996</v>
          </cell>
          <cell r="AI2">
            <v>7949164.7630000003</v>
          </cell>
          <cell r="AJ2">
            <v>8063288.4900000002</v>
          </cell>
          <cell r="AK2">
            <v>8178816.0880000005</v>
          </cell>
          <cell r="AL2">
            <v>8295612.5159999998</v>
          </cell>
          <cell r="AM2">
            <v>8413569.9649999999</v>
          </cell>
          <cell r="AN2">
            <v>8532601.7850000001</v>
          </cell>
          <cell r="AO2">
            <v>8652635.3839999996</v>
          </cell>
          <cell r="AP2">
            <v>8773609.2009999994</v>
          </cell>
          <cell r="AQ2">
            <v>8895481.0889999997</v>
          </cell>
          <cell r="AR2">
            <v>9018214.3350000009</v>
          </cell>
          <cell r="AS2">
            <v>9141777.6150000002</v>
          </cell>
          <cell r="AT2">
            <v>9266144.5500000007</v>
          </cell>
          <cell r="AU2">
            <v>9391293.057</v>
          </cell>
          <cell r="AV2">
            <v>9517254.9829999991</v>
          </cell>
          <cell r="AW2">
            <v>9644048.5380000006</v>
          </cell>
          <cell r="AX2">
            <v>9771682.9560000002</v>
          </cell>
          <cell r="AY2">
            <v>9900162.5109999999</v>
          </cell>
          <cell r="AZ2">
            <v>10029489.289999999</v>
          </cell>
          <cell r="BA2">
            <v>11978567.880000001</v>
          </cell>
          <cell r="BB2">
            <v>12204228.35</v>
          </cell>
          <cell r="BC2">
            <v>12433206.91</v>
          </cell>
          <cell r="BD2">
            <v>12665453.859999999</v>
          </cell>
          <cell r="BE2">
            <v>12900919.949999999</v>
          </cell>
        </row>
        <row r="3">
          <cell r="B3">
            <v>5224351.5990000004</v>
          </cell>
          <cell r="C3">
            <v>5285939.1890000002</v>
          </cell>
          <cell r="D3">
            <v>5349468.2699999996</v>
          </cell>
          <cell r="E3">
            <v>5415267.1299999999</v>
          </cell>
          <cell r="F3">
            <v>5483570.4560000002</v>
          </cell>
          <cell r="G3">
            <v>5554548.6670000004</v>
          </cell>
          <cell r="H3">
            <v>5628132.9570000004</v>
          </cell>
          <cell r="I3">
            <v>5704292.977</v>
          </cell>
          <cell r="J3">
            <v>5783028.068</v>
          </cell>
          <cell r="K3">
            <v>5864354.1339999996</v>
          </cell>
          <cell r="L3">
            <v>5948646.0389999999</v>
          </cell>
          <cell r="M3">
            <v>6035819.6490000002</v>
          </cell>
          <cell r="N3">
            <v>6125820.8250000002</v>
          </cell>
          <cell r="O3">
            <v>6218620.2939999998</v>
          </cell>
          <cell r="P3">
            <v>6314200.1509999996</v>
          </cell>
          <cell r="Q3">
            <v>6412547.8660000004</v>
          </cell>
          <cell r="R3">
            <v>6513654.2609999999</v>
          </cell>
          <cell r="S3">
            <v>6617512.8940000003</v>
          </cell>
          <cell r="T3">
            <v>6724119.6909999996</v>
          </cell>
          <cell r="U3">
            <v>6833472.3949999996</v>
          </cell>
          <cell r="V3">
            <v>6945305.1560000004</v>
          </cell>
          <cell r="W3">
            <v>7059698.8569999998</v>
          </cell>
          <cell r="X3">
            <v>7176711.4029999999</v>
          </cell>
          <cell r="Y3">
            <v>7296379.2060000002</v>
          </cell>
          <cell r="Z3">
            <v>7418725.773</v>
          </cell>
          <cell r="AA3">
            <v>7542993.5420000004</v>
          </cell>
          <cell r="AB3">
            <v>7669058.5219999999</v>
          </cell>
          <cell r="AC3">
            <v>7796832.5369999995</v>
          </cell>
          <cell r="AD3">
            <v>7926240.9440000001</v>
          </cell>
          <cell r="AE3">
            <v>8057223.2769999998</v>
          </cell>
          <cell r="AF3">
            <v>8189731.7740000002</v>
          </cell>
          <cell r="AG3">
            <v>8323728.102</v>
          </cell>
          <cell r="AH3">
            <v>8459179.6549999993</v>
          </cell>
          <cell r="AI3">
            <v>8596056.3389999997</v>
          </cell>
          <cell r="AJ3">
            <v>8734328.2559999991</v>
          </cell>
          <cell r="AK3">
            <v>8873964.3579999991</v>
          </cell>
          <cell r="AL3">
            <v>9014742.1789999995</v>
          </cell>
          <cell r="AM3">
            <v>9156493.5219999999</v>
          </cell>
          <cell r="AN3">
            <v>9299090.3080000002</v>
          </cell>
          <cell r="AO3">
            <v>9442431.8110000007</v>
          </cell>
          <cell r="AP3">
            <v>9586438.2229999993</v>
          </cell>
          <cell r="AQ3">
            <v>9731047.0309999995</v>
          </cell>
          <cell r="AR3">
            <v>9876210.398</v>
          </cell>
          <cell r="AS3">
            <v>10021892.93</v>
          </cell>
          <cell r="AT3">
            <v>10168069.75</v>
          </cell>
          <cell r="AU3">
            <v>10314724.859999999</v>
          </cell>
          <cell r="AV3">
            <v>10461867.300000001</v>
          </cell>
          <cell r="AW3">
            <v>10609507.949999999</v>
          </cell>
          <cell r="AX3">
            <v>10757660.439999999</v>
          </cell>
          <cell r="AY3">
            <v>10906341.779999999</v>
          </cell>
          <cell r="AZ3">
            <v>11055572.85</v>
          </cell>
          <cell r="BA3">
            <v>12048683.140000001</v>
          </cell>
          <cell r="BB3">
            <v>12276883.67</v>
          </cell>
          <cell r="BC3">
            <v>12508283.220000001</v>
          </cell>
          <cell r="BD3">
            <v>12742824.369999999</v>
          </cell>
          <cell r="BE3">
            <v>12980451.76</v>
          </cell>
        </row>
        <row r="4">
          <cell r="B4">
            <v>47165.587359999998</v>
          </cell>
          <cell r="C4">
            <v>47626.452080000003</v>
          </cell>
          <cell r="D4">
            <v>48069.188170000001</v>
          </cell>
          <cell r="E4">
            <v>48504.609640000002</v>
          </cell>
          <cell r="F4">
            <v>48941.690069999997</v>
          </cell>
          <cell r="G4">
            <v>49387.59143</v>
          </cell>
          <cell r="H4">
            <v>49846.036390000001</v>
          </cell>
          <cell r="I4">
            <v>50319.952940000003</v>
          </cell>
          <cell r="J4">
            <v>50811.626120000001</v>
          </cell>
          <cell r="K4">
            <v>51322.763800000001</v>
          </cell>
          <cell r="L4">
            <v>51853.466379999998</v>
          </cell>
          <cell r="M4">
            <v>52408.499920000002</v>
          </cell>
          <cell r="N4">
            <v>52989.943979999996</v>
          </cell>
          <cell r="O4">
            <v>53598.580450000001</v>
          </cell>
          <cell r="P4">
            <v>54234.626459999999</v>
          </cell>
          <cell r="Q4">
            <v>54898.023699999998</v>
          </cell>
          <cell r="R4">
            <v>55588.362560000001</v>
          </cell>
          <cell r="S4">
            <v>56305.203079999999</v>
          </cell>
          <cell r="T4">
            <v>57048.067900000002</v>
          </cell>
          <cell r="U4">
            <v>57816.462079999998</v>
          </cell>
          <cell r="V4">
            <v>58607.62975</v>
          </cell>
          <cell r="W4">
            <v>59421.686800000003</v>
          </cell>
          <cell r="X4">
            <v>60258.703240000003</v>
          </cell>
          <cell r="Y4">
            <v>61118.640030000002</v>
          </cell>
          <cell r="Z4">
            <v>62001.40105</v>
          </cell>
          <cell r="AA4">
            <v>62900.31839</v>
          </cell>
          <cell r="AB4">
            <v>63813.951419999998</v>
          </cell>
          <cell r="AC4">
            <v>64741.41936</v>
          </cell>
          <cell r="AD4">
            <v>65682.145000000004</v>
          </cell>
          <cell r="AE4">
            <v>66635.822150000007</v>
          </cell>
          <cell r="AF4">
            <v>67602.371029999995</v>
          </cell>
          <cell r="AG4">
            <v>68581.938649999996</v>
          </cell>
          <cell r="AH4">
            <v>69574.758979999999</v>
          </cell>
          <cell r="AI4">
            <v>70581.113299999997</v>
          </cell>
          <cell r="AJ4">
            <v>71601.293550000002</v>
          </cell>
          <cell r="AK4">
            <v>72635.579740000001</v>
          </cell>
          <cell r="AL4">
            <v>73683.209659999993</v>
          </cell>
          <cell r="AM4">
            <v>74743.583700000003</v>
          </cell>
          <cell r="AN4">
            <v>75816.335529999997</v>
          </cell>
          <cell r="AO4">
            <v>76901.254690000002</v>
          </cell>
          <cell r="AP4">
            <v>77998.250899999999</v>
          </cell>
          <cell r="AQ4">
            <v>79107.43651</v>
          </cell>
          <cell r="AR4">
            <v>80228.978820000004</v>
          </cell>
          <cell r="AS4">
            <v>81363.097020000001</v>
          </cell>
          <cell r="AT4">
            <v>82510.042409999995</v>
          </cell>
          <cell r="AU4">
            <v>83670.082460000005</v>
          </cell>
          <cell r="AV4">
            <v>84843.991599999994</v>
          </cell>
          <cell r="AW4">
            <v>86032.383390000003</v>
          </cell>
          <cell r="AX4">
            <v>87235.762539999996</v>
          </cell>
          <cell r="AY4">
            <v>88454.532980000004</v>
          </cell>
          <cell r="AZ4">
            <v>89689.015119999996</v>
          </cell>
          <cell r="BA4">
            <v>103584.394</v>
          </cell>
          <cell r="BB4">
            <v>105462.39079999999</v>
          </cell>
          <cell r="BC4">
            <v>107372.7289</v>
          </cell>
          <cell r="BD4">
            <v>109315.7332</v>
          </cell>
          <cell r="BE4">
            <v>111291.7519</v>
          </cell>
        </row>
        <row r="5">
          <cell r="B5">
            <v>47217.39402</v>
          </cell>
          <cell r="C5">
            <v>47760.717660000002</v>
          </cell>
          <cell r="D5">
            <v>48305.589419999997</v>
          </cell>
          <cell r="E5">
            <v>48857.212800000001</v>
          </cell>
          <cell r="F5">
            <v>49421.240109999999</v>
          </cell>
          <cell r="G5">
            <v>50002.531949999997</v>
          </cell>
          <cell r="H5">
            <v>50603.050940000001</v>
          </cell>
          <cell r="I5">
            <v>51224.306550000001</v>
          </cell>
          <cell r="J5">
            <v>51867.452490000003</v>
          </cell>
          <cell r="K5">
            <v>52533.32185</v>
          </cell>
          <cell r="L5">
            <v>53225.70549</v>
          </cell>
          <cell r="M5">
            <v>53944.036310000003</v>
          </cell>
          <cell r="N5">
            <v>54687.691319999998</v>
          </cell>
          <cell r="O5">
            <v>55456.09564</v>
          </cell>
          <cell r="P5">
            <v>56248.676189999998</v>
          </cell>
          <cell r="Q5">
            <v>57064.860769999999</v>
          </cell>
          <cell r="R5">
            <v>57904.09794</v>
          </cell>
          <cell r="S5">
            <v>58765.87659</v>
          </cell>
          <cell r="T5">
            <v>59649.737860000001</v>
          </cell>
          <cell r="U5">
            <v>60555.279069999997</v>
          </cell>
          <cell r="V5">
            <v>61479.729299999999</v>
          </cell>
          <cell r="W5">
            <v>62423.455399999999</v>
          </cell>
          <cell r="X5">
            <v>63386.779849999999</v>
          </cell>
          <cell r="Y5">
            <v>64369.919150000002</v>
          </cell>
          <cell r="Z5">
            <v>65373.0337</v>
          </cell>
          <cell r="AA5">
            <v>66389.199949999995</v>
          </cell>
          <cell r="AB5">
            <v>67417.082179999998</v>
          </cell>
          <cell r="AC5">
            <v>68455.929489999995</v>
          </cell>
          <cell r="AD5">
            <v>69505.307230000006</v>
          </cell>
          <cell r="AE5">
            <v>70565.072750000007</v>
          </cell>
          <cell r="AF5">
            <v>71635.327040000004</v>
          </cell>
          <cell r="AG5">
            <v>72716.347609999997</v>
          </cell>
          <cell r="AH5">
            <v>73808.522060000003</v>
          </cell>
          <cell r="AI5">
            <v>74912.293359999996</v>
          </cell>
          <cell r="AJ5">
            <v>76028.120250000007</v>
          </cell>
          <cell r="AK5">
            <v>77156.452189999996</v>
          </cell>
          <cell r="AL5">
            <v>78295.991370000003</v>
          </cell>
          <cell r="AM5">
            <v>79445.868910000005</v>
          </cell>
          <cell r="AN5">
            <v>80605.588350000005</v>
          </cell>
          <cell r="AO5">
            <v>81774.930640000006</v>
          </cell>
          <cell r="AP5">
            <v>82953.897679999995</v>
          </cell>
          <cell r="AQ5">
            <v>84142.670190000004</v>
          </cell>
          <cell r="AR5">
            <v>85341.568480000002</v>
          </cell>
          <cell r="AS5">
            <v>86551.014710000003</v>
          </cell>
          <cell r="AT5">
            <v>87771.499020000003</v>
          </cell>
          <cell r="AU5">
            <v>89003.551749999999</v>
          </cell>
          <cell r="AV5">
            <v>90247.881550000006</v>
          </cell>
          <cell r="AW5">
            <v>91505.165280000001</v>
          </cell>
          <cell r="AX5">
            <v>92776.043250000002</v>
          </cell>
          <cell r="AY5">
            <v>94061.110220000002</v>
          </cell>
          <cell r="AZ5">
            <v>95360.914699999994</v>
          </cell>
          <cell r="BA5">
            <v>103506.8563</v>
          </cell>
          <cell r="BB5">
            <v>105342.2723</v>
          </cell>
          <cell r="BC5">
            <v>107205.95759999999</v>
          </cell>
          <cell r="BD5">
            <v>109098.23020000001</v>
          </cell>
          <cell r="BE5">
            <v>111019.45050000001</v>
          </cell>
        </row>
        <row r="6">
          <cell r="B6">
            <v>1844.1626650000001</v>
          </cell>
          <cell r="C6">
            <v>1863.0144600000001</v>
          </cell>
          <cell r="D6">
            <v>1879.7379020000001</v>
          </cell>
          <cell r="E6">
            <v>1894.47532</v>
          </cell>
          <cell r="F6">
            <v>1907.5173560000001</v>
          </cell>
          <cell r="G6">
            <v>1919.153771</v>
          </cell>
          <cell r="H6">
            <v>1929.5853569999999</v>
          </cell>
          <cell r="I6">
            <v>1938.983489</v>
          </cell>
          <cell r="J6">
            <v>1947.4868779999999</v>
          </cell>
          <cell r="K6">
            <v>1955.20884</v>
          </cell>
          <cell r="L6">
            <v>1962.2663700000001</v>
          </cell>
          <cell r="M6">
            <v>1968.791518</v>
          </cell>
          <cell r="N6">
            <v>1974.867272</v>
          </cell>
          <cell r="O6">
            <v>1980.5639650000001</v>
          </cell>
          <cell r="P6">
            <v>1985.9520540000001</v>
          </cell>
          <cell r="Q6">
            <v>1991.10366</v>
          </cell>
          <cell r="R6">
            <v>1996.0868949999999</v>
          </cell>
          <cell r="S6">
            <v>2000.971309</v>
          </cell>
          <cell r="T6">
            <v>2005.824085</v>
          </cell>
          <cell r="U6">
            <v>2010.7094119999999</v>
          </cell>
          <cell r="V6">
            <v>2015.6330210000001</v>
          </cell>
          <cell r="W6">
            <v>2020.6728149999999</v>
          </cell>
          <cell r="X6">
            <v>2025.899175</v>
          </cell>
          <cell r="Y6">
            <v>2031.369825</v>
          </cell>
          <cell r="Z6">
            <v>2037.132781</v>
          </cell>
          <cell r="AA6">
            <v>2043.075135</v>
          </cell>
          <cell r="AB6">
            <v>2049.222808</v>
          </cell>
          <cell r="AC6">
            <v>2055.615335</v>
          </cell>
          <cell r="AD6">
            <v>2062.2896970000002</v>
          </cell>
          <cell r="AE6">
            <v>2069.2778199999998</v>
          </cell>
          <cell r="AF6">
            <v>2076.6071149999998</v>
          </cell>
          <cell r="AG6">
            <v>2084.3025080000002</v>
          </cell>
          <cell r="AH6">
            <v>2092.3849959999998</v>
          </cell>
          <cell r="AI6">
            <v>2100.87273</v>
          </cell>
          <cell r="AJ6">
            <v>2109.7812199999998</v>
          </cell>
          <cell r="AK6">
            <v>2119.123638</v>
          </cell>
          <cell r="AL6">
            <v>2128.8863240000001</v>
          </cell>
          <cell r="AM6">
            <v>2139.0594120000001</v>
          </cell>
          <cell r="AN6">
            <v>2149.6414589999999</v>
          </cell>
          <cell r="AO6">
            <v>2160.6337090000002</v>
          </cell>
          <cell r="AP6">
            <v>2172.0374929999998</v>
          </cell>
          <cell r="AQ6">
            <v>2183.8554359999998</v>
          </cell>
          <cell r="AR6">
            <v>2196.0882270000002</v>
          </cell>
          <cell r="AS6">
            <v>2208.735913</v>
          </cell>
          <cell r="AT6">
            <v>2221.7979249999999</v>
          </cell>
          <cell r="AU6">
            <v>2235.273263</v>
          </cell>
          <cell r="AV6">
            <v>2249.1706800000002</v>
          </cell>
          <cell r="AW6">
            <v>2263.492647</v>
          </cell>
          <cell r="AX6">
            <v>2278.2395299999998</v>
          </cell>
          <cell r="AY6">
            <v>2293.40958</v>
          </cell>
          <cell r="AZ6">
            <v>2308.9995819999999</v>
          </cell>
          <cell r="BA6">
            <v>2250.0236629999999</v>
          </cell>
          <cell r="BB6">
            <v>2268.8863310000002</v>
          </cell>
          <cell r="BC6">
            <v>2288.4447949999999</v>
          </cell>
          <cell r="BD6">
            <v>2308.6961110000002</v>
          </cell>
          <cell r="BE6">
            <v>2329.6364589999998</v>
          </cell>
        </row>
        <row r="7">
          <cell r="B7">
            <v>1844.7470519999999</v>
          </cell>
          <cell r="C7">
            <v>1864.514179</v>
          </cell>
          <cell r="D7">
            <v>1882.2706470000001</v>
          </cell>
          <cell r="E7">
            <v>1897.8557249999999</v>
          </cell>
          <cell r="F7">
            <v>1911.32401</v>
          </cell>
          <cell r="G7">
            <v>1922.8722560000001</v>
          </cell>
          <cell r="H7">
            <v>1932.7094629999999</v>
          </cell>
          <cell r="I7">
            <v>1941.0625580000001</v>
          </cell>
          <cell r="J7">
            <v>1948.144014</v>
          </cell>
          <cell r="K7">
            <v>1954.1370440000001</v>
          </cell>
          <cell r="L7">
            <v>1959.2754170000001</v>
          </cell>
          <cell r="M7">
            <v>1963.6571280000001</v>
          </cell>
          <cell r="N7">
            <v>1967.366912</v>
          </cell>
          <cell r="O7">
            <v>1970.488188</v>
          </cell>
          <cell r="P7">
            <v>1973.1020490000001</v>
          </cell>
          <cell r="Q7">
            <v>1975.2856670000001</v>
          </cell>
          <cell r="R7">
            <v>1977.1115950000001</v>
          </cell>
          <cell r="S7">
            <v>1978.647663</v>
          </cell>
          <cell r="T7">
            <v>1979.957128</v>
          </cell>
          <cell r="U7">
            <v>1981.098878</v>
          </cell>
          <cell r="V7">
            <v>1982.073991</v>
          </cell>
          <cell r="W7">
            <v>1982.955138</v>
          </cell>
          <cell r="X7">
            <v>1983.8075409999999</v>
          </cell>
          <cell r="Y7">
            <v>1984.6846089999999</v>
          </cell>
          <cell r="Z7">
            <v>1985.630977</v>
          </cell>
          <cell r="AA7">
            <v>1986.5364970000001</v>
          </cell>
          <cell r="AB7">
            <v>1987.4260220000001</v>
          </cell>
          <cell r="AC7">
            <v>1988.338561</v>
          </cell>
          <cell r="AD7">
            <v>1989.311119</v>
          </cell>
          <cell r="AE7">
            <v>1990.3766330000001</v>
          </cell>
          <cell r="AF7">
            <v>1991.564341</v>
          </cell>
          <cell r="AG7">
            <v>1992.900298</v>
          </cell>
          <cell r="AH7">
            <v>1994.407733</v>
          </cell>
          <cell r="AI7">
            <v>1996.107295</v>
          </cell>
          <cell r="AJ7">
            <v>1998.0172669999999</v>
          </cell>
          <cell r="AK7">
            <v>2000.1537900000001</v>
          </cell>
          <cell r="AL7">
            <v>2002.4978000000001</v>
          </cell>
          <cell r="AM7">
            <v>2005.0421650000001</v>
          </cell>
          <cell r="AN7">
            <v>2007.789368</v>
          </cell>
          <cell r="AO7">
            <v>2010.74683</v>
          </cell>
          <cell r="AP7">
            <v>2013.924021</v>
          </cell>
          <cell r="AQ7">
            <v>2017.330997</v>
          </cell>
          <cell r="AR7">
            <v>2020.9777160000001</v>
          </cell>
          <cell r="AS7">
            <v>2024.873619</v>
          </cell>
          <cell r="AT7">
            <v>2029.027137</v>
          </cell>
          <cell r="AU7">
            <v>2033.4445390000001</v>
          </cell>
          <cell r="AV7">
            <v>2038.12751</v>
          </cell>
          <cell r="AW7">
            <v>2043.072416</v>
          </cell>
          <cell r="AX7">
            <v>2048.2749469999999</v>
          </cell>
          <cell r="AY7">
            <v>2053.73398</v>
          </cell>
          <cell r="AZ7">
            <v>2059.452409</v>
          </cell>
          <cell r="BA7">
            <v>2271.9894399999998</v>
          </cell>
          <cell r="BB7">
            <v>2288.2904079999998</v>
          </cell>
          <cell r="BC7">
            <v>2304.9516779999999</v>
          </cell>
          <cell r="BD7">
            <v>2321.9704510000001</v>
          </cell>
          <cell r="BE7">
            <v>2339.3448629999998</v>
          </cell>
        </row>
        <row r="8">
          <cell r="B8">
            <v>74458.81869</v>
          </cell>
          <cell r="C8">
            <v>75210.247570000007</v>
          </cell>
          <cell r="D8">
            <v>75942.192750000002</v>
          </cell>
          <cell r="E8">
            <v>76668.709050000005</v>
          </cell>
          <cell r="F8">
            <v>77401.544689999995</v>
          </cell>
          <cell r="G8">
            <v>78150.209780000005</v>
          </cell>
          <cell r="H8">
            <v>78919.369749999998</v>
          </cell>
          <cell r="I8">
            <v>79712.713770000002</v>
          </cell>
          <cell r="J8">
            <v>80533.160929999998</v>
          </cell>
          <cell r="K8">
            <v>81382.91416</v>
          </cell>
          <cell r="L8">
            <v>82262.951140000005</v>
          </cell>
          <cell r="M8">
            <v>83179.023639999999</v>
          </cell>
          <cell r="N8">
            <v>84133.586689999996</v>
          </cell>
          <cell r="O8">
            <v>85127.627729999993</v>
          </cell>
          <cell r="P8">
            <v>86161.453110000002</v>
          </cell>
          <cell r="Q8">
            <v>87234.987659999999</v>
          </cell>
          <cell r="R8">
            <v>88347.612869999997</v>
          </cell>
          <cell r="S8">
            <v>89498.610629999996</v>
          </cell>
          <cell r="T8">
            <v>90687.170790000004</v>
          </cell>
          <cell r="U8">
            <v>91912.409499999994</v>
          </cell>
          <cell r="V8">
            <v>93169.887159999998</v>
          </cell>
          <cell r="W8">
            <v>94459.445989999993</v>
          </cell>
          <cell r="X8">
            <v>95780.904680000007</v>
          </cell>
          <cell r="Y8">
            <v>97133.937340000004</v>
          </cell>
          <cell r="Z8">
            <v>98518.128819999998</v>
          </cell>
          <cell r="AA8">
            <v>99922.879190000007</v>
          </cell>
          <cell r="AB8">
            <v>101345.302</v>
          </cell>
          <cell r="AC8">
            <v>102783.4451</v>
          </cell>
          <cell r="AD8">
            <v>104235.912</v>
          </cell>
          <cell r="AE8">
            <v>105701.8045</v>
          </cell>
          <cell r="AF8">
            <v>107180.63920000001</v>
          </cell>
          <cell r="AG8">
            <v>108672.33289999999</v>
          </cell>
          <cell r="AH8">
            <v>110176.9866</v>
          </cell>
          <cell r="AI8">
            <v>111694.81020000001</v>
          </cell>
          <cell r="AJ8">
            <v>113226.0647</v>
          </cell>
          <cell r="AK8">
            <v>114771.0261</v>
          </cell>
          <cell r="AL8">
            <v>116328.3775</v>
          </cell>
          <cell r="AM8">
            <v>117897.05319999999</v>
          </cell>
          <cell r="AN8">
            <v>119476.32399999999</v>
          </cell>
          <cell r="AO8">
            <v>121065.74679999999</v>
          </cell>
          <cell r="AP8">
            <v>122665.13039999999</v>
          </cell>
          <cell r="AQ8">
            <v>124274.6529</v>
          </cell>
          <cell r="AR8">
            <v>125894.6376</v>
          </cell>
          <cell r="AS8">
            <v>127525.5224</v>
          </cell>
          <cell r="AT8">
            <v>129167.82429999999</v>
          </cell>
          <cell r="AU8">
            <v>130822.1072</v>
          </cell>
          <cell r="AV8">
            <v>132489.70110000001</v>
          </cell>
          <cell r="AW8">
            <v>134171.73610000001</v>
          </cell>
          <cell r="AX8">
            <v>135869.17069999999</v>
          </cell>
          <cell r="AY8">
            <v>137582.82029999999</v>
          </cell>
          <cell r="AZ8">
            <v>139313.3861</v>
          </cell>
          <cell r="BA8">
            <v>162579.52590000001</v>
          </cell>
          <cell r="BB8">
            <v>165357.26949999999</v>
          </cell>
          <cell r="BC8">
            <v>168176.40669999999</v>
          </cell>
          <cell r="BD8">
            <v>171037.34650000001</v>
          </cell>
          <cell r="BE8">
            <v>173940.5448</v>
          </cell>
        </row>
        <row r="9">
          <cell r="B9">
            <v>74528.112829999998</v>
          </cell>
          <cell r="C9">
            <v>75393.603109999996</v>
          </cell>
          <cell r="D9">
            <v>76271.233420000004</v>
          </cell>
          <cell r="E9">
            <v>77167.94889</v>
          </cell>
          <cell r="F9">
            <v>78091.028340000004</v>
          </cell>
          <cell r="G9">
            <v>79046.729120000004</v>
          </cell>
          <cell r="H9">
            <v>80037.142619999999</v>
          </cell>
          <cell r="I9">
            <v>81063.83279</v>
          </cell>
          <cell r="J9">
            <v>82127.996150000006</v>
          </cell>
          <cell r="K9">
            <v>83230.494040000005</v>
          </cell>
          <cell r="L9">
            <v>84376.895480000007</v>
          </cell>
          <cell r="M9">
            <v>85566.314620000005</v>
          </cell>
          <cell r="N9">
            <v>86797.691500000001</v>
          </cell>
          <cell r="O9">
            <v>88069.982990000004</v>
          </cell>
          <cell r="P9">
            <v>89382.127609999996</v>
          </cell>
          <cell r="Q9">
            <v>90733.060630000007</v>
          </cell>
          <cell r="R9">
            <v>92121.749500000005</v>
          </cell>
          <cell r="S9">
            <v>93547.22408</v>
          </cell>
          <cell r="T9">
            <v>95008.593290000004</v>
          </cell>
          <cell r="U9">
            <v>96505.049589999995</v>
          </cell>
          <cell r="V9">
            <v>98032.094960000002</v>
          </cell>
          <cell r="W9">
            <v>99589.946049999999</v>
          </cell>
          <cell r="X9">
            <v>101178.8532</v>
          </cell>
          <cell r="Y9">
            <v>102798.9657</v>
          </cell>
          <cell r="Z9">
            <v>104450.37089999999</v>
          </cell>
          <cell r="AA9">
            <v>106122.1235</v>
          </cell>
          <cell r="AB9">
            <v>107811.5143</v>
          </cell>
          <cell r="AC9">
            <v>109516.8328</v>
          </cell>
          <cell r="AD9">
            <v>111236.9773</v>
          </cell>
          <cell r="AE9">
            <v>112971.3939</v>
          </cell>
          <cell r="AF9">
            <v>114719.9794</v>
          </cell>
          <cell r="AG9">
            <v>116482.962</v>
          </cell>
          <cell r="AH9">
            <v>118260.7868</v>
          </cell>
          <cell r="AI9">
            <v>120054.0227</v>
          </cell>
          <cell r="AJ9">
            <v>121863.2953</v>
          </cell>
          <cell r="AK9">
            <v>123689.2435</v>
          </cell>
          <cell r="AL9">
            <v>125529.8098</v>
          </cell>
          <cell r="AM9">
            <v>127383.51489999999</v>
          </cell>
          <cell r="AN9">
            <v>129249.4422</v>
          </cell>
          <cell r="AO9">
            <v>131127.1341</v>
          </cell>
          <cell r="AP9">
            <v>133016.52069999999</v>
          </cell>
          <cell r="AQ9">
            <v>134917.85560000001</v>
          </cell>
          <cell r="AR9">
            <v>136831.65100000001</v>
          </cell>
          <cell r="AS9">
            <v>138758.6127</v>
          </cell>
          <cell r="AT9">
            <v>140699.5808</v>
          </cell>
          <cell r="AU9">
            <v>142655.48130000001</v>
          </cell>
          <cell r="AV9">
            <v>144627.53719999999</v>
          </cell>
          <cell r="AW9">
            <v>146616.9485</v>
          </cell>
          <cell r="AX9">
            <v>148624.875</v>
          </cell>
          <cell r="AY9">
            <v>150652.4112</v>
          </cell>
          <cell r="AZ9">
            <v>152700.58199999999</v>
          </cell>
          <cell r="BA9">
            <v>163548.33609999999</v>
          </cell>
          <cell r="BB9">
            <v>166373.9596</v>
          </cell>
          <cell r="BC9">
            <v>169241.5043</v>
          </cell>
          <cell r="BD9">
            <v>172151.42559999999</v>
          </cell>
          <cell r="BE9">
            <v>175104.24179999999</v>
          </cell>
        </row>
        <row r="10">
          <cell r="B10">
            <v>400620.94270000001</v>
          </cell>
          <cell r="C10">
            <v>404169.77380000002</v>
          </cell>
          <cell r="D10">
            <v>407927.20630000002</v>
          </cell>
          <cell r="E10">
            <v>411975.52419999999</v>
          </cell>
          <cell r="F10">
            <v>416301.48959999997</v>
          </cell>
          <cell r="G10">
            <v>420861.86200000002</v>
          </cell>
          <cell r="H10">
            <v>425586.1985</v>
          </cell>
          <cell r="I10">
            <v>430426.84509999998</v>
          </cell>
          <cell r="J10">
            <v>435351.84149999998</v>
          </cell>
          <cell r="K10">
            <v>440339.42599999998</v>
          </cell>
          <cell r="L10">
            <v>445331.96299999999</v>
          </cell>
          <cell r="M10">
            <v>450401.95059999998</v>
          </cell>
          <cell r="N10">
            <v>455568.29450000002</v>
          </cell>
          <cell r="O10">
            <v>460829.98820000002</v>
          </cell>
          <cell r="P10">
            <v>466180.15179999999</v>
          </cell>
          <cell r="Q10">
            <v>471611.04920000001</v>
          </cell>
          <cell r="R10">
            <v>477111.73950000003</v>
          </cell>
          <cell r="S10">
            <v>482675.51419999998</v>
          </cell>
          <cell r="T10">
            <v>488298.36839999998</v>
          </cell>
          <cell r="U10">
            <v>493978.20610000001</v>
          </cell>
          <cell r="V10">
            <v>499685.72139999998</v>
          </cell>
          <cell r="W10">
            <v>505440.17609999998</v>
          </cell>
          <cell r="X10">
            <v>511251.33799999999</v>
          </cell>
          <cell r="Y10">
            <v>517124.7549</v>
          </cell>
          <cell r="Z10">
            <v>523064.48460000003</v>
          </cell>
          <cell r="AA10">
            <v>528992.50410000002</v>
          </cell>
          <cell r="AB10">
            <v>534928.91689999995</v>
          </cell>
          <cell r="AC10">
            <v>540887.41299999994</v>
          </cell>
          <cell r="AD10">
            <v>546877.98360000004</v>
          </cell>
          <cell r="AE10">
            <v>552908.94059999997</v>
          </cell>
          <cell r="AF10">
            <v>558987.55709999998</v>
          </cell>
          <cell r="AG10">
            <v>565121.47750000004</v>
          </cell>
          <cell r="AH10">
            <v>571316.72510000004</v>
          </cell>
          <cell r="AI10">
            <v>577578.1949</v>
          </cell>
          <cell r="AJ10">
            <v>583909.88619999995</v>
          </cell>
          <cell r="AK10">
            <v>590315.03740000003</v>
          </cell>
          <cell r="AL10">
            <v>596788.74580000003</v>
          </cell>
          <cell r="AM10">
            <v>603330.27320000005</v>
          </cell>
          <cell r="AN10">
            <v>609940.76679999998</v>
          </cell>
          <cell r="AO10">
            <v>616621.96129999997</v>
          </cell>
          <cell r="AP10">
            <v>623375.6398</v>
          </cell>
          <cell r="AQ10">
            <v>630205.42870000005</v>
          </cell>
          <cell r="AR10">
            <v>637113.44839999999</v>
          </cell>
          <cell r="AS10">
            <v>644101.04410000006</v>
          </cell>
          <cell r="AT10">
            <v>651169.1</v>
          </cell>
          <cell r="AU10">
            <v>658318.17729999998</v>
          </cell>
          <cell r="AV10">
            <v>665557.46660000004</v>
          </cell>
          <cell r="AW10">
            <v>672890.30420000001</v>
          </cell>
          <cell r="AX10">
            <v>680317.52870000002</v>
          </cell>
          <cell r="AY10">
            <v>687838.94400000002</v>
          </cell>
          <cell r="AZ10">
            <v>695453.93030000001</v>
          </cell>
          <cell r="BA10">
            <v>865119.21860000002</v>
          </cell>
          <cell r="BB10">
            <v>879781.67909999995</v>
          </cell>
          <cell r="BC10">
            <v>894729.21810000006</v>
          </cell>
          <cell r="BD10">
            <v>909966.19389999995</v>
          </cell>
          <cell r="BE10">
            <v>925496.88950000005</v>
          </cell>
        </row>
        <row r="11">
          <cell r="B11">
            <v>401602.75579999998</v>
          </cell>
          <cell r="C11">
            <v>406515.0441</v>
          </cell>
          <cell r="D11">
            <v>411794.9791</v>
          </cell>
          <cell r="E11">
            <v>417445.86090000003</v>
          </cell>
          <cell r="F11">
            <v>423425.56760000001</v>
          </cell>
          <cell r="G11">
            <v>429681.67170000001</v>
          </cell>
          <cell r="H11">
            <v>436143.5392</v>
          </cell>
          <cell r="I11">
            <v>442767.00530000002</v>
          </cell>
          <cell r="J11">
            <v>449525.23959999997</v>
          </cell>
          <cell r="K11">
            <v>456402.16690000001</v>
          </cell>
          <cell r="L11">
            <v>463431.2426</v>
          </cell>
          <cell r="M11">
            <v>470579.13679999998</v>
          </cell>
          <cell r="N11">
            <v>477830.08270000003</v>
          </cell>
          <cell r="O11">
            <v>485176.91450000001</v>
          </cell>
          <cell r="P11">
            <v>492616.38170000003</v>
          </cell>
          <cell r="Q11">
            <v>500147.28720000002</v>
          </cell>
          <cell r="R11">
            <v>507769.72110000002</v>
          </cell>
          <cell r="S11">
            <v>515484.70970000001</v>
          </cell>
          <cell r="T11">
            <v>523294.01890000002</v>
          </cell>
          <cell r="U11">
            <v>531200.01329999999</v>
          </cell>
          <cell r="V11">
            <v>539173.47979999997</v>
          </cell>
          <cell r="W11">
            <v>547238.31599999999</v>
          </cell>
          <cell r="X11">
            <v>555407.14610000001</v>
          </cell>
          <cell r="Y11">
            <v>563687.34869999997</v>
          </cell>
          <cell r="Z11">
            <v>572084.1692</v>
          </cell>
          <cell r="AA11">
            <v>580509.15020000003</v>
          </cell>
          <cell r="AB11">
            <v>588981.98389999999</v>
          </cell>
          <cell r="AC11">
            <v>597516.39210000006</v>
          </cell>
          <cell r="AD11">
            <v>606122.46160000004</v>
          </cell>
          <cell r="AE11">
            <v>614808.61979999999</v>
          </cell>
          <cell r="AF11">
            <v>623582.25100000005</v>
          </cell>
          <cell r="AG11">
            <v>632449.85880000005</v>
          </cell>
          <cell r="AH11">
            <v>641417.10959999997</v>
          </cell>
          <cell r="AI11">
            <v>650488.8689</v>
          </cell>
          <cell r="AJ11">
            <v>659669.25950000004</v>
          </cell>
          <cell r="AK11">
            <v>668961.74360000005</v>
          </cell>
          <cell r="AL11">
            <v>678346.68839999998</v>
          </cell>
          <cell r="AM11">
            <v>687818.35160000005</v>
          </cell>
          <cell r="AN11">
            <v>697376.92870000005</v>
          </cell>
          <cell r="AO11">
            <v>707024.87670000002</v>
          </cell>
          <cell r="AP11">
            <v>716765.44709999999</v>
          </cell>
          <cell r="AQ11">
            <v>726602.06949999998</v>
          </cell>
          <cell r="AR11">
            <v>736538.0773</v>
          </cell>
          <cell r="AS11">
            <v>746576.58440000005</v>
          </cell>
          <cell r="AT11">
            <v>756720.43740000005</v>
          </cell>
          <cell r="AU11">
            <v>766972.21019999997</v>
          </cell>
          <cell r="AV11">
            <v>777336.26610000001</v>
          </cell>
          <cell r="AW11">
            <v>787815.44350000005</v>
          </cell>
          <cell r="AX11">
            <v>798411.83700000006</v>
          </cell>
          <cell r="AY11">
            <v>809127.18310000002</v>
          </cell>
          <cell r="AZ11">
            <v>819963.04449999996</v>
          </cell>
          <cell r="BA11">
            <v>872049.647</v>
          </cell>
          <cell r="BB11">
            <v>887091.75049999997</v>
          </cell>
          <cell r="BC11">
            <v>902425.33770000003</v>
          </cell>
          <cell r="BD11">
            <v>918054.73739999998</v>
          </cell>
          <cell r="BE11">
            <v>933984.26800000004</v>
          </cell>
        </row>
        <row r="13">
          <cell r="B13">
            <v>16084.663259999999</v>
          </cell>
          <cell r="C13">
            <v>16273.87587</v>
          </cell>
          <cell r="D13">
            <v>16468.53011</v>
          </cell>
          <cell r="E13">
            <v>16669.80271</v>
          </cell>
          <cell r="F13">
            <v>16878.614259999998</v>
          </cell>
          <cell r="G13">
            <v>17095.639520000001</v>
          </cell>
          <cell r="H13">
            <v>17320.807840000001</v>
          </cell>
          <cell r="I13">
            <v>17554.072520000002</v>
          </cell>
          <cell r="J13">
            <v>17795.431759999999</v>
          </cell>
          <cell r="K13">
            <v>18044.915389999998</v>
          </cell>
          <cell r="L13">
            <v>18303.555850000001</v>
          </cell>
          <cell r="M13">
            <v>18571.14789</v>
          </cell>
          <cell r="N13">
            <v>18847.537980000001</v>
          </cell>
          <cell r="O13">
            <v>19132.645629999999</v>
          </cell>
          <cell r="P13">
            <v>19426.434689999998</v>
          </cell>
          <cell r="Q13">
            <v>19728.897089999999</v>
          </cell>
          <cell r="R13">
            <v>20040.045839999999</v>
          </cell>
          <cell r="S13">
            <v>20359.911609999999</v>
          </cell>
          <cell r="T13">
            <v>20688.540069999999</v>
          </cell>
          <cell r="U13">
            <v>21025.988519999999</v>
          </cell>
          <cell r="V13">
            <v>21371.58195</v>
          </cell>
          <cell r="W13">
            <v>21725.585050000002</v>
          </cell>
          <cell r="X13">
            <v>22088.230599999999</v>
          </cell>
          <cell r="Y13">
            <v>22459.695739999999</v>
          </cell>
          <cell r="Z13">
            <v>22840.117569999999</v>
          </cell>
          <cell r="AA13">
            <v>23227.441719999999</v>
          </cell>
          <cell r="AB13">
            <v>23621.28184</v>
          </cell>
          <cell r="AC13">
            <v>24021.390579999999</v>
          </cell>
          <cell r="AD13">
            <v>24427.564590000002</v>
          </cell>
          <cell r="AE13">
            <v>24839.634679999999</v>
          </cell>
          <cell r="AF13">
            <v>25257.458190000001</v>
          </cell>
          <cell r="AG13">
            <v>25680.908630000002</v>
          </cell>
          <cell r="AH13">
            <v>26109.864710000002</v>
          </cell>
          <cell r="AI13">
            <v>26544.200970000002</v>
          </cell>
          <cell r="AJ13">
            <v>26983.7811</v>
          </cell>
          <cell r="AK13">
            <v>27428.454409999998</v>
          </cell>
          <cell r="AL13">
            <v>27877.521349999999</v>
          </cell>
          <cell r="AM13">
            <v>28330.400979999999</v>
          </cell>
          <cell r="AN13">
            <v>28786.615529999999</v>
          </cell>
          <cell r="AO13">
            <v>29245.760849999999</v>
          </cell>
          <cell r="AP13">
            <v>29707.48978</v>
          </cell>
          <cell r="AQ13">
            <v>30171.502860000001</v>
          </cell>
          <cell r="AR13">
            <v>30637.541929999999</v>
          </cell>
          <cell r="AS13">
            <v>31105.384829999999</v>
          </cell>
          <cell r="AT13">
            <v>31574.840990000001</v>
          </cell>
          <cell r="AU13">
            <v>32045.747770000002</v>
          </cell>
          <cell r="AV13">
            <v>32518.016930000002</v>
          </cell>
          <cell r="AW13">
            <v>32991.57202</v>
          </cell>
          <cell r="AX13">
            <v>33466.349580000002</v>
          </cell>
          <cell r="AY13">
            <v>33942.301769999998</v>
          </cell>
          <cell r="AZ13">
            <v>34419.398759999996</v>
          </cell>
          <cell r="BA13">
            <v>37576.006950000003</v>
          </cell>
          <cell r="BB13">
            <v>38316.169329999997</v>
          </cell>
          <cell r="BC13">
            <v>39067.006710000001</v>
          </cell>
          <cell r="BD13">
            <v>39828.25834</v>
          </cell>
          <cell r="BE13">
            <v>40599.664290000001</v>
          </cell>
        </row>
        <row r="14">
          <cell r="B14">
            <v>13375.273800000001</v>
          </cell>
          <cell r="C14">
            <v>13501.133949999999</v>
          </cell>
          <cell r="D14">
            <v>13625.21293</v>
          </cell>
          <cell r="E14">
            <v>13750.681979999999</v>
          </cell>
          <cell r="F14">
            <v>13879.469510000001</v>
          </cell>
          <cell r="G14">
            <v>14012.83662</v>
          </cell>
          <cell r="H14">
            <v>14151.000669999999</v>
          </cell>
          <cell r="I14">
            <v>14294.17008</v>
          </cell>
          <cell r="J14">
            <v>14442.49756</v>
          </cell>
          <cell r="K14">
            <v>14596.05176</v>
          </cell>
          <cell r="L14">
            <v>14754.14971</v>
          </cell>
          <cell r="M14">
            <v>14918.349249999999</v>
          </cell>
          <cell r="N14">
            <v>15089.13932</v>
          </cell>
          <cell r="O14">
            <v>15266.537249999999</v>
          </cell>
          <cell r="P14">
            <v>15450.38272</v>
          </cell>
          <cell r="Q14">
            <v>15640.452520000001</v>
          </cell>
          <cell r="R14">
            <v>15836.42029</v>
          </cell>
          <cell r="S14">
            <v>16038.009400000001</v>
          </cell>
          <cell r="T14">
            <v>16244.977709999999</v>
          </cell>
          <cell r="U14">
            <v>16457.110990000001</v>
          </cell>
          <cell r="V14">
            <v>16673.469669999999</v>
          </cell>
          <cell r="W14">
            <v>16894.228149999999</v>
          </cell>
          <cell r="X14">
            <v>17119.449530000002</v>
          </cell>
          <cell r="Y14">
            <v>17349.135730000002</v>
          </cell>
          <cell r="Z14">
            <v>17583.274949999999</v>
          </cell>
          <cell r="AA14">
            <v>17819.698840000001</v>
          </cell>
          <cell r="AB14">
            <v>18058.382109999999</v>
          </cell>
          <cell r="AC14">
            <v>18299.32951</v>
          </cell>
          <cell r="AD14">
            <v>18542.55069</v>
          </cell>
          <cell r="AE14">
            <v>18788.087820000001</v>
          </cell>
          <cell r="AF14">
            <v>19036.019830000001</v>
          </cell>
          <cell r="AG14">
            <v>19286.480439999999</v>
          </cell>
          <cell r="AH14">
            <v>19539.606520000001</v>
          </cell>
          <cell r="AI14">
            <v>19795.53429</v>
          </cell>
          <cell r="AJ14">
            <v>20054.394059999999</v>
          </cell>
          <cell r="AK14">
            <v>20316.305639999999</v>
          </cell>
          <cell r="AL14">
            <v>20581.106589999999</v>
          </cell>
          <cell r="AM14">
            <v>20848.708200000001</v>
          </cell>
          <cell r="AN14">
            <v>21119.074820000002</v>
          </cell>
          <cell r="AO14">
            <v>21392.200239999998</v>
          </cell>
          <cell r="AP14">
            <v>21668.09722</v>
          </cell>
          <cell r="AQ14">
            <v>21946.835179999998</v>
          </cell>
          <cell r="AR14">
            <v>22228.471740000001</v>
          </cell>
          <cell r="AS14">
            <v>22513.060560000002</v>
          </cell>
          <cell r="AT14">
            <v>22800.653200000001</v>
          </cell>
          <cell r="AU14">
            <v>23091.298419999999</v>
          </cell>
          <cell r="AV14">
            <v>23385.240460000001</v>
          </cell>
          <cell r="AW14">
            <v>23682.618839999999</v>
          </cell>
          <cell r="AX14">
            <v>23983.517080000001</v>
          </cell>
          <cell r="AY14">
            <v>24287.98848</v>
          </cell>
          <cell r="AZ14">
            <v>24596.068029999999</v>
          </cell>
          <cell r="BA14">
            <v>29198.073670000002</v>
          </cell>
          <cell r="BB14">
            <v>29714.874299999999</v>
          </cell>
          <cell r="BC14">
            <v>30240.77392</v>
          </cell>
          <cell r="BD14">
            <v>30775.876130000001</v>
          </cell>
          <cell r="BE14">
            <v>31320.287349999999</v>
          </cell>
        </row>
        <row r="15">
          <cell r="B15">
            <v>13396.22386</v>
          </cell>
          <cell r="C15">
            <v>13553.285980000001</v>
          </cell>
          <cell r="D15">
            <v>13713.94793</v>
          </cell>
          <cell r="E15">
            <v>13879.35446</v>
          </cell>
          <cell r="F15">
            <v>14050.50469</v>
          </cell>
          <cell r="G15">
            <v>14228.15992</v>
          </cell>
          <cell r="H15">
            <v>14412.228639999999</v>
          </cell>
          <cell r="I15">
            <v>14602.703799999999</v>
          </cell>
          <cell r="J15">
            <v>14799.59101</v>
          </cell>
          <cell r="K15">
            <v>15002.870650000001</v>
          </cell>
          <cell r="L15">
            <v>15213.585080000001</v>
          </cell>
          <cell r="M15">
            <v>15431.168449999999</v>
          </cell>
          <cell r="N15">
            <v>15655.242609999999</v>
          </cell>
          <cell r="O15">
            <v>15885.54573</v>
          </cell>
          <cell r="P15">
            <v>16121.867630000001</v>
          </cell>
          <cell r="Q15">
            <v>16364.02817</v>
          </cell>
          <cell r="R15">
            <v>16611.873449999999</v>
          </cell>
          <cell r="S15">
            <v>16865.276709999998</v>
          </cell>
          <cell r="T15">
            <v>17124.139190000002</v>
          </cell>
          <cell r="U15">
            <v>17388.389589999999</v>
          </cell>
          <cell r="V15">
            <v>17657.162520000002</v>
          </cell>
          <cell r="W15">
            <v>17930.800179999998</v>
          </cell>
          <cell r="X15">
            <v>18209.510989999999</v>
          </cell>
          <cell r="Y15">
            <v>18493.42526</v>
          </cell>
          <cell r="Z15">
            <v>18782.645130000001</v>
          </cell>
          <cell r="AA15">
            <v>19074.881430000001</v>
          </cell>
          <cell r="AB15">
            <v>19370.146540000002</v>
          </cell>
          <cell r="AC15">
            <v>19668.489290000001</v>
          </cell>
          <cell r="AD15">
            <v>19969.960749999998</v>
          </cell>
          <cell r="AE15">
            <v>20274.641370000001</v>
          </cell>
          <cell r="AF15">
            <v>20582.644980000001</v>
          </cell>
          <cell r="AG15">
            <v>20894.110410000001</v>
          </cell>
          <cell r="AH15">
            <v>21209.189699999999</v>
          </cell>
          <cell r="AI15">
            <v>21528.037270000001</v>
          </cell>
          <cell r="AJ15">
            <v>21850.801599999999</v>
          </cell>
          <cell r="AK15">
            <v>22177.619989999999</v>
          </cell>
          <cell r="AL15">
            <v>22508.0327</v>
          </cell>
          <cell r="AM15">
            <v>22841.81799</v>
          </cell>
          <cell r="AN15">
            <v>23178.8868</v>
          </cell>
          <cell r="AO15">
            <v>23519.218720000001</v>
          </cell>
          <cell r="AP15">
            <v>23862.835139999999</v>
          </cell>
          <cell r="AQ15">
            <v>24209.786599999999</v>
          </cell>
          <cell r="AR15">
            <v>24560.14471</v>
          </cell>
          <cell r="AS15">
            <v>24913.995459999998</v>
          </cell>
          <cell r="AT15">
            <v>25271.43345</v>
          </cell>
          <cell r="AU15">
            <v>25632.55731</v>
          </cell>
          <cell r="AV15">
            <v>25997.519820000001</v>
          </cell>
          <cell r="AW15">
            <v>26366.449809999998</v>
          </cell>
          <cell r="AX15">
            <v>26739.460569999999</v>
          </cell>
          <cell r="AY15">
            <v>27116.65352</v>
          </cell>
          <cell r="AZ15">
            <v>27498.1204</v>
          </cell>
          <cell r="BA15">
            <v>29417.580399999999</v>
          </cell>
          <cell r="BB15">
            <v>29946.401600000001</v>
          </cell>
          <cell r="BC15">
            <v>30484.51958</v>
          </cell>
          <cell r="BD15">
            <v>31032.038619999999</v>
          </cell>
          <cell r="BE15">
            <v>31589.068230000001</v>
          </cell>
        </row>
        <row r="16">
          <cell r="B16">
            <v>36327.513859999999</v>
          </cell>
          <cell r="C16">
            <v>36651.133959999999</v>
          </cell>
          <cell r="D16">
            <v>36972.811739999997</v>
          </cell>
          <cell r="E16">
            <v>37301.550349999998</v>
          </cell>
          <cell r="F16">
            <v>37641.867429999998</v>
          </cell>
          <cell r="G16">
            <v>37996.264089999997</v>
          </cell>
          <cell r="H16">
            <v>38364.197070000002</v>
          </cell>
          <cell r="I16">
            <v>38745.580950000003</v>
          </cell>
          <cell r="J16">
            <v>39140.355600000003</v>
          </cell>
          <cell r="K16">
            <v>39548.317620000002</v>
          </cell>
          <cell r="L16">
            <v>39966.189700000003</v>
          </cell>
          <cell r="M16">
            <v>40399.575579999997</v>
          </cell>
          <cell r="N16">
            <v>40849.995999999999</v>
          </cell>
          <cell r="O16">
            <v>41317.341050000003</v>
          </cell>
          <cell r="P16">
            <v>41800.964359999998</v>
          </cell>
          <cell r="Q16">
            <v>42300.076500000003</v>
          </cell>
          <cell r="R16">
            <v>42813.588009999999</v>
          </cell>
          <cell r="S16">
            <v>43340.647810000002</v>
          </cell>
          <cell r="T16">
            <v>43880.555699999997</v>
          </cell>
          <cell r="U16">
            <v>44432.726990000003</v>
          </cell>
          <cell r="V16">
            <v>44994.351089999996</v>
          </cell>
          <cell r="W16">
            <v>45566.398090000002</v>
          </cell>
          <cell r="X16">
            <v>46149.182840000001</v>
          </cell>
          <cell r="Y16">
            <v>46742.773070000003</v>
          </cell>
          <cell r="Z16">
            <v>47347.19543</v>
          </cell>
          <cell r="AA16">
            <v>47955.822350000002</v>
          </cell>
          <cell r="AB16">
            <v>48569.576760000004</v>
          </cell>
          <cell r="AC16">
            <v>49188.960010000003</v>
          </cell>
          <cell r="AD16">
            <v>49814.293530000003</v>
          </cell>
          <cell r="AE16">
            <v>50445.898209999999</v>
          </cell>
          <cell r="AF16">
            <v>51084.139179999998</v>
          </cell>
          <cell r="AG16">
            <v>51729.509639999997</v>
          </cell>
          <cell r="AH16">
            <v>52382.464460000003</v>
          </cell>
          <cell r="AI16">
            <v>53043.42987</v>
          </cell>
          <cell r="AJ16">
            <v>53712.798430000003</v>
          </cell>
          <cell r="AK16">
            <v>54390.921280000002</v>
          </cell>
          <cell r="AL16">
            <v>55077.368009999998</v>
          </cell>
          <cell r="AM16">
            <v>55772.032570000003</v>
          </cell>
          <cell r="AN16">
            <v>56474.946080000002</v>
          </cell>
          <cell r="AO16">
            <v>57186.18406</v>
          </cell>
          <cell r="AP16">
            <v>57905.836130000003</v>
          </cell>
          <cell r="AQ16">
            <v>58634.143889999999</v>
          </cell>
          <cell r="AR16">
            <v>59371.261859999999</v>
          </cell>
          <cell r="AS16">
            <v>60117.304839999997</v>
          </cell>
          <cell r="AT16">
            <v>60872.364869999998</v>
          </cell>
          <cell r="AU16">
            <v>61636.515599999999</v>
          </cell>
          <cell r="AV16">
            <v>62410.484900000003</v>
          </cell>
          <cell r="AW16">
            <v>63194.58799</v>
          </cell>
          <cell r="AX16">
            <v>63988.957060000001</v>
          </cell>
          <cell r="AY16">
            <v>64793.640529999997</v>
          </cell>
          <cell r="AZ16">
            <v>65608.642739999996</v>
          </cell>
          <cell r="BA16">
            <v>79197.54393</v>
          </cell>
          <cell r="BB16">
            <v>80609.460149999999</v>
          </cell>
          <cell r="BC16">
            <v>82047.784960000005</v>
          </cell>
          <cell r="BD16">
            <v>83512.867060000004</v>
          </cell>
          <cell r="BE16">
            <v>85005.057159999997</v>
          </cell>
        </row>
        <row r="17">
          <cell r="B17">
            <v>36402.301390000001</v>
          </cell>
          <cell r="C17">
            <v>36832.178140000004</v>
          </cell>
          <cell r="D17">
            <v>37274.425660000001</v>
          </cell>
          <cell r="E17">
            <v>37731.827429999998</v>
          </cell>
          <cell r="F17">
            <v>38206.483489999999</v>
          </cell>
          <cell r="G17">
            <v>38699.813439999998</v>
          </cell>
          <cell r="H17">
            <v>39210.710910000002</v>
          </cell>
          <cell r="I17">
            <v>39738.740210000004</v>
          </cell>
          <cell r="J17">
            <v>40283.639430000003</v>
          </cell>
          <cell r="K17">
            <v>40845.132539999999</v>
          </cell>
          <cell r="L17">
            <v>41426.32733</v>
          </cell>
          <cell r="M17">
            <v>42024.883320000001</v>
          </cell>
          <cell r="N17">
            <v>42639.547189999997</v>
          </cell>
          <cell r="O17">
            <v>43269.563970000003</v>
          </cell>
          <cell r="P17">
            <v>43914.381390000002</v>
          </cell>
          <cell r="Q17">
            <v>44573.558620000003</v>
          </cell>
          <cell r="R17">
            <v>45246.745040000002</v>
          </cell>
          <cell r="S17">
            <v>45933.677739999999</v>
          </cell>
          <cell r="T17">
            <v>46634.180650000002</v>
          </cell>
          <cell r="U17">
            <v>47348.160819999997</v>
          </cell>
          <cell r="V17">
            <v>48073.031430000003</v>
          </cell>
          <cell r="W17">
            <v>48810.322289999996</v>
          </cell>
          <cell r="X17">
            <v>49560.795890000001</v>
          </cell>
          <cell r="Y17">
            <v>50324.894379999998</v>
          </cell>
          <cell r="Z17">
            <v>51102.963369999998</v>
          </cell>
          <cell r="AA17">
            <v>51887.862820000002</v>
          </cell>
          <cell r="AB17">
            <v>52680.643349999998</v>
          </cell>
          <cell r="AC17">
            <v>53481.941939999997</v>
          </cell>
          <cell r="AD17">
            <v>54292.197500000002</v>
          </cell>
          <cell r="AE17">
            <v>55111.832159999998</v>
          </cell>
          <cell r="AF17">
            <v>55941.298159999998</v>
          </cell>
          <cell r="AG17">
            <v>56781.072930000002</v>
          </cell>
          <cell r="AH17">
            <v>57631.639069999997</v>
          </cell>
          <cell r="AI17">
            <v>58493.463620000002</v>
          </cell>
          <cell r="AJ17">
            <v>59366.982069999998</v>
          </cell>
          <cell r="AK17">
            <v>60252.588170000003</v>
          </cell>
          <cell r="AL17">
            <v>61148.803240000001</v>
          </cell>
          <cell r="AM17">
            <v>62055.129309999997</v>
          </cell>
          <cell r="AN17">
            <v>62971.479789999998</v>
          </cell>
          <cell r="AO17">
            <v>63897.928919999998</v>
          </cell>
          <cell r="AP17">
            <v>64834.624739999999</v>
          </cell>
          <cell r="AQ17">
            <v>65781.75675</v>
          </cell>
          <cell r="AR17">
            <v>66739.539850000001</v>
          </cell>
          <cell r="AS17">
            <v>67708.202999999994</v>
          </cell>
          <cell r="AT17">
            <v>68687.979800000001</v>
          </cell>
          <cell r="AU17">
            <v>69679.101169999994</v>
          </cell>
          <cell r="AV17">
            <v>70681.957620000001</v>
          </cell>
          <cell r="AW17">
            <v>71696.835909999994</v>
          </cell>
          <cell r="AX17">
            <v>72723.970199999996</v>
          </cell>
          <cell r="AY17">
            <v>73763.562539999999</v>
          </cell>
          <cell r="AZ17">
            <v>74815.791989999998</v>
          </cell>
          <cell r="BA17">
            <v>79869.831170000005</v>
          </cell>
          <cell r="BB17">
            <v>81320.486560000005</v>
          </cell>
          <cell r="BC17">
            <v>82798.377609999996</v>
          </cell>
          <cell r="BD17">
            <v>84303.857399999994</v>
          </cell>
          <cell r="BE17">
            <v>85837.286909999995</v>
          </cell>
        </row>
        <row r="18">
          <cell r="B18">
            <v>13336.89479</v>
          </cell>
          <cell r="C18">
            <v>13458.643389999999</v>
          </cell>
          <cell r="D18">
            <v>13579.823909999999</v>
          </cell>
          <cell r="E18">
            <v>13703.685719999999</v>
          </cell>
          <cell r="F18">
            <v>13831.79169</v>
          </cell>
          <cell r="G18">
            <v>13964.94967</v>
          </cell>
          <cell r="H18">
            <v>14102.947120000001</v>
          </cell>
          <cell r="I18">
            <v>14245.69058</v>
          </cell>
          <cell r="J18">
            <v>14393.1188</v>
          </cell>
          <cell r="K18">
            <v>14545.145689999999</v>
          </cell>
          <cell r="L18">
            <v>14700.68053</v>
          </cell>
          <cell r="M18">
            <v>14861.579299999999</v>
          </cell>
          <cell r="N18">
            <v>15028.404049999999</v>
          </cell>
          <cell r="O18">
            <v>15201.14316</v>
          </cell>
          <cell r="P18">
            <v>15379.586929999999</v>
          </cell>
          <cell r="Q18">
            <v>15563.47308</v>
          </cell>
          <cell r="R18">
            <v>15752.43893</v>
          </cell>
          <cell r="S18">
            <v>15946.203600000001</v>
          </cell>
          <cell r="T18">
            <v>16144.54364</v>
          </cell>
          <cell r="U18">
            <v>16347.27996</v>
          </cell>
          <cell r="V18">
            <v>16553.50532</v>
          </cell>
          <cell r="W18">
            <v>16763.50474</v>
          </cell>
          <cell r="X18">
            <v>16977.413860000001</v>
          </cell>
          <cell r="Y18">
            <v>17195.295429999998</v>
          </cell>
          <cell r="Z18">
            <v>17417.1973</v>
          </cell>
          <cell r="AA18">
            <v>17640.97651</v>
          </cell>
          <cell r="AB18">
            <v>17866.812099999999</v>
          </cell>
          <cell r="AC18">
            <v>18094.849010000002</v>
          </cell>
          <cell r="AD18">
            <v>18325.196329999999</v>
          </cell>
          <cell r="AE18">
            <v>18557.968499999999</v>
          </cell>
          <cell r="AF18">
            <v>18793.296590000002</v>
          </cell>
          <cell r="AG18">
            <v>19031.355609999999</v>
          </cell>
          <cell r="AH18">
            <v>19272.30774</v>
          </cell>
          <cell r="AI18">
            <v>19516.302919999998</v>
          </cell>
          <cell r="AJ18">
            <v>19763.476259999999</v>
          </cell>
          <cell r="AK18">
            <v>20013.94512</v>
          </cell>
          <cell r="AL18">
            <v>20267.5779</v>
          </cell>
          <cell r="AM18">
            <v>20524.311000000002</v>
          </cell>
          <cell r="AN18">
            <v>20784.118600000002</v>
          </cell>
          <cell r="AO18">
            <v>21046.989440000001</v>
          </cell>
          <cell r="AP18">
            <v>21312.91805</v>
          </cell>
          <cell r="AQ18">
            <v>21581.952420000001</v>
          </cell>
          <cell r="AR18">
            <v>21854.114140000001</v>
          </cell>
          <cell r="AS18">
            <v>22129.41173</v>
          </cell>
          <cell r="AT18">
            <v>22407.846460000001</v>
          </cell>
          <cell r="AU18">
            <v>22689.413970000001</v>
          </cell>
          <cell r="AV18">
            <v>22974.333310000002</v>
          </cell>
          <cell r="AW18">
            <v>23262.69527</v>
          </cell>
          <cell r="AX18">
            <v>23554.526419999998</v>
          </cell>
          <cell r="AY18">
            <v>23849.822840000001</v>
          </cell>
          <cell r="AZ18">
            <v>24148.565070000001</v>
          </cell>
          <cell r="BA18">
            <v>29288.266189999998</v>
          </cell>
          <cell r="BB18">
            <v>29817.964530000001</v>
          </cell>
          <cell r="BC18">
            <v>30357.277910000001</v>
          </cell>
          <cell r="BD18">
            <v>30906.279409999999</v>
          </cell>
          <cell r="BE18">
            <v>31465.041249999998</v>
          </cell>
        </row>
        <row r="19">
          <cell r="B19">
            <v>13361.617630000001</v>
          </cell>
          <cell r="C19">
            <v>13519.35399</v>
          </cell>
          <cell r="D19">
            <v>13681.851699999999</v>
          </cell>
          <cell r="E19">
            <v>13850.09756</v>
          </cell>
          <cell r="F19">
            <v>14024.76684</v>
          </cell>
          <cell r="G19">
            <v>14206.28357</v>
          </cell>
          <cell r="H19">
            <v>14394.248659999999</v>
          </cell>
          <cell r="I19">
            <v>14588.45876</v>
          </cell>
          <cell r="J19">
            <v>14788.792649999999</v>
          </cell>
          <cell r="K19">
            <v>14995.148090000001</v>
          </cell>
          <cell r="L19">
            <v>15208.552079999999</v>
          </cell>
          <cell r="M19">
            <v>15428.325500000001</v>
          </cell>
          <cell r="N19">
            <v>15654.05975</v>
          </cell>
          <cell r="O19">
            <v>15885.502619999999</v>
          </cell>
          <cell r="P19">
            <v>16122.473190000001</v>
          </cell>
          <cell r="Q19">
            <v>16364.8315</v>
          </cell>
          <cell r="R19">
            <v>16612.470730000001</v>
          </cell>
          <cell r="S19">
            <v>16865.315770000001</v>
          </cell>
          <cell r="T19">
            <v>17123.32273</v>
          </cell>
          <cell r="U19">
            <v>17386.47726</v>
          </cell>
          <cell r="V19">
            <v>17653.94541</v>
          </cell>
          <cell r="W19">
            <v>17926.188699999999</v>
          </cell>
          <cell r="X19">
            <v>18203.48444</v>
          </cell>
          <cell r="Y19">
            <v>18486.010890000001</v>
          </cell>
          <cell r="Z19">
            <v>18773.91041</v>
          </cell>
          <cell r="AA19">
            <v>19064.855319999999</v>
          </cell>
          <cell r="AB19">
            <v>19359.032480000002</v>
          </cell>
          <cell r="AC19">
            <v>19656.60211</v>
          </cell>
          <cell r="AD19">
            <v>19957.683730000001</v>
          </cell>
          <cell r="AE19">
            <v>20262.397079999999</v>
          </cell>
          <cell r="AF19">
            <v>20570.873889999999</v>
          </cell>
          <cell r="AG19">
            <v>20883.254830000002</v>
          </cell>
          <cell r="AH19">
            <v>21199.68173</v>
          </cell>
          <cell r="AI19">
            <v>21520.2896</v>
          </cell>
          <cell r="AJ19">
            <v>21845.200440000001</v>
          </cell>
          <cell r="AK19">
            <v>22174.519420000001</v>
          </cell>
          <cell r="AL19">
            <v>22507.73128</v>
          </cell>
          <cell r="AM19">
            <v>22844.59708</v>
          </cell>
          <cell r="AN19">
            <v>23185.015210000001</v>
          </cell>
          <cell r="AO19">
            <v>23528.94471</v>
          </cell>
          <cell r="AP19">
            <v>23876.37543</v>
          </cell>
          <cell r="AQ19">
            <v>24227.316200000001</v>
          </cell>
          <cell r="AR19">
            <v>24581.7889</v>
          </cell>
          <cell r="AS19">
            <v>24939.824140000001</v>
          </cell>
          <cell r="AT19">
            <v>25301.457829999999</v>
          </cell>
          <cell r="AU19">
            <v>25666.728459999998</v>
          </cell>
          <cell r="AV19">
            <v>26035.73027</v>
          </cell>
          <cell r="AW19">
            <v>26408.530050000001</v>
          </cell>
          <cell r="AX19">
            <v>26785.17957</v>
          </cell>
          <cell r="AY19">
            <v>27165.722539999999</v>
          </cell>
          <cell r="AZ19">
            <v>27550.198260000001</v>
          </cell>
          <cell r="BA19">
            <v>29526.82949</v>
          </cell>
          <cell r="BB19">
            <v>30069.428540000001</v>
          </cell>
          <cell r="BC19">
            <v>30621.811959999999</v>
          </cell>
          <cell r="BD19">
            <v>31184.047979999999</v>
          </cell>
          <cell r="BE19">
            <v>31756.206590000002</v>
          </cell>
        </row>
        <row r="20">
          <cell r="B20">
            <v>66417.569539999997</v>
          </cell>
          <cell r="C20">
            <v>67021.82346</v>
          </cell>
          <cell r="D20">
            <v>67622.33395</v>
          </cell>
          <cell r="E20">
            <v>68236.28254</v>
          </cell>
          <cell r="F20">
            <v>68871.72868</v>
          </cell>
          <cell r="G20">
            <v>69532.522190000003</v>
          </cell>
          <cell r="H20">
            <v>70217.300950000004</v>
          </cell>
          <cell r="I20">
            <v>70925.206739999994</v>
          </cell>
          <cell r="J20">
            <v>71655.604210000005</v>
          </cell>
          <cell r="K20">
            <v>72407.837530000004</v>
          </cell>
          <cell r="L20">
            <v>73176.253970000005</v>
          </cell>
          <cell r="M20">
            <v>73969.967650000006</v>
          </cell>
          <cell r="N20">
            <v>74792.02781</v>
          </cell>
          <cell r="O20">
            <v>75642.598400000003</v>
          </cell>
          <cell r="P20">
            <v>76520.808369999999</v>
          </cell>
          <cell r="Q20">
            <v>77425.510169999994</v>
          </cell>
          <cell r="R20">
            <v>78355.066980000003</v>
          </cell>
          <cell r="S20">
            <v>79308.262789999993</v>
          </cell>
          <cell r="T20">
            <v>80284.193440000003</v>
          </cell>
          <cell r="U20">
            <v>81282.195460000003</v>
          </cell>
          <cell r="V20">
            <v>82298.080549999999</v>
          </cell>
          <cell r="W20">
            <v>83333.444019999995</v>
          </cell>
          <cell r="X20">
            <v>84389.194239999997</v>
          </cell>
          <cell r="Y20">
            <v>85465.857550000001</v>
          </cell>
          <cell r="Z20">
            <v>86563.860109999994</v>
          </cell>
          <cell r="AA20">
            <v>87672.957680000007</v>
          </cell>
          <cell r="AB20">
            <v>88794.123309999995</v>
          </cell>
          <cell r="AC20">
            <v>89928.23573</v>
          </cell>
          <cell r="AD20">
            <v>91075.948529999994</v>
          </cell>
          <cell r="AE20">
            <v>92237.877470000007</v>
          </cell>
          <cell r="AF20">
            <v>93414.663260000001</v>
          </cell>
          <cell r="AG20">
            <v>94607.119779999994</v>
          </cell>
          <cell r="AH20">
            <v>95815.966039999999</v>
          </cell>
          <cell r="AI20">
            <v>97041.834919999994</v>
          </cell>
          <cell r="AJ20">
            <v>98285.26758</v>
          </cell>
          <cell r="AK20">
            <v>99546.703240000003</v>
          </cell>
          <cell r="AL20">
            <v>100825.38770000001</v>
          </cell>
          <cell r="AM20">
            <v>102120.8766</v>
          </cell>
          <cell r="AN20">
            <v>103432.8961</v>
          </cell>
          <cell r="AO20">
            <v>104761.22629999999</v>
          </cell>
          <cell r="AP20">
            <v>106105.65489999999</v>
          </cell>
          <cell r="AQ20">
            <v>107466.2157</v>
          </cell>
          <cell r="AR20">
            <v>108842.8002</v>
          </cell>
          <cell r="AS20">
            <v>110235.22500000001</v>
          </cell>
          <cell r="AT20">
            <v>111643.2665</v>
          </cell>
          <cell r="AU20">
            <v>113066.67479999999</v>
          </cell>
          <cell r="AV20">
            <v>114506.3106</v>
          </cell>
          <cell r="AW20">
            <v>115962.4237</v>
          </cell>
          <cell r="AX20">
            <v>117434.9501</v>
          </cell>
          <cell r="AY20">
            <v>118923.6828</v>
          </cell>
          <cell r="AZ20">
            <v>120428.34849999999</v>
          </cell>
          <cell r="BA20">
            <v>147963.2444</v>
          </cell>
          <cell r="BB20">
            <v>150724.8345</v>
          </cell>
          <cell r="BC20">
            <v>153535.99280000001</v>
          </cell>
          <cell r="BD20">
            <v>156396.79120000001</v>
          </cell>
          <cell r="BE20">
            <v>159307.28649999999</v>
          </cell>
        </row>
        <row r="21">
          <cell r="B21">
            <v>66540.278550000003</v>
          </cell>
          <cell r="C21">
            <v>67325.135370000004</v>
          </cell>
          <cell r="D21">
            <v>68133.770340000003</v>
          </cell>
          <cell r="E21">
            <v>68971.425919999994</v>
          </cell>
          <cell r="F21">
            <v>69841.506779999996</v>
          </cell>
          <cell r="G21">
            <v>70746.032319999998</v>
          </cell>
          <cell r="H21">
            <v>71682.969200000007</v>
          </cell>
          <cell r="I21">
            <v>72651.239889999997</v>
          </cell>
          <cell r="J21">
            <v>73650.235050000003</v>
          </cell>
          <cell r="K21">
            <v>74679.500830000004</v>
          </cell>
          <cell r="L21">
            <v>75744.138479999994</v>
          </cell>
          <cell r="M21">
            <v>76841.003020000004</v>
          </cell>
          <cell r="N21">
            <v>77968.228319999995</v>
          </cell>
          <cell r="O21">
            <v>79124.756219999996</v>
          </cell>
          <cell r="P21">
            <v>80309.909350000002</v>
          </cell>
          <cell r="Q21">
            <v>81523.222869999998</v>
          </cell>
          <cell r="R21">
            <v>82764.390419999996</v>
          </cell>
          <cell r="S21">
            <v>84033.248720000003</v>
          </cell>
          <cell r="T21">
            <v>85329.769969999994</v>
          </cell>
          <cell r="U21">
            <v>86654.051869999996</v>
          </cell>
          <cell r="V21">
            <v>88002.172739999995</v>
          </cell>
          <cell r="W21">
            <v>89376.484039999996</v>
          </cell>
          <cell r="X21">
            <v>90778.46875</v>
          </cell>
          <cell r="Y21">
            <v>92209.086009999999</v>
          </cell>
          <cell r="Z21">
            <v>93669.082920000001</v>
          </cell>
          <cell r="AA21">
            <v>95147.113899999997</v>
          </cell>
          <cell r="AB21">
            <v>96644.005770000003</v>
          </cell>
          <cell r="AC21">
            <v>98160.543439999994</v>
          </cell>
          <cell r="AD21">
            <v>99697.267319999999</v>
          </cell>
          <cell r="AE21">
            <v>101254.6563</v>
          </cell>
          <cell r="AF21">
            <v>102833.19379999999</v>
          </cell>
          <cell r="AG21">
            <v>104433.3664</v>
          </cell>
          <cell r="AH21">
            <v>106055.637</v>
          </cell>
          <cell r="AI21">
            <v>107700.4151</v>
          </cell>
          <cell r="AJ21">
            <v>109368.0334</v>
          </cell>
          <cell r="AK21">
            <v>111058.7332</v>
          </cell>
          <cell r="AL21">
            <v>112769.71189999999</v>
          </cell>
          <cell r="AM21">
            <v>114499.4917</v>
          </cell>
          <cell r="AN21">
            <v>116247.2795</v>
          </cell>
          <cell r="AO21">
            <v>118012.5808</v>
          </cell>
          <cell r="AP21">
            <v>119795.0451</v>
          </cell>
          <cell r="AQ21">
            <v>121594.4062</v>
          </cell>
          <cell r="AR21">
            <v>123410.45630000001</v>
          </cell>
          <cell r="AS21">
            <v>125243.03019999999</v>
          </cell>
          <cell r="AT21">
            <v>127091.9938</v>
          </cell>
          <cell r="AU21">
            <v>128957.2363</v>
          </cell>
          <cell r="AV21">
            <v>130838.9339</v>
          </cell>
          <cell r="AW21">
            <v>132737.14809999999</v>
          </cell>
          <cell r="AX21">
            <v>134651.886</v>
          </cell>
          <cell r="AY21">
            <v>136583.1385</v>
          </cell>
          <cell r="AZ21">
            <v>138530.9</v>
          </cell>
          <cell r="BA21">
            <v>149206.48629999999</v>
          </cell>
          <cell r="BB21">
            <v>152032.96799999999</v>
          </cell>
          <cell r="BC21">
            <v>154909.40760000001</v>
          </cell>
          <cell r="BD21">
            <v>157835.80369999999</v>
          </cell>
          <cell r="BE21">
            <v>160812.15539999999</v>
          </cell>
        </row>
        <row r="22">
          <cell r="B22">
            <v>128845.3429</v>
          </cell>
          <cell r="C22">
            <v>129940.3027</v>
          </cell>
          <cell r="D22">
            <v>131054.5039</v>
          </cell>
          <cell r="E22">
            <v>132219.01459999999</v>
          </cell>
          <cell r="F22">
            <v>133443.712</v>
          </cell>
          <cell r="G22">
            <v>134730.32440000001</v>
          </cell>
          <cell r="H22">
            <v>136069.70879999999</v>
          </cell>
          <cell r="I22">
            <v>137456.25649999999</v>
          </cell>
          <cell r="J22">
            <v>138885.71049999999</v>
          </cell>
          <cell r="K22">
            <v>140354.28940000001</v>
          </cell>
          <cell r="L22">
            <v>141843.712</v>
          </cell>
          <cell r="M22">
            <v>143378.5411</v>
          </cell>
          <cell r="N22">
            <v>144964.6287</v>
          </cell>
          <cell r="O22">
            <v>146600.9578</v>
          </cell>
          <cell r="P22">
            <v>148284.52489999999</v>
          </cell>
          <cell r="Q22">
            <v>150012.03969999999</v>
          </cell>
          <cell r="R22">
            <v>151779.14939999999</v>
          </cell>
          <cell r="S22">
            <v>153582.8744</v>
          </cell>
          <cell r="T22">
            <v>155421.0839</v>
          </cell>
          <cell r="U22">
            <v>157292.2574</v>
          </cell>
          <cell r="V22">
            <v>159186.5974</v>
          </cell>
          <cell r="W22">
            <v>161109.30009999999</v>
          </cell>
          <cell r="X22">
            <v>163062.4142</v>
          </cell>
          <cell r="Y22">
            <v>165046.89720000001</v>
          </cell>
          <cell r="Z22">
            <v>167063.49720000001</v>
          </cell>
          <cell r="AA22">
            <v>169087.96290000001</v>
          </cell>
          <cell r="AB22">
            <v>171126.46530000001</v>
          </cell>
          <cell r="AC22">
            <v>173182.3922</v>
          </cell>
          <cell r="AD22">
            <v>175257.9553</v>
          </cell>
          <cell r="AE22">
            <v>177355.0404</v>
          </cell>
          <cell r="AF22">
            <v>179475.44930000001</v>
          </cell>
          <cell r="AG22">
            <v>181621.3401</v>
          </cell>
          <cell r="AH22">
            <v>183794.5246</v>
          </cell>
          <cell r="AI22">
            <v>185996.5857</v>
          </cell>
          <cell r="AJ22">
            <v>188228.90239999999</v>
          </cell>
          <cell r="AK22">
            <v>190492.64670000001</v>
          </cell>
          <cell r="AL22">
            <v>192786.69620000001</v>
          </cell>
          <cell r="AM22">
            <v>195111.01519999999</v>
          </cell>
          <cell r="AN22">
            <v>197465.90359999999</v>
          </cell>
          <cell r="AO22">
            <v>199851.6874</v>
          </cell>
          <cell r="AP22">
            <v>202268.6293</v>
          </cell>
          <cell r="AQ22">
            <v>204717.57550000001</v>
          </cell>
          <cell r="AR22">
            <v>207198.87549999999</v>
          </cell>
          <cell r="AS22">
            <v>209712.64989999999</v>
          </cell>
          <cell r="AT22">
            <v>212258.89550000001</v>
          </cell>
          <cell r="AU22">
            <v>214837.5245</v>
          </cell>
          <cell r="AV22">
            <v>217451.28820000001</v>
          </cell>
          <cell r="AW22">
            <v>220101.0172</v>
          </cell>
          <cell r="AX22">
            <v>222786.77420000001</v>
          </cell>
          <cell r="AY22">
            <v>225508.31789999999</v>
          </cell>
          <cell r="AZ22">
            <v>228265.27590000001</v>
          </cell>
          <cell r="BA22">
            <v>285631.02980000002</v>
          </cell>
          <cell r="BB22">
            <v>290823.48839999997</v>
          </cell>
          <cell r="BC22">
            <v>296116.929</v>
          </cell>
          <cell r="BD22">
            <v>301512.54700000002</v>
          </cell>
          <cell r="BE22">
            <v>307011.51209999999</v>
          </cell>
        </row>
        <row r="23">
          <cell r="B23">
            <v>129174.9146</v>
          </cell>
          <cell r="C23">
            <v>130725.43459999999</v>
          </cell>
          <cell r="D23">
            <v>132346.70819999999</v>
          </cell>
          <cell r="E23">
            <v>134044.92300000001</v>
          </cell>
          <cell r="F23">
            <v>135821.91219999999</v>
          </cell>
          <cell r="G23">
            <v>137677.1703</v>
          </cell>
          <cell r="H23">
            <v>139601.38200000001</v>
          </cell>
          <cell r="I23">
            <v>141589.34220000001</v>
          </cell>
          <cell r="J23">
            <v>143637.4437</v>
          </cell>
          <cell r="K23">
            <v>145742.7273</v>
          </cell>
          <cell r="L23">
            <v>147915.79250000001</v>
          </cell>
          <cell r="M23">
            <v>150145.7873</v>
          </cell>
          <cell r="N23">
            <v>152427.37839999999</v>
          </cell>
          <cell r="O23">
            <v>154757.6488</v>
          </cell>
          <cell r="P23">
            <v>157134.72649999999</v>
          </cell>
          <cell r="Q23">
            <v>159557.32930000001</v>
          </cell>
          <cell r="R23">
            <v>162024.61569999999</v>
          </cell>
          <cell r="S23">
            <v>164536.12899999999</v>
          </cell>
          <cell r="T23">
            <v>167091.76319999999</v>
          </cell>
          <cell r="U23">
            <v>169691.7279</v>
          </cell>
          <cell r="V23">
            <v>172326.63430000001</v>
          </cell>
          <cell r="W23">
            <v>175003.61670000001</v>
          </cell>
          <cell r="X23">
            <v>177726.08439999999</v>
          </cell>
          <cell r="Y23">
            <v>180496.01519999999</v>
          </cell>
          <cell r="Z23">
            <v>183314.94649999999</v>
          </cell>
          <cell r="AA23">
            <v>186155.62150000001</v>
          </cell>
          <cell r="AB23">
            <v>189024.3743</v>
          </cell>
          <cell r="AC23">
            <v>191924.79440000001</v>
          </cell>
          <cell r="AD23">
            <v>194859.2341</v>
          </cell>
          <cell r="AE23">
            <v>197829.66769999999</v>
          </cell>
          <cell r="AF23">
            <v>200837.9455</v>
          </cell>
          <cell r="AG23">
            <v>203885.83749999999</v>
          </cell>
          <cell r="AH23">
            <v>206975.00889999999</v>
          </cell>
          <cell r="AI23">
            <v>210106.98310000001</v>
          </cell>
          <cell r="AJ23">
            <v>213283.11139999999</v>
          </cell>
          <cell r="AK23">
            <v>216504.55669999999</v>
          </cell>
          <cell r="AL23">
            <v>219765.2659</v>
          </cell>
          <cell r="AM23">
            <v>223063.47469999999</v>
          </cell>
          <cell r="AN23">
            <v>226399.0048</v>
          </cell>
          <cell r="AO23">
            <v>229772.1924</v>
          </cell>
          <cell r="AP23">
            <v>233183.53599999999</v>
          </cell>
          <cell r="AQ23">
            <v>236633.58110000001</v>
          </cell>
          <cell r="AR23">
            <v>240122.88039999999</v>
          </cell>
          <cell r="AS23">
            <v>243651.9736</v>
          </cell>
          <cell r="AT23">
            <v>247221.375</v>
          </cell>
          <cell r="AU23">
            <v>250831.5644</v>
          </cell>
          <cell r="AV23">
            <v>254483.62530000001</v>
          </cell>
          <cell r="AW23">
            <v>258178.1923</v>
          </cell>
          <cell r="AX23">
            <v>261915.70360000001</v>
          </cell>
          <cell r="AY23">
            <v>265696.50719999999</v>
          </cell>
          <cell r="AZ23">
            <v>269520.90519999998</v>
          </cell>
          <cell r="BA23">
            <v>288049.45819999999</v>
          </cell>
          <cell r="BB23">
            <v>293378.7573</v>
          </cell>
          <cell r="BC23">
            <v>298811.56770000001</v>
          </cell>
          <cell r="BD23">
            <v>304349.05959999998</v>
          </cell>
          <cell r="BE23">
            <v>309992.39840000001</v>
          </cell>
        </row>
        <row r="24">
          <cell r="B24">
            <v>144703.86550000001</v>
          </cell>
          <cell r="C24">
            <v>146105.89110000001</v>
          </cell>
          <cell r="D24">
            <v>147485.72279999999</v>
          </cell>
          <cell r="E24">
            <v>148876.31169999999</v>
          </cell>
          <cell r="F24">
            <v>150297.34909999999</v>
          </cell>
          <cell r="G24">
            <v>151761.0754</v>
          </cell>
          <cell r="H24">
            <v>153269.36600000001</v>
          </cell>
          <cell r="I24">
            <v>154823.86600000001</v>
          </cell>
          <cell r="J24">
            <v>156426.12969999999</v>
          </cell>
          <cell r="K24">
            <v>158077.3916</v>
          </cell>
          <cell r="L24">
            <v>159773.1844</v>
          </cell>
          <cell r="M24">
            <v>161528.23370000001</v>
          </cell>
          <cell r="N24">
            <v>163348.6355</v>
          </cell>
          <cell r="O24">
            <v>165236.14679999999</v>
          </cell>
          <cell r="P24">
            <v>167190.72930000001</v>
          </cell>
          <cell r="Q24">
            <v>169211.66070000001</v>
          </cell>
          <cell r="R24">
            <v>171297.24160000001</v>
          </cell>
          <cell r="S24">
            <v>173446.11139999999</v>
          </cell>
          <cell r="T24">
            <v>175657.16020000001</v>
          </cell>
          <cell r="U24">
            <v>177929.4608</v>
          </cell>
          <cell r="V24">
            <v>180254.88029999999</v>
          </cell>
          <cell r="W24">
            <v>182635.51569999999</v>
          </cell>
          <cell r="X24">
            <v>185072.75899999999</v>
          </cell>
          <cell r="Y24">
            <v>187567.35620000001</v>
          </cell>
          <cell r="Z24">
            <v>190119.76149999999</v>
          </cell>
          <cell r="AA24">
            <v>192709.1306</v>
          </cell>
          <cell r="AB24">
            <v>195333.87090000001</v>
          </cell>
          <cell r="AC24">
            <v>197993.3872</v>
          </cell>
          <cell r="AD24">
            <v>200687.2838</v>
          </cell>
          <cell r="AE24">
            <v>203415.45209999999</v>
          </cell>
          <cell r="AF24">
            <v>206178.08</v>
          </cell>
          <cell r="AG24">
            <v>208975.81109999999</v>
          </cell>
          <cell r="AH24">
            <v>211809.3077</v>
          </cell>
          <cell r="AI24">
            <v>214679.2029</v>
          </cell>
          <cell r="AJ24">
            <v>217586.05420000001</v>
          </cell>
          <cell r="AK24">
            <v>220530.31020000001</v>
          </cell>
          <cell r="AL24">
            <v>223509.40599999999</v>
          </cell>
          <cell r="AM24">
            <v>226521.43040000001</v>
          </cell>
          <cell r="AN24">
            <v>229565.04800000001</v>
          </cell>
          <cell r="AO24">
            <v>232639.28400000001</v>
          </cell>
          <cell r="AP24">
            <v>235743.4185</v>
          </cell>
          <cell r="AQ24">
            <v>238877.31890000001</v>
          </cell>
          <cell r="AR24">
            <v>242040.85579999999</v>
          </cell>
          <cell r="AS24">
            <v>245233.93919999999</v>
          </cell>
          <cell r="AT24">
            <v>248456.52530000001</v>
          </cell>
          <cell r="AU24">
            <v>251708.60630000001</v>
          </cell>
          <cell r="AV24">
            <v>254992.02119999999</v>
          </cell>
          <cell r="AW24">
            <v>258307.84589999999</v>
          </cell>
          <cell r="AX24">
            <v>261656.68799999999</v>
          </cell>
          <cell r="AY24">
            <v>265038.89439999999</v>
          </cell>
          <cell r="AZ24">
            <v>268454.66720000003</v>
          </cell>
          <cell r="BA24">
            <v>321001.99890000001</v>
          </cell>
          <cell r="BB24">
            <v>326859.30650000001</v>
          </cell>
          <cell r="BC24">
            <v>332813.91570000001</v>
          </cell>
          <cell r="BD24">
            <v>338866.0429</v>
          </cell>
          <cell r="BE24">
            <v>345015.929</v>
          </cell>
        </row>
        <row r="25">
          <cell r="B25">
            <v>144892.19870000001</v>
          </cell>
          <cell r="C25">
            <v>146585.408</v>
          </cell>
          <cell r="D25">
            <v>148314.58309999999</v>
          </cell>
          <cell r="E25">
            <v>150092.6685</v>
          </cell>
          <cell r="F25">
            <v>151930.21960000001</v>
          </cell>
          <cell r="G25">
            <v>153834.99050000001</v>
          </cell>
          <cell r="H25">
            <v>155806.44320000001</v>
          </cell>
          <cell r="I25">
            <v>157844.7034</v>
          </cell>
          <cell r="J25">
            <v>159950.33360000001</v>
          </cell>
          <cell r="K25">
            <v>162123.9785</v>
          </cell>
          <cell r="L25">
            <v>164376.8524</v>
          </cell>
          <cell r="M25">
            <v>166705.36069999999</v>
          </cell>
          <cell r="N25">
            <v>169106.98180000001</v>
          </cell>
          <cell r="O25">
            <v>171580.13630000001</v>
          </cell>
          <cell r="P25">
            <v>174123.67970000001</v>
          </cell>
          <cell r="Q25">
            <v>176736.6862</v>
          </cell>
          <cell r="R25">
            <v>179418.3891</v>
          </cell>
          <cell r="S25">
            <v>182168.17449999999</v>
          </cell>
          <cell r="T25">
            <v>184985.5827</v>
          </cell>
          <cell r="U25">
            <v>187870.3014</v>
          </cell>
          <cell r="V25">
            <v>190814.13939999999</v>
          </cell>
          <cell r="W25">
            <v>193819.9932</v>
          </cell>
          <cell r="X25">
            <v>196889.92739999999</v>
          </cell>
          <cell r="Y25">
            <v>200025.25030000001</v>
          </cell>
          <cell r="Z25">
            <v>203226.88639999999</v>
          </cell>
          <cell r="AA25">
            <v>206472.22659999999</v>
          </cell>
          <cell r="AB25">
            <v>209759.35029999999</v>
          </cell>
          <cell r="AC25">
            <v>213087.4951</v>
          </cell>
          <cell r="AD25">
            <v>216456.15090000001</v>
          </cell>
          <cell r="AE25">
            <v>219865.1311</v>
          </cell>
          <cell r="AF25">
            <v>223314.57010000001</v>
          </cell>
          <cell r="AG25">
            <v>226804.84179999999</v>
          </cell>
          <cell r="AH25">
            <v>230336.4522</v>
          </cell>
          <cell r="AI25">
            <v>233909.94289999999</v>
          </cell>
          <cell r="AJ25">
            <v>237525.8181</v>
          </cell>
          <cell r="AK25">
            <v>241184.5012</v>
          </cell>
          <cell r="AL25">
            <v>244880.58480000001</v>
          </cell>
          <cell r="AM25">
            <v>248610.61439999999</v>
          </cell>
          <cell r="AN25">
            <v>252372.47829999999</v>
          </cell>
          <cell r="AO25">
            <v>256164.864</v>
          </cell>
          <cell r="AP25">
            <v>259986.9909</v>
          </cell>
          <cell r="AQ25">
            <v>263838.47159999999</v>
          </cell>
          <cell r="AR25">
            <v>267719.22249999997</v>
          </cell>
          <cell r="AS25">
            <v>271629.39169999998</v>
          </cell>
          <cell r="AT25">
            <v>275569.29920000001</v>
          </cell>
          <cell r="AU25">
            <v>279539.38909999997</v>
          </cell>
          <cell r="AV25">
            <v>283540.72039999999</v>
          </cell>
          <cell r="AW25">
            <v>287574.23670000001</v>
          </cell>
          <cell r="AX25">
            <v>291640.81</v>
          </cell>
          <cell r="AY25">
            <v>295741.26799999998</v>
          </cell>
          <cell r="AZ25">
            <v>299876.4143</v>
          </cell>
          <cell r="BA25">
            <v>323223.7169</v>
          </cell>
          <cell r="BB25">
            <v>329188.19819999998</v>
          </cell>
          <cell r="BC25">
            <v>335249.99739999999</v>
          </cell>
          <cell r="BD25">
            <v>341409.25400000002</v>
          </cell>
          <cell r="BE25">
            <v>347666.16600000003</v>
          </cell>
        </row>
        <row r="26">
          <cell r="B26">
            <v>1693485.1629999999</v>
          </cell>
          <cell r="C26">
            <v>1712012.0549999999</v>
          </cell>
          <cell r="D26">
            <v>1730477.517</v>
          </cell>
          <cell r="E26">
            <v>1749080.013</v>
          </cell>
          <cell r="F26">
            <v>1767977.5730000001</v>
          </cell>
          <cell r="G26">
            <v>1787288.5419999999</v>
          </cell>
          <cell r="H26">
            <v>1807063.298</v>
          </cell>
          <cell r="I26">
            <v>1827331.2890000001</v>
          </cell>
          <cell r="J26">
            <v>1848118.6980000001</v>
          </cell>
          <cell r="K26">
            <v>1869453.4439999999</v>
          </cell>
          <cell r="L26">
            <v>1891385.287</v>
          </cell>
          <cell r="M26">
            <v>1913981.916</v>
          </cell>
          <cell r="N26">
            <v>1937306.2220000001</v>
          </cell>
          <cell r="O26">
            <v>1961411.5660000001</v>
          </cell>
          <cell r="P26">
            <v>1986343.9029999999</v>
          </cell>
          <cell r="Q26">
            <v>2012144.7009999999</v>
          </cell>
          <cell r="R26">
            <v>2038850.047</v>
          </cell>
          <cell r="S26">
            <v>2066493.8219999999</v>
          </cell>
          <cell r="T26">
            <v>2095108.6529999999</v>
          </cell>
          <cell r="U26">
            <v>2124725.8149999999</v>
          </cell>
          <cell r="V26">
            <v>2155324.2829999998</v>
          </cell>
          <cell r="W26">
            <v>2186925.3840000001</v>
          </cell>
          <cell r="X26">
            <v>2219560.7340000002</v>
          </cell>
          <cell r="Y26">
            <v>2253261.0419999999</v>
          </cell>
          <cell r="Z26">
            <v>2288053.2570000002</v>
          </cell>
          <cell r="AA26">
            <v>2323812.5920000002</v>
          </cell>
          <cell r="AB26">
            <v>2360470.4980000001</v>
          </cell>
          <cell r="AC26">
            <v>2397982.2629999998</v>
          </cell>
          <cell r="AD26">
            <v>2436312.6</v>
          </cell>
          <cell r="AE26">
            <v>2475430.7659999998</v>
          </cell>
          <cell r="AF26">
            <v>2515308.625</v>
          </cell>
          <cell r="AG26">
            <v>2555920.398</v>
          </cell>
          <cell r="AH26">
            <v>2597240.9819999998</v>
          </cell>
          <cell r="AI26">
            <v>2639244.83</v>
          </cell>
          <cell r="AJ26">
            <v>2681905.2370000002</v>
          </cell>
          <cell r="AK26">
            <v>2725193.9679999999</v>
          </cell>
          <cell r="AL26">
            <v>2769053.443</v>
          </cell>
          <cell r="AM26">
            <v>2813421.1189999999</v>
          </cell>
          <cell r="AN26">
            <v>2858236.088</v>
          </cell>
          <cell r="AO26">
            <v>2903440.3220000002</v>
          </cell>
          <cell r="AP26">
            <v>2948978.969</v>
          </cell>
          <cell r="AQ26">
            <v>2994802.1039999998</v>
          </cell>
          <cell r="AR26">
            <v>3040863.6719999998</v>
          </cell>
          <cell r="AS26">
            <v>3087120.9929999998</v>
          </cell>
          <cell r="AT26">
            <v>3133534.5430000001</v>
          </cell>
          <cell r="AU26">
            <v>3180067.8280000002</v>
          </cell>
          <cell r="AV26">
            <v>3226696.165</v>
          </cell>
          <cell r="AW26">
            <v>3273399.2960000001</v>
          </cell>
          <cell r="AX26">
            <v>3320158.5759999999</v>
          </cell>
          <cell r="AY26">
            <v>3366956.395</v>
          </cell>
          <cell r="AZ26">
            <v>3413776.4330000002</v>
          </cell>
          <cell r="BA26">
            <v>4240150.0130000003</v>
          </cell>
          <cell r="BB26">
            <v>4330272.5049999999</v>
          </cell>
          <cell r="BC26">
            <v>4421473.0580000002</v>
          </cell>
          <cell r="BD26">
            <v>4513684.6560000004</v>
          </cell>
          <cell r="BE26">
            <v>4606839.7630000003</v>
          </cell>
        </row>
        <row r="27">
          <cell r="B27">
            <v>1694118.743</v>
          </cell>
          <cell r="C27">
            <v>1713998.41</v>
          </cell>
          <cell r="D27">
            <v>1734461.932</v>
          </cell>
          <cell r="E27">
            <v>1755626.7660000001</v>
          </cell>
          <cell r="F27">
            <v>1777597.5330000001</v>
          </cell>
          <cell r="G27">
            <v>1800464.5619999999</v>
          </cell>
          <cell r="H27">
            <v>1824266.2009999999</v>
          </cell>
          <cell r="I27">
            <v>1849027.4240000001</v>
          </cell>
          <cell r="J27">
            <v>1874772.8570000001</v>
          </cell>
          <cell r="K27">
            <v>1901529.777</v>
          </cell>
          <cell r="L27">
            <v>1929398.56</v>
          </cell>
          <cell r="M27">
            <v>1958418.96</v>
          </cell>
          <cell r="N27">
            <v>1988612.7239999999</v>
          </cell>
          <cell r="O27">
            <v>2019997.75</v>
          </cell>
          <cell r="P27">
            <v>2052591.041</v>
          </cell>
          <cell r="Q27">
            <v>2086408.8570000001</v>
          </cell>
          <cell r="R27">
            <v>2121466.42</v>
          </cell>
          <cell r="S27">
            <v>2157777.648</v>
          </cell>
          <cell r="T27">
            <v>2195354.929</v>
          </cell>
          <cell r="U27">
            <v>2234208.8730000001</v>
          </cell>
          <cell r="V27">
            <v>2274293.8080000002</v>
          </cell>
          <cell r="W27">
            <v>2315608.5469999998</v>
          </cell>
          <cell r="X27">
            <v>2358163.21</v>
          </cell>
          <cell r="Y27">
            <v>2401967.4019999998</v>
          </cell>
          <cell r="Z27">
            <v>2447027.0430000001</v>
          </cell>
          <cell r="AA27">
            <v>2493183.6719999998</v>
          </cell>
          <cell r="AB27">
            <v>2540335.5460000001</v>
          </cell>
          <cell r="AC27">
            <v>2588405.8590000002</v>
          </cell>
          <cell r="AD27">
            <v>2637328.4339999999</v>
          </cell>
          <cell r="AE27">
            <v>2687042.89</v>
          </cell>
          <cell r="AF27">
            <v>2737492.6850000001</v>
          </cell>
          <cell r="AG27">
            <v>2788623.8870000001</v>
          </cell>
          <cell r="AH27">
            <v>2840384.1680000001</v>
          </cell>
          <cell r="AI27">
            <v>2892721.9569999999</v>
          </cell>
          <cell r="AJ27">
            <v>2945585.841</v>
          </cell>
          <cell r="AK27">
            <v>2998924.2409999999</v>
          </cell>
          <cell r="AL27">
            <v>3052645.2790000001</v>
          </cell>
          <cell r="AM27">
            <v>3106650.952</v>
          </cell>
          <cell r="AN27">
            <v>3160847.9509999999</v>
          </cell>
          <cell r="AO27">
            <v>3215150.1779999998</v>
          </cell>
          <cell r="AP27">
            <v>3269479.1120000002</v>
          </cell>
          <cell r="AQ27">
            <v>3323763.6910000001</v>
          </cell>
          <cell r="AR27">
            <v>3377940.0750000002</v>
          </cell>
          <cell r="AS27">
            <v>3431951.3620000002</v>
          </cell>
          <cell r="AT27">
            <v>3485747.2850000001</v>
          </cell>
          <cell r="AU27">
            <v>3539283.94</v>
          </cell>
          <cell r="AV27">
            <v>3592527.23</v>
          </cell>
          <cell r="AW27">
            <v>3645449.5789999999</v>
          </cell>
          <cell r="AX27">
            <v>3698028.8969999999</v>
          </cell>
          <cell r="AY27">
            <v>3750248.307</v>
          </cell>
          <cell r="AZ27">
            <v>3802096.1439999999</v>
          </cell>
          <cell r="BA27">
            <v>4261665.0319999997</v>
          </cell>
          <cell r="BB27">
            <v>4352016.2649999997</v>
          </cell>
          <cell r="BC27">
            <v>4443318.9220000003</v>
          </cell>
          <cell r="BD27">
            <v>4535498.1179999998</v>
          </cell>
          <cell r="BE27">
            <v>4628479.3269999996</v>
          </cell>
        </row>
        <row r="28">
          <cell r="B28">
            <v>4356.3043340000004</v>
          </cell>
          <cell r="C28">
            <v>4401.0221540000002</v>
          </cell>
          <cell r="D28">
            <v>4445.280272</v>
          </cell>
          <cell r="E28">
            <v>4489.6788779999997</v>
          </cell>
          <cell r="F28">
            <v>4534.6093209999999</v>
          </cell>
          <cell r="G28">
            <v>4580.3448939999998</v>
          </cell>
          <cell r="H28">
            <v>4626.9201080000003</v>
          </cell>
          <cell r="I28">
            <v>4674.3809789999996</v>
          </cell>
          <cell r="J28">
            <v>4722.7758229999999</v>
          </cell>
          <cell r="K28">
            <v>4772.1437610000003</v>
          </cell>
          <cell r="L28">
            <v>4822.4564570000002</v>
          </cell>
          <cell r="M28">
            <v>4874.0064119999997</v>
          </cell>
          <cell r="N28">
            <v>4926.9073879999996</v>
          </cell>
          <cell r="O28">
            <v>4981.1866239999999</v>
          </cell>
          <cell r="P28">
            <v>5036.8370009999999</v>
          </cell>
          <cell r="Q28">
            <v>5093.8389340000003</v>
          </cell>
          <cell r="R28">
            <v>5152.1517430000004</v>
          </cell>
          <cell r="S28">
            <v>5211.742373</v>
          </cell>
          <cell r="T28">
            <v>5272.583412</v>
          </cell>
          <cell r="U28">
            <v>5334.6516039999997</v>
          </cell>
          <cell r="V28">
            <v>5397.728744</v>
          </cell>
          <cell r="W28">
            <v>5461.8763319999998</v>
          </cell>
          <cell r="X28">
            <v>5527.134188</v>
          </cell>
          <cell r="Y28">
            <v>5593.5240400000002</v>
          </cell>
          <cell r="Z28">
            <v>5661.0601779999997</v>
          </cell>
          <cell r="AA28">
            <v>5729.1847070000003</v>
          </cell>
          <cell r="AB28">
            <v>5797.8687870000003</v>
          </cell>
          <cell r="AC28">
            <v>5867.1090279999999</v>
          </cell>
          <cell r="AD28">
            <v>5936.9071100000001</v>
          </cell>
          <cell r="AE28">
            <v>6007.2736089999999</v>
          </cell>
          <cell r="AF28">
            <v>6078.2284149999996</v>
          </cell>
          <cell r="AG28">
            <v>6149.8037189999995</v>
          </cell>
          <cell r="AH28">
            <v>6222.0333259999998</v>
          </cell>
          <cell r="AI28">
            <v>6294.9507489999996</v>
          </cell>
          <cell r="AJ28">
            <v>6368.5877289999999</v>
          </cell>
          <cell r="AK28">
            <v>6442.9732350000004</v>
          </cell>
          <cell r="AL28">
            <v>6518.0471680000001</v>
          </cell>
          <cell r="AM28">
            <v>6593.7751390000003</v>
          </cell>
          <cell r="AN28">
            <v>6670.1409219999996</v>
          </cell>
          <cell r="AO28">
            <v>6747.1387020000002</v>
          </cell>
          <cell r="AP28">
            <v>6824.7698760000003</v>
          </cell>
          <cell r="AQ28">
            <v>6903.0502459999998</v>
          </cell>
          <cell r="AR28">
            <v>6981.9965350000002</v>
          </cell>
          <cell r="AS28">
            <v>7061.6265700000004</v>
          </cell>
          <cell r="AT28">
            <v>7141.9590269999999</v>
          </cell>
          <cell r="AU28">
            <v>7223.0129040000002</v>
          </cell>
          <cell r="AV28">
            <v>7304.850093</v>
          </cell>
          <cell r="AW28">
            <v>7387.5136849999999</v>
          </cell>
          <cell r="AX28">
            <v>7471.0342639999999</v>
          </cell>
          <cell r="AY28">
            <v>7555.4348579999996</v>
          </cell>
          <cell r="AZ28">
            <v>7640.7338490000002</v>
          </cell>
          <cell r="BA28">
            <v>8709.0840759999992</v>
          </cell>
          <cell r="BB28">
            <v>8845.8713709999993</v>
          </cell>
          <cell r="BC28">
            <v>8984.9626939999998</v>
          </cell>
          <cell r="BD28">
            <v>9126.3813480000008</v>
          </cell>
          <cell r="BE28">
            <v>9270.1512010000006</v>
          </cell>
        </row>
        <row r="29">
          <cell r="B29">
            <v>4360.2592759999998</v>
          </cell>
          <cell r="C29">
            <v>4411.0959359999997</v>
          </cell>
          <cell r="D29">
            <v>4462.7089169999999</v>
          </cell>
          <cell r="E29">
            <v>4515.2831249999999</v>
          </cell>
          <cell r="F29">
            <v>4569.0108920000002</v>
          </cell>
          <cell r="G29">
            <v>4624.0551839999998</v>
          </cell>
          <cell r="H29">
            <v>4680.3802400000004</v>
          </cell>
          <cell r="I29">
            <v>4737.9806609999996</v>
          </cell>
          <cell r="J29">
            <v>4796.8671750000003</v>
          </cell>
          <cell r="K29">
            <v>4857.0536769999999</v>
          </cell>
          <cell r="L29">
            <v>4918.8363550000004</v>
          </cell>
          <cell r="M29">
            <v>4982.111946</v>
          </cell>
          <cell r="N29">
            <v>5046.8090519999996</v>
          </cell>
          <cell r="O29">
            <v>5112.8829290000003</v>
          </cell>
          <cell r="P29">
            <v>5180.3010389999999</v>
          </cell>
          <cell r="Q29">
            <v>5249.0374389999997</v>
          </cell>
          <cell r="R29">
            <v>5319.0715339999997</v>
          </cell>
          <cell r="S29">
            <v>5390.3880920000001</v>
          </cell>
          <cell r="T29">
            <v>5462.9772700000003</v>
          </cell>
          <cell r="U29">
            <v>5536.8343269999996</v>
          </cell>
          <cell r="V29">
            <v>5611.7477570000001</v>
          </cell>
          <cell r="W29">
            <v>5687.8035460000001</v>
          </cell>
          <cell r="X29">
            <v>5765.063975</v>
          </cell>
          <cell r="Y29">
            <v>5843.571355</v>
          </cell>
          <cell r="Z29">
            <v>5923.3587950000001</v>
          </cell>
          <cell r="AA29">
            <v>6003.8433759999998</v>
          </cell>
          <cell r="AB29">
            <v>6084.9980740000001</v>
          </cell>
          <cell r="AC29">
            <v>6166.8244279999999</v>
          </cell>
          <cell r="AD29">
            <v>6249.3303299999998</v>
          </cell>
          <cell r="AE29">
            <v>6332.5334430000003</v>
          </cell>
          <cell r="AF29">
            <v>6416.4612200000001</v>
          </cell>
          <cell r="AG29">
            <v>6501.1482679999999</v>
          </cell>
          <cell r="AH29">
            <v>6586.6330170000001</v>
          </cell>
          <cell r="AI29">
            <v>6672.9547979999998</v>
          </cell>
          <cell r="AJ29">
            <v>6760.1517309999999</v>
          </cell>
          <cell r="AK29">
            <v>6848.2594589999999</v>
          </cell>
          <cell r="AL29">
            <v>6937.1621740000001</v>
          </cell>
          <cell r="AM29">
            <v>7026.7976330000001</v>
          </cell>
          <cell r="AN29">
            <v>7117.1388649999999</v>
          </cell>
          <cell r="AO29">
            <v>7208.1791629999998</v>
          </cell>
          <cell r="AP29">
            <v>7299.9250229999998</v>
          </cell>
          <cell r="AQ29">
            <v>7392.3924800000004</v>
          </cell>
          <cell r="AR29">
            <v>7485.6045949999998</v>
          </cell>
          <cell r="AS29">
            <v>7579.589344</v>
          </cell>
          <cell r="AT29">
            <v>7674.3778259999999</v>
          </cell>
          <cell r="AU29">
            <v>7770.0028130000001</v>
          </cell>
          <cell r="AV29">
            <v>7866.5111859999997</v>
          </cell>
          <cell r="AW29">
            <v>7963.9447209999998</v>
          </cell>
          <cell r="AX29">
            <v>8062.3414039999998</v>
          </cell>
          <cell r="AY29">
            <v>8161.7363400000004</v>
          </cell>
          <cell r="AZ29">
            <v>8262.1622979999993</v>
          </cell>
          <cell r="BA29">
            <v>8774.3944449999999</v>
          </cell>
          <cell r="BB29">
            <v>8914.5550019999991</v>
          </cell>
          <cell r="BC29">
            <v>9057.0619380000007</v>
          </cell>
          <cell r="BD29">
            <v>9201.939155</v>
          </cell>
          <cell r="BE29">
            <v>9349.2119129999992</v>
          </cell>
        </row>
        <row r="30">
          <cell r="B30">
            <v>43491.122380000001</v>
          </cell>
          <cell r="C30">
            <v>43937.130530000002</v>
          </cell>
          <cell r="D30">
            <v>44378.157619999998</v>
          </cell>
          <cell r="E30">
            <v>44820.142939999998</v>
          </cell>
          <cell r="F30">
            <v>45266.974020000001</v>
          </cell>
          <cell r="G30">
            <v>45721.38106</v>
          </cell>
          <cell r="H30">
            <v>46183.728069999997</v>
          </cell>
          <cell r="I30">
            <v>46654.502740000004</v>
          </cell>
          <cell r="J30">
            <v>47134.2215</v>
          </cell>
          <cell r="K30">
            <v>47623.31338</v>
          </cell>
          <cell r="L30">
            <v>48121.525370000003</v>
          </cell>
          <cell r="M30">
            <v>48631.819040000002</v>
          </cell>
          <cell r="N30">
            <v>49155.382680000002</v>
          </cell>
          <cell r="O30">
            <v>49692.545330000001</v>
          </cell>
          <cell r="P30">
            <v>50243.293120000002</v>
          </cell>
          <cell r="Q30">
            <v>50807.485249999998</v>
          </cell>
          <cell r="R30">
            <v>51384.767359999998</v>
          </cell>
          <cell r="S30">
            <v>51974.856019999999</v>
          </cell>
          <cell r="T30">
            <v>52577.518669999998</v>
          </cell>
          <cell r="U30">
            <v>53192.558579999997</v>
          </cell>
          <cell r="V30">
            <v>53817.834159999999</v>
          </cell>
          <cell r="W30">
            <v>54453.980340000002</v>
          </cell>
          <cell r="X30">
            <v>55101.40941</v>
          </cell>
          <cell r="Y30">
            <v>55760.348460000001</v>
          </cell>
          <cell r="Z30">
            <v>56430.946340000002</v>
          </cell>
          <cell r="AA30">
            <v>57107.656009999999</v>
          </cell>
          <cell r="AB30">
            <v>57790.187870000002</v>
          </cell>
          <cell r="AC30">
            <v>58478.497199999998</v>
          </cell>
          <cell r="AD30">
            <v>59172.583809999996</v>
          </cell>
          <cell r="AE30">
            <v>59872.532149999999</v>
          </cell>
          <cell r="AF30">
            <v>60578.51715</v>
          </cell>
          <cell r="AG30">
            <v>61290.834849999999</v>
          </cell>
          <cell r="AH30">
            <v>62009.797330000001</v>
          </cell>
          <cell r="AI30">
            <v>62735.71441</v>
          </cell>
          <cell r="AJ30">
            <v>63468.879249999998</v>
          </cell>
          <cell r="AK30">
            <v>64209.558680000002</v>
          </cell>
          <cell r="AL30">
            <v>64957.132680000002</v>
          </cell>
          <cell r="AM30">
            <v>65711.239650000003</v>
          </cell>
          <cell r="AN30">
            <v>66471.700049999999</v>
          </cell>
          <cell r="AO30">
            <v>67238.438750000001</v>
          </cell>
          <cell r="AP30">
            <v>68011.453120000006</v>
          </cell>
          <cell r="AQ30">
            <v>68790.884470000005</v>
          </cell>
          <cell r="AR30">
            <v>69576.884850000002</v>
          </cell>
          <cell r="AS30">
            <v>70369.619049999994</v>
          </cell>
          <cell r="AT30">
            <v>71169.26225</v>
          </cell>
          <cell r="AU30">
            <v>71975.994600000005</v>
          </cell>
          <cell r="AV30">
            <v>72790.423330000005</v>
          </cell>
          <cell r="AW30">
            <v>73612.971290000001</v>
          </cell>
          <cell r="AX30">
            <v>74443.939450000005</v>
          </cell>
          <cell r="AY30">
            <v>75283.555649999995</v>
          </cell>
          <cell r="AZ30">
            <v>76132.003049999999</v>
          </cell>
          <cell r="BA30">
            <v>87013.627139999997</v>
          </cell>
          <cell r="BB30">
            <v>88382.012359999993</v>
          </cell>
          <cell r="BC30">
            <v>89773.287920000002</v>
          </cell>
          <cell r="BD30">
            <v>91187.670169999998</v>
          </cell>
          <cell r="BE30">
            <v>92625.381370000003</v>
          </cell>
        </row>
        <row r="31">
          <cell r="B31">
            <v>43530.6607</v>
          </cell>
          <cell r="C31">
            <v>44037.963250000001</v>
          </cell>
          <cell r="D31">
            <v>44552.852709999999</v>
          </cell>
          <cell r="E31">
            <v>45077.171580000002</v>
          </cell>
          <cell r="F31">
            <v>45612.85037</v>
          </cell>
          <cell r="G31">
            <v>46161.534769999998</v>
          </cell>
          <cell r="H31">
            <v>46722.894970000001</v>
          </cell>
          <cell r="I31">
            <v>47296.906730000002</v>
          </cell>
          <cell r="J31">
            <v>47883.707470000001</v>
          </cell>
          <cell r="K31">
            <v>48483.46632</v>
          </cell>
          <cell r="L31">
            <v>49099.164709999997</v>
          </cell>
          <cell r="M31">
            <v>49729.804179999999</v>
          </cell>
          <cell r="N31">
            <v>50374.70493</v>
          </cell>
          <cell r="O31">
            <v>51033.450980000001</v>
          </cell>
          <cell r="P31">
            <v>51705.744500000001</v>
          </cell>
          <cell r="Q31">
            <v>52391.349159999998</v>
          </cell>
          <cell r="R31">
            <v>53090.077440000001</v>
          </cell>
          <cell r="S31">
            <v>53801.790849999998</v>
          </cell>
          <cell r="T31">
            <v>54526.400309999997</v>
          </cell>
          <cell r="U31">
            <v>55263.863720000001</v>
          </cell>
          <cell r="V31">
            <v>56012.074950000002</v>
          </cell>
          <cell r="W31">
            <v>56771.888509999997</v>
          </cell>
          <cell r="X31">
            <v>57543.917959999999</v>
          </cell>
          <cell r="Y31">
            <v>58328.575149999997</v>
          </cell>
          <cell r="Z31">
            <v>59126.178659999998</v>
          </cell>
          <cell r="AA31">
            <v>59930.906089999997</v>
          </cell>
          <cell r="AB31">
            <v>60742.473209999996</v>
          </cell>
          <cell r="AC31">
            <v>61560.873699999996</v>
          </cell>
          <cell r="AD31">
            <v>62386.160259999997</v>
          </cell>
          <cell r="AE31">
            <v>63218.480889999999</v>
          </cell>
          <cell r="AF31">
            <v>64058.080679999999</v>
          </cell>
          <cell r="AG31">
            <v>64905.276660000003</v>
          </cell>
          <cell r="AH31">
            <v>65760.425380000001</v>
          </cell>
          <cell r="AI31">
            <v>66623.894199999995</v>
          </cell>
          <cell r="AJ31">
            <v>67496.040529999998</v>
          </cell>
          <cell r="AK31">
            <v>68377.199200000003</v>
          </cell>
          <cell r="AL31">
            <v>69266.197369999994</v>
          </cell>
          <cell r="AM31">
            <v>70162.398050000003</v>
          </cell>
          <cell r="AN31">
            <v>71065.516380000001</v>
          </cell>
          <cell r="AO31">
            <v>71975.469719999994</v>
          </cell>
          <cell r="AP31">
            <v>72892.307579999993</v>
          </cell>
          <cell r="AQ31">
            <v>73816.175570000007</v>
          </cell>
          <cell r="AR31">
            <v>74747.29075</v>
          </cell>
          <cell r="AS31">
            <v>75685.920929999993</v>
          </cell>
          <cell r="AT31">
            <v>76632.366980000006</v>
          </cell>
          <cell r="AU31">
            <v>77586.94846</v>
          </cell>
          <cell r="AV31">
            <v>78550.127559999994</v>
          </cell>
          <cell r="AW31">
            <v>79522.317550000007</v>
          </cell>
          <cell r="AX31">
            <v>80503.895900000003</v>
          </cell>
          <cell r="AY31">
            <v>81495.213140000007</v>
          </cell>
          <cell r="AZ31">
            <v>82496.598050000001</v>
          </cell>
          <cell r="BA31">
            <v>87653.784390000001</v>
          </cell>
          <cell r="BB31">
            <v>89054.829429999998</v>
          </cell>
          <cell r="BC31">
            <v>90479.130709999998</v>
          </cell>
          <cell r="BD31">
            <v>91926.909010000003</v>
          </cell>
          <cell r="BE31">
            <v>93398.398969999995</v>
          </cell>
        </row>
        <row r="32">
          <cell r="B32">
            <v>25673.764940000001</v>
          </cell>
          <cell r="C32">
            <v>25878.181069999999</v>
          </cell>
          <cell r="D32">
            <v>26087.489890000001</v>
          </cell>
          <cell r="E32">
            <v>26308.34303</v>
          </cell>
          <cell r="F32">
            <v>26542.662810000002</v>
          </cell>
          <cell r="G32">
            <v>26790.570739999999</v>
          </cell>
          <cell r="H32">
            <v>27049.73171</v>
          </cell>
          <cell r="I32">
            <v>27318.68576</v>
          </cell>
          <cell r="J32">
            <v>27596.26945</v>
          </cell>
          <cell r="K32">
            <v>27881.43592</v>
          </cell>
          <cell r="L32">
            <v>28169.516739999999</v>
          </cell>
          <cell r="M32">
            <v>28466.39257</v>
          </cell>
          <cell r="N32">
            <v>28773.33625</v>
          </cell>
          <cell r="O32">
            <v>29090.043730000001</v>
          </cell>
          <cell r="P32">
            <v>29415.78154</v>
          </cell>
          <cell r="Q32">
            <v>29749.76238</v>
          </cell>
          <cell r="R32">
            <v>30090.949219999999</v>
          </cell>
          <cell r="S32">
            <v>30438.640449999999</v>
          </cell>
          <cell r="T32">
            <v>30792.333640000001</v>
          </cell>
          <cell r="U32">
            <v>31151.66906</v>
          </cell>
          <cell r="V32">
            <v>31514.460780000001</v>
          </cell>
          <cell r="W32">
            <v>31881.998060000002</v>
          </cell>
          <cell r="X32">
            <v>32254.722140000002</v>
          </cell>
          <cell r="Y32">
            <v>32632.808840000002</v>
          </cell>
          <cell r="Z32">
            <v>33016.388120000003</v>
          </cell>
          <cell r="AA32">
            <v>33400.06609</v>
          </cell>
          <cell r="AB32">
            <v>33785.621659999997</v>
          </cell>
          <cell r="AC32">
            <v>34173.969429999997</v>
          </cell>
          <cell r="AD32">
            <v>34565.69023</v>
          </cell>
          <cell r="AE32">
            <v>34961.259680000003</v>
          </cell>
          <cell r="AF32">
            <v>35361.111080000002</v>
          </cell>
          <cell r="AG32">
            <v>35765.744559999999</v>
          </cell>
          <cell r="AH32">
            <v>36175.564230000004</v>
          </cell>
          <cell r="AI32">
            <v>36590.916770000003</v>
          </cell>
          <cell r="AJ32">
            <v>37012.102989999999</v>
          </cell>
          <cell r="AK32">
            <v>37439.380539999998</v>
          </cell>
          <cell r="AL32">
            <v>37872.56407</v>
          </cell>
          <cell r="AM32">
            <v>38311.743300000002</v>
          </cell>
          <cell r="AN32">
            <v>38757.07733</v>
          </cell>
          <cell r="AO32">
            <v>39208.720220000003</v>
          </cell>
          <cell r="AP32">
            <v>39666.800009999999</v>
          </cell>
          <cell r="AQ32">
            <v>40131.570959999997</v>
          </cell>
          <cell r="AR32">
            <v>40603.15395</v>
          </cell>
          <cell r="AS32">
            <v>41081.608350000002</v>
          </cell>
          <cell r="AT32">
            <v>41566.95966</v>
          </cell>
          <cell r="AU32">
            <v>42059.21011</v>
          </cell>
          <cell r="AV32">
            <v>42559.020190000003</v>
          </cell>
          <cell r="AW32">
            <v>43066.571179999999</v>
          </cell>
          <cell r="AX32">
            <v>43581.869120000003</v>
          </cell>
          <cell r="AY32">
            <v>44104.856140000004</v>
          </cell>
          <cell r="AZ32">
            <v>44635.448279999997</v>
          </cell>
          <cell r="BA32">
            <v>56467.149570000001</v>
          </cell>
          <cell r="BB32">
            <v>57483.405100000004</v>
          </cell>
          <cell r="BC32">
            <v>58520.538999999997</v>
          </cell>
          <cell r="BD32">
            <v>59578.896569999997</v>
          </cell>
          <cell r="BE32">
            <v>60658.817750000002</v>
          </cell>
        </row>
        <row r="33">
          <cell r="B33">
            <v>25752.231769999999</v>
          </cell>
          <cell r="C33">
            <v>26062.791539999998</v>
          </cell>
          <cell r="D33">
            <v>26388.554980000001</v>
          </cell>
          <cell r="E33">
            <v>26730.611260000001</v>
          </cell>
          <cell r="F33">
            <v>27089.140770000002</v>
          </cell>
          <cell r="G33">
            <v>27463.843120000001</v>
          </cell>
          <cell r="H33">
            <v>27852.457399999999</v>
          </cell>
          <cell r="I33">
            <v>28253.752359999999</v>
          </cell>
          <cell r="J33">
            <v>28666.851719999999</v>
          </cell>
          <cell r="K33">
            <v>29091.015960000001</v>
          </cell>
          <cell r="L33">
            <v>29528.534350000002</v>
          </cell>
          <cell r="M33">
            <v>29976.709220000001</v>
          </cell>
          <cell r="N33">
            <v>30434.306280000001</v>
          </cell>
          <cell r="O33">
            <v>30900.680380000002</v>
          </cell>
          <cell r="P33">
            <v>31375.432000000001</v>
          </cell>
          <cell r="Q33">
            <v>31858.298119999999</v>
          </cell>
          <cell r="R33">
            <v>32349.115229999999</v>
          </cell>
          <cell r="S33">
            <v>32847.804020000003</v>
          </cell>
          <cell r="T33">
            <v>33354.359960000002</v>
          </cell>
          <cell r="U33">
            <v>33868.844969999998</v>
          </cell>
          <cell r="V33">
            <v>34389.178379999998</v>
          </cell>
          <cell r="W33">
            <v>34917.120479999998</v>
          </cell>
          <cell r="X33">
            <v>35453.435570000001</v>
          </cell>
          <cell r="Y33">
            <v>35998.541640000003</v>
          </cell>
          <cell r="Z33">
            <v>36552.759030000001</v>
          </cell>
          <cell r="AA33">
            <v>37110.002009999997</v>
          </cell>
          <cell r="AB33">
            <v>37672.13968</v>
          </cell>
          <cell r="AC33">
            <v>38240.181299999997</v>
          </cell>
          <cell r="AD33">
            <v>38814.786410000001</v>
          </cell>
          <cell r="AE33">
            <v>39396.496099999997</v>
          </cell>
          <cell r="AF33">
            <v>39985.798779999997</v>
          </cell>
          <cell r="AG33">
            <v>40583.145640000002</v>
          </cell>
          <cell r="AH33">
            <v>41188.951549999998</v>
          </cell>
          <cell r="AI33">
            <v>41803.592770000003</v>
          </cell>
          <cell r="AJ33">
            <v>42427.405039999998</v>
          </cell>
          <cell r="AK33">
            <v>43060.683290000001</v>
          </cell>
          <cell r="AL33">
            <v>43702.120389999996</v>
          </cell>
          <cell r="AM33">
            <v>44351.480450000003</v>
          </cell>
          <cell r="AN33">
            <v>45008.882129999998</v>
          </cell>
          <cell r="AO33">
            <v>45674.53959</v>
          </cell>
          <cell r="AP33">
            <v>46348.682240000002</v>
          </cell>
          <cell r="AQ33">
            <v>47031.530129999999</v>
          </cell>
          <cell r="AR33">
            <v>47723.286460000003</v>
          </cell>
          <cell r="AS33">
            <v>48424.13566</v>
          </cell>
          <cell r="AT33">
            <v>49134.243029999998</v>
          </cell>
          <cell r="AU33">
            <v>49853.755360000003</v>
          </cell>
          <cell r="AV33">
            <v>50582.944990000004</v>
          </cell>
          <cell r="AW33">
            <v>51321.966610000003</v>
          </cell>
          <cell r="AX33">
            <v>52070.925020000002</v>
          </cell>
          <cell r="AY33">
            <v>52829.90135</v>
          </cell>
          <cell r="AZ33">
            <v>53598.963150000003</v>
          </cell>
          <cell r="BA33">
            <v>56986.638679999996</v>
          </cell>
          <cell r="BB33">
            <v>58034.382850000002</v>
          </cell>
          <cell r="BC33">
            <v>59103.829579999998</v>
          </cell>
          <cell r="BD33">
            <v>60195.3292</v>
          </cell>
          <cell r="BE33">
            <v>61309.229910000002</v>
          </cell>
        </row>
        <row r="34">
          <cell r="B34">
            <v>14893.718999999999</v>
          </cell>
          <cell r="C34">
            <v>15036.284030000001</v>
          </cell>
          <cell r="D34">
            <v>15181.39431</v>
          </cell>
          <cell r="E34">
            <v>15332.095139999999</v>
          </cell>
          <cell r="F34">
            <v>15489.931039999999</v>
          </cell>
          <cell r="G34">
            <v>15655.86436</v>
          </cell>
          <cell r="H34">
            <v>15829.764870000001</v>
          </cell>
          <cell r="I34">
            <v>16011.67758</v>
          </cell>
          <cell r="J34">
            <v>16201.68477</v>
          </cell>
          <cell r="K34">
            <v>16399.828969999999</v>
          </cell>
          <cell r="L34">
            <v>16605.269189999999</v>
          </cell>
          <cell r="M34">
            <v>16820.03758</v>
          </cell>
          <cell r="N34">
            <v>17044.737000000001</v>
          </cell>
          <cell r="O34">
            <v>17279.428039999999</v>
          </cell>
          <cell r="P34">
            <v>17523.98157</v>
          </cell>
          <cell r="Q34">
            <v>17778.197980000001</v>
          </cell>
          <cell r="R34">
            <v>18041.73561</v>
          </cell>
          <cell r="S34">
            <v>18314.302739999999</v>
          </cell>
          <cell r="T34">
            <v>18595.629789999999</v>
          </cell>
          <cell r="U34">
            <v>18885.460650000001</v>
          </cell>
          <cell r="V34">
            <v>19182.53139</v>
          </cell>
          <cell r="W34">
            <v>19487.03615</v>
          </cell>
          <cell r="X34">
            <v>19799.00965</v>
          </cell>
          <cell r="Y34">
            <v>20118.412990000001</v>
          </cell>
          <cell r="Z34">
            <v>20445.18837</v>
          </cell>
          <cell r="AA34">
            <v>20776.29869</v>
          </cell>
          <cell r="AB34">
            <v>21111.533780000002</v>
          </cell>
          <cell r="AC34">
            <v>21450.706340000001</v>
          </cell>
          <cell r="AD34">
            <v>21793.67222</v>
          </cell>
          <cell r="AE34">
            <v>22140.364949999999</v>
          </cell>
          <cell r="AF34">
            <v>22490.794610000001</v>
          </cell>
          <cell r="AG34">
            <v>22845.067009999999</v>
          </cell>
          <cell r="AH34">
            <v>23203.31079</v>
          </cell>
          <cell r="AI34">
            <v>23565.670569999998</v>
          </cell>
          <cell r="AJ34">
            <v>23932.297859999999</v>
          </cell>
          <cell r="AK34">
            <v>24303.343680000002</v>
          </cell>
          <cell r="AL34">
            <v>24678.557570000001</v>
          </cell>
          <cell r="AM34">
            <v>25057.779630000001</v>
          </cell>
          <cell r="AN34">
            <v>25440.928469999999</v>
          </cell>
          <cell r="AO34">
            <v>25827.98144</v>
          </cell>
          <cell r="AP34">
            <v>26218.964899999999</v>
          </cell>
          <cell r="AQ34">
            <v>26614.00474</v>
          </cell>
          <cell r="AR34">
            <v>27013.230920000002</v>
          </cell>
          <cell r="AS34">
            <v>27416.785</v>
          </cell>
          <cell r="AT34">
            <v>27824.818360000001</v>
          </cell>
          <cell r="AU34">
            <v>28237.487590000001</v>
          </cell>
          <cell r="AV34">
            <v>28655.224900000001</v>
          </cell>
          <cell r="AW34">
            <v>29078.327430000001</v>
          </cell>
          <cell r="AX34">
            <v>29507.023570000001</v>
          </cell>
          <cell r="AY34">
            <v>29941.502909999999</v>
          </cell>
          <cell r="AZ34">
            <v>30381.930049999999</v>
          </cell>
          <cell r="BA34">
            <v>36789.749490000002</v>
          </cell>
          <cell r="BB34">
            <v>37531.980479999998</v>
          </cell>
          <cell r="BC34">
            <v>38288.681449999996</v>
          </cell>
          <cell r="BD34">
            <v>39060.101459999998</v>
          </cell>
          <cell r="BE34">
            <v>39846.50232</v>
          </cell>
        </row>
        <row r="35">
          <cell r="B35">
            <v>14918.317520000001</v>
          </cell>
          <cell r="C35">
            <v>15096.743259999999</v>
          </cell>
          <cell r="D35">
            <v>15284.30702</v>
          </cell>
          <cell r="E35">
            <v>15482.380429999999</v>
          </cell>
          <cell r="F35">
            <v>15691.690759999999</v>
          </cell>
          <cell r="G35">
            <v>15912.643749999999</v>
          </cell>
          <cell r="H35">
            <v>16144.66784</v>
          </cell>
          <cell r="I35">
            <v>16387.437409999999</v>
          </cell>
          <cell r="J35">
            <v>16640.741709999998</v>
          </cell>
          <cell r="K35">
            <v>16904.410909999999</v>
          </cell>
          <cell r="L35">
            <v>17179.731940000001</v>
          </cell>
          <cell r="M35">
            <v>17465.92829</v>
          </cell>
          <cell r="N35">
            <v>17762.491290000002</v>
          </cell>
          <cell r="O35">
            <v>18069.046200000001</v>
          </cell>
          <cell r="P35">
            <v>18385.2749</v>
          </cell>
          <cell r="Q35">
            <v>18710.894189999999</v>
          </cell>
          <cell r="R35">
            <v>19045.653490000001</v>
          </cell>
          <cell r="S35">
            <v>19389.33683</v>
          </cell>
          <cell r="T35">
            <v>19741.763859999999</v>
          </cell>
          <cell r="U35">
            <v>20102.789059999999</v>
          </cell>
          <cell r="V35">
            <v>20471.180919999999</v>
          </cell>
          <cell r="W35">
            <v>20847.315920000001</v>
          </cell>
          <cell r="X35">
            <v>21231.398150000001</v>
          </cell>
          <cell r="Y35">
            <v>21623.551950000001</v>
          </cell>
          <cell r="Z35">
            <v>22023.87746</v>
          </cell>
          <cell r="AA35">
            <v>22429.17382</v>
          </cell>
          <cell r="AB35">
            <v>22839.29637</v>
          </cell>
          <cell r="AC35">
            <v>23254.137859999999</v>
          </cell>
          <cell r="AD35">
            <v>23673.639910000002</v>
          </cell>
          <cell r="AE35">
            <v>24097.825570000001</v>
          </cell>
          <cell r="AF35">
            <v>24526.795880000001</v>
          </cell>
          <cell r="AG35">
            <v>24960.711640000001</v>
          </cell>
          <cell r="AH35">
            <v>25399.772489999999</v>
          </cell>
          <cell r="AI35">
            <v>25844.198619999999</v>
          </cell>
          <cell r="AJ35">
            <v>26294.217130000001</v>
          </cell>
          <cell r="AK35">
            <v>26750.053049999999</v>
          </cell>
          <cell r="AL35">
            <v>27211.100279999999</v>
          </cell>
          <cell r="AM35">
            <v>27677.061119999998</v>
          </cell>
          <cell r="AN35">
            <v>28147.813900000001</v>
          </cell>
          <cell r="AO35">
            <v>28623.344109999998</v>
          </cell>
          <cell r="AP35">
            <v>29103.715329999999</v>
          </cell>
          <cell r="AQ35">
            <v>29589.0527</v>
          </cell>
          <cell r="AR35">
            <v>30079.529340000001</v>
          </cell>
          <cell r="AS35">
            <v>30575.353810000001</v>
          </cell>
          <cell r="AT35">
            <v>31076.75879</v>
          </cell>
          <cell r="AU35">
            <v>31583.99164</v>
          </cell>
          <cell r="AV35">
            <v>32097.383689999999</v>
          </cell>
          <cell r="AW35">
            <v>32617.23979</v>
          </cell>
          <cell r="AX35">
            <v>33143.847159999998</v>
          </cell>
          <cell r="AY35">
            <v>33677.479489999998</v>
          </cell>
          <cell r="AZ35">
            <v>34218.398800000003</v>
          </cell>
          <cell r="BA35">
            <v>37058.8364</v>
          </cell>
          <cell r="BB35">
            <v>37816.079420000002</v>
          </cell>
          <cell r="BC35">
            <v>38588.090199999999</v>
          </cell>
          <cell r="BD35">
            <v>39375.126380000002</v>
          </cell>
          <cell r="BE35">
            <v>40177.462160000003</v>
          </cell>
        </row>
        <row r="36">
          <cell r="B36">
            <v>1987465.169</v>
          </cell>
          <cell r="C36">
            <v>2007900.1129999999</v>
          </cell>
          <cell r="D36">
            <v>2028145.0560000001</v>
          </cell>
          <cell r="E36">
            <v>2048548.875</v>
          </cell>
          <cell r="F36">
            <v>2069352.5149999999</v>
          </cell>
          <cell r="G36">
            <v>2090728.94</v>
          </cell>
          <cell r="H36">
            <v>2112729.3029999998</v>
          </cell>
          <cell r="I36">
            <v>2135396.0159999998</v>
          </cell>
          <cell r="J36">
            <v>2158767.4</v>
          </cell>
          <cell r="K36">
            <v>2182875.3560000001</v>
          </cell>
          <cell r="L36">
            <v>2207737.2259999998</v>
          </cell>
          <cell r="M36">
            <v>2233479.747</v>
          </cell>
          <cell r="N36">
            <v>2260164.9500000002</v>
          </cell>
          <cell r="O36">
            <v>2287818.6979999999</v>
          </cell>
          <cell r="P36">
            <v>2316449.6260000002</v>
          </cell>
          <cell r="Q36">
            <v>2346057.8029999998</v>
          </cell>
          <cell r="R36">
            <v>2376631.2209999999</v>
          </cell>
          <cell r="S36">
            <v>2408157.2179999999</v>
          </cell>
          <cell r="T36">
            <v>2440622.5750000002</v>
          </cell>
          <cell r="U36">
            <v>2474013.3360000001</v>
          </cell>
          <cell r="V36">
            <v>2508218.8250000002</v>
          </cell>
          <cell r="W36">
            <v>2543249.8509999998</v>
          </cell>
          <cell r="X36">
            <v>2579114.6159999999</v>
          </cell>
          <cell r="Y36">
            <v>2615814.6009999998</v>
          </cell>
          <cell r="Z36">
            <v>2653347.301</v>
          </cell>
          <cell r="AA36">
            <v>2691430.1949999998</v>
          </cell>
          <cell r="AB36">
            <v>2730002.9419999998</v>
          </cell>
          <cell r="AC36">
            <v>2769029.7990000001</v>
          </cell>
          <cell r="AD36">
            <v>2808484.9019999998</v>
          </cell>
          <cell r="AE36">
            <v>2848351.2760000001</v>
          </cell>
          <cell r="AF36">
            <v>2888619.7880000002</v>
          </cell>
          <cell r="AG36">
            <v>2929289.6039999998</v>
          </cell>
          <cell r="AH36">
            <v>2970363.2379999999</v>
          </cell>
          <cell r="AI36">
            <v>3011844.9909999999</v>
          </cell>
          <cell r="AJ36">
            <v>3053739.8470000001</v>
          </cell>
          <cell r="AK36">
            <v>3096052.7629999998</v>
          </cell>
          <cell r="AL36">
            <v>3138742.5980000002</v>
          </cell>
          <cell r="AM36">
            <v>3181777.7050000001</v>
          </cell>
          <cell r="AN36">
            <v>3225136.253</v>
          </cell>
          <cell r="AO36">
            <v>3268803.8480000002</v>
          </cell>
          <cell r="AP36">
            <v>3312772.2489999998</v>
          </cell>
          <cell r="AQ36">
            <v>3357042.2420000001</v>
          </cell>
          <cell r="AR36">
            <v>3401617.952</v>
          </cell>
          <cell r="AS36">
            <v>3446506.1290000002</v>
          </cell>
          <cell r="AT36">
            <v>3491715.5079999999</v>
          </cell>
          <cell r="AU36">
            <v>3537256.1839999999</v>
          </cell>
          <cell r="AV36">
            <v>3583158.3569999998</v>
          </cell>
          <cell r="AW36">
            <v>3629446.7990000001</v>
          </cell>
          <cell r="AX36">
            <v>3676141.4929999998</v>
          </cell>
          <cell r="AY36">
            <v>3723259.0649999999</v>
          </cell>
          <cell r="AZ36">
            <v>3770813.895</v>
          </cell>
          <cell r="BA36">
            <v>4389959.9960000003</v>
          </cell>
          <cell r="BB36">
            <v>4466700.5690000001</v>
          </cell>
          <cell r="BC36">
            <v>4544619.5580000002</v>
          </cell>
          <cell r="BD36">
            <v>4623723.8540000003</v>
          </cell>
          <cell r="BE36">
            <v>4704021.2580000004</v>
          </cell>
        </row>
        <row r="37">
          <cell r="B37">
            <v>1989199.2039999999</v>
          </cell>
          <cell r="C37">
            <v>2012525.5989999999</v>
          </cell>
          <cell r="D37">
            <v>2036439.223</v>
          </cell>
          <cell r="E37">
            <v>2061086.014</v>
          </cell>
          <cell r="F37">
            <v>2086593.703</v>
          </cell>
          <cell r="G37">
            <v>2113064.11</v>
          </cell>
          <cell r="H37">
            <v>2140498.0729999999</v>
          </cell>
          <cell r="I37">
            <v>2168898.5600000001</v>
          </cell>
          <cell r="J37">
            <v>2198272.4679999999</v>
          </cell>
          <cell r="K37">
            <v>2228627.358</v>
          </cell>
          <cell r="L37">
            <v>2260105.5630000001</v>
          </cell>
          <cell r="M37">
            <v>2292673.7519999999</v>
          </cell>
          <cell r="N37">
            <v>2326299.29</v>
          </cell>
          <cell r="O37">
            <v>2360955.9980000001</v>
          </cell>
          <cell r="P37">
            <v>2396620.7799999998</v>
          </cell>
          <cell r="Q37">
            <v>2433272.162</v>
          </cell>
          <cell r="R37">
            <v>2470890.1510000001</v>
          </cell>
          <cell r="S37">
            <v>2509456.4730000002</v>
          </cell>
          <cell r="T37">
            <v>2548954.7230000002</v>
          </cell>
          <cell r="U37">
            <v>2589370.3450000002</v>
          </cell>
          <cell r="V37">
            <v>2630587.8679999998</v>
          </cell>
          <cell r="W37">
            <v>2672623.2790000001</v>
          </cell>
          <cell r="X37">
            <v>2715491.2650000001</v>
          </cell>
          <cell r="Y37">
            <v>2759200.534</v>
          </cell>
          <cell r="Z37">
            <v>2803756.2560000001</v>
          </cell>
          <cell r="AA37">
            <v>2848862.5120000001</v>
          </cell>
          <cell r="AB37">
            <v>2894457.94</v>
          </cell>
          <cell r="AC37">
            <v>2940508.34</v>
          </cell>
          <cell r="AD37">
            <v>2986990.98</v>
          </cell>
          <cell r="AE37">
            <v>3033893.3029999998</v>
          </cell>
          <cell r="AF37">
            <v>3081211.5079999999</v>
          </cell>
          <cell r="AG37">
            <v>3128948.415</v>
          </cell>
          <cell r="AH37">
            <v>3177111.2179999999</v>
          </cell>
          <cell r="AI37">
            <v>3225709.57</v>
          </cell>
          <cell r="AJ37">
            <v>3274754.193</v>
          </cell>
          <cell r="AK37">
            <v>3324255.9789999998</v>
          </cell>
          <cell r="AL37">
            <v>3374152.361</v>
          </cell>
          <cell r="AM37">
            <v>3424399.18</v>
          </cell>
          <cell r="AN37">
            <v>3474969.156</v>
          </cell>
          <cell r="AO37">
            <v>3525847.2429999998</v>
          </cell>
          <cell r="AP37">
            <v>3577027.82</v>
          </cell>
          <cell r="AQ37">
            <v>3628512.8139999998</v>
          </cell>
          <cell r="AR37">
            <v>3680310.15</v>
          </cell>
          <cell r="AS37">
            <v>3732432.3220000002</v>
          </cell>
          <cell r="AT37">
            <v>3784895.14</v>
          </cell>
          <cell r="AU37">
            <v>3837716.6910000001</v>
          </cell>
          <cell r="AV37">
            <v>3890923.2540000002</v>
          </cell>
          <cell r="AW37">
            <v>3944540.477</v>
          </cell>
          <cell r="AX37">
            <v>3998593.1379999998</v>
          </cell>
          <cell r="AY37">
            <v>4053104.963</v>
          </cell>
          <cell r="AZ37">
            <v>4108098.6609999998</v>
          </cell>
          <cell r="BA37">
            <v>4416352.4210000001</v>
          </cell>
          <cell r="BB37">
            <v>4494341.6150000002</v>
          </cell>
          <cell r="BC37">
            <v>4573512.3600000003</v>
          </cell>
          <cell r="BD37">
            <v>4653871.7300000004</v>
          </cell>
          <cell r="BE37">
            <v>4735428.1529999999</v>
          </cell>
        </row>
        <row r="38">
          <cell r="B38">
            <v>436553.95299999998</v>
          </cell>
          <cell r="C38">
            <v>441683.64620000002</v>
          </cell>
          <cell r="D38">
            <v>447014.27769999998</v>
          </cell>
          <cell r="E38">
            <v>452567.37040000001</v>
          </cell>
          <cell r="F38">
            <v>458346.9436</v>
          </cell>
          <cell r="G38">
            <v>464349.65779999999</v>
          </cell>
          <cell r="H38">
            <v>470544.12119999999</v>
          </cell>
          <cell r="I38">
            <v>476915.10320000001</v>
          </cell>
          <cell r="J38">
            <v>483454.4</v>
          </cell>
          <cell r="K38">
            <v>490157.08419999998</v>
          </cell>
          <cell r="L38">
            <v>497060.55239999999</v>
          </cell>
          <cell r="M38">
            <v>504139.65509999997</v>
          </cell>
          <cell r="N38">
            <v>511385.03940000001</v>
          </cell>
          <cell r="O38">
            <v>518793.26640000002</v>
          </cell>
          <cell r="P38">
            <v>526363.32220000005</v>
          </cell>
          <cell r="Q38">
            <v>534095.58239999996</v>
          </cell>
          <cell r="R38">
            <v>541991.04099999997</v>
          </cell>
          <cell r="S38">
            <v>550051.45380000002</v>
          </cell>
          <cell r="T38">
            <v>558279.10279999999</v>
          </cell>
          <cell r="U38">
            <v>566676.5564</v>
          </cell>
          <cell r="V38">
            <v>575213.08380000002</v>
          </cell>
          <cell r="W38">
            <v>583912.71699999995</v>
          </cell>
          <cell r="X38">
            <v>592785.93359999999</v>
          </cell>
          <cell r="Y38">
            <v>601837.82570000004</v>
          </cell>
          <cell r="Z38">
            <v>611071.54249999998</v>
          </cell>
          <cell r="AA38">
            <v>620392.321</v>
          </cell>
          <cell r="AB38">
            <v>629818.18220000004</v>
          </cell>
          <cell r="AC38">
            <v>639356.61990000005</v>
          </cell>
          <cell r="AD38">
            <v>649010.49809999997</v>
          </cell>
          <cell r="AE38">
            <v>658781.27619999996</v>
          </cell>
          <cell r="AF38">
            <v>668670.02439999999</v>
          </cell>
          <cell r="AG38">
            <v>678677.79700000002</v>
          </cell>
          <cell r="AH38">
            <v>688805.52020000003</v>
          </cell>
          <cell r="AI38">
            <v>699053.95970000001</v>
          </cell>
          <cell r="AJ38">
            <v>709423.71990000003</v>
          </cell>
          <cell r="AK38">
            <v>719915.27399999998</v>
          </cell>
          <cell r="AL38">
            <v>730506.34820000001</v>
          </cell>
          <cell r="AM38">
            <v>741189.32090000005</v>
          </cell>
          <cell r="AN38">
            <v>751961.80130000005</v>
          </cell>
          <cell r="AO38">
            <v>762823.19050000003</v>
          </cell>
          <cell r="AP38">
            <v>773773.70750000002</v>
          </cell>
          <cell r="AQ38">
            <v>784814.33140000002</v>
          </cell>
          <cell r="AR38">
            <v>795946.49340000004</v>
          </cell>
          <cell r="AS38">
            <v>807172.0024</v>
          </cell>
          <cell r="AT38">
            <v>818493.00600000005</v>
          </cell>
          <cell r="AU38">
            <v>829911.9558</v>
          </cell>
          <cell r="AV38">
            <v>841434.41559999995</v>
          </cell>
          <cell r="AW38">
            <v>853064.64430000004</v>
          </cell>
          <cell r="AX38">
            <v>864806.33070000005</v>
          </cell>
          <cell r="AY38">
            <v>876662.96880000003</v>
          </cell>
          <cell r="AZ38">
            <v>888638.04119999998</v>
          </cell>
          <cell r="BA38">
            <v>969386.38840000005</v>
          </cell>
          <cell r="BB38">
            <v>986705.67310000001</v>
          </cell>
          <cell r="BC38">
            <v>1004324.552</v>
          </cell>
          <cell r="BD38">
            <v>1022245.498</v>
          </cell>
          <cell r="BE38">
            <v>1040471.069</v>
          </cell>
        </row>
        <row r="39">
          <cell r="B39">
            <v>436615.54820000002</v>
          </cell>
          <cell r="C39">
            <v>441840.71139999997</v>
          </cell>
          <cell r="D39">
            <v>447282.36989999999</v>
          </cell>
          <cell r="E39">
            <v>452955.38929999998</v>
          </cell>
          <cell r="F39">
            <v>458863.7709</v>
          </cell>
          <cell r="G39">
            <v>465006.92389999999</v>
          </cell>
          <cell r="H39">
            <v>471356.8958</v>
          </cell>
          <cell r="I39">
            <v>477901.48759999999</v>
          </cell>
          <cell r="J39">
            <v>484634.90960000001</v>
          </cell>
          <cell r="K39">
            <v>491554.07900000003</v>
          </cell>
          <cell r="L39">
            <v>498702.19469999999</v>
          </cell>
          <cell r="M39">
            <v>506049.7978</v>
          </cell>
          <cell r="N39">
            <v>513585.8787</v>
          </cell>
          <cell r="O39">
            <v>521306.7268</v>
          </cell>
          <cell r="P39">
            <v>529211.13500000001</v>
          </cell>
          <cell r="Q39">
            <v>537298.83059999999</v>
          </cell>
          <cell r="R39">
            <v>545569.96219999995</v>
          </cell>
          <cell r="S39">
            <v>554024.91009999998</v>
          </cell>
          <cell r="T39">
            <v>562664.1862</v>
          </cell>
          <cell r="U39">
            <v>571488.35739999998</v>
          </cell>
          <cell r="V39">
            <v>580464.20880000002</v>
          </cell>
          <cell r="W39">
            <v>589613.75309999997</v>
          </cell>
          <cell r="X39">
            <v>598945.46939999994</v>
          </cell>
          <cell r="Y39">
            <v>608462.52529999998</v>
          </cell>
          <cell r="Z39">
            <v>618166.2611</v>
          </cell>
          <cell r="AA39">
            <v>627958.91440000001</v>
          </cell>
          <cell r="AB39">
            <v>637856.65659999999</v>
          </cell>
          <cell r="AC39">
            <v>647865.41639999999</v>
          </cell>
          <cell r="AD39">
            <v>657986.82149999996</v>
          </cell>
          <cell r="AE39">
            <v>668221.42630000005</v>
          </cell>
          <cell r="AF39">
            <v>678569.69369999995</v>
          </cell>
          <cell r="AG39">
            <v>689032.21990000003</v>
          </cell>
          <cell r="AH39">
            <v>699609.72919999994</v>
          </cell>
          <cell r="AI39">
            <v>710303.02549999999</v>
          </cell>
          <cell r="AJ39">
            <v>721112.95909999998</v>
          </cell>
          <cell r="AK39">
            <v>732040.42279999994</v>
          </cell>
          <cell r="AL39">
            <v>743062.25219999999</v>
          </cell>
          <cell r="AM39">
            <v>754170.49650000001</v>
          </cell>
          <cell r="AN39">
            <v>765363.03</v>
          </cell>
          <cell r="AO39">
            <v>776639.95310000004</v>
          </cell>
          <cell r="AP39">
            <v>788002.4425</v>
          </cell>
          <cell r="AQ39">
            <v>799452.36410000001</v>
          </cell>
          <cell r="AR39">
            <v>810992.10690000001</v>
          </cell>
          <cell r="AS39">
            <v>822624.47660000005</v>
          </cell>
          <cell r="AT39">
            <v>834352.6102</v>
          </cell>
          <cell r="AU39">
            <v>846179.90619999997</v>
          </cell>
          <cell r="AV39">
            <v>858112.16440000001</v>
          </cell>
          <cell r="AW39">
            <v>870153.98230000003</v>
          </cell>
          <cell r="AX39">
            <v>882309.58490000002</v>
          </cell>
          <cell r="AY39">
            <v>894583.11300000001</v>
          </cell>
          <cell r="AZ39">
            <v>906978.71189999999</v>
          </cell>
          <cell r="BA39">
            <v>974839.33270000003</v>
          </cell>
          <cell r="BB39">
            <v>992423.24210000003</v>
          </cell>
          <cell r="BC39">
            <v>1010309.076</v>
          </cell>
          <cell r="BD39">
            <v>1028499.486</v>
          </cell>
          <cell r="BE39">
            <v>1046997.275</v>
          </cell>
        </row>
        <row r="40">
          <cell r="B40">
            <v>5629.2049589999997</v>
          </cell>
          <cell r="C40">
            <v>5683.3178619999999</v>
          </cell>
          <cell r="D40">
            <v>5736.0853010000001</v>
          </cell>
          <cell r="E40">
            <v>5788.8579159999999</v>
          </cell>
          <cell r="F40">
            <v>5842.5404179999996</v>
          </cell>
          <cell r="G40">
            <v>5897.7615889999997</v>
          </cell>
          <cell r="H40">
            <v>5954.7306920000001</v>
          </cell>
          <cell r="I40">
            <v>6013.5990030000003</v>
          </cell>
          <cell r="J40">
            <v>6074.4750329999997</v>
          </cell>
          <cell r="K40">
            <v>6137.4227520000004</v>
          </cell>
          <cell r="L40">
            <v>6202.2487309999997</v>
          </cell>
          <cell r="M40">
            <v>6269.4998580000001</v>
          </cell>
          <cell r="N40">
            <v>6339.3975200000004</v>
          </cell>
          <cell r="O40">
            <v>6411.9770619999999</v>
          </cell>
          <cell r="P40">
            <v>6487.1934010000004</v>
          </cell>
          <cell r="Q40">
            <v>6564.9693649999999</v>
          </cell>
          <cell r="R40">
            <v>6645.1876060000004</v>
          </cell>
          <cell r="S40">
            <v>6727.743434</v>
          </cell>
          <cell r="T40">
            <v>6812.5443889999997</v>
          </cell>
          <cell r="U40">
            <v>6899.5090049999999</v>
          </cell>
          <cell r="V40">
            <v>6988.2901149999998</v>
          </cell>
          <cell r="W40">
            <v>7078.9248729999999</v>
          </cell>
          <cell r="X40">
            <v>7171.4414790000001</v>
          </cell>
          <cell r="Y40">
            <v>7265.8496299999997</v>
          </cell>
          <cell r="Z40">
            <v>7362.1533989999998</v>
          </cell>
          <cell r="AA40">
            <v>7459.5633099999995</v>
          </cell>
          <cell r="AB40">
            <v>7558.000282</v>
          </cell>
          <cell r="AC40">
            <v>7657.4502110000003</v>
          </cell>
          <cell r="AD40">
            <v>7757.9138720000001</v>
          </cell>
          <cell r="AE40">
            <v>7859.4076379999997</v>
          </cell>
          <cell r="AF40">
            <v>7961.9631369999997</v>
          </cell>
          <cell r="AG40">
            <v>8065.6325180000003</v>
          </cell>
          <cell r="AH40">
            <v>8170.4707829999998</v>
          </cell>
          <cell r="AI40">
            <v>8276.5327300000008</v>
          </cell>
          <cell r="AJ40">
            <v>8383.8704089999992</v>
          </cell>
          <cell r="AK40">
            <v>8492.5310609999997</v>
          </cell>
          <cell r="AL40">
            <v>8602.4501550000004</v>
          </cell>
          <cell r="AM40">
            <v>8713.5814179999998</v>
          </cell>
          <cell r="AN40">
            <v>8825.8992500000004</v>
          </cell>
          <cell r="AO40">
            <v>8939.3907710000003</v>
          </cell>
          <cell r="AP40">
            <v>9054.0510319999994</v>
          </cell>
          <cell r="AQ40">
            <v>9169.8950679999998</v>
          </cell>
          <cell r="AR40">
            <v>9286.9354330000006</v>
          </cell>
          <cell r="AS40">
            <v>9405.1831340000008</v>
          </cell>
          <cell r="AT40">
            <v>9524.6480859999992</v>
          </cell>
          <cell r="AU40">
            <v>9645.3388290000003</v>
          </cell>
          <cell r="AV40">
            <v>9767.3314530000007</v>
          </cell>
          <cell r="AW40">
            <v>9890.6716930000002</v>
          </cell>
          <cell r="AX40">
            <v>10015.38452</v>
          </cell>
          <cell r="AY40">
            <v>10141.4827</v>
          </cell>
          <cell r="AZ40">
            <v>10268.97143</v>
          </cell>
          <cell r="BA40">
            <v>12147.36292</v>
          </cell>
          <cell r="BB40">
            <v>12363.873009999999</v>
          </cell>
          <cell r="BC40">
            <v>12584.15033</v>
          </cell>
          <cell r="BD40">
            <v>12808.216270000001</v>
          </cell>
          <cell r="BE40">
            <v>13036.09304</v>
          </cell>
        </row>
        <row r="41">
          <cell r="B41">
            <v>5636.5006009999997</v>
          </cell>
          <cell r="C41">
            <v>5702.0388590000002</v>
          </cell>
          <cell r="D41">
            <v>5768.4995099999996</v>
          </cell>
          <cell r="E41">
            <v>5836.3692300000002</v>
          </cell>
          <cell r="F41">
            <v>5906.1353040000004</v>
          </cell>
          <cell r="G41">
            <v>5978.2038709999997</v>
          </cell>
          <cell r="H41">
            <v>6052.6539229999998</v>
          </cell>
          <cell r="I41">
            <v>6129.5525859999998</v>
          </cell>
          <cell r="J41">
            <v>6208.9545179999996</v>
          </cell>
          <cell r="K41">
            <v>6290.8936299999996</v>
          </cell>
          <cell r="L41">
            <v>6375.7834460000004</v>
          </cell>
          <cell r="M41">
            <v>6463.4796189999997</v>
          </cell>
          <cell r="N41">
            <v>6553.8566700000001</v>
          </cell>
          <cell r="O41">
            <v>6646.8237079999999</v>
          </cell>
          <cell r="P41">
            <v>6742.3081099999999</v>
          </cell>
          <cell r="Q41">
            <v>6840.2481120000002</v>
          </cell>
          <cell r="R41">
            <v>6940.5913119999996</v>
          </cell>
          <cell r="S41">
            <v>7043.2950959999998</v>
          </cell>
          <cell r="T41">
            <v>7148.3271199999999</v>
          </cell>
          <cell r="U41">
            <v>7255.665285</v>
          </cell>
          <cell r="V41">
            <v>7364.9974739999998</v>
          </cell>
          <cell r="W41">
            <v>7476.4246830000002</v>
          </cell>
          <cell r="X41">
            <v>7590.0323619999999</v>
          </cell>
          <cell r="Y41">
            <v>7705.8804019999998</v>
          </cell>
          <cell r="Z41">
            <v>7824.0165349999997</v>
          </cell>
          <cell r="AA41">
            <v>7943.6126160000003</v>
          </cell>
          <cell r="AB41">
            <v>8064.5965480000004</v>
          </cell>
          <cell r="AC41">
            <v>8186.9646169999996</v>
          </cell>
          <cell r="AD41">
            <v>8310.7264159999995</v>
          </cell>
          <cell r="AE41">
            <v>8435.9050790000001</v>
          </cell>
          <cell r="AF41">
            <v>8562.5369489999994</v>
          </cell>
          <cell r="AG41">
            <v>8690.6679929999991</v>
          </cell>
          <cell r="AH41">
            <v>8820.3490849999998</v>
          </cell>
          <cell r="AI41">
            <v>8951.6316179999994</v>
          </cell>
          <cell r="AJ41">
            <v>9084.5641149999992</v>
          </cell>
          <cell r="AK41">
            <v>9219.1899919999996</v>
          </cell>
          <cell r="AL41">
            <v>9355.3332179999998</v>
          </cell>
          <cell r="AM41">
            <v>9492.8829110000006</v>
          </cell>
          <cell r="AN41">
            <v>9631.7782169999991</v>
          </cell>
          <cell r="AO41">
            <v>9771.9871910000002</v>
          </cell>
          <cell r="AP41">
            <v>9913.4959689999996</v>
          </cell>
          <cell r="AQ41">
            <v>10056.303309999999</v>
          </cell>
          <cell r="AR41">
            <v>10200.41714</v>
          </cell>
          <cell r="AS41">
            <v>10345.85187</v>
          </cell>
          <cell r="AT41">
            <v>10492.626109999999</v>
          </cell>
          <cell r="AU41">
            <v>10640.760840000001</v>
          </cell>
          <cell r="AV41">
            <v>10790.297350000001</v>
          </cell>
          <cell r="AW41">
            <v>10941.271000000001</v>
          </cell>
          <cell r="AX41">
            <v>11093.712009999999</v>
          </cell>
          <cell r="AY41">
            <v>11247.64739</v>
          </cell>
          <cell r="AZ41">
            <v>11403.10202</v>
          </cell>
          <cell r="BA41">
            <v>12237.932129999999</v>
          </cell>
          <cell r="BB41">
            <v>12459.11011</v>
          </cell>
          <cell r="BC41">
            <v>12684.09014</v>
          </cell>
          <cell r="BD41">
            <v>12912.89061</v>
          </cell>
          <cell r="BE41">
            <v>13145.53176</v>
          </cell>
        </row>
        <row r="42">
          <cell r="B42">
            <v>22367.069329999998</v>
          </cell>
          <cell r="C42">
            <v>22577.942159999999</v>
          </cell>
          <cell r="D42">
            <v>22775.573189999999</v>
          </cell>
          <cell r="E42">
            <v>22962.945790000002</v>
          </cell>
          <cell r="F42">
            <v>23143.19528</v>
          </cell>
          <cell r="G42">
            <v>23319.356779999998</v>
          </cell>
          <cell r="H42">
            <v>23493.26297</v>
          </cell>
          <cell r="I42">
            <v>23666.605589999999</v>
          </cell>
          <cell r="J42">
            <v>23840.795460000001</v>
          </cell>
          <cell r="K42">
            <v>24016.924060000001</v>
          </cell>
          <cell r="L42">
            <v>24194.717659999998</v>
          </cell>
          <cell r="M42">
            <v>24377.040570000001</v>
          </cell>
          <cell r="N42">
            <v>24565.29048</v>
          </cell>
          <cell r="O42">
            <v>24760.12832</v>
          </cell>
          <cell r="P42">
            <v>24961.89214</v>
          </cell>
          <cell r="Q42">
            <v>25170.75677</v>
          </cell>
          <cell r="R42">
            <v>25386.690340000001</v>
          </cell>
          <cell r="S42">
            <v>25609.6486</v>
          </cell>
          <cell r="T42">
            <v>25839.560089999999</v>
          </cell>
          <cell r="U42">
            <v>26076.323</v>
          </cell>
          <cell r="V42">
            <v>26318.862400000002</v>
          </cell>
          <cell r="W42">
            <v>26567.445049999998</v>
          </cell>
          <cell r="X42">
            <v>26822.161349999998</v>
          </cell>
          <cell r="Y42">
            <v>27082.982179999999</v>
          </cell>
          <cell r="Z42">
            <v>27349.831689999999</v>
          </cell>
          <cell r="AA42">
            <v>27619.909459999999</v>
          </cell>
          <cell r="AB42">
            <v>27893.05961</v>
          </cell>
          <cell r="AC42">
            <v>28169.159390000001</v>
          </cell>
          <cell r="AD42">
            <v>28448.064969999999</v>
          </cell>
          <cell r="AE42">
            <v>28729.66027</v>
          </cell>
          <cell r="AF42">
            <v>29013.874660000001</v>
          </cell>
          <cell r="AG42">
            <v>29300.713350000002</v>
          </cell>
          <cell r="AH42">
            <v>29590.200250000002</v>
          </cell>
          <cell r="AI42">
            <v>29882.377280000001</v>
          </cell>
          <cell r="AJ42">
            <v>30177.30096</v>
          </cell>
          <cell r="AK42">
            <v>30475.037230000002</v>
          </cell>
          <cell r="AL42">
            <v>30775.313590000002</v>
          </cell>
          <cell r="AM42">
            <v>31077.96284</v>
          </cell>
          <cell r="AN42">
            <v>31382.90408</v>
          </cell>
          <cell r="AO42">
            <v>31690.109700000001</v>
          </cell>
          <cell r="AP42">
            <v>31999.586380000001</v>
          </cell>
          <cell r="AQ42">
            <v>32311.41489</v>
          </cell>
          <cell r="AR42">
            <v>32625.66446</v>
          </cell>
          <cell r="AS42">
            <v>32942.402730000002</v>
          </cell>
          <cell r="AT42">
            <v>33261.698790000002</v>
          </cell>
          <cell r="AU42">
            <v>33583.62167</v>
          </cell>
          <cell r="AV42">
            <v>33908.475870000002</v>
          </cell>
          <cell r="AW42">
            <v>34236.437919999997</v>
          </cell>
          <cell r="AX42">
            <v>34567.620719999999</v>
          </cell>
          <cell r="AY42">
            <v>34902.107120000001</v>
          </cell>
          <cell r="AZ42">
            <v>35239.961389999997</v>
          </cell>
          <cell r="BA42">
            <v>42085.823779999999</v>
          </cell>
          <cell r="BB42">
            <v>42720.464610000003</v>
          </cell>
          <cell r="BC42">
            <v>43365.87472</v>
          </cell>
          <cell r="BD42">
            <v>44022.131200000003</v>
          </cell>
          <cell r="BE42">
            <v>44689.325839999998</v>
          </cell>
        </row>
        <row r="43">
          <cell r="B43">
            <v>22396.237659999999</v>
          </cell>
          <cell r="C43">
            <v>22651.085579999999</v>
          </cell>
          <cell r="D43">
            <v>22901.104230000001</v>
          </cell>
          <cell r="E43">
            <v>23146.932649999999</v>
          </cell>
          <cell r="F43">
            <v>23390.655599999998</v>
          </cell>
          <cell r="G43">
            <v>23634.72622</v>
          </cell>
          <cell r="H43">
            <v>23880.57531</v>
          </cell>
          <cell r="I43">
            <v>24129.560649999999</v>
          </cell>
          <cell r="J43">
            <v>24382.798419999999</v>
          </cell>
          <cell r="K43">
            <v>24641.120930000001</v>
          </cell>
          <cell r="L43">
            <v>24906.540550000002</v>
          </cell>
          <cell r="M43">
            <v>25178.835200000001</v>
          </cell>
          <cell r="N43">
            <v>25457.901610000001</v>
          </cell>
          <cell r="O43">
            <v>25743.712390000001</v>
          </cell>
          <cell r="P43">
            <v>26036.24091</v>
          </cell>
          <cell r="Q43">
            <v>26335.439699999999</v>
          </cell>
          <cell r="R43">
            <v>26641.24208</v>
          </cell>
          <cell r="S43">
            <v>26953.56997</v>
          </cell>
          <cell r="T43">
            <v>27272.3416</v>
          </cell>
          <cell r="U43">
            <v>27597.4774</v>
          </cell>
          <cell r="V43">
            <v>27927.846989999998</v>
          </cell>
          <cell r="W43">
            <v>28263.846669999999</v>
          </cell>
          <cell r="X43">
            <v>28605.690559999999</v>
          </cell>
          <cell r="Y43">
            <v>28953.473310000001</v>
          </cell>
          <cell r="Z43">
            <v>29307.246920000001</v>
          </cell>
          <cell r="AA43">
            <v>29663.995640000001</v>
          </cell>
          <cell r="AB43">
            <v>30023.641619999999</v>
          </cell>
          <cell r="AC43">
            <v>30386.161660000002</v>
          </cell>
          <cell r="AD43">
            <v>30751.512119999999</v>
          </cell>
          <cell r="AE43">
            <v>31119.67527</v>
          </cell>
          <cell r="AF43">
            <v>31490.67698</v>
          </cell>
          <cell r="AG43">
            <v>31864.585849999999</v>
          </cell>
          <cell r="AH43">
            <v>32241.504959999998</v>
          </cell>
          <cell r="AI43">
            <v>32621.561959999999</v>
          </cell>
          <cell r="AJ43">
            <v>33004.900119999998</v>
          </cell>
          <cell r="AK43">
            <v>33391.67108</v>
          </cell>
          <cell r="AL43">
            <v>33781.29019</v>
          </cell>
          <cell r="AM43">
            <v>34173.489889999997</v>
          </cell>
          <cell r="AN43">
            <v>34568.18305</v>
          </cell>
          <cell r="AO43">
            <v>34965.371570000003</v>
          </cell>
          <cell r="AP43">
            <v>35365.108760000003</v>
          </cell>
          <cell r="AQ43">
            <v>35767.483650000002</v>
          </cell>
          <cell r="AR43">
            <v>36172.61219</v>
          </cell>
          <cell r="AS43">
            <v>36580.630620000004</v>
          </cell>
          <cell r="AT43">
            <v>36991.689169999998</v>
          </cell>
          <cell r="AU43">
            <v>37405.94543</v>
          </cell>
          <cell r="AV43">
            <v>37823.619870000002</v>
          </cell>
          <cell r="AW43">
            <v>38244.900500000003</v>
          </cell>
          <cell r="AX43">
            <v>38669.949619999999</v>
          </cell>
          <cell r="AY43">
            <v>39098.935189999997</v>
          </cell>
          <cell r="AZ43">
            <v>39532.037470000003</v>
          </cell>
          <cell r="BA43">
            <v>42263.765290000003</v>
          </cell>
          <cell r="BB43">
            <v>42902.801449999999</v>
          </cell>
          <cell r="BC43">
            <v>43552.226329999998</v>
          </cell>
          <cell r="BD43">
            <v>44212.114000000001</v>
          </cell>
          <cell r="BE43">
            <v>44882.554239999998</v>
          </cell>
        </row>
        <row r="44">
          <cell r="B44">
            <v>1606.6204049999999</v>
          </cell>
          <cell r="C44">
            <v>1621.884237</v>
          </cell>
          <cell r="D44">
            <v>1635.9455640000001</v>
          </cell>
          <cell r="E44">
            <v>1648.9978000000001</v>
          </cell>
          <cell r="F44">
            <v>1661.3044809999999</v>
          </cell>
          <cell r="G44">
            <v>1673.1335180000001</v>
          </cell>
          <cell r="H44">
            <v>1684.668598</v>
          </cell>
          <cell r="I44">
            <v>1696.070751</v>
          </cell>
          <cell r="J44">
            <v>1707.4697819999999</v>
          </cell>
          <cell r="K44">
            <v>1718.9654109999999</v>
          </cell>
          <cell r="L44">
            <v>1730.559673</v>
          </cell>
          <cell r="M44">
            <v>1742.4582800000001</v>
          </cell>
          <cell r="N44">
            <v>1754.7645199999999</v>
          </cell>
          <cell r="O44">
            <v>1767.5327</v>
          </cell>
          <cell r="P44">
            <v>1780.794948</v>
          </cell>
          <cell r="Q44">
            <v>1794.571203</v>
          </cell>
          <cell r="R44">
            <v>1808.866201</v>
          </cell>
          <cell r="S44">
            <v>1823.6821460000001</v>
          </cell>
          <cell r="T44">
            <v>1839.0177000000001</v>
          </cell>
          <cell r="U44">
            <v>1854.8679629999999</v>
          </cell>
          <cell r="V44">
            <v>1871.166254</v>
          </cell>
          <cell r="W44">
            <v>1887.9274479999999</v>
          </cell>
          <cell r="X44">
            <v>1905.1529430000001</v>
          </cell>
          <cell r="Y44">
            <v>1922.836648</v>
          </cell>
          <cell r="Z44">
            <v>1940.9694669999999</v>
          </cell>
          <cell r="AA44">
            <v>1959.373006</v>
          </cell>
          <cell r="AB44">
            <v>1978.0319790000001</v>
          </cell>
          <cell r="AC44">
            <v>1996.92839</v>
          </cell>
          <cell r="AD44">
            <v>2016.0430269999999</v>
          </cell>
          <cell r="AE44">
            <v>2035.3592570000001</v>
          </cell>
          <cell r="AF44">
            <v>2054.8641630000002</v>
          </cell>
          <cell r="AG44">
            <v>2074.5504700000001</v>
          </cell>
          <cell r="AH44">
            <v>2094.4127760000001</v>
          </cell>
          <cell r="AI44">
            <v>2114.447561</v>
          </cell>
          <cell r="AJ44">
            <v>2134.6528819999999</v>
          </cell>
          <cell r="AK44">
            <v>2155.0279690000002</v>
          </cell>
          <cell r="AL44">
            <v>2175.5524690000002</v>
          </cell>
          <cell r="AM44">
            <v>2196.212364</v>
          </cell>
          <cell r="AN44">
            <v>2216.9984720000002</v>
          </cell>
          <cell r="AO44">
            <v>2237.904869</v>
          </cell>
          <cell r="AP44">
            <v>2258.928105</v>
          </cell>
          <cell r="AQ44">
            <v>2280.070029</v>
          </cell>
          <cell r="AR44">
            <v>2301.3322640000001</v>
          </cell>
          <cell r="AS44">
            <v>2322.7169159999999</v>
          </cell>
          <cell r="AT44">
            <v>2344.2266770000001</v>
          </cell>
          <cell r="AU44">
            <v>2365.8646319999998</v>
          </cell>
          <cell r="AV44">
            <v>2387.6493300000002</v>
          </cell>
          <cell r="AW44">
            <v>2409.5911980000001</v>
          </cell>
          <cell r="AX44">
            <v>2431.6969549999999</v>
          </cell>
          <cell r="AY44">
            <v>2453.9715609999998</v>
          </cell>
          <cell r="AZ44">
            <v>2476.4188210000002</v>
          </cell>
          <cell r="BA44">
            <v>2954.5719279999998</v>
          </cell>
          <cell r="BB44">
            <v>2997.2094339999999</v>
          </cell>
          <cell r="BC44">
            <v>3040.5167059999999</v>
          </cell>
          <cell r="BD44">
            <v>3084.4992379999999</v>
          </cell>
          <cell r="BE44">
            <v>3129.163877</v>
          </cell>
        </row>
        <row r="45">
          <cell r="B45">
            <v>1608.491522</v>
          </cell>
          <cell r="C45">
            <v>1626.5736360000001</v>
          </cell>
          <cell r="D45">
            <v>1644.0226339999999</v>
          </cell>
          <cell r="E45">
            <v>1660.9023380000001</v>
          </cell>
          <cell r="F45">
            <v>1677.42345</v>
          </cell>
          <cell r="G45">
            <v>1693.8208159999999</v>
          </cell>
          <cell r="H45">
            <v>1710.24918</v>
          </cell>
          <cell r="I45">
            <v>1726.841426</v>
          </cell>
          <cell r="J45">
            <v>1743.7006839999999</v>
          </cell>
          <cell r="K45">
            <v>1760.9023810000001</v>
          </cell>
          <cell r="L45">
            <v>1778.588675</v>
          </cell>
          <cell r="M45">
            <v>1796.758413</v>
          </cell>
          <cell r="N45">
            <v>1815.4167580000001</v>
          </cell>
          <cell r="O45">
            <v>1834.569659</v>
          </cell>
          <cell r="P45">
            <v>1854.2198800000001</v>
          </cell>
          <cell r="Q45">
            <v>1874.3665169999999</v>
          </cell>
          <cell r="R45">
            <v>1895.005701</v>
          </cell>
          <cell r="S45">
            <v>1916.131478</v>
          </cell>
          <cell r="T45">
            <v>1937.7365669999999</v>
          </cell>
          <cell r="U45">
            <v>1959.8129349999999</v>
          </cell>
          <cell r="V45">
            <v>1982.2863279999999</v>
          </cell>
          <cell r="W45">
            <v>2005.176917</v>
          </cell>
          <cell r="X45">
            <v>2028.4914490000001</v>
          </cell>
          <cell r="Y45">
            <v>2052.2298430000001</v>
          </cell>
          <cell r="Z45">
            <v>2076.3899219999998</v>
          </cell>
          <cell r="AA45">
            <v>2100.7782980000002</v>
          </cell>
          <cell r="AB45">
            <v>2125.3847820000001</v>
          </cell>
          <cell r="AC45">
            <v>2150.197831</v>
          </cell>
          <cell r="AD45">
            <v>2175.205054</v>
          </cell>
          <cell r="AE45">
            <v>2200.3969430000002</v>
          </cell>
          <cell r="AF45">
            <v>2225.767977</v>
          </cell>
          <cell r="AG45">
            <v>2251.3164080000001</v>
          </cell>
          <cell r="AH45">
            <v>2277.0435889999999</v>
          </cell>
          <cell r="AI45">
            <v>2302.9532380000001</v>
          </cell>
          <cell r="AJ45">
            <v>2329.0507670000002</v>
          </cell>
          <cell r="AK45">
            <v>2355.3427529999999</v>
          </cell>
          <cell r="AL45">
            <v>2381.790297</v>
          </cell>
          <cell r="AM45">
            <v>2408.3748860000001</v>
          </cell>
          <cell r="AN45">
            <v>2435.0886399999999</v>
          </cell>
          <cell r="AO45">
            <v>2461.9291360000002</v>
          </cell>
          <cell r="AP45">
            <v>2488.897508</v>
          </cell>
          <cell r="AQ45">
            <v>2515.9976579999998</v>
          </cell>
          <cell r="AR45">
            <v>2543.235768</v>
          </cell>
          <cell r="AS45">
            <v>2570.6198629999999</v>
          </cell>
          <cell r="AT45">
            <v>2598.1593819999998</v>
          </cell>
          <cell r="AU45">
            <v>2625.8647919999999</v>
          </cell>
          <cell r="AV45">
            <v>2653.7514000000001</v>
          </cell>
          <cell r="AW45">
            <v>2681.8330970000002</v>
          </cell>
          <cell r="AX45">
            <v>2710.123036</v>
          </cell>
          <cell r="AY45">
            <v>2738.6339969999999</v>
          </cell>
          <cell r="AZ45">
            <v>2767.3784540000001</v>
          </cell>
          <cell r="BA45">
            <v>2960.7927679999998</v>
          </cell>
          <cell r="BB45">
            <v>3003.4283660000001</v>
          </cell>
          <cell r="BC45">
            <v>3046.7030380000001</v>
          </cell>
          <cell r="BD45">
            <v>3090.6219099999998</v>
          </cell>
          <cell r="BE45">
            <v>3135.1914139999999</v>
          </cell>
        </row>
        <row r="46">
          <cell r="B46">
            <v>533.74905630000001</v>
          </cell>
          <cell r="C46">
            <v>538.90674260000003</v>
          </cell>
          <cell r="D46">
            <v>543.87307090000002</v>
          </cell>
          <cell r="E46">
            <v>548.7110682</v>
          </cell>
          <cell r="F46">
            <v>553.46930750000001</v>
          </cell>
          <cell r="G46">
            <v>558.19316930000002</v>
          </cell>
          <cell r="H46">
            <v>562.90170360000002</v>
          </cell>
          <cell r="I46">
            <v>567.61696489999997</v>
          </cell>
          <cell r="J46">
            <v>572.36047919999999</v>
          </cell>
          <cell r="K46">
            <v>577.15020130000005</v>
          </cell>
          <cell r="L46">
            <v>581.98195420000002</v>
          </cell>
          <cell r="M46">
            <v>586.91395620000003</v>
          </cell>
          <cell r="N46">
            <v>591.97469120000005</v>
          </cell>
          <cell r="O46">
            <v>597.17708279999999</v>
          </cell>
          <cell r="P46">
            <v>602.52743459999999</v>
          </cell>
          <cell r="Q46">
            <v>608.02894070000002</v>
          </cell>
          <cell r="R46">
            <v>613.68078939999998</v>
          </cell>
          <cell r="S46">
            <v>619.48210749999998</v>
          </cell>
          <cell r="T46">
            <v>625.43168189999994</v>
          </cell>
          <cell r="U46">
            <v>631.52783620000002</v>
          </cell>
          <cell r="V46">
            <v>637.74217380000005</v>
          </cell>
          <cell r="W46">
            <v>644.08280119999995</v>
          </cell>
          <cell r="X46">
            <v>650.55506060000005</v>
          </cell>
          <cell r="Y46">
            <v>657.1608999</v>
          </cell>
          <cell r="Z46">
            <v>663.90067429999999</v>
          </cell>
          <cell r="AA46">
            <v>670.69912520000003</v>
          </cell>
          <cell r="AB46">
            <v>677.55093639999996</v>
          </cell>
          <cell r="AC46">
            <v>684.45605250000006</v>
          </cell>
          <cell r="AD46">
            <v>691.41446159999998</v>
          </cell>
          <cell r="AE46">
            <v>698.42665810000005</v>
          </cell>
          <cell r="AF46">
            <v>705.49400100000003</v>
          </cell>
          <cell r="AG46">
            <v>712.61936079999998</v>
          </cell>
          <cell r="AH46">
            <v>719.80591890000005</v>
          </cell>
          <cell r="AI46">
            <v>727.05709420000005</v>
          </cell>
          <cell r="AJ46">
            <v>734.37648539999998</v>
          </cell>
          <cell r="AK46">
            <v>741.76777330000004</v>
          </cell>
          <cell r="AL46">
            <v>749.22317080000005</v>
          </cell>
          <cell r="AM46">
            <v>756.73827259999996</v>
          </cell>
          <cell r="AN46">
            <v>764.31194270000003</v>
          </cell>
          <cell r="AO46">
            <v>771.94501690000004</v>
          </cell>
          <cell r="AP46">
            <v>779.63944419999996</v>
          </cell>
          <cell r="AQ46">
            <v>787.39884470000004</v>
          </cell>
          <cell r="AR46">
            <v>795.22663039999998</v>
          </cell>
          <cell r="AS46">
            <v>803.12611159999994</v>
          </cell>
          <cell r="AT46">
            <v>811.10054279999997</v>
          </cell>
          <cell r="AU46">
            <v>819.1530917</v>
          </cell>
          <cell r="AV46">
            <v>827.29209920000005</v>
          </cell>
          <cell r="AW46">
            <v>835.52319729999999</v>
          </cell>
          <cell r="AX46">
            <v>843.85047359999999</v>
          </cell>
          <cell r="AY46">
            <v>852.2772612</v>
          </cell>
          <cell r="AZ46">
            <v>860.80643429999998</v>
          </cell>
          <cell r="BA46">
            <v>998.87981119999995</v>
          </cell>
          <cell r="BB46">
            <v>1013.927822</v>
          </cell>
          <cell r="BC46">
            <v>1029.2544969999999</v>
          </cell>
          <cell r="BD46">
            <v>1044.8615030000001</v>
          </cell>
          <cell r="BE46">
            <v>1060.750681</v>
          </cell>
        </row>
        <row r="47">
          <cell r="B47">
            <v>534.41030230000001</v>
          </cell>
          <cell r="C47">
            <v>540.57482110000001</v>
          </cell>
          <cell r="D47">
            <v>546.73872779999999</v>
          </cell>
          <cell r="E47">
            <v>552.90613189999999</v>
          </cell>
          <cell r="F47">
            <v>559.09678580000002</v>
          </cell>
          <cell r="G47">
            <v>565.33982260000005</v>
          </cell>
          <cell r="H47">
            <v>571.64426060000005</v>
          </cell>
          <cell r="I47">
            <v>578.02510210000003</v>
          </cell>
          <cell r="J47">
            <v>584.4983866</v>
          </cell>
          <cell r="K47">
            <v>591.07767890000002</v>
          </cell>
          <cell r="L47">
            <v>597.81247429999996</v>
          </cell>
          <cell r="M47">
            <v>604.69444390000001</v>
          </cell>
          <cell r="N47">
            <v>611.71704820000002</v>
          </cell>
          <cell r="O47">
            <v>618.87722670000005</v>
          </cell>
          <cell r="P47">
            <v>626.17335700000001</v>
          </cell>
          <cell r="Q47">
            <v>633.60424680000006</v>
          </cell>
          <cell r="R47">
            <v>641.16884589999995</v>
          </cell>
          <cell r="S47">
            <v>648.86624449999999</v>
          </cell>
          <cell r="T47">
            <v>656.69574820000003</v>
          </cell>
          <cell r="U47">
            <v>664.65695200000005</v>
          </cell>
          <cell r="V47">
            <v>672.72096120000003</v>
          </cell>
          <cell r="W47">
            <v>680.89951589999998</v>
          </cell>
          <cell r="X47">
            <v>689.20156710000003</v>
          </cell>
          <cell r="Y47">
            <v>697.63260639999999</v>
          </cell>
          <cell r="Z47">
            <v>706.19653270000003</v>
          </cell>
          <cell r="AA47">
            <v>714.81373910000002</v>
          </cell>
          <cell r="AB47">
            <v>723.48095490000003</v>
          </cell>
          <cell r="AC47">
            <v>732.20076710000001</v>
          </cell>
          <cell r="AD47">
            <v>740.97574099999997</v>
          </cell>
          <cell r="AE47">
            <v>749.80874540000002</v>
          </cell>
          <cell r="AF47">
            <v>758.70334379999997</v>
          </cell>
          <cell r="AG47">
            <v>767.6638408</v>
          </cell>
          <cell r="AH47">
            <v>776.69513700000005</v>
          </cell>
          <cell r="AI47">
            <v>785.80252619999999</v>
          </cell>
          <cell r="AJ47">
            <v>794.99150039999995</v>
          </cell>
          <cell r="AK47">
            <v>804.26758930000005</v>
          </cell>
          <cell r="AL47">
            <v>813.61640550000004</v>
          </cell>
          <cell r="AM47">
            <v>823.03114200000005</v>
          </cell>
          <cell r="AN47">
            <v>832.51031639999997</v>
          </cell>
          <cell r="AO47">
            <v>842.05518459999996</v>
          </cell>
          <cell r="AP47">
            <v>851.66847310000003</v>
          </cell>
          <cell r="AQ47">
            <v>861.35379969999997</v>
          </cell>
          <cell r="AR47">
            <v>871.11537080000005</v>
          </cell>
          <cell r="AS47">
            <v>880.95778329999996</v>
          </cell>
          <cell r="AT47">
            <v>890.88586220000002</v>
          </cell>
          <cell r="AU47">
            <v>900.90449720000004</v>
          </cell>
          <cell r="AV47">
            <v>911.02015210000002</v>
          </cell>
          <cell r="AW47">
            <v>921.23739550000005</v>
          </cell>
          <cell r="AX47">
            <v>931.55853790000003</v>
          </cell>
          <cell r="AY47">
            <v>941.9869301</v>
          </cell>
          <cell r="AZ47">
            <v>952.52775359999998</v>
          </cell>
          <cell r="BA47">
            <v>1007.435973</v>
          </cell>
          <cell r="BB47">
            <v>1022.772274</v>
          </cell>
          <cell r="BC47">
            <v>1038.3784450000001</v>
          </cell>
          <cell r="BD47">
            <v>1054.256204</v>
          </cell>
          <cell r="BE47">
            <v>1070.407559</v>
          </cell>
        </row>
        <row r="48">
          <cell r="B48">
            <v>333.27825109999998</v>
          </cell>
          <cell r="C48">
            <v>336.50428060000002</v>
          </cell>
          <cell r="D48">
            <v>339.61516970000002</v>
          </cell>
          <cell r="E48">
            <v>342.64973420000001</v>
          </cell>
          <cell r="F48">
            <v>345.63703939999999</v>
          </cell>
          <cell r="G48">
            <v>348.60391179999999</v>
          </cell>
          <cell r="H48">
            <v>351.56086319999997</v>
          </cell>
          <cell r="I48">
            <v>354.52054270000002</v>
          </cell>
          <cell r="J48">
            <v>357.4955511</v>
          </cell>
          <cell r="K48">
            <v>360.49651310000002</v>
          </cell>
          <cell r="L48">
            <v>363.5205072</v>
          </cell>
          <cell r="M48">
            <v>366.60363960000001</v>
          </cell>
          <cell r="N48">
            <v>369.76347170000003</v>
          </cell>
          <cell r="O48">
            <v>373.00793299999998</v>
          </cell>
          <cell r="P48">
            <v>376.34094140000002</v>
          </cell>
          <cell r="Q48">
            <v>379.76459849999998</v>
          </cell>
          <cell r="R48">
            <v>383.27861050000001</v>
          </cell>
          <cell r="S48">
            <v>386.88272999999998</v>
          </cell>
          <cell r="T48">
            <v>390.57655720000002</v>
          </cell>
          <cell r="U48">
            <v>394.35943789999999</v>
          </cell>
          <cell r="V48">
            <v>398.21412770000001</v>
          </cell>
          <cell r="W48">
            <v>402.14611789999998</v>
          </cell>
          <cell r="X48">
            <v>406.15912980000002</v>
          </cell>
          <cell r="Y48">
            <v>410.25472769999999</v>
          </cell>
          <cell r="Z48">
            <v>414.43344730000001</v>
          </cell>
          <cell r="AA48">
            <v>418.64881930000001</v>
          </cell>
          <cell r="AB48">
            <v>422.89794590000002</v>
          </cell>
          <cell r="AC48">
            <v>427.18112869999999</v>
          </cell>
          <cell r="AD48">
            <v>431.49861620000001</v>
          </cell>
          <cell r="AE48">
            <v>435.85090350000002</v>
          </cell>
          <cell r="AF48">
            <v>440.23896630000002</v>
          </cell>
          <cell r="AG48">
            <v>444.6646743</v>
          </cell>
          <cell r="AH48">
            <v>449.1300473</v>
          </cell>
          <cell r="AI48">
            <v>453.63721429999998</v>
          </cell>
          <cell r="AJ48">
            <v>458.18838440000002</v>
          </cell>
          <cell r="AK48">
            <v>462.78579289999999</v>
          </cell>
          <cell r="AL48">
            <v>467.42456420000002</v>
          </cell>
          <cell r="AM48">
            <v>472.1019331</v>
          </cell>
          <cell r="AN48">
            <v>476.81715120000001</v>
          </cell>
          <cell r="AO48">
            <v>481.5706778</v>
          </cell>
          <cell r="AP48">
            <v>486.36365369999999</v>
          </cell>
          <cell r="AQ48">
            <v>491.19826260000002</v>
          </cell>
          <cell r="AR48">
            <v>496.07656170000001</v>
          </cell>
          <cell r="AS48">
            <v>501.00055120000002</v>
          </cell>
          <cell r="AT48">
            <v>505.97220520000002</v>
          </cell>
          <cell r="AU48">
            <v>510.99345419999997</v>
          </cell>
          <cell r="AV48">
            <v>516.06947349999996</v>
          </cell>
          <cell r="AW48">
            <v>521.20375550000006</v>
          </cell>
          <cell r="AX48">
            <v>526.39882869999997</v>
          </cell>
          <cell r="AY48">
            <v>531.65675339999996</v>
          </cell>
          <cell r="AZ48">
            <v>536.97930959999997</v>
          </cell>
          <cell r="BA48">
            <v>621.88281159999997</v>
          </cell>
          <cell r="BB48">
            <v>631.22261949999995</v>
          </cell>
          <cell r="BC48">
            <v>640.73759889999997</v>
          </cell>
          <cell r="BD48">
            <v>650.4289172</v>
          </cell>
          <cell r="BE48">
            <v>660.29783580000003</v>
          </cell>
        </row>
        <row r="49">
          <cell r="B49">
            <v>333.68970439999998</v>
          </cell>
          <cell r="C49">
            <v>337.54032910000001</v>
          </cell>
          <cell r="D49">
            <v>341.39183150000002</v>
          </cell>
          <cell r="E49">
            <v>345.2464736</v>
          </cell>
          <cell r="F49">
            <v>349.1159237</v>
          </cell>
          <cell r="G49">
            <v>353.01756089999998</v>
          </cell>
          <cell r="H49">
            <v>356.95628729999999</v>
          </cell>
          <cell r="I49">
            <v>360.94089109999999</v>
          </cell>
          <cell r="J49">
            <v>364.98097130000002</v>
          </cell>
          <cell r="K49">
            <v>369.08473400000003</v>
          </cell>
          <cell r="L49">
            <v>373.28284430000002</v>
          </cell>
          <cell r="M49">
            <v>377.57003370000001</v>
          </cell>
          <cell r="N49">
            <v>381.94227940000002</v>
          </cell>
          <cell r="O49">
            <v>386.3978166</v>
          </cell>
          <cell r="P49">
            <v>390.935834</v>
          </cell>
          <cell r="Q49">
            <v>395.55582450000003</v>
          </cell>
          <cell r="R49">
            <v>400.25739119999997</v>
          </cell>
          <cell r="S49">
            <v>405.04023610000002</v>
          </cell>
          <cell r="T49">
            <v>409.90419789999999</v>
          </cell>
          <cell r="U49">
            <v>414.84929010000002</v>
          </cell>
          <cell r="V49">
            <v>419.85781700000001</v>
          </cell>
          <cell r="W49">
            <v>424.93736960000001</v>
          </cell>
          <cell r="X49">
            <v>430.09374800000001</v>
          </cell>
          <cell r="Y49">
            <v>435.33055669999999</v>
          </cell>
          <cell r="Z49">
            <v>440.65037749999999</v>
          </cell>
          <cell r="AA49">
            <v>446.0038998</v>
          </cell>
          <cell r="AB49">
            <v>451.38937229999999</v>
          </cell>
          <cell r="AC49">
            <v>456.8086338</v>
          </cell>
          <cell r="AD49">
            <v>462.26345270000002</v>
          </cell>
          <cell r="AE49">
            <v>467.75574030000001</v>
          </cell>
          <cell r="AF49">
            <v>473.28780389999997</v>
          </cell>
          <cell r="AG49">
            <v>478.86238209999999</v>
          </cell>
          <cell r="AH49">
            <v>484.48255890000002</v>
          </cell>
          <cell r="AI49">
            <v>490.1516421</v>
          </cell>
          <cell r="AJ49">
            <v>495.87304590000002</v>
          </cell>
          <cell r="AK49">
            <v>501.65019560000002</v>
          </cell>
          <cell r="AL49">
            <v>507.47413740000002</v>
          </cell>
          <cell r="AM49">
            <v>513.34066129999997</v>
          </cell>
          <cell r="AN49">
            <v>519.24887899999999</v>
          </cell>
          <cell r="AO49">
            <v>525.1996044</v>
          </cell>
          <cell r="AP49">
            <v>531.19456290000005</v>
          </cell>
          <cell r="AQ49">
            <v>537.23603100000003</v>
          </cell>
          <cell r="AR49">
            <v>543.32664950000003</v>
          </cell>
          <cell r="AS49">
            <v>549.46930099999997</v>
          </cell>
          <cell r="AT49">
            <v>555.66700909999997</v>
          </cell>
          <cell r="AU49">
            <v>561.92283669999995</v>
          </cell>
          <cell r="AV49">
            <v>568.24082309999994</v>
          </cell>
          <cell r="AW49">
            <v>574.62382230000003</v>
          </cell>
          <cell r="AX49">
            <v>581.07327789999999</v>
          </cell>
          <cell r="AY49">
            <v>587.59128150000004</v>
          </cell>
          <cell r="AZ49">
            <v>594.18106620000003</v>
          </cell>
          <cell r="BA49">
            <v>627.44819989999996</v>
          </cell>
          <cell r="BB49">
            <v>636.98452870000006</v>
          </cell>
          <cell r="BC49">
            <v>646.69128360000002</v>
          </cell>
          <cell r="BD49">
            <v>656.56967480000003</v>
          </cell>
          <cell r="BE49">
            <v>666.62107909999997</v>
          </cell>
        </row>
        <row r="50">
          <cell r="B50">
            <v>27511.293539999999</v>
          </cell>
          <cell r="C50">
            <v>27790.608209999999</v>
          </cell>
          <cell r="D50">
            <v>28055.49641</v>
          </cell>
          <cell r="E50">
            <v>28307.12329</v>
          </cell>
          <cell r="F50">
            <v>28547.869279999999</v>
          </cell>
          <cell r="G50">
            <v>28780.674190000002</v>
          </cell>
          <cell r="H50">
            <v>29007.51338</v>
          </cell>
          <cell r="I50">
            <v>29230.18994</v>
          </cell>
          <cell r="J50">
            <v>29450.196800000002</v>
          </cell>
          <cell r="K50">
            <v>29668.63999</v>
          </cell>
          <cell r="L50">
            <v>29885.95997</v>
          </cell>
          <cell r="M50">
            <v>30104.063719999998</v>
          </cell>
          <cell r="N50">
            <v>30323.960429999999</v>
          </cell>
          <cell r="O50">
            <v>30546.124459999999</v>
          </cell>
          <cell r="P50">
            <v>30770.766629999998</v>
          </cell>
          <cell r="Q50">
            <v>30997.95435</v>
          </cell>
          <cell r="R50">
            <v>31227.600689999999</v>
          </cell>
          <cell r="S50">
            <v>31459.60154</v>
          </cell>
          <cell r="T50">
            <v>31693.846440000001</v>
          </cell>
          <cell r="U50">
            <v>31930.22926</v>
          </cell>
          <cell r="V50">
            <v>32167.62</v>
          </cell>
          <cell r="W50">
            <v>32406.291160000001</v>
          </cell>
          <cell r="X50">
            <v>32646.537250000001</v>
          </cell>
          <cell r="Y50">
            <v>32888.584150000002</v>
          </cell>
          <cell r="Z50">
            <v>33132.636639999997</v>
          </cell>
          <cell r="AA50">
            <v>33375.961369999997</v>
          </cell>
          <cell r="AB50">
            <v>33618.365290000002</v>
          </cell>
          <cell r="AC50">
            <v>33860.038189999999</v>
          </cell>
          <cell r="AD50">
            <v>34101.267740000003</v>
          </cell>
          <cell r="AE50">
            <v>34342.416770000003</v>
          </cell>
          <cell r="AF50">
            <v>34583.915569999997</v>
          </cell>
          <cell r="AG50">
            <v>34826.267359999998</v>
          </cell>
          <cell r="AH50">
            <v>35070.000979999997</v>
          </cell>
          <cell r="AI50">
            <v>35315.657599999999</v>
          </cell>
          <cell r="AJ50">
            <v>35563.777650000004</v>
          </cell>
          <cell r="AK50">
            <v>35814.888509999997</v>
          </cell>
          <cell r="AL50">
            <v>36068.999040000002</v>
          </cell>
          <cell r="AM50">
            <v>36326.208449999998</v>
          </cell>
          <cell r="AN50">
            <v>36586.736579999997</v>
          </cell>
          <cell r="AO50">
            <v>36850.875979999997</v>
          </cell>
          <cell r="AP50">
            <v>37118.952239999999</v>
          </cell>
          <cell r="AQ50">
            <v>37391.331039999997</v>
          </cell>
          <cell r="AR50">
            <v>37668.356870000003</v>
          </cell>
          <cell r="AS50">
            <v>37950.352019999998</v>
          </cell>
          <cell r="AT50">
            <v>38237.616289999998</v>
          </cell>
          <cell r="AU50">
            <v>38530.425309999999</v>
          </cell>
          <cell r="AV50">
            <v>38829.204700000002</v>
          </cell>
          <cell r="AW50">
            <v>39134.285490000002</v>
          </cell>
          <cell r="AX50">
            <v>39445.932370000002</v>
          </cell>
          <cell r="AY50">
            <v>39764.367749999998</v>
          </cell>
          <cell r="AZ50">
            <v>40089.781289999999</v>
          </cell>
          <cell r="BA50">
            <v>47252.618300000002</v>
          </cell>
          <cell r="BB50">
            <v>47942.582459999998</v>
          </cell>
          <cell r="BC50">
            <v>48648.61911</v>
          </cell>
          <cell r="BD50">
            <v>49370.812539999999</v>
          </cell>
          <cell r="BE50">
            <v>50109.243090000004</v>
          </cell>
        </row>
        <row r="51">
          <cell r="B51">
            <v>27532.502830000001</v>
          </cell>
          <cell r="C51">
            <v>27844.588810000001</v>
          </cell>
          <cell r="D51">
            <v>28148.805400000001</v>
          </cell>
          <cell r="E51">
            <v>28444.014080000001</v>
          </cell>
          <cell r="F51">
            <v>28730.94656</v>
          </cell>
          <cell r="G51">
            <v>29011.463459999999</v>
          </cell>
          <cell r="H51">
            <v>29286.907500000001</v>
          </cell>
          <cell r="I51">
            <v>29558.713469999999</v>
          </cell>
          <cell r="J51">
            <v>29828.150160000001</v>
          </cell>
          <cell r="K51">
            <v>30096.190859999999</v>
          </cell>
          <cell r="L51">
            <v>30365.051520000001</v>
          </cell>
          <cell r="M51">
            <v>30634.734349999999</v>
          </cell>
          <cell r="N51">
            <v>30905.128799999999</v>
          </cell>
          <cell r="O51">
            <v>31176.203809999999</v>
          </cell>
          <cell r="P51">
            <v>31447.97941</v>
          </cell>
          <cell r="Q51">
            <v>31720.50619</v>
          </cell>
          <cell r="R51">
            <v>31993.862219999999</v>
          </cell>
          <cell r="S51">
            <v>32268.15713</v>
          </cell>
          <cell r="T51">
            <v>32543.537120000001</v>
          </cell>
          <cell r="U51">
            <v>32820.188219999996</v>
          </cell>
          <cell r="V51">
            <v>33097.237869999997</v>
          </cell>
          <cell r="W51">
            <v>33375.301950000001</v>
          </cell>
          <cell r="X51">
            <v>33655.008589999998</v>
          </cell>
          <cell r="Y51">
            <v>33936.89716</v>
          </cell>
          <cell r="Z51">
            <v>34221.461600000002</v>
          </cell>
          <cell r="AA51">
            <v>34506.045050000001</v>
          </cell>
          <cell r="AB51">
            <v>34790.625339999999</v>
          </cell>
          <cell r="AC51">
            <v>35075.55515</v>
          </cell>
          <cell r="AD51">
            <v>35361.258390000003</v>
          </cell>
          <cell r="AE51">
            <v>35648.206539999999</v>
          </cell>
          <cell r="AF51">
            <v>35936.914799999999</v>
          </cell>
          <cell r="AG51">
            <v>36227.930229999998</v>
          </cell>
          <cell r="AH51">
            <v>36521.815569999999</v>
          </cell>
          <cell r="AI51">
            <v>36819.133119999999</v>
          </cell>
          <cell r="AJ51">
            <v>37120.430829999998</v>
          </cell>
          <cell r="AK51">
            <v>37426.231720000003</v>
          </cell>
          <cell r="AL51">
            <v>37736.286090000001</v>
          </cell>
          <cell r="AM51">
            <v>38050.535100000001</v>
          </cell>
          <cell r="AN51">
            <v>38369.09244</v>
          </cell>
          <cell r="AO51">
            <v>38692.165569999997</v>
          </cell>
          <cell r="AP51">
            <v>39020.010320000001</v>
          </cell>
          <cell r="AQ51">
            <v>39352.907449999999</v>
          </cell>
          <cell r="AR51">
            <v>39691.149089999999</v>
          </cell>
          <cell r="AS51">
            <v>40035.029090000004</v>
          </cell>
          <cell r="AT51">
            <v>40384.834199999998</v>
          </cell>
          <cell r="AU51">
            <v>40740.831570000002</v>
          </cell>
          <cell r="AV51">
            <v>41103.301229999997</v>
          </cell>
          <cell r="AW51">
            <v>41472.453479999996</v>
          </cell>
          <cell r="AX51">
            <v>41848.42441</v>
          </cell>
          <cell r="AY51">
            <v>42231.373950000001</v>
          </cell>
          <cell r="AZ51">
            <v>42621.5121</v>
          </cell>
          <cell r="BA51">
            <v>47019.41704</v>
          </cell>
          <cell r="BB51">
            <v>47659.904040000001</v>
          </cell>
          <cell r="BC51">
            <v>48312.506249999999</v>
          </cell>
          <cell r="BD51">
            <v>48977.29161</v>
          </cell>
          <cell r="BE51">
            <v>49654.336730000003</v>
          </cell>
        </row>
        <row r="52">
          <cell r="B52">
            <v>548.29621750000001</v>
          </cell>
          <cell r="C52">
            <v>553.86291970000002</v>
          </cell>
          <cell r="D52">
            <v>559.14210430000003</v>
          </cell>
          <cell r="E52">
            <v>564.15699270000005</v>
          </cell>
          <cell r="F52">
            <v>568.9550266</v>
          </cell>
          <cell r="G52">
            <v>573.59479569999996</v>
          </cell>
          <cell r="H52">
            <v>578.11566889999995</v>
          </cell>
          <cell r="I52">
            <v>582.55358149999995</v>
          </cell>
          <cell r="J52">
            <v>586.93828719999999</v>
          </cell>
          <cell r="K52">
            <v>591.29182939999998</v>
          </cell>
          <cell r="L52">
            <v>595.62298599999997</v>
          </cell>
          <cell r="M52">
            <v>599.96976319999999</v>
          </cell>
          <cell r="N52">
            <v>604.35227380000003</v>
          </cell>
          <cell r="O52">
            <v>608.77997170000003</v>
          </cell>
          <cell r="P52">
            <v>613.25705849999997</v>
          </cell>
          <cell r="Q52">
            <v>617.78487800000005</v>
          </cell>
          <cell r="R52">
            <v>622.36169719999998</v>
          </cell>
          <cell r="S52">
            <v>626.98544149999998</v>
          </cell>
          <cell r="T52">
            <v>631.65390960000002</v>
          </cell>
          <cell r="U52">
            <v>636.36498589999997</v>
          </cell>
          <cell r="V52">
            <v>641.09615010000005</v>
          </cell>
          <cell r="W52">
            <v>645.85283279999999</v>
          </cell>
          <cell r="X52">
            <v>650.64090350000004</v>
          </cell>
          <cell r="Y52">
            <v>655.46486430000004</v>
          </cell>
          <cell r="Z52">
            <v>660.32879630000002</v>
          </cell>
          <cell r="AA52">
            <v>665.17822390000003</v>
          </cell>
          <cell r="AB52">
            <v>670.00930000000005</v>
          </cell>
          <cell r="AC52">
            <v>674.82580689999998</v>
          </cell>
          <cell r="AD52">
            <v>679.63347810000005</v>
          </cell>
          <cell r="AE52">
            <v>684.43954429999997</v>
          </cell>
          <cell r="AF52">
            <v>689.25258159999998</v>
          </cell>
          <cell r="AG52">
            <v>694.08261870000001</v>
          </cell>
          <cell r="AH52">
            <v>698.94019560000004</v>
          </cell>
          <cell r="AI52">
            <v>703.83609750000005</v>
          </cell>
          <cell r="AJ52">
            <v>708.78109519999998</v>
          </cell>
          <cell r="AK52">
            <v>713.78569930000003</v>
          </cell>
          <cell r="AL52">
            <v>718.85008649999997</v>
          </cell>
          <cell r="AM52">
            <v>723.97623399999998</v>
          </cell>
          <cell r="AN52">
            <v>729.16852310000002</v>
          </cell>
          <cell r="AO52">
            <v>734.43278420000001</v>
          </cell>
          <cell r="AP52">
            <v>739.77550640000004</v>
          </cell>
          <cell r="AQ52">
            <v>745.20397760000003</v>
          </cell>
          <cell r="AR52">
            <v>750.72506350000003</v>
          </cell>
          <cell r="AS52">
            <v>756.34518730000002</v>
          </cell>
          <cell r="AT52">
            <v>762.07032400000003</v>
          </cell>
          <cell r="AU52">
            <v>767.90596660000006</v>
          </cell>
          <cell r="AV52">
            <v>773.86059780000005</v>
          </cell>
          <cell r="AW52">
            <v>779.94081510000001</v>
          </cell>
          <cell r="AX52">
            <v>786.15189369999996</v>
          </cell>
          <cell r="AY52">
            <v>792.49826619999999</v>
          </cell>
          <cell r="AZ52">
            <v>798.98371229999998</v>
          </cell>
          <cell r="BA52">
            <v>941.73804810000001</v>
          </cell>
          <cell r="BB52">
            <v>955.48893710000004</v>
          </cell>
          <cell r="BC52">
            <v>969.56014830000004</v>
          </cell>
          <cell r="BD52">
            <v>983.95336199999997</v>
          </cell>
          <cell r="BE52">
            <v>998.67017920000001</v>
          </cell>
        </row>
        <row r="53">
          <cell r="B53">
            <v>548.71891570000003</v>
          </cell>
          <cell r="C53">
            <v>554.93874549999998</v>
          </cell>
          <cell r="D53">
            <v>561.00173930000005</v>
          </cell>
          <cell r="E53">
            <v>566.88520689999996</v>
          </cell>
          <cell r="F53">
            <v>572.60373089999996</v>
          </cell>
          <cell r="G53">
            <v>578.19439350000005</v>
          </cell>
          <cell r="H53">
            <v>583.68395450000003</v>
          </cell>
          <cell r="I53">
            <v>589.10100929999999</v>
          </cell>
          <cell r="J53">
            <v>594.47084459999996</v>
          </cell>
          <cell r="K53">
            <v>599.81285820000005</v>
          </cell>
          <cell r="L53">
            <v>605.17121340000006</v>
          </cell>
          <cell r="M53">
            <v>610.54595429999995</v>
          </cell>
          <cell r="N53">
            <v>615.93487770000002</v>
          </cell>
          <cell r="O53">
            <v>621.3373646</v>
          </cell>
          <cell r="P53">
            <v>626.75381419999997</v>
          </cell>
          <cell r="Q53">
            <v>632.18523470000002</v>
          </cell>
          <cell r="R53">
            <v>637.63318179999999</v>
          </cell>
          <cell r="S53">
            <v>643.09984099999997</v>
          </cell>
          <cell r="T53">
            <v>648.58812550000005</v>
          </cell>
          <cell r="U53">
            <v>654.10174300000006</v>
          </cell>
          <cell r="V53">
            <v>659.62330359999999</v>
          </cell>
          <cell r="W53">
            <v>665.16508169999997</v>
          </cell>
          <cell r="X53">
            <v>670.73959590000004</v>
          </cell>
          <cell r="Y53">
            <v>676.35759559999997</v>
          </cell>
          <cell r="Z53">
            <v>682.02892469999995</v>
          </cell>
          <cell r="AA53">
            <v>687.70063300000004</v>
          </cell>
          <cell r="AB53">
            <v>693.37227819999998</v>
          </cell>
          <cell r="AC53">
            <v>699.05088939999996</v>
          </cell>
          <cell r="AD53">
            <v>704.74491469999998</v>
          </cell>
          <cell r="AE53">
            <v>710.46375120000005</v>
          </cell>
          <cell r="AF53">
            <v>716.21766630000002</v>
          </cell>
          <cell r="AG53">
            <v>722.01756279999995</v>
          </cell>
          <cell r="AH53">
            <v>727.87465650000001</v>
          </cell>
          <cell r="AI53">
            <v>733.80015349999996</v>
          </cell>
          <cell r="AJ53">
            <v>739.80497449999996</v>
          </cell>
          <cell r="AK53">
            <v>745.89954320000004</v>
          </cell>
          <cell r="AL53">
            <v>752.0788834</v>
          </cell>
          <cell r="AM53">
            <v>758.34182199999998</v>
          </cell>
          <cell r="AN53">
            <v>764.69062499999995</v>
          </cell>
          <cell r="AO53">
            <v>771.12942729999997</v>
          </cell>
          <cell r="AP53">
            <v>777.66332690000002</v>
          </cell>
          <cell r="AQ53">
            <v>784.29792010000006</v>
          </cell>
          <cell r="AR53">
            <v>791.03902840000001</v>
          </cell>
          <cell r="AS53">
            <v>797.89250870000001</v>
          </cell>
          <cell r="AT53">
            <v>804.86407529999997</v>
          </cell>
          <cell r="AU53">
            <v>811.95905300000004</v>
          </cell>
          <cell r="AV53">
            <v>819.18302240000003</v>
          </cell>
          <cell r="AW53">
            <v>826.54017490000001</v>
          </cell>
          <cell r="AX53">
            <v>834.03322270000001</v>
          </cell>
          <cell r="AY53">
            <v>841.66535329999999</v>
          </cell>
          <cell r="AZ53">
            <v>849.44075180000004</v>
          </cell>
          <cell r="BA53">
            <v>937.09037980000005</v>
          </cell>
          <cell r="BB53">
            <v>949.85519580000005</v>
          </cell>
          <cell r="BC53">
            <v>962.86146629999996</v>
          </cell>
          <cell r="BD53">
            <v>976.11054520000005</v>
          </cell>
          <cell r="BE53">
            <v>989.60395930000004</v>
          </cell>
        </row>
        <row r="54">
          <cell r="B54">
            <v>796.76651070000003</v>
          </cell>
          <cell r="C54">
            <v>804.85586420000004</v>
          </cell>
          <cell r="D54">
            <v>812.52740619999997</v>
          </cell>
          <cell r="E54">
            <v>819.81488160000004</v>
          </cell>
          <cell r="F54">
            <v>826.78723070000001</v>
          </cell>
          <cell r="G54">
            <v>833.5295946</v>
          </cell>
          <cell r="H54">
            <v>840.09918289999996</v>
          </cell>
          <cell r="I54">
            <v>846.5482154</v>
          </cell>
          <cell r="J54">
            <v>852.9199294</v>
          </cell>
          <cell r="K54">
            <v>859.24635760000001</v>
          </cell>
          <cell r="L54">
            <v>865.54025560000002</v>
          </cell>
          <cell r="M54">
            <v>871.85685320000005</v>
          </cell>
          <cell r="N54">
            <v>878.22537720000003</v>
          </cell>
          <cell r="O54">
            <v>884.65956610000001</v>
          </cell>
          <cell r="P54">
            <v>891.16552539999998</v>
          </cell>
          <cell r="Q54">
            <v>897.74520770000004</v>
          </cell>
          <cell r="R54">
            <v>904.39609470000005</v>
          </cell>
          <cell r="S54">
            <v>911.11517200000003</v>
          </cell>
          <cell r="T54">
            <v>917.89924040000005</v>
          </cell>
          <cell r="U54">
            <v>924.74522569999999</v>
          </cell>
          <cell r="V54">
            <v>931.62040200000001</v>
          </cell>
          <cell r="W54">
            <v>938.53266110000004</v>
          </cell>
          <cell r="X54">
            <v>945.49053219999996</v>
          </cell>
          <cell r="Y54">
            <v>952.50055750000001</v>
          </cell>
          <cell r="Z54">
            <v>959.56866769999999</v>
          </cell>
          <cell r="AA54">
            <v>966.61570070000005</v>
          </cell>
          <cell r="AB54">
            <v>973.63606589999995</v>
          </cell>
          <cell r="AC54">
            <v>980.63525949999996</v>
          </cell>
          <cell r="AD54">
            <v>987.6216134</v>
          </cell>
          <cell r="AE54">
            <v>994.60563500000001</v>
          </cell>
          <cell r="AF54">
            <v>1001.599787</v>
          </cell>
          <cell r="AG54">
            <v>1008.618642</v>
          </cell>
          <cell r="AH54">
            <v>1015.677517</v>
          </cell>
          <cell r="AI54">
            <v>1022.792085</v>
          </cell>
          <cell r="AJ54">
            <v>1029.977997</v>
          </cell>
          <cell r="AK54">
            <v>1037.250528</v>
          </cell>
          <cell r="AL54">
            <v>1044.609933</v>
          </cell>
          <cell r="AM54">
            <v>1052.0590870000001</v>
          </cell>
          <cell r="AN54">
            <v>1059.6043549999999</v>
          </cell>
          <cell r="AO54">
            <v>1067.2542109999999</v>
          </cell>
          <cell r="AP54">
            <v>1075.018084</v>
          </cell>
          <cell r="AQ54">
            <v>1082.9065639999999</v>
          </cell>
          <cell r="AR54">
            <v>1090.929629</v>
          </cell>
          <cell r="AS54">
            <v>1099.0966129999999</v>
          </cell>
          <cell r="AT54">
            <v>1107.416199</v>
          </cell>
          <cell r="AU54">
            <v>1115.8963679999999</v>
          </cell>
          <cell r="AV54">
            <v>1124.5494470000001</v>
          </cell>
          <cell r="AW54">
            <v>1133.3850239999999</v>
          </cell>
          <cell r="AX54">
            <v>1142.4107650000001</v>
          </cell>
          <cell r="AY54">
            <v>1151.63311</v>
          </cell>
          <cell r="AZ54">
            <v>1161.0575530000001</v>
          </cell>
          <cell r="BA54">
            <v>1368.503584</v>
          </cell>
          <cell r="BB54">
            <v>1388.4859349999999</v>
          </cell>
          <cell r="BC54">
            <v>1408.933769</v>
          </cell>
          <cell r="BD54">
            <v>1429.8495270000001</v>
          </cell>
          <cell r="BE54">
            <v>1451.2355339999999</v>
          </cell>
        </row>
        <row r="55">
          <cell r="B55">
            <v>797.38076220000005</v>
          </cell>
          <cell r="C55">
            <v>806.41921979999995</v>
          </cell>
          <cell r="D55">
            <v>815.22976830000005</v>
          </cell>
          <cell r="E55">
            <v>823.7794351</v>
          </cell>
          <cell r="F55">
            <v>832.08941110000001</v>
          </cell>
          <cell r="G55">
            <v>840.21358290000001</v>
          </cell>
          <cell r="H55">
            <v>848.1908373</v>
          </cell>
          <cell r="I55">
            <v>856.06272799999999</v>
          </cell>
          <cell r="J55">
            <v>863.86600060000001</v>
          </cell>
          <cell r="K55">
            <v>871.62884380000003</v>
          </cell>
          <cell r="L55">
            <v>879.41543409999997</v>
          </cell>
          <cell r="M55">
            <v>887.22583540000005</v>
          </cell>
          <cell r="N55">
            <v>895.05684640000004</v>
          </cell>
          <cell r="O55">
            <v>902.90756739999995</v>
          </cell>
          <cell r="P55">
            <v>910.77857870000003</v>
          </cell>
          <cell r="Q55">
            <v>918.67134499999997</v>
          </cell>
          <cell r="R55">
            <v>926.58812739999996</v>
          </cell>
          <cell r="S55">
            <v>934.53210139999999</v>
          </cell>
          <cell r="T55">
            <v>942.5075008</v>
          </cell>
          <cell r="U55">
            <v>950.51971319999996</v>
          </cell>
          <cell r="V55">
            <v>958.54346840000005</v>
          </cell>
          <cell r="W55">
            <v>966.59660289999999</v>
          </cell>
          <cell r="X55">
            <v>974.6973084</v>
          </cell>
          <cell r="Y55">
            <v>982.86120570000003</v>
          </cell>
          <cell r="Z55">
            <v>991.10259970000004</v>
          </cell>
          <cell r="AA55">
            <v>999.34454459999995</v>
          </cell>
          <cell r="AB55">
            <v>1007.586398</v>
          </cell>
          <cell r="AC55">
            <v>1015.838374</v>
          </cell>
          <cell r="AD55">
            <v>1024.1127489999999</v>
          </cell>
          <cell r="AE55">
            <v>1032.4231789999999</v>
          </cell>
          <cell r="AF55">
            <v>1040.7845850000001</v>
          </cell>
          <cell r="AG55">
            <v>1049.212808</v>
          </cell>
          <cell r="AH55">
            <v>1057.72415</v>
          </cell>
          <cell r="AI55">
            <v>1066.3348920000001</v>
          </cell>
          <cell r="AJ55">
            <v>1075.0609059999999</v>
          </cell>
          <cell r="AK55">
            <v>1083.917338</v>
          </cell>
          <cell r="AL55">
            <v>1092.8969569999999</v>
          </cell>
          <cell r="AM55">
            <v>1101.998059</v>
          </cell>
          <cell r="AN55">
            <v>1111.2239360000001</v>
          </cell>
          <cell r="AO55">
            <v>1120.580598</v>
          </cell>
          <cell r="AP55">
            <v>1130.075452</v>
          </cell>
          <cell r="AQ55">
            <v>1139.7166299999999</v>
          </cell>
          <cell r="AR55">
            <v>1149.5125929999999</v>
          </cell>
          <cell r="AS55">
            <v>1159.471851</v>
          </cell>
          <cell r="AT55">
            <v>1169.6027079999999</v>
          </cell>
          <cell r="AU55">
            <v>1179.9129029999999</v>
          </cell>
          <cell r="AV55">
            <v>1190.4105440000001</v>
          </cell>
          <cell r="AW55">
            <v>1201.1017220000001</v>
          </cell>
          <cell r="AX55">
            <v>1211.9903790000001</v>
          </cell>
          <cell r="AY55">
            <v>1223.0811470000001</v>
          </cell>
          <cell r="AZ55">
            <v>1234.3801080000001</v>
          </cell>
          <cell r="BA55">
            <v>1361.7497410000001</v>
          </cell>
          <cell r="BB55">
            <v>1380.2991629999999</v>
          </cell>
          <cell r="BC55">
            <v>1399.1994589999999</v>
          </cell>
          <cell r="BD55">
            <v>1418.4525960000001</v>
          </cell>
          <cell r="BE55">
            <v>1438.060794</v>
          </cell>
        </row>
        <row r="56">
          <cell r="B56">
            <v>723.86688860000004</v>
          </cell>
          <cell r="C56">
            <v>731.21611210000003</v>
          </cell>
          <cell r="D56">
            <v>738.18575150000004</v>
          </cell>
          <cell r="E56">
            <v>744.80646409999997</v>
          </cell>
          <cell r="F56">
            <v>751.14088279999999</v>
          </cell>
          <cell r="G56">
            <v>757.26635869999996</v>
          </cell>
          <cell r="H56">
            <v>763.23486679999996</v>
          </cell>
          <cell r="I56">
            <v>769.09384939999995</v>
          </cell>
          <cell r="J56">
            <v>774.88258759999997</v>
          </cell>
          <cell r="K56">
            <v>780.63018350000004</v>
          </cell>
          <cell r="L56">
            <v>786.34822550000001</v>
          </cell>
          <cell r="M56">
            <v>792.08689019999997</v>
          </cell>
          <cell r="N56">
            <v>797.87273029999994</v>
          </cell>
          <cell r="O56">
            <v>803.71822740000005</v>
          </cell>
          <cell r="P56">
            <v>809.62892820000002</v>
          </cell>
          <cell r="Q56">
            <v>815.60660689999997</v>
          </cell>
          <cell r="R56">
            <v>821.64897550000001</v>
          </cell>
          <cell r="S56">
            <v>827.75329529999999</v>
          </cell>
          <cell r="T56">
            <v>833.91665980000005</v>
          </cell>
          <cell r="U56">
            <v>840.1362762</v>
          </cell>
          <cell r="V56">
            <v>846.3824128</v>
          </cell>
          <cell r="W56">
            <v>852.66223939999998</v>
          </cell>
          <cell r="X56">
            <v>858.98350459999995</v>
          </cell>
          <cell r="Y56">
            <v>865.35215229999994</v>
          </cell>
          <cell r="Z56">
            <v>871.77357059999997</v>
          </cell>
          <cell r="AA56">
            <v>878.17583999999999</v>
          </cell>
          <cell r="AB56">
            <v>884.55388149999999</v>
          </cell>
          <cell r="AC56">
            <v>890.91268849999994</v>
          </cell>
          <cell r="AD56">
            <v>897.25983059999999</v>
          </cell>
          <cell r="AE56">
            <v>903.6048538</v>
          </cell>
          <cell r="AF56">
            <v>909.95908020000002</v>
          </cell>
          <cell r="AG56">
            <v>916.33574999999996</v>
          </cell>
          <cell r="AH56">
            <v>922.74877809999998</v>
          </cell>
          <cell r="AI56">
            <v>929.21240339999997</v>
          </cell>
          <cell r="AJ56">
            <v>935.74084549999998</v>
          </cell>
          <cell r="AK56">
            <v>942.34798060000003</v>
          </cell>
          <cell r="AL56">
            <v>949.034042</v>
          </cell>
          <cell r="AM56">
            <v>955.80164019999995</v>
          </cell>
          <cell r="AN56">
            <v>962.65655919999995</v>
          </cell>
          <cell r="AO56">
            <v>969.60649639999997</v>
          </cell>
          <cell r="AP56">
            <v>976.66001889999995</v>
          </cell>
          <cell r="AQ56">
            <v>983.8267482</v>
          </cell>
          <cell r="AR56">
            <v>991.11574840000003</v>
          </cell>
          <cell r="AS56">
            <v>998.53549969999995</v>
          </cell>
          <cell r="AT56">
            <v>1006.09389</v>
          </cell>
          <cell r="AU56">
            <v>1013.798172</v>
          </cell>
          <cell r="AV56">
            <v>1021.659543</v>
          </cell>
          <cell r="AW56">
            <v>1029.686715</v>
          </cell>
          <cell r="AX56">
            <v>1037.8866519999999</v>
          </cell>
          <cell r="AY56">
            <v>1046.2652049999999</v>
          </cell>
          <cell r="AZ56">
            <v>1054.827364</v>
          </cell>
          <cell r="BA56">
            <v>1243.2932579999999</v>
          </cell>
          <cell r="BB56">
            <v>1261.4473379999999</v>
          </cell>
          <cell r="BC56">
            <v>1280.0243109999999</v>
          </cell>
          <cell r="BD56">
            <v>1299.0263950000001</v>
          </cell>
          <cell r="BE56">
            <v>1318.455704</v>
          </cell>
        </row>
        <row r="57">
          <cell r="B57">
            <v>724.42493960000002</v>
          </cell>
          <cell r="C57">
            <v>732.63642960000004</v>
          </cell>
          <cell r="D57">
            <v>740.64086280000004</v>
          </cell>
          <cell r="E57">
            <v>748.40828339999996</v>
          </cell>
          <cell r="F57">
            <v>755.95794379999995</v>
          </cell>
          <cell r="G57">
            <v>763.33879990000003</v>
          </cell>
          <cell r="H57">
            <v>770.5861807</v>
          </cell>
          <cell r="I57">
            <v>777.73783790000005</v>
          </cell>
          <cell r="J57">
            <v>784.82715529999996</v>
          </cell>
          <cell r="K57">
            <v>791.87974229999998</v>
          </cell>
          <cell r="L57">
            <v>798.95390380000003</v>
          </cell>
          <cell r="M57">
            <v>806.04969759999994</v>
          </cell>
          <cell r="N57">
            <v>813.16421549999995</v>
          </cell>
          <cell r="O57">
            <v>820.29664000000002</v>
          </cell>
          <cell r="P57">
            <v>827.44749830000001</v>
          </cell>
          <cell r="Q57">
            <v>834.61812120000002</v>
          </cell>
          <cell r="R57">
            <v>841.81056279999996</v>
          </cell>
          <cell r="S57">
            <v>849.02770829999997</v>
          </cell>
          <cell r="T57">
            <v>856.27340370000002</v>
          </cell>
          <cell r="U57">
            <v>863.55254420000006</v>
          </cell>
          <cell r="V57">
            <v>870.84217120000005</v>
          </cell>
          <cell r="W57">
            <v>878.15848949999997</v>
          </cell>
          <cell r="X57">
            <v>885.51802629999997</v>
          </cell>
          <cell r="Y57">
            <v>892.93497330000002</v>
          </cell>
          <cell r="Z57">
            <v>900.42232639999997</v>
          </cell>
          <cell r="AA57">
            <v>907.91017999999997</v>
          </cell>
          <cell r="AB57">
            <v>915.39795040000001</v>
          </cell>
          <cell r="AC57">
            <v>922.89491729999997</v>
          </cell>
          <cell r="AD57">
            <v>930.41223419999994</v>
          </cell>
          <cell r="AE57">
            <v>937.96230700000001</v>
          </cell>
          <cell r="AF57">
            <v>945.55869099999995</v>
          </cell>
          <cell r="AG57">
            <v>953.21578030000001</v>
          </cell>
          <cell r="AH57">
            <v>960.94838179999999</v>
          </cell>
          <cell r="AI57">
            <v>968.77129019999995</v>
          </cell>
          <cell r="AJ57">
            <v>976.6989231</v>
          </cell>
          <cell r="AK57">
            <v>984.74504179999997</v>
          </cell>
          <cell r="AL57">
            <v>992.90307689999997</v>
          </cell>
          <cell r="AM57">
            <v>1001.171479</v>
          </cell>
          <cell r="AN57">
            <v>1009.553241</v>
          </cell>
          <cell r="AO57">
            <v>1018.053821</v>
          </cell>
          <cell r="AP57">
            <v>1026.67995</v>
          </cell>
          <cell r="AQ57">
            <v>1035.4390149999999</v>
          </cell>
          <cell r="AR57">
            <v>1044.338702</v>
          </cell>
          <cell r="AS57">
            <v>1053.386745</v>
          </cell>
          <cell r="AT57">
            <v>1062.590686</v>
          </cell>
          <cell r="AU57">
            <v>1071.9575560000001</v>
          </cell>
          <cell r="AV57">
            <v>1081.494723</v>
          </cell>
          <cell r="AW57">
            <v>1091.207719</v>
          </cell>
          <cell r="AX57">
            <v>1101.100126</v>
          </cell>
          <cell r="AY57">
            <v>1111.1761509999999</v>
          </cell>
          <cell r="AZ57">
            <v>1121.4413199999999</v>
          </cell>
          <cell r="BA57">
            <v>1237.1573539999999</v>
          </cell>
          <cell r="BB57">
            <v>1254.009609</v>
          </cell>
          <cell r="BC57">
            <v>1271.1806349999999</v>
          </cell>
          <cell r="BD57">
            <v>1288.672219</v>
          </cell>
          <cell r="BE57">
            <v>1306.4863780000001</v>
          </cell>
        </row>
        <row r="58">
          <cell r="B58">
            <v>1424.557272</v>
          </cell>
          <cell r="C58">
            <v>1439.0202360000001</v>
          </cell>
          <cell r="D58">
            <v>1452.736179</v>
          </cell>
          <cell r="E58">
            <v>1465.7654419999999</v>
          </cell>
          <cell r="F58">
            <v>1478.2312899999999</v>
          </cell>
          <cell r="G58">
            <v>1490.285948</v>
          </cell>
          <cell r="H58">
            <v>1502.0317030000001</v>
          </cell>
          <cell r="I58">
            <v>1513.561921</v>
          </cell>
          <cell r="J58">
            <v>1524.953906</v>
          </cell>
          <cell r="K58">
            <v>1536.26493</v>
          </cell>
          <cell r="L58">
            <v>1547.5178000000001</v>
          </cell>
          <cell r="M58">
            <v>1558.8112610000001</v>
          </cell>
          <cell r="N58">
            <v>1570.1975689999999</v>
          </cell>
          <cell r="O58">
            <v>1581.7012870000001</v>
          </cell>
          <cell r="P58">
            <v>1593.3333299999999</v>
          </cell>
          <cell r="Q58">
            <v>1605.0971910000001</v>
          </cell>
          <cell r="R58">
            <v>1616.9883669999999</v>
          </cell>
          <cell r="S58">
            <v>1629.001467</v>
          </cell>
          <cell r="T58">
            <v>1641.130772</v>
          </cell>
          <cell r="U58">
            <v>1653.370784</v>
          </cell>
          <cell r="V58">
            <v>1665.662994</v>
          </cell>
          <cell r="W58">
            <v>1678.02151</v>
          </cell>
          <cell r="X58">
            <v>1690.4615819999999</v>
          </cell>
          <cell r="Y58">
            <v>1702.9949059999999</v>
          </cell>
          <cell r="Z58">
            <v>1715.6320860000001</v>
          </cell>
          <cell r="AA58">
            <v>1728.231587</v>
          </cell>
          <cell r="AB58">
            <v>1740.783412</v>
          </cell>
          <cell r="AC58">
            <v>1753.297388</v>
          </cell>
          <cell r="AD58">
            <v>1765.788411</v>
          </cell>
          <cell r="AE58">
            <v>1778.2752680000001</v>
          </cell>
          <cell r="AF58">
            <v>1790.7802409999999</v>
          </cell>
          <cell r="AG58">
            <v>1803.329385</v>
          </cell>
          <cell r="AH58">
            <v>1815.9500849999999</v>
          </cell>
          <cell r="AI58">
            <v>1828.670361</v>
          </cell>
          <cell r="AJ58">
            <v>1841.5181990000001</v>
          </cell>
          <cell r="AK58">
            <v>1854.5209050000001</v>
          </cell>
          <cell r="AL58">
            <v>1867.6789389999999</v>
          </cell>
          <cell r="AM58">
            <v>1880.9974380000001</v>
          </cell>
          <cell r="AN58">
            <v>1894.487785</v>
          </cell>
          <cell r="AO58">
            <v>1908.165127</v>
          </cell>
          <cell r="AP58">
            <v>1922.0463239999999</v>
          </cell>
          <cell r="AQ58">
            <v>1936.150312</v>
          </cell>
          <cell r="AR58">
            <v>1950.494927</v>
          </cell>
          <cell r="AS58">
            <v>1965.096859</v>
          </cell>
          <cell r="AT58">
            <v>1979.9716309999999</v>
          </cell>
          <cell r="AU58">
            <v>1995.133515</v>
          </cell>
          <cell r="AV58">
            <v>2010.60455</v>
          </cell>
          <cell r="AW58">
            <v>2026.401877</v>
          </cell>
          <cell r="AX58">
            <v>2042.5392019999999</v>
          </cell>
          <cell r="AY58">
            <v>2059.0280400000001</v>
          </cell>
          <cell r="AZ58">
            <v>2075.878213</v>
          </cell>
          <cell r="BA58">
            <v>2311.4076319999999</v>
          </cell>
          <cell r="BB58">
            <v>2341.1783350000001</v>
          </cell>
          <cell r="BC58">
            <v>2371.645669</v>
          </cell>
          <cell r="BD58">
            <v>2402.8138439999998</v>
          </cell>
          <cell r="BE58">
            <v>2434.686631</v>
          </cell>
        </row>
        <row r="59">
          <cell r="B59">
            <v>1425.6555049999999</v>
          </cell>
          <cell r="C59">
            <v>1441.8153930000001</v>
          </cell>
          <cell r="D59">
            <v>1457.5677880000001</v>
          </cell>
          <cell r="E59">
            <v>1472.8537490000001</v>
          </cell>
          <cell r="F59">
            <v>1487.711166</v>
          </cell>
          <cell r="G59">
            <v>1502.236386</v>
          </cell>
          <cell r="H59">
            <v>1516.498936</v>
          </cell>
          <cell r="I59">
            <v>1530.57311</v>
          </cell>
          <cell r="J59">
            <v>1544.5246070000001</v>
          </cell>
          <cell r="K59">
            <v>1558.403826</v>
          </cell>
          <cell r="L59">
            <v>1572.3255099999999</v>
          </cell>
          <cell r="M59">
            <v>1586.2897720000001</v>
          </cell>
          <cell r="N59">
            <v>1600.2908890000001</v>
          </cell>
          <cell r="O59">
            <v>1614.3272529999999</v>
          </cell>
          <cell r="P59">
            <v>1628.3998999999999</v>
          </cell>
          <cell r="Q59">
            <v>1642.51145</v>
          </cell>
          <cell r="R59">
            <v>1656.6659440000001</v>
          </cell>
          <cell r="S59">
            <v>1670.869062</v>
          </cell>
          <cell r="T59">
            <v>1685.128371</v>
          </cell>
          <cell r="U59">
            <v>1699.453505</v>
          </cell>
          <cell r="V59">
            <v>1713.7992810000001</v>
          </cell>
          <cell r="W59">
            <v>1728.197592</v>
          </cell>
          <cell r="X59">
            <v>1742.6809599999999</v>
          </cell>
          <cell r="Y59">
            <v>1757.277315</v>
          </cell>
          <cell r="Z59">
            <v>1772.0122329999999</v>
          </cell>
          <cell r="AA59">
            <v>1786.748141</v>
          </cell>
          <cell r="AB59">
            <v>1801.4838890000001</v>
          </cell>
          <cell r="AC59">
            <v>1816.23774</v>
          </cell>
          <cell r="AD59">
            <v>1831.031643</v>
          </cell>
          <cell r="AE59">
            <v>1845.890013</v>
          </cell>
          <cell r="AF59">
            <v>1860.8395270000001</v>
          </cell>
          <cell r="AG59">
            <v>1875.90851</v>
          </cell>
          <cell r="AH59">
            <v>1891.1261030000001</v>
          </cell>
          <cell r="AI59">
            <v>1906.5214209999999</v>
          </cell>
          <cell r="AJ59">
            <v>1922.1228369999999</v>
          </cell>
          <cell r="AK59">
            <v>1937.9574339999999</v>
          </cell>
          <cell r="AL59">
            <v>1954.0122819999999</v>
          </cell>
          <cell r="AM59">
            <v>1970.2843330000001</v>
          </cell>
          <cell r="AN59">
            <v>1986.779475</v>
          </cell>
          <cell r="AO59">
            <v>2003.50845</v>
          </cell>
          <cell r="AP59">
            <v>2020.484504</v>
          </cell>
          <cell r="AQ59">
            <v>2037.722176</v>
          </cell>
          <cell r="AR59">
            <v>2055.2365920000002</v>
          </cell>
          <cell r="AS59">
            <v>2073.0429680000002</v>
          </cell>
          <cell r="AT59">
            <v>2091.1561510000001</v>
          </cell>
          <cell r="AU59">
            <v>2109.5899760000002</v>
          </cell>
          <cell r="AV59">
            <v>2128.358941</v>
          </cell>
          <cell r="AW59">
            <v>2147.4739359999999</v>
          </cell>
          <cell r="AX59">
            <v>2166.942008</v>
          </cell>
          <cell r="AY59">
            <v>2186.7714380000002</v>
          </cell>
          <cell r="AZ59">
            <v>2206.9731000000002</v>
          </cell>
          <cell r="BA59">
            <v>2348.0538369999999</v>
          </cell>
          <cell r="BB59">
            <v>2379.1126669999999</v>
          </cell>
          <cell r="BC59">
            <v>2410.8315600000001</v>
          </cell>
          <cell r="BD59">
            <v>2443.2137870000001</v>
          </cell>
          <cell r="BE59">
            <v>2476.2628920000002</v>
          </cell>
        </row>
        <row r="60">
          <cell r="B60">
            <v>517.88102790000005</v>
          </cell>
          <cell r="C60">
            <v>523.13893299999995</v>
          </cell>
          <cell r="D60">
            <v>528.12526969999999</v>
          </cell>
          <cell r="E60">
            <v>532.86197130000005</v>
          </cell>
          <cell r="F60">
            <v>537.39384770000004</v>
          </cell>
          <cell r="G60">
            <v>541.77623870000002</v>
          </cell>
          <cell r="H60">
            <v>546.04632919999995</v>
          </cell>
          <cell r="I60">
            <v>550.23806109999998</v>
          </cell>
          <cell r="J60">
            <v>554.37953760000005</v>
          </cell>
          <cell r="K60">
            <v>558.49157930000001</v>
          </cell>
          <cell r="L60">
            <v>562.58247710000001</v>
          </cell>
          <cell r="M60">
            <v>566.68812920000005</v>
          </cell>
          <cell r="N60">
            <v>570.82753230000003</v>
          </cell>
          <cell r="O60">
            <v>575.00961610000002</v>
          </cell>
          <cell r="P60">
            <v>579.23834910000005</v>
          </cell>
          <cell r="Q60">
            <v>583.51500060000001</v>
          </cell>
          <cell r="R60">
            <v>587.83793360000004</v>
          </cell>
          <cell r="S60">
            <v>592.20518870000001</v>
          </cell>
          <cell r="T60">
            <v>596.61468669999999</v>
          </cell>
          <cell r="U60">
            <v>601.06442930000003</v>
          </cell>
          <cell r="V60">
            <v>605.53314539999997</v>
          </cell>
          <cell r="W60">
            <v>610.02596459999995</v>
          </cell>
          <cell r="X60">
            <v>614.54843059999996</v>
          </cell>
          <cell r="Y60">
            <v>619.10479559999999</v>
          </cell>
          <cell r="Z60">
            <v>623.69891470000005</v>
          </cell>
          <cell r="AA60">
            <v>628.27933399999995</v>
          </cell>
          <cell r="AB60">
            <v>632.84241970000005</v>
          </cell>
          <cell r="AC60">
            <v>637.39174449999996</v>
          </cell>
          <cell r="AD60">
            <v>641.9327237</v>
          </cell>
          <cell r="AE60">
            <v>646.4721869</v>
          </cell>
          <cell r="AF60">
            <v>651.01823439999998</v>
          </cell>
          <cell r="AG60">
            <v>655.58033880000005</v>
          </cell>
          <cell r="AH60">
            <v>660.16845530000001</v>
          </cell>
          <cell r="AI60">
            <v>664.79277079999997</v>
          </cell>
          <cell r="AJ60">
            <v>669.46345870000005</v>
          </cell>
          <cell r="AK60">
            <v>674.19044650000001</v>
          </cell>
          <cell r="AL60">
            <v>678.97390099999996</v>
          </cell>
          <cell r="AM60">
            <v>683.81569000000002</v>
          </cell>
          <cell r="AN60">
            <v>688.71995149999998</v>
          </cell>
          <cell r="AO60">
            <v>693.69219250000003</v>
          </cell>
          <cell r="AP60">
            <v>698.73854219999998</v>
          </cell>
          <cell r="AQ60">
            <v>703.86588419999998</v>
          </cell>
          <cell r="AR60">
            <v>709.08070339999995</v>
          </cell>
          <cell r="AS60">
            <v>714.38906669999994</v>
          </cell>
          <cell r="AT60">
            <v>719.79661750000002</v>
          </cell>
          <cell r="AU60">
            <v>725.30854420000003</v>
          </cell>
          <cell r="AV60">
            <v>730.93285909999997</v>
          </cell>
          <cell r="AW60">
            <v>736.67579339999998</v>
          </cell>
          <cell r="AX60">
            <v>742.54232990000003</v>
          </cell>
          <cell r="AY60">
            <v>748.53665520000004</v>
          </cell>
          <cell r="AZ60">
            <v>754.66233950000003</v>
          </cell>
          <cell r="BA60">
            <v>826.75095950000002</v>
          </cell>
          <cell r="BB60">
            <v>837.11272180000003</v>
          </cell>
          <cell r="BC60">
            <v>847.72050979999995</v>
          </cell>
          <cell r="BD60">
            <v>858.57579580000004</v>
          </cell>
          <cell r="BE60">
            <v>869.67987830000004</v>
          </cell>
        </row>
        <row r="61">
          <cell r="B61">
            <v>518.28027810000003</v>
          </cell>
          <cell r="C61">
            <v>524.15508039999997</v>
          </cell>
          <cell r="D61">
            <v>529.88174670000001</v>
          </cell>
          <cell r="E61">
            <v>535.43884549999996</v>
          </cell>
          <cell r="F61">
            <v>540.84015050000005</v>
          </cell>
          <cell r="G61">
            <v>546.12068669999996</v>
          </cell>
          <cell r="H61">
            <v>551.30572979999999</v>
          </cell>
          <cell r="I61">
            <v>556.42228880000005</v>
          </cell>
          <cell r="J61">
            <v>561.49424750000003</v>
          </cell>
          <cell r="K61">
            <v>566.53992789999995</v>
          </cell>
          <cell r="L61">
            <v>571.60104360000003</v>
          </cell>
          <cell r="M61">
            <v>576.67763579999996</v>
          </cell>
          <cell r="N61">
            <v>581.76762380000002</v>
          </cell>
          <cell r="O61">
            <v>586.87042299999996</v>
          </cell>
          <cell r="P61">
            <v>591.98641029999999</v>
          </cell>
          <cell r="Q61">
            <v>597.11653799999999</v>
          </cell>
          <cell r="R61">
            <v>602.26227559999995</v>
          </cell>
          <cell r="S61">
            <v>607.42568719999997</v>
          </cell>
          <cell r="T61">
            <v>612.60952459999999</v>
          </cell>
          <cell r="U61">
            <v>617.81728969999995</v>
          </cell>
          <cell r="V61">
            <v>623.03255730000001</v>
          </cell>
          <cell r="W61">
            <v>628.26692079999998</v>
          </cell>
          <cell r="X61">
            <v>633.53220450000003</v>
          </cell>
          <cell r="Y61">
            <v>638.83856149999997</v>
          </cell>
          <cell r="Z61">
            <v>644.19528960000002</v>
          </cell>
          <cell r="AA61">
            <v>649.55237580000005</v>
          </cell>
          <cell r="AB61">
            <v>654.90940250000006</v>
          </cell>
          <cell r="AC61">
            <v>660.27300869999999</v>
          </cell>
          <cell r="AD61">
            <v>665.65117399999997</v>
          </cell>
          <cell r="AE61">
            <v>671.05277409999997</v>
          </cell>
          <cell r="AF61">
            <v>676.48750700000005</v>
          </cell>
          <cell r="AG61">
            <v>681.96567059999995</v>
          </cell>
          <cell r="AH61">
            <v>687.49785850000001</v>
          </cell>
          <cell r="AI61">
            <v>693.09465520000003</v>
          </cell>
          <cell r="AJ61">
            <v>698.76637570000003</v>
          </cell>
          <cell r="AK61">
            <v>704.52286530000003</v>
          </cell>
          <cell r="AL61">
            <v>710.35942399999999</v>
          </cell>
          <cell r="AM61">
            <v>716.27494360000003</v>
          </cell>
          <cell r="AN61">
            <v>722.2715647</v>
          </cell>
          <cell r="AO61">
            <v>728.35319260000006</v>
          </cell>
          <cell r="AP61">
            <v>734.52464250000003</v>
          </cell>
          <cell r="AQ61">
            <v>740.79120030000001</v>
          </cell>
          <cell r="AR61">
            <v>747.15836460000003</v>
          </cell>
          <cell r="AS61">
            <v>753.6316673</v>
          </cell>
          <cell r="AT61">
            <v>760.21650590000002</v>
          </cell>
          <cell r="AU61">
            <v>766.9179097</v>
          </cell>
          <cell r="AV61">
            <v>773.74114970000005</v>
          </cell>
          <cell r="AW61">
            <v>780.69018489999996</v>
          </cell>
          <cell r="AX61">
            <v>787.76757699999996</v>
          </cell>
          <cell r="AY61">
            <v>794.97633659999997</v>
          </cell>
          <cell r="AZ61">
            <v>802.32041679999998</v>
          </cell>
          <cell r="BA61">
            <v>843.12812159999999</v>
          </cell>
          <cell r="BB61">
            <v>854.19711310000002</v>
          </cell>
          <cell r="BC61">
            <v>865.50899930000003</v>
          </cell>
          <cell r="BD61">
            <v>877.06487609999999</v>
          </cell>
          <cell r="BE61">
            <v>888.86592389999998</v>
          </cell>
        </row>
        <row r="62">
          <cell r="B62">
            <v>3986.726502</v>
          </cell>
          <cell r="C62">
            <v>4027.2026510000001</v>
          </cell>
          <cell r="D62">
            <v>4065.588225</v>
          </cell>
          <cell r="E62">
            <v>4102.0520699999997</v>
          </cell>
          <cell r="F62">
            <v>4136.9391409999998</v>
          </cell>
          <cell r="G62">
            <v>4170.6754490000003</v>
          </cell>
          <cell r="H62">
            <v>4203.5472520000003</v>
          </cell>
          <cell r="I62">
            <v>4235.8158380000004</v>
          </cell>
          <cell r="J62">
            <v>4267.6975510000002</v>
          </cell>
          <cell r="K62">
            <v>4299.3526700000002</v>
          </cell>
          <cell r="L62">
            <v>4330.8450210000001</v>
          </cell>
          <cell r="M62">
            <v>4362.4509509999998</v>
          </cell>
          <cell r="N62">
            <v>4394.3167020000001</v>
          </cell>
          <cell r="O62">
            <v>4426.5110169999998</v>
          </cell>
          <cell r="P62">
            <v>4459.0644430000002</v>
          </cell>
          <cell r="Q62">
            <v>4491.9867530000001</v>
          </cell>
          <cell r="R62">
            <v>4525.2653449999998</v>
          </cell>
          <cell r="S62">
            <v>4558.8851359999999</v>
          </cell>
          <cell r="T62">
            <v>4592.8301179999999</v>
          </cell>
          <cell r="U62">
            <v>4627.0849099999996</v>
          </cell>
          <cell r="V62">
            <v>4661.4857629999997</v>
          </cell>
          <cell r="W62">
            <v>4696.0721649999996</v>
          </cell>
          <cell r="X62">
            <v>4730.8867920000002</v>
          </cell>
          <cell r="Y62">
            <v>4765.9623799999999</v>
          </cell>
          <cell r="Z62">
            <v>4801.3286029999999</v>
          </cell>
          <cell r="AA62">
            <v>4836.5893640000004</v>
          </cell>
          <cell r="AB62">
            <v>4871.7166880000004</v>
          </cell>
          <cell r="AC62">
            <v>4906.7380780000003</v>
          </cell>
          <cell r="AD62">
            <v>4941.6952229999997</v>
          </cell>
          <cell r="AE62">
            <v>4976.6406980000002</v>
          </cell>
          <cell r="AF62">
            <v>5011.6368590000002</v>
          </cell>
          <cell r="AG62">
            <v>5046.7566290000004</v>
          </cell>
          <cell r="AH62">
            <v>5082.0766439999998</v>
          </cell>
          <cell r="AI62">
            <v>5117.6753250000002</v>
          </cell>
          <cell r="AJ62">
            <v>5153.6309869999995</v>
          </cell>
          <cell r="AK62">
            <v>5190.0200530000002</v>
          </cell>
          <cell r="AL62">
            <v>5226.8438100000003</v>
          </cell>
          <cell r="AM62">
            <v>5264.116634</v>
          </cell>
          <cell r="AN62">
            <v>5301.8703809999997</v>
          </cell>
          <cell r="AO62">
            <v>5340.1474440000002</v>
          </cell>
          <cell r="AP62">
            <v>5378.9950079999999</v>
          </cell>
          <cell r="AQ62">
            <v>5418.4660629999998</v>
          </cell>
          <cell r="AR62">
            <v>5458.6105299999999</v>
          </cell>
          <cell r="AS62">
            <v>5499.4751130000004</v>
          </cell>
          <cell r="AT62">
            <v>5541.1032569999998</v>
          </cell>
          <cell r="AU62">
            <v>5583.5349040000001</v>
          </cell>
          <cell r="AV62">
            <v>5626.8317299999999</v>
          </cell>
          <cell r="AW62">
            <v>5671.0417070000003</v>
          </cell>
          <cell r="AX62">
            <v>5716.2031930000003</v>
          </cell>
          <cell r="AY62">
            <v>5762.3484159999998</v>
          </cell>
          <cell r="AZ62">
            <v>5809.5048610000003</v>
          </cell>
          <cell r="BA62">
            <v>6279.5823499999997</v>
          </cell>
          <cell r="BB62">
            <v>6367.1195879999996</v>
          </cell>
          <cell r="BC62">
            <v>6456.9473399999997</v>
          </cell>
          <cell r="BD62">
            <v>6549.0697090000003</v>
          </cell>
          <cell r="BE62">
            <v>6643.4899400000004</v>
          </cell>
        </row>
        <row r="63">
          <cell r="B63">
            <v>3989.79999</v>
          </cell>
          <cell r="C63">
            <v>4035.0251069999999</v>
          </cell>
          <cell r="D63">
            <v>4079.1098499999998</v>
          </cell>
          <cell r="E63">
            <v>4121.8892379999998</v>
          </cell>
          <cell r="F63">
            <v>4163.4693010000001</v>
          </cell>
          <cell r="G63">
            <v>4204.1196680000003</v>
          </cell>
          <cell r="H63">
            <v>4244.0349139999998</v>
          </cell>
          <cell r="I63">
            <v>4283.4229590000004</v>
          </cell>
          <cell r="J63">
            <v>4322.4676639999998</v>
          </cell>
          <cell r="K63">
            <v>4361.3100759999998</v>
          </cell>
          <cell r="L63">
            <v>4400.2713089999997</v>
          </cell>
          <cell r="M63">
            <v>4439.3516840000002</v>
          </cell>
          <cell r="N63">
            <v>4478.5351819999996</v>
          </cell>
          <cell r="O63">
            <v>4517.8173020000004</v>
          </cell>
          <cell r="P63">
            <v>4557.2009470000003</v>
          </cell>
          <cell r="Q63">
            <v>4596.6934449999999</v>
          </cell>
          <cell r="R63">
            <v>4636.3061120000002</v>
          </cell>
          <cell r="S63">
            <v>4676.0548360000003</v>
          </cell>
          <cell r="T63">
            <v>4715.9607999999998</v>
          </cell>
          <cell r="U63">
            <v>4756.050964</v>
          </cell>
          <cell r="V63">
            <v>4796.198883</v>
          </cell>
          <cell r="W63">
            <v>4836.4938050000001</v>
          </cell>
          <cell r="X63">
            <v>4877.0267549999999</v>
          </cell>
          <cell r="Y63">
            <v>4917.8758939999998</v>
          </cell>
          <cell r="Z63">
            <v>4959.1127980000001</v>
          </cell>
          <cell r="AA63">
            <v>5000.3524580000003</v>
          </cell>
          <cell r="AB63">
            <v>5041.59166</v>
          </cell>
          <cell r="AC63">
            <v>5082.8815119999999</v>
          </cell>
          <cell r="AD63">
            <v>5124.2834419999999</v>
          </cell>
          <cell r="AE63">
            <v>5165.865777</v>
          </cell>
          <cell r="AF63">
            <v>5207.7031729999999</v>
          </cell>
          <cell r="AG63">
            <v>5249.8749049999997</v>
          </cell>
          <cell r="AH63">
            <v>5292.4625239999996</v>
          </cell>
          <cell r="AI63">
            <v>5335.5475120000001</v>
          </cell>
          <cell r="AJ63">
            <v>5379.2092739999998</v>
          </cell>
          <cell r="AK63">
            <v>5423.5236029999996</v>
          </cell>
          <cell r="AL63">
            <v>5468.4543139999996</v>
          </cell>
          <cell r="AM63">
            <v>5513.9928799999998</v>
          </cell>
          <cell r="AN63">
            <v>5560.1557759999996</v>
          </cell>
          <cell r="AO63">
            <v>5606.9730669999999</v>
          </cell>
          <cell r="AP63">
            <v>5654.4818219999997</v>
          </cell>
          <cell r="AQ63">
            <v>5702.7227320000002</v>
          </cell>
          <cell r="AR63">
            <v>5751.7381260000002</v>
          </cell>
          <cell r="AS63">
            <v>5801.5705900000003</v>
          </cell>
          <cell r="AT63">
            <v>5852.2616740000003</v>
          </cell>
          <cell r="AU63">
            <v>5903.8500940000004</v>
          </cell>
          <cell r="AV63">
            <v>5956.3764279999996</v>
          </cell>
          <cell r="AW63">
            <v>6009.8711519999997</v>
          </cell>
          <cell r="AX63">
            <v>6064.3539870000004</v>
          </cell>
          <cell r="AY63">
            <v>6119.8481089999996</v>
          </cell>
          <cell r="AZ63">
            <v>6176.383949</v>
          </cell>
          <cell r="BA63">
            <v>6275.9039229999998</v>
          </cell>
          <cell r="BB63">
            <v>6358.980654</v>
          </cell>
          <cell r="BC63">
            <v>6443.9139329999998</v>
          </cell>
          <cell r="BD63">
            <v>6530.7056890000003</v>
          </cell>
          <cell r="BE63">
            <v>6619.3587230000003</v>
          </cell>
        </row>
        <row r="64">
          <cell r="B64">
            <v>4697.9267689999997</v>
          </cell>
          <cell r="C64">
            <v>4748.4306379999998</v>
          </cell>
          <cell r="D64">
            <v>4798.0740759999999</v>
          </cell>
          <cell r="E64">
            <v>4846.9248109999999</v>
          </cell>
          <cell r="F64">
            <v>4895.137984</v>
          </cell>
          <cell r="G64">
            <v>4942.9444880000001</v>
          </cell>
          <cell r="H64">
            <v>4990.3738970000004</v>
          </cell>
          <cell r="I64">
            <v>5037.5083510000004</v>
          </cell>
          <cell r="J64">
            <v>5084.4657989999996</v>
          </cell>
          <cell r="K64">
            <v>5131.3609189999997</v>
          </cell>
          <cell r="L64">
            <v>5178.4747509999997</v>
          </cell>
          <cell r="M64">
            <v>5225.94517</v>
          </cell>
          <cell r="N64">
            <v>5273.7991940000002</v>
          </cell>
          <cell r="O64">
            <v>5322.0333959999998</v>
          </cell>
          <cell r="P64">
            <v>5370.6361509999997</v>
          </cell>
          <cell r="Q64">
            <v>5419.5907020000004</v>
          </cell>
          <cell r="R64">
            <v>5468.8692680000004</v>
          </cell>
          <cell r="S64">
            <v>5518.4433209999997</v>
          </cell>
          <cell r="T64">
            <v>5568.2832179999996</v>
          </cell>
          <cell r="U64">
            <v>5618.3592820000003</v>
          </cell>
          <cell r="V64">
            <v>5668.3834040000002</v>
          </cell>
          <cell r="W64">
            <v>5718.4118449999996</v>
          </cell>
          <cell r="X64">
            <v>5768.5147299999999</v>
          </cell>
          <cell r="Y64">
            <v>5818.7348320000001</v>
          </cell>
          <cell r="Z64">
            <v>5869.0971220000001</v>
          </cell>
          <cell r="AA64">
            <v>5918.8960180000004</v>
          </cell>
          <cell r="AB64">
            <v>5968.0341900000003</v>
          </cell>
          <cell r="AC64">
            <v>6016.5408719999996</v>
          </cell>
          <cell r="AD64">
            <v>6064.4693090000001</v>
          </cell>
          <cell r="AE64">
            <v>6111.8793299999998</v>
          </cell>
          <cell r="AF64">
            <v>6158.8351220000004</v>
          </cell>
          <cell r="AG64">
            <v>6205.4065149999997</v>
          </cell>
          <cell r="AH64">
            <v>6251.6654680000001</v>
          </cell>
          <cell r="AI64">
            <v>6297.6854780000003</v>
          </cell>
          <cell r="AJ64">
            <v>6343.5405419999997</v>
          </cell>
          <cell r="AK64">
            <v>6389.3039019999997</v>
          </cell>
          <cell r="AL64">
            <v>6434.9027429999996</v>
          </cell>
          <cell r="AM64">
            <v>6480.3014910000002</v>
          </cell>
          <cell r="AN64">
            <v>6525.5121689999996</v>
          </cell>
          <cell r="AO64">
            <v>6570.5764449999997</v>
          </cell>
          <cell r="AP64">
            <v>6615.550596</v>
          </cell>
          <cell r="AQ64">
            <v>6660.4992300000004</v>
          </cell>
          <cell r="AR64">
            <v>6705.4862480000002</v>
          </cell>
          <cell r="AS64">
            <v>6750.5735340000001</v>
          </cell>
          <cell r="AT64">
            <v>6795.8203329999997</v>
          </cell>
          <cell r="AU64">
            <v>6841.2827740000002</v>
          </cell>
          <cell r="AV64">
            <v>6887.0368980000003</v>
          </cell>
          <cell r="AW64">
            <v>6933.1458789999997</v>
          </cell>
          <cell r="AX64">
            <v>6979.6634510000004</v>
          </cell>
          <cell r="AY64">
            <v>7026.637444</v>
          </cell>
          <cell r="AZ64">
            <v>7074.1112270000003</v>
          </cell>
          <cell r="BA64">
            <v>7835.2333630000003</v>
          </cell>
          <cell r="BB64">
            <v>7924.841547</v>
          </cell>
          <cell r="BC64">
            <v>8016.2188239999996</v>
          </cell>
          <cell r="BD64">
            <v>8109.3837100000001</v>
          </cell>
          <cell r="BE64">
            <v>8204.3534830000008</v>
          </cell>
        </row>
        <row r="65">
          <cell r="B65">
            <v>4700.159917</v>
          </cell>
          <cell r="C65">
            <v>4754.0195089999997</v>
          </cell>
          <cell r="D65">
            <v>4807.8055949999998</v>
          </cell>
          <cell r="E65">
            <v>4861.5796309999996</v>
          </cell>
          <cell r="F65">
            <v>4915.5323150000004</v>
          </cell>
          <cell r="G65">
            <v>4969.6303129999997</v>
          </cell>
          <cell r="H65">
            <v>5023.5403409999999</v>
          </cell>
          <cell r="I65">
            <v>5077.0363930000003</v>
          </cell>
          <cell r="J65">
            <v>5130.0244149999999</v>
          </cell>
          <cell r="K65">
            <v>5182.4925560000001</v>
          </cell>
          <cell r="L65">
            <v>5234.8548650000002</v>
          </cell>
          <cell r="M65">
            <v>5287.0341340000004</v>
          </cell>
          <cell r="N65">
            <v>5338.9419550000002</v>
          </cell>
          <cell r="O65">
            <v>5390.5378360000004</v>
          </cell>
          <cell r="P65">
            <v>5441.815173</v>
          </cell>
          <cell r="Q65">
            <v>5492.785766</v>
          </cell>
          <cell r="R65">
            <v>5543.4711569999999</v>
          </cell>
          <cell r="S65">
            <v>5593.8987900000002</v>
          </cell>
          <cell r="T65">
            <v>5644.1006189999998</v>
          </cell>
          <cell r="U65">
            <v>5694.112701</v>
          </cell>
          <cell r="V65">
            <v>5743.7091479999999</v>
          </cell>
          <cell r="W65">
            <v>5793.0164590000004</v>
          </cell>
          <cell r="X65">
            <v>5842.1727819999996</v>
          </cell>
          <cell r="Y65">
            <v>5891.2852050000001</v>
          </cell>
          <cell r="Z65">
            <v>5940.4385410000004</v>
          </cell>
          <cell r="AA65">
            <v>5988.9658319999999</v>
          </cell>
          <cell r="AB65">
            <v>6036.815458</v>
          </cell>
          <cell r="AC65">
            <v>6084.0601720000004</v>
          </cell>
          <cell r="AD65">
            <v>6130.7925809999997</v>
          </cell>
          <cell r="AE65">
            <v>6177.106871</v>
          </cell>
          <cell r="AF65">
            <v>6223.097119</v>
          </cell>
          <cell r="AG65">
            <v>6268.857368</v>
          </cell>
          <cell r="AH65">
            <v>6314.4811369999998</v>
          </cell>
          <cell r="AI65">
            <v>6360.0604789999998</v>
          </cell>
          <cell r="AJ65">
            <v>6405.6849650000004</v>
          </cell>
          <cell r="AK65">
            <v>6451.4408309999999</v>
          </cell>
          <cell r="AL65">
            <v>6497.2455570000002</v>
          </cell>
          <cell r="AM65">
            <v>6543.0632690000002</v>
          </cell>
          <cell r="AN65">
            <v>6588.9088869999996</v>
          </cell>
          <cell r="AO65">
            <v>6634.8275919999996</v>
          </cell>
          <cell r="AP65">
            <v>6680.880478</v>
          </cell>
          <cell r="AQ65">
            <v>6727.1369850000001</v>
          </cell>
          <cell r="AR65">
            <v>6773.6714350000002</v>
          </cell>
          <cell r="AS65">
            <v>6820.562011</v>
          </cell>
          <cell r="AT65">
            <v>6867.8916600000002</v>
          </cell>
          <cell r="AU65">
            <v>6915.7520940000004</v>
          </cell>
          <cell r="AV65">
            <v>6964.2716</v>
          </cell>
          <cell r="AW65">
            <v>7013.474134</v>
          </cell>
          <cell r="AX65">
            <v>7063.331889</v>
          </cell>
          <cell r="AY65">
            <v>7113.8153329999996</v>
          </cell>
          <cell r="AZ65">
            <v>7164.915258</v>
          </cell>
          <cell r="BA65">
            <v>7874.7870460000004</v>
          </cell>
          <cell r="BB65">
            <v>7959.7424099999998</v>
          </cell>
          <cell r="BC65">
            <v>8045.8550219999997</v>
          </cell>
          <cell r="BD65">
            <v>8133.1440060000004</v>
          </cell>
          <cell r="BE65">
            <v>8221.6304949999994</v>
          </cell>
        </row>
        <row r="66">
          <cell r="B66">
            <v>65.123370570000006</v>
          </cell>
          <cell r="C66">
            <v>65.784550429999996</v>
          </cell>
          <cell r="D66">
            <v>66.411580639999997</v>
          </cell>
          <cell r="E66">
            <v>67.007219320000004</v>
          </cell>
          <cell r="F66">
            <v>67.577101310000003</v>
          </cell>
          <cell r="G66">
            <v>68.128185540000004</v>
          </cell>
          <cell r="H66">
            <v>68.665148029999997</v>
          </cell>
          <cell r="I66">
            <v>69.192256950000001</v>
          </cell>
          <cell r="J66">
            <v>69.713046270000007</v>
          </cell>
          <cell r="K66">
            <v>70.230134179999993</v>
          </cell>
          <cell r="L66">
            <v>70.744563249999999</v>
          </cell>
          <cell r="M66">
            <v>71.260847650000002</v>
          </cell>
          <cell r="N66">
            <v>71.781376249999994</v>
          </cell>
          <cell r="O66">
            <v>72.307271929999999</v>
          </cell>
          <cell r="P66">
            <v>72.839033729999997</v>
          </cell>
          <cell r="Q66">
            <v>73.376821250000006</v>
          </cell>
          <cell r="R66">
            <v>73.920428670000007</v>
          </cell>
          <cell r="S66">
            <v>74.469609590000005</v>
          </cell>
          <cell r="T66">
            <v>75.02410252</v>
          </cell>
          <cell r="U66">
            <v>75.583656199999993</v>
          </cell>
          <cell r="V66">
            <v>76.145595799999995</v>
          </cell>
          <cell r="W66">
            <v>76.710566349999993</v>
          </cell>
          <cell r="X66">
            <v>77.27926497</v>
          </cell>
          <cell r="Y66">
            <v>77.852226389999998</v>
          </cell>
          <cell r="Z66">
            <v>78.429935369999995</v>
          </cell>
          <cell r="AA66">
            <v>79.005921599999994</v>
          </cell>
          <cell r="AB66">
            <v>79.579728149999994</v>
          </cell>
          <cell r="AC66">
            <v>80.151804249999998</v>
          </cell>
          <cell r="AD66">
            <v>80.722830909999999</v>
          </cell>
          <cell r="AE66">
            <v>81.293666930000001</v>
          </cell>
          <cell r="AF66">
            <v>81.865330920000005</v>
          </cell>
          <cell r="AG66">
            <v>82.439014069999999</v>
          </cell>
          <cell r="AH66">
            <v>83.015968220000005</v>
          </cell>
          <cell r="AI66">
            <v>83.597474390000002</v>
          </cell>
          <cell r="AJ66">
            <v>84.184811870000004</v>
          </cell>
          <cell r="AK66">
            <v>84.779229040000004</v>
          </cell>
          <cell r="AL66">
            <v>85.380746900000005</v>
          </cell>
          <cell r="AM66">
            <v>85.989600280000005</v>
          </cell>
          <cell r="AN66">
            <v>86.60630956</v>
          </cell>
          <cell r="AO66">
            <v>87.231567249999998</v>
          </cell>
          <cell r="AP66">
            <v>87.866144079999998</v>
          </cell>
          <cell r="AQ66">
            <v>88.51090567</v>
          </cell>
          <cell r="AR66">
            <v>89.166667480000001</v>
          </cell>
          <cell r="AS66">
            <v>89.834192439999995</v>
          </cell>
          <cell r="AT66">
            <v>90.514190189999994</v>
          </cell>
          <cell r="AU66">
            <v>91.207313189999994</v>
          </cell>
          <cell r="AV66">
            <v>91.914568939999995</v>
          </cell>
          <cell r="AW66">
            <v>92.636741060000006</v>
          </cell>
          <cell r="AX66">
            <v>93.374456120000005</v>
          </cell>
          <cell r="AY66">
            <v>94.128240579999996</v>
          </cell>
          <cell r="AZ66">
            <v>94.898543380000007</v>
          </cell>
          <cell r="BA66">
            <v>111.85405609999999</v>
          </cell>
          <cell r="BB66">
            <v>113.4873051</v>
          </cell>
          <cell r="BC66">
            <v>115.1586001</v>
          </cell>
          <cell r="BD66">
            <v>116.8681406</v>
          </cell>
          <cell r="BE66">
            <v>118.6161168</v>
          </cell>
        </row>
        <row r="67">
          <cell r="B67">
            <v>65.173576159999996</v>
          </cell>
          <cell r="C67">
            <v>65.91233063</v>
          </cell>
          <cell r="D67">
            <v>66.632457049999999</v>
          </cell>
          <cell r="E67">
            <v>67.331260409999999</v>
          </cell>
          <cell r="F67">
            <v>68.010472759999999</v>
          </cell>
          <cell r="G67">
            <v>68.674498470000003</v>
          </cell>
          <cell r="H67">
            <v>69.326515950000001</v>
          </cell>
          <cell r="I67">
            <v>69.969921569999997</v>
          </cell>
          <cell r="J67">
            <v>70.607718730000002</v>
          </cell>
          <cell r="K67">
            <v>71.242211400000002</v>
          </cell>
          <cell r="L67">
            <v>71.878645039999995</v>
          </cell>
          <cell r="M67">
            <v>72.517024860000006</v>
          </cell>
          <cell r="N67">
            <v>73.157089200000001</v>
          </cell>
          <cell r="O67">
            <v>73.79876453</v>
          </cell>
          <cell r="P67">
            <v>74.442098270000002</v>
          </cell>
          <cell r="Q67">
            <v>75.087210150000004</v>
          </cell>
          <cell r="R67">
            <v>75.734284979999998</v>
          </cell>
          <cell r="S67">
            <v>76.383582309999994</v>
          </cell>
          <cell r="T67">
            <v>77.035448169999995</v>
          </cell>
          <cell r="U67">
            <v>77.690322940000001</v>
          </cell>
          <cell r="V67">
            <v>78.34614114</v>
          </cell>
          <cell r="W67">
            <v>79.004360649999995</v>
          </cell>
          <cell r="X67">
            <v>79.666468350000002</v>
          </cell>
          <cell r="Y67">
            <v>80.333741020000005</v>
          </cell>
          <cell r="Z67">
            <v>81.00734783</v>
          </cell>
          <cell r="AA67">
            <v>81.680999679999999</v>
          </cell>
          <cell r="AB67">
            <v>82.354644039999997</v>
          </cell>
          <cell r="AC67">
            <v>83.029115770000004</v>
          </cell>
          <cell r="AD67">
            <v>83.705418309999999</v>
          </cell>
          <cell r="AE67">
            <v>84.384667759999999</v>
          </cell>
          <cell r="AF67">
            <v>85.068083650000005</v>
          </cell>
          <cell r="AG67">
            <v>85.756960939999999</v>
          </cell>
          <cell r="AH67">
            <v>86.452631760000003</v>
          </cell>
          <cell r="AI67">
            <v>87.156427129999997</v>
          </cell>
          <cell r="AJ67">
            <v>87.869644129999998</v>
          </cell>
          <cell r="AK67">
            <v>88.593520830000003</v>
          </cell>
          <cell r="AL67">
            <v>89.327466189999996</v>
          </cell>
          <cell r="AM67">
            <v>90.071340849999999</v>
          </cell>
          <cell r="AN67">
            <v>90.825413999999995</v>
          </cell>
          <cell r="AO67">
            <v>91.590176720000002</v>
          </cell>
          <cell r="AP67">
            <v>92.366234539999994</v>
          </cell>
          <cell r="AQ67">
            <v>93.154252139999997</v>
          </cell>
          <cell r="AR67">
            <v>93.954920979999997</v>
          </cell>
          <cell r="AS67">
            <v>94.768936690000004</v>
          </cell>
          <cell r="AT67">
            <v>95.596977999999993</v>
          </cell>
          <cell r="AU67">
            <v>96.439677329999995</v>
          </cell>
          <cell r="AV67">
            <v>97.297697549999995</v>
          </cell>
          <cell r="AW67">
            <v>98.171536459999999</v>
          </cell>
          <cell r="AX67">
            <v>99.0615162</v>
          </cell>
          <cell r="AY67">
            <v>99.968015379999997</v>
          </cell>
          <cell r="AZ67">
            <v>100.89153109999999</v>
          </cell>
          <cell r="BA67">
            <v>111.3020337</v>
          </cell>
          <cell r="BB67">
            <v>112.8181628</v>
          </cell>
          <cell r="BC67">
            <v>114.36297039999999</v>
          </cell>
          <cell r="BD67">
            <v>115.93661729999999</v>
          </cell>
          <cell r="BE67">
            <v>117.53928500000001</v>
          </cell>
        </row>
      </sheetData>
      <sheetData sheetId="6">
        <row r="3">
          <cell r="F3">
            <v>32317.940999999999</v>
          </cell>
          <cell r="G3">
            <v>31912.30229</v>
          </cell>
          <cell r="H3">
            <v>31694.233929999999</v>
          </cell>
          <cell r="I3">
            <v>31605.742480000001</v>
          </cell>
          <cell r="J3">
            <v>31608.614860000001</v>
          </cell>
          <cell r="K3">
            <v>31678.15496</v>
          </cell>
          <cell r="L3">
            <v>31794.35455</v>
          </cell>
          <cell r="M3">
            <v>31946.479370000001</v>
          </cell>
          <cell r="N3">
            <v>32127.03672</v>
          </cell>
          <cell r="O3">
            <v>32330.53414</v>
          </cell>
          <cell r="P3">
            <v>32556.542369999999</v>
          </cell>
          <cell r="Q3">
            <v>32798.115140000002</v>
          </cell>
          <cell r="R3">
            <v>33053.818160000003</v>
          </cell>
          <cell r="S3">
            <v>33321.793870000001</v>
          </cell>
          <cell r="T3">
            <v>33600.195160000003</v>
          </cell>
          <cell r="U3">
            <v>33887.265379999997</v>
          </cell>
          <cell r="V3">
            <v>34181.205690000003</v>
          </cell>
          <cell r="W3">
            <v>34480.40324</v>
          </cell>
          <cell r="X3">
            <v>34783.413099999998</v>
          </cell>
          <cell r="Y3">
            <v>35088.94255</v>
          </cell>
          <cell r="Z3">
            <v>35391.037349999999</v>
          </cell>
          <cell r="AA3">
            <v>35693.90436</v>
          </cell>
          <cell r="AB3">
            <v>35996.794130000002</v>
          </cell>
          <cell r="AC3">
            <v>36299.150710000002</v>
          </cell>
          <cell r="AD3">
            <v>36600.505440000001</v>
          </cell>
          <cell r="AE3">
            <v>36886.885779999997</v>
          </cell>
          <cell r="AF3">
            <v>37166.283609999999</v>
          </cell>
          <cell r="AG3">
            <v>37439.148650000003</v>
          </cell>
          <cell r="AH3">
            <v>37706.201560000001</v>
          </cell>
          <cell r="AI3">
            <v>37968.237050000003</v>
          </cell>
          <cell r="AJ3">
            <v>38226.022570000001</v>
          </cell>
          <cell r="AK3">
            <v>38480.288489999999</v>
          </cell>
          <cell r="AL3">
            <v>38731.651169999997</v>
          </cell>
          <cell r="AM3">
            <v>38980.628170000004</v>
          </cell>
          <cell r="AN3">
            <v>39227.664169999996</v>
          </cell>
          <cell r="AO3">
            <v>39473.150849999998</v>
          </cell>
          <cell r="AP3">
            <v>39714.7232</v>
          </cell>
          <cell r="AQ3">
            <v>39953.07116</v>
          </cell>
          <cell r="AR3">
            <v>40188.76425</v>
          </cell>
          <cell r="AS3">
            <v>40422.387190000001</v>
          </cell>
          <cell r="AT3">
            <v>40654.541870000001</v>
          </cell>
          <cell r="AU3">
            <v>40885.868219999997</v>
          </cell>
          <cell r="AV3">
            <v>41116.913910000003</v>
          </cell>
          <cell r="AW3">
            <v>41348.127489999999</v>
          </cell>
          <cell r="AX3">
            <v>41579.87111</v>
          </cell>
          <cell r="AY3">
            <v>41812.431349999999</v>
          </cell>
          <cell r="AZ3">
            <v>42046.487959999999</v>
          </cell>
          <cell r="BA3">
            <v>42282.256719999998</v>
          </cell>
          <cell r="BB3">
            <v>42519.824000000001</v>
          </cell>
          <cell r="BC3">
            <v>42759.220789999999</v>
          </cell>
          <cell r="BD3">
            <v>43000.455699999999</v>
          </cell>
          <cell r="BE3">
            <v>46008.79161</v>
          </cell>
          <cell r="BF3">
            <v>46338.604979999996</v>
          </cell>
          <cell r="BG3">
            <v>46669.607629999999</v>
          </cell>
          <cell r="BH3">
            <v>47001.910230000001</v>
          </cell>
          <cell r="BI3">
            <v>47335.641969999997</v>
          </cell>
        </row>
        <row r="4">
          <cell r="F4">
            <v>32271.24</v>
          </cell>
          <cell r="G4">
            <v>31848.029620000001</v>
          </cell>
          <cell r="H4">
            <v>31611.622210000001</v>
          </cell>
          <cell r="I4">
            <v>31504.424220000001</v>
          </cell>
          <cell r="J4">
            <v>31488.463520000001</v>
          </cell>
          <cell r="K4">
            <v>31539.17986</v>
          </cell>
          <cell r="L4">
            <v>31636.674210000001</v>
          </cell>
          <cell r="M4">
            <v>31770.249220000002</v>
          </cell>
          <cell r="N4">
            <v>31932.428309999999</v>
          </cell>
          <cell r="O4">
            <v>32117.723310000001</v>
          </cell>
          <cell r="P4">
            <v>32325.665389999998</v>
          </cell>
          <cell r="Q4">
            <v>32549.333610000001</v>
          </cell>
          <cell r="R4">
            <v>32787.269890000003</v>
          </cell>
          <cell r="S4">
            <v>33037.599179999997</v>
          </cell>
          <cell r="T4">
            <v>33298.458839999999</v>
          </cell>
          <cell r="U4">
            <v>33568.077319999997</v>
          </cell>
          <cell r="V4">
            <v>33844.642440000003</v>
          </cell>
          <cell r="W4">
            <v>34126.526720000002</v>
          </cell>
          <cell r="X4">
            <v>34412.269039999999</v>
          </cell>
          <cell r="Y4">
            <v>34700.558559999998</v>
          </cell>
          <cell r="Z4">
            <v>34985.47294</v>
          </cell>
          <cell r="AA4">
            <v>35271.141880000003</v>
          </cell>
          <cell r="AB4">
            <v>35556.78815</v>
          </cell>
          <cell r="AC4">
            <v>35841.823980000001</v>
          </cell>
          <cell r="AD4">
            <v>36125.745779999997</v>
          </cell>
          <cell r="AE4">
            <v>36394.701970000002</v>
          </cell>
          <cell r="AF4">
            <v>36656.555070000002</v>
          </cell>
          <cell r="AG4">
            <v>36911.704819999999</v>
          </cell>
          <cell r="AH4">
            <v>37160.814590000002</v>
          </cell>
          <cell r="AI4">
            <v>37404.616309999998</v>
          </cell>
          <cell r="AJ4">
            <v>37643.810299999997</v>
          </cell>
          <cell r="AK4">
            <v>37879.055249999998</v>
          </cell>
          <cell r="AL4">
            <v>38110.892140000004</v>
          </cell>
          <cell r="AM4">
            <v>38339.759160000001</v>
          </cell>
          <cell r="AN4">
            <v>38566.017050000002</v>
          </cell>
          <cell r="AO4">
            <v>38789.968520000002</v>
          </cell>
          <cell r="AP4">
            <v>39009.195019999999</v>
          </cell>
          <cell r="AQ4">
            <v>39224.283969999997</v>
          </cell>
          <cell r="AR4">
            <v>39435.696620000002</v>
          </cell>
          <cell r="AS4">
            <v>39643.901189999997</v>
          </cell>
          <cell r="AT4">
            <v>39849.374170000003</v>
          </cell>
          <cell r="AU4">
            <v>40052.619960000004</v>
          </cell>
          <cell r="AV4">
            <v>40254.042029999997</v>
          </cell>
          <cell r="AW4">
            <v>40453.935660000003</v>
          </cell>
          <cell r="AX4">
            <v>40652.499790000002</v>
          </cell>
          <cell r="AY4">
            <v>40849.847070000003</v>
          </cell>
          <cell r="AZ4">
            <v>41046.461510000001</v>
          </cell>
          <cell r="BA4">
            <v>41242.358099999998</v>
          </cell>
          <cell r="BB4">
            <v>41437.410380000001</v>
          </cell>
          <cell r="BC4">
            <v>41631.422350000001</v>
          </cell>
          <cell r="BD4">
            <v>41824.159670000001</v>
          </cell>
          <cell r="BE4">
            <v>45733.742980000003</v>
          </cell>
          <cell r="BF4">
            <v>46096.605170000003</v>
          </cell>
          <cell r="BG4">
            <v>46464.389629999998</v>
          </cell>
          <cell r="BH4">
            <v>46837.523480000003</v>
          </cell>
          <cell r="BI4">
            <v>47216.482490000002</v>
          </cell>
        </row>
        <row r="12">
          <cell r="F12">
            <v>44.765000000000001</v>
          </cell>
          <cell r="G12">
            <v>62.282239580000002</v>
          </cell>
          <cell r="H12">
            <v>80.55733755</v>
          </cell>
          <cell r="I12">
            <v>99.194617019999995</v>
          </cell>
          <cell r="J12">
            <v>117.9557882</v>
          </cell>
          <cell r="K12">
            <v>136.7066475</v>
          </cell>
          <cell r="L12">
            <v>155.33927879999999</v>
          </cell>
          <cell r="M12">
            <v>173.81734460000001</v>
          </cell>
          <cell r="N12">
            <v>192.1250751</v>
          </cell>
          <cell r="O12">
            <v>210.25836090000001</v>
          </cell>
          <cell r="P12">
            <v>228.25659390000001</v>
          </cell>
          <cell r="Q12">
            <v>246.0947907</v>
          </cell>
          <cell r="R12">
            <v>263.79667069999999</v>
          </cell>
          <cell r="S12">
            <v>281.37967830000002</v>
          </cell>
          <cell r="T12">
            <v>298.85933829999999</v>
          </cell>
          <cell r="U12">
            <v>316.25053050000002</v>
          </cell>
          <cell r="V12">
            <v>333.56663150000003</v>
          </cell>
          <cell r="W12">
            <v>350.82224220000001</v>
          </cell>
          <cell r="X12">
            <v>368.03355979999998</v>
          </cell>
          <cell r="Y12">
            <v>385.21869299999997</v>
          </cell>
          <cell r="Z12">
            <v>402.3461504</v>
          </cell>
          <cell r="AA12">
            <v>419.49262859999999</v>
          </cell>
          <cell r="AB12">
            <v>436.68590660000001</v>
          </cell>
          <cell r="AC12">
            <v>453.9577587</v>
          </cell>
          <cell r="AD12">
            <v>471.34306800000002</v>
          </cell>
          <cell r="AE12">
            <v>488.72197560000001</v>
          </cell>
          <cell r="AF12">
            <v>506.22314820000003</v>
          </cell>
          <cell r="AG12">
            <v>523.89642739999999</v>
          </cell>
          <cell r="AH12">
            <v>541.79903979999995</v>
          </cell>
          <cell r="AI12">
            <v>559.99361590000001</v>
          </cell>
          <cell r="AJ12">
            <v>578.54720699999996</v>
          </cell>
          <cell r="AK12">
            <v>597.53137790000005</v>
          </cell>
          <cell r="AL12">
            <v>617.0214095</v>
          </cell>
          <cell r="AM12">
            <v>637.09660919999999</v>
          </cell>
          <cell r="AN12">
            <v>657.84082880000005</v>
          </cell>
          <cell r="AO12">
            <v>679.34299209999995</v>
          </cell>
          <cell r="AP12">
            <v>701.65677330000005</v>
          </cell>
          <cell r="AQ12">
            <v>724.88464490000001</v>
          </cell>
          <cell r="AR12">
            <v>749.1348031</v>
          </cell>
          <cell r="AS12">
            <v>774.52366070000005</v>
          </cell>
          <cell r="AT12">
            <v>801.1765633</v>
          </cell>
          <cell r="AU12">
            <v>829.22896949999995</v>
          </cell>
          <cell r="AV12">
            <v>858.82501509999997</v>
          </cell>
          <cell r="AW12">
            <v>890.11793909999994</v>
          </cell>
          <cell r="AX12">
            <v>923.27089179999996</v>
          </cell>
          <cell r="AY12">
            <v>958.45777710000004</v>
          </cell>
          <cell r="AZ12">
            <v>995.87426430000005</v>
          </cell>
          <cell r="BA12">
            <v>1035.7211480000001</v>
          </cell>
          <cell r="BB12">
            <v>1078.211213</v>
          </cell>
          <cell r="BC12">
            <v>1123.5714840000001</v>
          </cell>
          <cell r="BD12">
            <v>1172.044889</v>
          </cell>
          <cell r="BE12">
            <v>270.4199448</v>
          </cell>
          <cell r="BF12">
            <v>237.33092400000001</v>
          </cell>
          <cell r="BG12">
            <v>200.5086518</v>
          </cell>
          <cell r="BH12">
            <v>159.6366142</v>
          </cell>
          <cell r="BI12">
            <v>114.3681741</v>
          </cell>
        </row>
        <row r="20">
          <cell r="F20">
            <v>1.9359999999999999</v>
          </cell>
          <cell r="G20">
            <v>1.9904292539999999</v>
          </cell>
          <cell r="H20">
            <v>2.0543833089999999</v>
          </cell>
          <cell r="I20">
            <v>2.1236496580000002</v>
          </cell>
          <cell r="J20">
            <v>2.1955509559999999</v>
          </cell>
          <cell r="K20">
            <v>2.268455678</v>
          </cell>
          <cell r="L20">
            <v>2.3410652970000001</v>
          </cell>
          <cell r="M20">
            <v>2.4128053870000001</v>
          </cell>
          <cell r="N20">
            <v>2.4833380680000001</v>
          </cell>
          <cell r="O20">
            <v>2.5524647460000001</v>
          </cell>
          <cell r="P20">
            <v>2.6203850339999999</v>
          </cell>
          <cell r="Q20">
            <v>2.686740962</v>
          </cell>
          <cell r="R20">
            <v>2.7516106210000002</v>
          </cell>
          <cell r="S20">
            <v>2.8150226599999999</v>
          </cell>
          <cell r="T20">
            <v>2.8769927210000001</v>
          </cell>
          <cell r="U20">
            <v>2.9375309449999998</v>
          </cell>
          <cell r="V20">
            <v>2.9966318410000001</v>
          </cell>
          <cell r="W20">
            <v>3.0542939310000001</v>
          </cell>
          <cell r="X20">
            <v>3.1105191680000002</v>
          </cell>
          <cell r="Y20">
            <v>3.1653124520000002</v>
          </cell>
          <cell r="Z20">
            <v>3.218282393</v>
          </cell>
          <cell r="AA20">
            <v>3.2698678229999998</v>
          </cell>
          <cell r="AB20">
            <v>3.320094911</v>
          </cell>
          <cell r="AC20">
            <v>3.368999026</v>
          </cell>
          <cell r="AD20">
            <v>3.4166165570000002</v>
          </cell>
          <cell r="AE20">
            <v>3.4618569460000002</v>
          </cell>
          <cell r="AF20">
            <v>3.5054314600000001</v>
          </cell>
          <cell r="AG20">
            <v>3.5474313610000001</v>
          </cell>
          <cell r="AH20">
            <v>3.5879669660000002</v>
          </cell>
          <cell r="AI20">
            <v>3.6271517969999998</v>
          </cell>
          <cell r="AJ20">
            <v>3.6650944070000002</v>
          </cell>
          <cell r="AK20">
            <v>3.7018976499999998</v>
          </cell>
          <cell r="AL20">
            <v>3.737652363</v>
          </cell>
          <cell r="AM20">
            <v>3.7724386139999999</v>
          </cell>
          <cell r="AN20">
            <v>3.8063278199999999</v>
          </cell>
          <cell r="AO20">
            <v>3.8393844189999999</v>
          </cell>
          <cell r="AP20">
            <v>3.871442187</v>
          </cell>
          <cell r="AQ20">
            <v>3.902582008</v>
          </cell>
          <cell r="AR20">
            <v>3.9328729519999999</v>
          </cell>
          <cell r="AS20">
            <v>3.9623833770000001</v>
          </cell>
          <cell r="AT20">
            <v>3.991181122</v>
          </cell>
          <cell r="AU20">
            <v>4.0193352439999996</v>
          </cell>
          <cell r="AV20">
            <v>4.0469053060000002</v>
          </cell>
          <cell r="AW20">
            <v>4.073940694</v>
          </cell>
          <cell r="AX20">
            <v>4.1004815460000001</v>
          </cell>
          <cell r="AY20">
            <v>4.1265595429999999</v>
          </cell>
          <cell r="AZ20">
            <v>4.1522363200000001</v>
          </cell>
          <cell r="BA20">
            <v>4.1775334209999997</v>
          </cell>
          <cell r="BB20">
            <v>4.2024592590000003</v>
          </cell>
          <cell r="BC20">
            <v>4.2270150500000003</v>
          </cell>
          <cell r="BD20">
            <v>4.2511974370000001</v>
          </cell>
          <cell r="BE20">
            <v>4.6286853649999999</v>
          </cell>
          <cell r="BF20">
            <v>4.6688759529999997</v>
          </cell>
          <cell r="BG20">
            <v>4.7093404809999999</v>
          </cell>
          <cell r="BH20">
            <v>4.7501298930000004</v>
          </cell>
          <cell r="BI20">
            <v>4.7912988260000002</v>
          </cell>
        </row>
        <row r="28">
          <cell r="F28">
            <v>32317.940999999999</v>
          </cell>
          <cell r="G28">
            <v>31939.281370000001</v>
          </cell>
          <cell r="H28">
            <v>31767.455890000001</v>
          </cell>
          <cell r="I28">
            <v>31736.000919999999</v>
          </cell>
          <cell r="J28">
            <v>31800.97495</v>
          </cell>
          <cell r="K28">
            <v>31933.821240000001</v>
          </cell>
          <cell r="L28">
            <v>32112.09172</v>
          </cell>
          <cell r="M28">
            <v>32323.605950000001</v>
          </cell>
          <cell r="N28">
            <v>32560.151430000002</v>
          </cell>
          <cell r="O28">
            <v>32815.996420000003</v>
          </cell>
          <cell r="P28">
            <v>33093.72565</v>
          </cell>
          <cell r="Q28">
            <v>33382.973189999997</v>
          </cell>
          <cell r="R28">
            <v>33680.999819999997</v>
          </cell>
          <cell r="S28">
            <v>33985.469550000002</v>
          </cell>
          <cell r="T28">
            <v>34294.477440000002</v>
          </cell>
          <cell r="U28">
            <v>34606.498879999999</v>
          </cell>
          <cell r="V28">
            <v>34920.321929999998</v>
          </cell>
          <cell r="W28">
            <v>35234.983740000003</v>
          </cell>
          <cell r="X28">
            <v>35549.718569999997</v>
          </cell>
          <cell r="Y28">
            <v>35863.918810000003</v>
          </cell>
          <cell r="Z28">
            <v>36172.23345</v>
          </cell>
          <cell r="AA28">
            <v>36479.502639999999</v>
          </cell>
          <cell r="AB28">
            <v>36785.560649999999</v>
          </cell>
          <cell r="AC28">
            <v>37090.35901</v>
          </cell>
          <cell r="AD28">
            <v>37393.860939999999</v>
          </cell>
          <cell r="AE28">
            <v>37682.300179999998</v>
          </cell>
          <cell r="AF28">
            <v>37963.857730000003</v>
          </cell>
          <cell r="AG28">
            <v>38239.223639999997</v>
          </cell>
          <cell r="AH28">
            <v>38509.34448</v>
          </cell>
          <cell r="AI28">
            <v>38775.198470000003</v>
          </cell>
          <cell r="AJ28">
            <v>39037.689030000001</v>
          </cell>
          <cell r="AK28">
            <v>39297.60138</v>
          </cell>
          <cell r="AL28">
            <v>39555.59562</v>
          </cell>
          <cell r="AM28">
            <v>39812.219230000002</v>
          </cell>
          <cell r="AN28">
            <v>40067.927439999999</v>
          </cell>
          <cell r="AO28">
            <v>40323.104209999998</v>
          </cell>
          <cell r="AP28">
            <v>40574.969550000002</v>
          </cell>
          <cell r="AQ28">
            <v>40824.0268</v>
          </cell>
          <cell r="AR28">
            <v>41070.813589999998</v>
          </cell>
          <cell r="AS28">
            <v>41315.9251</v>
          </cell>
          <cell r="AT28">
            <v>41559.975079999997</v>
          </cell>
          <cell r="AU28">
            <v>41803.551679999997</v>
          </cell>
          <cell r="AV28">
            <v>42047.185870000001</v>
          </cell>
          <cell r="AW28">
            <v>42291.335079999997</v>
          </cell>
          <cell r="AX28">
            <v>42536.379719999997</v>
          </cell>
          <cell r="AY28">
            <v>42782.628239999998</v>
          </cell>
          <cell r="AZ28">
            <v>43030.591090000002</v>
          </cell>
          <cell r="BA28">
            <v>43280.445979999997</v>
          </cell>
          <cell r="BB28">
            <v>43532.325440000001</v>
          </cell>
          <cell r="BC28">
            <v>43786.320939999998</v>
          </cell>
          <cell r="BD28">
            <v>44042.493309999998</v>
          </cell>
          <cell r="BE28">
            <v>45939.1077</v>
          </cell>
          <cell r="BF28">
            <v>46264.987730000001</v>
          </cell>
          <cell r="BG28">
            <v>46592.00649</v>
          </cell>
          <cell r="BH28">
            <v>46920.289089999998</v>
          </cell>
          <cell r="BI28">
            <v>47249.974520000003</v>
          </cell>
        </row>
        <row r="29">
          <cell r="F29">
            <v>32271.24</v>
          </cell>
          <cell r="G29">
            <v>31874.761320000001</v>
          </cell>
          <cell r="H29">
            <v>31684.176340000002</v>
          </cell>
          <cell r="I29">
            <v>31633.507590000001</v>
          </cell>
          <cell r="J29">
            <v>31679.119419999999</v>
          </cell>
          <cell r="K29">
            <v>31792.640299999999</v>
          </cell>
          <cell r="L29">
            <v>31951.767879999999</v>
          </cell>
          <cell r="M29">
            <v>32144.386200000001</v>
          </cell>
          <cell r="N29">
            <v>32362.319500000001</v>
          </cell>
          <cell r="O29">
            <v>32599.856250000001</v>
          </cell>
          <cell r="P29">
            <v>32859.527309999998</v>
          </cell>
          <cell r="Q29">
            <v>33131.036670000001</v>
          </cell>
          <cell r="R29">
            <v>33411.648289999997</v>
          </cell>
          <cell r="S29">
            <v>33699.027430000002</v>
          </cell>
          <cell r="T29">
            <v>33991.267699999997</v>
          </cell>
          <cell r="U29">
            <v>34286.840470000003</v>
          </cell>
          <cell r="V29">
            <v>34584.527479999997</v>
          </cell>
          <cell r="W29">
            <v>34883.357620000002</v>
          </cell>
          <cell r="X29">
            <v>35182.555240000002</v>
          </cell>
          <cell r="Y29">
            <v>35481.50131</v>
          </cell>
          <cell r="Z29">
            <v>35774.879959999998</v>
          </cell>
          <cell r="AA29">
            <v>36067.46789</v>
          </cell>
          <cell r="AB29">
            <v>36359.082430000002</v>
          </cell>
          <cell r="AC29">
            <v>36649.656450000002</v>
          </cell>
          <cell r="AD29">
            <v>36939.133880000001</v>
          </cell>
          <cell r="AE29">
            <v>37213.866650000004</v>
          </cell>
          <cell r="AF29">
            <v>37481.938439999998</v>
          </cell>
          <cell r="AG29">
            <v>37744.01225</v>
          </cell>
          <cell r="AH29">
            <v>38001.003340000003</v>
          </cell>
          <cell r="AI29">
            <v>38253.856570000004</v>
          </cell>
          <cell r="AJ29">
            <v>38503.441050000001</v>
          </cell>
          <cell r="AK29">
            <v>38750.5072</v>
          </cell>
          <cell r="AL29">
            <v>38995.679929999998</v>
          </cell>
          <cell r="AM29">
            <v>39239.471109999999</v>
          </cell>
          <cell r="AN29">
            <v>39482.299700000003</v>
          </cell>
          <cell r="AO29">
            <v>39724.512499999997</v>
          </cell>
          <cell r="AP29">
            <v>39963.32548</v>
          </cell>
          <cell r="AQ29">
            <v>40199.201959999999</v>
          </cell>
          <cell r="AR29">
            <v>40432.636839999999</v>
          </cell>
          <cell r="AS29">
            <v>40664.17942</v>
          </cell>
          <cell r="AT29">
            <v>40894.394439999996</v>
          </cell>
          <cell r="AU29">
            <v>41123.818299999999</v>
          </cell>
          <cell r="AV29">
            <v>41352.927530000001</v>
          </cell>
          <cell r="AW29">
            <v>41582.122450000003</v>
          </cell>
          <cell r="AX29">
            <v>41811.723489999997</v>
          </cell>
          <cell r="AY29">
            <v>42041.976020000002</v>
          </cell>
          <cell r="AZ29">
            <v>42273.32041</v>
          </cell>
          <cell r="BA29">
            <v>42505.86376</v>
          </cell>
          <cell r="BB29">
            <v>42739.66358</v>
          </cell>
          <cell r="BC29">
            <v>42974.731590000003</v>
          </cell>
          <cell r="BD29">
            <v>43211.043570000002</v>
          </cell>
          <cell r="BE29">
            <v>45601.084470000002</v>
          </cell>
          <cell r="BF29">
            <v>45952.474289999998</v>
          </cell>
          <cell r="BG29">
            <v>46307.97365</v>
          </cell>
          <cell r="BH29">
            <v>46667.953820000002</v>
          </cell>
          <cell r="BI29">
            <v>47032.82314</v>
          </cell>
        </row>
        <row r="37">
          <cell r="F37">
            <v>44.765000000000001</v>
          </cell>
          <cell r="G37">
            <v>62.527371019999997</v>
          </cell>
          <cell r="H37">
            <v>81.219025709999997</v>
          </cell>
          <cell r="I37">
            <v>100.35870540000001</v>
          </cell>
          <cell r="J37">
            <v>119.64367489999999</v>
          </cell>
          <cell r="K37">
            <v>138.89067990000001</v>
          </cell>
          <cell r="L37">
            <v>157.95549130000001</v>
          </cell>
          <cell r="M37">
            <v>176.77435149999999</v>
          </cell>
          <cell r="N37">
            <v>195.3109044</v>
          </cell>
          <cell r="O37">
            <v>213.5451764</v>
          </cell>
          <cell r="P37">
            <v>231.53059099999999</v>
          </cell>
          <cell r="Q37">
            <v>249.19786310000001</v>
          </cell>
          <cell r="R37">
            <v>266.54386360000001</v>
          </cell>
          <cell r="S37">
            <v>283.56735750000001</v>
          </cell>
          <cell r="T37">
            <v>300.26977629999999</v>
          </cell>
          <cell r="U37">
            <v>316.65513570000002</v>
          </cell>
          <cell r="V37">
            <v>332.72971460000002</v>
          </cell>
          <cell r="W37">
            <v>348.5017201</v>
          </cell>
          <cell r="X37">
            <v>363.9810195</v>
          </cell>
          <cell r="Y37">
            <v>379.1789574</v>
          </cell>
          <cell r="Z37">
            <v>394.06073959999998</v>
          </cell>
          <cell r="AA37">
            <v>408.68932119999999</v>
          </cell>
          <cell r="AB37">
            <v>423.08158809999998</v>
          </cell>
          <cell r="AC37">
            <v>437.25609750000001</v>
          </cell>
          <cell r="AD37">
            <v>451.232078</v>
          </cell>
          <cell r="AE37">
            <v>464.89240769999998</v>
          </cell>
          <cell r="AF37">
            <v>478.33367079999999</v>
          </cell>
          <cell r="AG37">
            <v>491.58281040000003</v>
          </cell>
          <cell r="AH37">
            <v>504.67099910000002</v>
          </cell>
          <cell r="AI37">
            <v>517.63145540000005</v>
          </cell>
          <cell r="AJ37">
            <v>530.49837419999994</v>
          </cell>
          <cell r="AK37">
            <v>543.30644930000005</v>
          </cell>
          <cell r="AL37">
            <v>556.09075170000006</v>
          </cell>
          <cell r="AM37">
            <v>568.88681429999997</v>
          </cell>
          <cell r="AN37">
            <v>581.73082739999995</v>
          </cell>
          <cell r="AO37">
            <v>594.65988200000004</v>
          </cell>
          <cell r="AP37">
            <v>607.67821130000004</v>
          </cell>
          <cell r="AQ37">
            <v>620.82576800000004</v>
          </cell>
          <cell r="AR37">
            <v>634.14518550000003</v>
          </cell>
          <cell r="AS37">
            <v>647.68230889999995</v>
          </cell>
          <cell r="AT37">
            <v>661.48603360000004</v>
          </cell>
          <cell r="AU37">
            <v>675.60805870000002</v>
          </cell>
          <cell r="AV37">
            <v>690.10275009999998</v>
          </cell>
          <cell r="AW37">
            <v>705.0271626</v>
          </cell>
          <cell r="AX37">
            <v>720.44120799999996</v>
          </cell>
          <cell r="AY37">
            <v>736.40794259999996</v>
          </cell>
          <cell r="AZ37">
            <v>752.99737270000003</v>
          </cell>
          <cell r="BA37">
            <v>770.28009689999999</v>
          </cell>
          <cell r="BB37">
            <v>788.33108449999997</v>
          </cell>
          <cell r="BC37">
            <v>807.23008370000002</v>
          </cell>
          <cell r="BD37">
            <v>827.06211689999998</v>
          </cell>
          <cell r="BE37">
            <v>333.40671650000002</v>
          </cell>
          <cell r="BF37">
            <v>307.85780840000001</v>
          </cell>
          <cell r="BG37">
            <v>279.3378955</v>
          </cell>
          <cell r="BH37">
            <v>247.6007549</v>
          </cell>
          <cell r="BI37">
            <v>212.3770069</v>
          </cell>
        </row>
        <row r="45">
          <cell r="F45">
            <v>1.9359999999999999</v>
          </cell>
          <cell r="G45">
            <v>1.992675011</v>
          </cell>
          <cell r="H45">
            <v>2.060513061</v>
          </cell>
          <cell r="I45">
            <v>2.1346197249999999</v>
          </cell>
          <cell r="J45">
            <v>2.2118520859999999</v>
          </cell>
          <cell r="K45">
            <v>2.2902607339999999</v>
          </cell>
          <cell r="L45">
            <v>2.3683424839999998</v>
          </cell>
          <cell r="M45">
            <v>2.4453980629999998</v>
          </cell>
          <cell r="N45">
            <v>2.5210237100000001</v>
          </cell>
          <cell r="O45">
            <v>2.5949944669999998</v>
          </cell>
          <cell r="P45">
            <v>2.6677545500000002</v>
          </cell>
          <cell r="Q45">
            <v>2.7386593590000001</v>
          </cell>
          <cell r="R45">
            <v>2.8076723860000001</v>
          </cell>
          <cell r="S45">
            <v>2.8747752329999998</v>
          </cell>
          <cell r="T45">
            <v>2.9399713740000002</v>
          </cell>
          <cell r="U45">
            <v>3.0032833380000001</v>
          </cell>
          <cell r="V45">
            <v>3.064748324</v>
          </cell>
          <cell r="W45">
            <v>3.1244140090000001</v>
          </cell>
          <cell r="X45">
            <v>3.182335159</v>
          </cell>
          <cell r="Y45">
            <v>3.2385712039999999</v>
          </cell>
          <cell r="Z45">
            <v>3.2927792280000001</v>
          </cell>
          <cell r="AA45">
            <v>3.3454508789999999</v>
          </cell>
          <cell r="AB45">
            <v>3.3966616620000001</v>
          </cell>
          <cell r="AC45">
            <v>3.4464908809999999</v>
          </cell>
          <cell r="AD45">
            <v>3.495013368</v>
          </cell>
          <cell r="AE45">
            <v>3.5411570380000001</v>
          </cell>
          <cell r="AF45">
            <v>3.585653287</v>
          </cell>
          <cell r="AG45">
            <v>3.6286172290000001</v>
          </cell>
          <cell r="AH45">
            <v>3.6701823120000001</v>
          </cell>
          <cell r="AI45">
            <v>3.7104821129999999</v>
          </cell>
          <cell r="AJ45">
            <v>3.7496416749999999</v>
          </cell>
          <cell r="AK45">
            <v>3.7877739350000001</v>
          </cell>
          <cell r="AL45">
            <v>3.824979135</v>
          </cell>
          <cell r="AM45">
            <v>3.8613458399999998</v>
          </cell>
          <cell r="AN45">
            <v>3.8969526210000001</v>
          </cell>
          <cell r="AO45">
            <v>3.9318698150000002</v>
          </cell>
          <cell r="AP45">
            <v>3.9659026050000001</v>
          </cell>
          <cell r="AQ45">
            <v>3.9991229640000001</v>
          </cell>
          <cell r="AR45">
            <v>4.0316040490000002</v>
          </cell>
          <cell r="AS45">
            <v>4.063422246</v>
          </cell>
          <cell r="AT45">
            <v>4.0946540599999999</v>
          </cell>
          <cell r="AU45">
            <v>4.1253725240000003</v>
          </cell>
          <cell r="AV45">
            <v>4.155644584</v>
          </cell>
          <cell r="AW45">
            <v>4.1855297140000003</v>
          </cell>
          <cell r="AX45">
            <v>4.2150795780000001</v>
          </cell>
          <cell r="AY45">
            <v>4.2443383969999999</v>
          </cell>
          <cell r="AZ45">
            <v>4.2733656189999998</v>
          </cell>
          <cell r="BA45">
            <v>4.302191852</v>
          </cell>
          <cell r="BB45">
            <v>4.3308423310000004</v>
          </cell>
          <cell r="BC45">
            <v>4.3593372380000002</v>
          </cell>
          <cell r="BD45">
            <v>4.3876925519999999</v>
          </cell>
          <cell r="BE45">
            <v>4.6165073259999998</v>
          </cell>
          <cell r="BF45">
            <v>4.6556279380000003</v>
          </cell>
          <cell r="BG45">
            <v>4.6949460810000003</v>
          </cell>
          <cell r="BH45">
            <v>4.7345074699999996</v>
          </cell>
          <cell r="BI45">
            <v>4.7743605000000002</v>
          </cell>
        </row>
        <row r="104">
          <cell r="F104">
            <v>3.476542051</v>
          </cell>
          <cell r="G104">
            <v>7.3083479860000002</v>
          </cell>
          <cell r="H104">
            <v>11.69398988</v>
          </cell>
          <cell r="I104">
            <v>16.054838010000001</v>
          </cell>
          <cell r="J104">
            <v>20.167467899999998</v>
          </cell>
          <cell r="K104">
            <v>23.93813334</v>
          </cell>
          <cell r="L104">
            <v>27.306177219999999</v>
          </cell>
          <cell r="M104">
            <v>30.30209747</v>
          </cell>
          <cell r="N104">
            <v>32.972587529999998</v>
          </cell>
          <cell r="O104">
            <v>35.394965460000002</v>
          </cell>
          <cell r="P104">
            <v>37.707182199999998</v>
          </cell>
          <cell r="Q104">
            <v>39.92956951</v>
          </cell>
          <cell r="R104">
            <v>42.161707679999999</v>
          </cell>
          <cell r="S104">
            <v>44.432471339999999</v>
          </cell>
          <cell r="T104">
            <v>46.759322259999998</v>
          </cell>
          <cell r="U104">
            <v>49.154886329999997</v>
          </cell>
          <cell r="V104">
            <v>51.632163769999998</v>
          </cell>
          <cell r="W104">
            <v>54.206123779999999</v>
          </cell>
          <cell r="X104">
            <v>56.88310808</v>
          </cell>
          <cell r="Y104">
            <v>59.661748170000003</v>
          </cell>
          <cell r="Z104">
            <v>62.512237810000002</v>
          </cell>
          <cell r="AA104">
            <v>65.483628460000006</v>
          </cell>
          <cell r="AB104">
            <v>68.541606020000003</v>
          </cell>
          <cell r="AC104">
            <v>71.676588649999999</v>
          </cell>
          <cell r="AD104">
            <v>74.878971640000003</v>
          </cell>
          <cell r="AE104">
            <v>78.071465079999996</v>
          </cell>
          <cell r="AF104">
            <v>81.364229190000003</v>
          </cell>
          <cell r="AG104">
            <v>84.715981670000005</v>
          </cell>
          <cell r="AH104">
            <v>88.122206809999994</v>
          </cell>
          <cell r="AI104">
            <v>91.577880769999993</v>
          </cell>
          <cell r="AJ104">
            <v>95.07792938</v>
          </cell>
          <cell r="AK104">
            <v>98.617256600000005</v>
          </cell>
          <cell r="AL104">
            <v>102.1906987</v>
          </cell>
          <cell r="AM104">
            <v>105.7938147</v>
          </cell>
          <cell r="AN104">
            <v>109.42304059999999</v>
          </cell>
          <cell r="AO104">
            <v>113.075885</v>
          </cell>
          <cell r="AP104">
            <v>116.73428079999999</v>
          </cell>
          <cell r="AQ104">
            <v>120.4084982</v>
          </cell>
          <cell r="AR104">
            <v>124.0958177</v>
          </cell>
          <cell r="AS104">
            <v>127.79630450000001</v>
          </cell>
          <cell r="AT104">
            <v>131.5118938</v>
          </cell>
          <cell r="AU104">
            <v>135.2450958</v>
          </cell>
          <cell r="AV104">
            <v>138.99784550000001</v>
          </cell>
          <cell r="AW104">
            <v>142.77187230000001</v>
          </cell>
          <cell r="AX104">
            <v>146.56869219999999</v>
          </cell>
          <cell r="AY104">
            <v>150.3895291</v>
          </cell>
          <cell r="AZ104">
            <v>154.23579000000001</v>
          </cell>
          <cell r="BA104">
            <v>158.1042669</v>
          </cell>
          <cell r="BB104">
            <v>161.99334260000001</v>
          </cell>
          <cell r="BC104">
            <v>165.9022665</v>
          </cell>
          <cell r="BD104">
            <v>169.8309568</v>
          </cell>
          <cell r="BE104">
            <v>22.97561808</v>
          </cell>
          <cell r="BF104">
            <v>23.049233709999999</v>
          </cell>
          <cell r="BG104">
            <v>23.122476450000001</v>
          </cell>
          <cell r="BH104">
            <v>23.195350779999998</v>
          </cell>
          <cell r="BI104">
            <v>23.267860880000001</v>
          </cell>
        </row>
        <row r="105">
          <cell r="F105">
            <v>68.80476281</v>
          </cell>
          <cell r="G105">
            <v>75.357180209999996</v>
          </cell>
          <cell r="H105">
            <v>81.353434210000003</v>
          </cell>
          <cell r="I105">
            <v>86.798856420000007</v>
          </cell>
          <cell r="J105">
            <v>92.05280784</v>
          </cell>
          <cell r="K105">
            <v>97.324361069999995</v>
          </cell>
          <cell r="L105">
            <v>102.12284150000001</v>
          </cell>
          <cell r="M105">
            <v>107.1585851</v>
          </cell>
          <cell r="N105">
            <v>112.4933079</v>
          </cell>
          <cell r="O105">
            <v>118.16119190000001</v>
          </cell>
          <cell r="P105">
            <v>125.1820584</v>
          </cell>
          <cell r="Q105">
            <v>131.3881342</v>
          </cell>
          <cell r="R105">
            <v>137.6927542</v>
          </cell>
          <cell r="S105">
            <v>143.9872915</v>
          </cell>
          <cell r="T105">
            <v>150.1851064</v>
          </cell>
          <cell r="U105">
            <v>156.22405689999999</v>
          </cell>
          <cell r="V105">
            <v>162.06229980000001</v>
          </cell>
          <cell r="W105">
            <v>167.67435889999999</v>
          </cell>
          <cell r="X105">
            <v>173.05803539999999</v>
          </cell>
          <cell r="Y105">
            <v>178.22952889999999</v>
          </cell>
          <cell r="Z105">
            <v>182.52583300000001</v>
          </cell>
          <cell r="AA105">
            <v>187.344311</v>
          </cell>
          <cell r="AB105">
            <v>192.025947</v>
          </cell>
          <cell r="AC105">
            <v>196.59443669999999</v>
          </cell>
          <cell r="AD105">
            <v>201.06995570000001</v>
          </cell>
          <cell r="AE105">
            <v>203.5914325</v>
          </cell>
          <cell r="AF105">
            <v>207.03220659999999</v>
          </cell>
          <cell r="AG105">
            <v>210.40704819999999</v>
          </cell>
          <cell r="AH105">
            <v>213.72347210000001</v>
          </cell>
          <cell r="AI105">
            <v>216.9881403</v>
          </cell>
          <cell r="AJ105">
            <v>220.20688290000001</v>
          </cell>
          <cell r="AK105">
            <v>223.38487520000001</v>
          </cell>
          <cell r="AL105">
            <v>226.52681620000001</v>
          </cell>
          <cell r="AM105">
            <v>229.6366361</v>
          </cell>
          <cell r="AN105">
            <v>232.7174875</v>
          </cell>
          <cell r="AO105">
            <v>235.77172820000001</v>
          </cell>
          <cell r="AP105">
            <v>238.40131510000001</v>
          </cell>
          <cell r="AQ105">
            <v>241.00847970000001</v>
          </cell>
          <cell r="AR105">
            <v>243.59538749999999</v>
          </cell>
          <cell r="AS105">
            <v>246.1627383</v>
          </cell>
          <cell r="AT105">
            <v>248.7101538</v>
          </cell>
          <cell r="AU105">
            <v>251.2368184</v>
          </cell>
          <cell r="AV105">
            <v>253.74208519999999</v>
          </cell>
          <cell r="AW105">
            <v>256.22538209999999</v>
          </cell>
          <cell r="AX105">
            <v>258.68624440000002</v>
          </cell>
          <cell r="AY105">
            <v>261.1243642</v>
          </cell>
          <cell r="AZ105">
            <v>263.57218899999998</v>
          </cell>
          <cell r="BA105">
            <v>265.99867799999998</v>
          </cell>
          <cell r="BB105">
            <v>268.40487389999998</v>
          </cell>
          <cell r="BC105">
            <v>270.79146889999998</v>
          </cell>
          <cell r="BD105">
            <v>273.15885909999997</v>
          </cell>
          <cell r="BE105">
            <v>476.70896579999999</v>
          </cell>
          <cell r="BF105">
            <v>481.95657119999998</v>
          </cell>
          <cell r="BG105">
            <v>487.1573343</v>
          </cell>
          <cell r="BH105">
            <v>492.3115464</v>
          </cell>
          <cell r="BI105">
            <v>497.41941509999998</v>
          </cell>
        </row>
        <row r="106">
          <cell r="F106">
            <v>408.28039699999999</v>
          </cell>
          <cell r="G106">
            <v>422.31086060000001</v>
          </cell>
          <cell r="H106">
            <v>436.0091051</v>
          </cell>
          <cell r="I106">
            <v>448.69288010000002</v>
          </cell>
          <cell r="J106">
            <v>461.0001742</v>
          </cell>
          <cell r="K106">
            <v>473.29973940000002</v>
          </cell>
          <cell r="L106">
            <v>484.06532370000002</v>
          </cell>
          <cell r="M106">
            <v>495.17519529999998</v>
          </cell>
          <cell r="N106">
            <v>506.70073480000002</v>
          </cell>
          <cell r="O106">
            <v>518.65512200000001</v>
          </cell>
          <cell r="P106">
            <v>533.89367589999995</v>
          </cell>
          <cell r="Q106">
            <v>546.45662289999996</v>
          </cell>
          <cell r="R106">
            <v>559.09061099999997</v>
          </cell>
          <cell r="S106">
            <v>571.6644086</v>
          </cell>
          <cell r="T106">
            <v>584.0801573</v>
          </cell>
          <cell r="U106">
            <v>596.27191579999999</v>
          </cell>
          <cell r="V106">
            <v>608.19734800000003</v>
          </cell>
          <cell r="W106">
            <v>619.83084129999997</v>
          </cell>
          <cell r="X106">
            <v>631.17254100000002</v>
          </cell>
          <cell r="Y106">
            <v>642.24320639999996</v>
          </cell>
          <cell r="Z106">
            <v>651.1434084</v>
          </cell>
          <cell r="AA106">
            <v>661.75623889999997</v>
          </cell>
          <cell r="AB106">
            <v>672.19072129999995</v>
          </cell>
          <cell r="AC106">
            <v>682.47620949999998</v>
          </cell>
          <cell r="AD106">
            <v>692.63797850000003</v>
          </cell>
          <cell r="AE106">
            <v>697.42866930000002</v>
          </cell>
          <cell r="AF106">
            <v>704.90206450000005</v>
          </cell>
          <cell r="AG106">
            <v>712.28041680000001</v>
          </cell>
          <cell r="AH106">
            <v>719.57391640000003</v>
          </cell>
          <cell r="AI106">
            <v>726.79149770000004</v>
          </cell>
          <cell r="AJ106">
            <v>733.9409326</v>
          </cell>
          <cell r="AK106">
            <v>741.02913439999998</v>
          </cell>
          <cell r="AL106">
            <v>748.06245839999997</v>
          </cell>
          <cell r="AM106">
            <v>755.0462655</v>
          </cell>
          <cell r="AN106">
            <v>761.98490839999999</v>
          </cell>
          <cell r="AO106">
            <v>768.88173380000001</v>
          </cell>
          <cell r="AP106">
            <v>774.61624019999999</v>
          </cell>
          <cell r="AQ106">
            <v>780.31348549999996</v>
          </cell>
          <cell r="AR106">
            <v>785.97701410000002</v>
          </cell>
          <cell r="AS106">
            <v>791.60823979999998</v>
          </cell>
          <cell r="AT106">
            <v>797.20700439999996</v>
          </cell>
          <cell r="AU106">
            <v>802.77250790000005</v>
          </cell>
          <cell r="AV106">
            <v>808.30417169999998</v>
          </cell>
          <cell r="AW106">
            <v>813.80148750000001</v>
          </cell>
          <cell r="AX106">
            <v>819.26406180000004</v>
          </cell>
          <cell r="AY106">
            <v>824.69169069999998</v>
          </cell>
          <cell r="AZ106">
            <v>830.17542879999996</v>
          </cell>
          <cell r="BA106">
            <v>835.62674440000001</v>
          </cell>
          <cell r="BB106">
            <v>841.04725380000002</v>
          </cell>
          <cell r="BC106">
            <v>846.43804490000002</v>
          </cell>
          <cell r="BD106">
            <v>851.79976769999996</v>
          </cell>
          <cell r="BE106">
            <v>1081.1689630000001</v>
          </cell>
          <cell r="BF106">
            <v>1090.184426</v>
          </cell>
          <cell r="BG106">
            <v>1099.142771</v>
          </cell>
          <cell r="BH106">
            <v>1108.044478</v>
          </cell>
          <cell r="BI106">
            <v>1116.890073</v>
          </cell>
        </row>
        <row r="107">
          <cell r="F107">
            <v>954.38155940000001</v>
          </cell>
          <cell r="G107">
            <v>950.94516650000003</v>
          </cell>
          <cell r="H107">
            <v>949.24728719999996</v>
          </cell>
          <cell r="I107">
            <v>948.11981119999996</v>
          </cell>
          <cell r="J107">
            <v>947.01600259999998</v>
          </cell>
          <cell r="K107">
            <v>945.7175168</v>
          </cell>
          <cell r="L107">
            <v>944.14372530000003</v>
          </cell>
          <cell r="M107">
            <v>942.25216550000005</v>
          </cell>
          <cell r="N107">
            <v>939.98991690000003</v>
          </cell>
          <cell r="O107">
            <v>937.28878669999995</v>
          </cell>
          <cell r="P107">
            <v>934.12480689999995</v>
          </cell>
          <cell r="Q107">
            <v>930.59330039999998</v>
          </cell>
          <cell r="R107">
            <v>926.86181150000004</v>
          </cell>
          <cell r="S107">
            <v>923.09717130000001</v>
          </cell>
          <cell r="T107">
            <v>919.4367628</v>
          </cell>
          <cell r="U107">
            <v>915.97979050000004</v>
          </cell>
          <cell r="V107">
            <v>912.79103850000001</v>
          </cell>
          <cell r="W107">
            <v>909.90645670000004</v>
          </cell>
          <cell r="X107">
            <v>907.32520480000005</v>
          </cell>
          <cell r="Y107">
            <v>905.01821459999996</v>
          </cell>
          <cell r="Z107">
            <v>902.94394060000002</v>
          </cell>
          <cell r="AA107">
            <v>901.05926929999998</v>
          </cell>
          <cell r="AB107">
            <v>899.32423170000004</v>
          </cell>
          <cell r="AC107">
            <v>897.70441570000003</v>
          </cell>
          <cell r="AD107">
            <v>896.17222860000004</v>
          </cell>
          <cell r="AE107">
            <v>894.70755970000005</v>
          </cell>
          <cell r="AF107">
            <v>893.29592609999997</v>
          </cell>
          <cell r="AG107">
            <v>891.92608900000005</v>
          </cell>
          <cell r="AH107">
            <v>890.58887849999996</v>
          </cell>
          <cell r="AI107">
            <v>889.27718960000004</v>
          </cell>
          <cell r="AJ107">
            <v>887.98548459999995</v>
          </cell>
          <cell r="AK107">
            <v>886.70919460000005</v>
          </cell>
          <cell r="AL107">
            <v>885.4442047</v>
          </cell>
          <cell r="AM107">
            <v>884.18740430000003</v>
          </cell>
          <cell r="AN107">
            <v>882.93660629999999</v>
          </cell>
          <cell r="AO107">
            <v>881.69040589999997</v>
          </cell>
          <cell r="AP107">
            <v>880.44648040000004</v>
          </cell>
          <cell r="AQ107">
            <v>879.19903799999997</v>
          </cell>
          <cell r="AR107">
            <v>877.94490989999997</v>
          </cell>
          <cell r="AS107">
            <v>876.68378299999995</v>
          </cell>
          <cell r="AT107">
            <v>875.41712819999998</v>
          </cell>
          <cell r="AU107">
            <v>874.14687579999998</v>
          </cell>
          <cell r="AV107">
            <v>872.8743498</v>
          </cell>
          <cell r="AW107">
            <v>871.60089140000002</v>
          </cell>
          <cell r="AX107">
            <v>870.32787280000002</v>
          </cell>
          <cell r="AY107">
            <v>869.05658770000002</v>
          </cell>
          <cell r="AZ107">
            <v>867.78730570000005</v>
          </cell>
          <cell r="BA107">
            <v>866.51797939999994</v>
          </cell>
          <cell r="BB107">
            <v>865.24743109999997</v>
          </cell>
          <cell r="BC107">
            <v>863.97576230000004</v>
          </cell>
          <cell r="BD107">
            <v>862.70391770000003</v>
          </cell>
          <cell r="BE107">
            <v>524.96822689999999</v>
          </cell>
          <cell r="BF107">
            <v>519.65419159999999</v>
          </cell>
          <cell r="BG107">
            <v>514.41976720000002</v>
          </cell>
          <cell r="BH107">
            <v>509.26440919999999</v>
          </cell>
          <cell r="BI107">
            <v>504.18760109999999</v>
          </cell>
        </row>
        <row r="108">
          <cell r="F108">
            <v>878.79999729999997</v>
          </cell>
          <cell r="G108">
            <v>868.13340430000005</v>
          </cell>
          <cell r="H108">
            <v>858.55679650000002</v>
          </cell>
          <cell r="I108">
            <v>850.00747190000004</v>
          </cell>
          <cell r="J108">
            <v>842.25256430000002</v>
          </cell>
          <cell r="K108">
            <v>835.02485149999995</v>
          </cell>
          <cell r="L108">
            <v>828.08298000000002</v>
          </cell>
          <cell r="M108">
            <v>821.23776580000003</v>
          </cell>
          <cell r="N108">
            <v>814.3673129</v>
          </cell>
          <cell r="O108">
            <v>807.41979939999999</v>
          </cell>
          <cell r="P108">
            <v>800.40225450000003</v>
          </cell>
          <cell r="Q108">
            <v>793.3586775</v>
          </cell>
          <cell r="R108">
            <v>786.34256979999998</v>
          </cell>
          <cell r="S108">
            <v>779.39951329999997</v>
          </cell>
          <cell r="T108">
            <v>772.56036370000004</v>
          </cell>
          <cell r="U108">
            <v>765.84245009999995</v>
          </cell>
          <cell r="V108">
            <v>759.25309960000004</v>
          </cell>
          <cell r="W108">
            <v>752.79323469999997</v>
          </cell>
          <cell r="X108">
            <v>746.45995649999998</v>
          </cell>
          <cell r="Y108">
            <v>740.24709010000004</v>
          </cell>
          <cell r="Z108">
            <v>734.1460098</v>
          </cell>
          <cell r="AA108">
            <v>728.14660100000003</v>
          </cell>
          <cell r="AB108">
            <v>722.23943780000002</v>
          </cell>
          <cell r="AC108">
            <v>716.41529860000003</v>
          </cell>
          <cell r="AD108">
            <v>710.66573830000004</v>
          </cell>
          <cell r="AE108">
            <v>704.98283130000004</v>
          </cell>
          <cell r="AF108">
            <v>699.35860830000001</v>
          </cell>
          <cell r="AG108">
            <v>693.78841439999997</v>
          </cell>
          <cell r="AH108">
            <v>688.26809809999997</v>
          </cell>
          <cell r="AI108">
            <v>682.79408100000001</v>
          </cell>
          <cell r="AJ108">
            <v>677.36330420000002</v>
          </cell>
          <cell r="AK108">
            <v>671.97332659999995</v>
          </cell>
          <cell r="AL108">
            <v>666.62241849999998</v>
          </cell>
          <cell r="AM108">
            <v>661.30896040000005</v>
          </cell>
          <cell r="AN108">
            <v>656.03139550000003</v>
          </cell>
          <cell r="AO108">
            <v>650.78817909999998</v>
          </cell>
          <cell r="AP108">
            <v>645.57897049999997</v>
          </cell>
          <cell r="AQ108">
            <v>640.40621759999999</v>
          </cell>
          <cell r="AR108">
            <v>635.27046700000005</v>
          </cell>
          <cell r="AS108">
            <v>630.17023289999997</v>
          </cell>
          <cell r="AT108">
            <v>625.10303839999995</v>
          </cell>
          <cell r="AU108">
            <v>620.06645719999995</v>
          </cell>
          <cell r="AV108">
            <v>615.05885009999997</v>
          </cell>
          <cell r="AW108">
            <v>610.07860730000004</v>
          </cell>
          <cell r="AX108">
            <v>605.12406569999996</v>
          </cell>
          <cell r="AY108">
            <v>600.19357079999997</v>
          </cell>
          <cell r="AZ108">
            <v>595.28636940000001</v>
          </cell>
          <cell r="BA108">
            <v>590.40390349999996</v>
          </cell>
          <cell r="BB108">
            <v>585.54659460000005</v>
          </cell>
          <cell r="BC108">
            <v>580.71358380000004</v>
          </cell>
          <cell r="BD108">
            <v>575.90322660000004</v>
          </cell>
          <cell r="BE108">
            <v>630.2942673</v>
          </cell>
          <cell r="BF108">
            <v>626.75182099999995</v>
          </cell>
          <cell r="BG108">
            <v>623.22951149999994</v>
          </cell>
          <cell r="BH108">
            <v>619.72726850000004</v>
          </cell>
          <cell r="BI108">
            <v>616.24502619999998</v>
          </cell>
        </row>
        <row r="109">
          <cell r="F109">
            <v>139.85209269999999</v>
          </cell>
          <cell r="G109">
            <v>137.94715199999999</v>
          </cell>
          <cell r="H109">
            <v>136.06709459999999</v>
          </cell>
          <cell r="I109">
            <v>134.22007840000001</v>
          </cell>
          <cell r="J109">
            <v>132.41198170000001</v>
          </cell>
          <cell r="K109">
            <v>130.64468020000001</v>
          </cell>
          <cell r="L109">
            <v>128.9165405</v>
          </cell>
          <cell r="M109">
            <v>127.2238299</v>
          </cell>
          <cell r="N109">
            <v>125.5621498</v>
          </cell>
          <cell r="O109">
            <v>123.92737219999999</v>
          </cell>
          <cell r="P109">
            <v>122.3160587</v>
          </cell>
          <cell r="Q109">
            <v>120.7256697</v>
          </cell>
          <cell r="R109">
            <v>119.1545792</v>
          </cell>
          <cell r="S109">
            <v>117.60165480000001</v>
          </cell>
          <cell r="T109">
            <v>116.0659727</v>
          </cell>
          <cell r="U109">
            <v>114.5467223</v>
          </cell>
          <cell r="V109">
            <v>113.0432227</v>
          </cell>
          <cell r="W109">
            <v>111.5549568</v>
          </cell>
          <cell r="X109">
            <v>110.0815964</v>
          </cell>
          <cell r="Y109">
            <v>108.62300310000001</v>
          </cell>
          <cell r="Z109">
            <v>107.17917439999999</v>
          </cell>
          <cell r="AA109">
            <v>105.75022559999999</v>
          </cell>
          <cell r="AB109">
            <v>104.33642070000001</v>
          </cell>
          <cell r="AC109">
            <v>102.9381018</v>
          </cell>
          <cell r="AD109">
            <v>101.5556349</v>
          </cell>
          <cell r="AE109">
            <v>100.18929799999999</v>
          </cell>
          <cell r="AF109">
            <v>98.839266719999998</v>
          </cell>
          <cell r="AG109">
            <v>97.505756640000001</v>
          </cell>
          <cell r="AH109">
            <v>96.188993830000001</v>
          </cell>
          <cell r="AI109">
            <v>94.889181480000005</v>
          </cell>
          <cell r="AJ109">
            <v>93.606479649999997</v>
          </cell>
          <cell r="AK109">
            <v>92.340996809999993</v>
          </cell>
          <cell r="AL109">
            <v>91.092778190000004</v>
          </cell>
          <cell r="AM109">
            <v>89.861795000000001</v>
          </cell>
          <cell r="AN109">
            <v>88.647941660000001</v>
          </cell>
          <cell r="AO109">
            <v>87.451044780000004</v>
          </cell>
          <cell r="AP109">
            <v>86.270866789999999</v>
          </cell>
          <cell r="AQ109">
            <v>85.107128459999998</v>
          </cell>
          <cell r="AR109">
            <v>83.959534000000005</v>
          </cell>
          <cell r="AS109">
            <v>82.827772370000005</v>
          </cell>
          <cell r="AT109">
            <v>81.711517409999999</v>
          </cell>
          <cell r="AU109">
            <v>80.61043445</v>
          </cell>
          <cell r="AV109">
            <v>79.524191720000005</v>
          </cell>
          <cell r="AW109">
            <v>78.452467609999999</v>
          </cell>
          <cell r="AX109">
            <v>77.394952689999997</v>
          </cell>
          <cell r="AY109">
            <v>76.351350350000004</v>
          </cell>
          <cell r="AZ109">
            <v>75.32138046</v>
          </cell>
          <cell r="BA109">
            <v>74.304787509999997</v>
          </cell>
          <cell r="BB109">
            <v>73.30133567</v>
          </cell>
          <cell r="BC109">
            <v>72.310800080000007</v>
          </cell>
          <cell r="BD109">
            <v>71.332962030000004</v>
          </cell>
          <cell r="BE109">
            <v>73.136080030000002</v>
          </cell>
          <cell r="BF109">
            <v>72.266466910000005</v>
          </cell>
          <cell r="BG109">
            <v>71.408305409999997</v>
          </cell>
          <cell r="BH109">
            <v>70.561469470000006</v>
          </cell>
          <cell r="BI109">
            <v>69.725838089999996</v>
          </cell>
        </row>
        <row r="110">
          <cell r="F110">
            <v>3.874567114</v>
          </cell>
          <cell r="G110">
            <v>3.724261925</v>
          </cell>
          <cell r="H110">
            <v>3.5803993040000002</v>
          </cell>
          <cell r="I110">
            <v>3.4430488239999999</v>
          </cell>
          <cell r="J110">
            <v>3.3122149699999999</v>
          </cell>
          <cell r="K110">
            <v>3.1877176970000001</v>
          </cell>
          <cell r="L110">
            <v>3.0692014950000002</v>
          </cell>
          <cell r="M110">
            <v>2.9562096530000002</v>
          </cell>
          <cell r="N110">
            <v>2.8482675949999998</v>
          </cell>
          <cell r="O110">
            <v>2.7449381800000001</v>
          </cell>
          <cell r="P110">
            <v>2.6458450330000001</v>
          </cell>
          <cell r="Q110">
            <v>2.5506831110000001</v>
          </cell>
          <cell r="R110">
            <v>2.4592189850000001</v>
          </cell>
          <cell r="S110">
            <v>2.3712577339999998</v>
          </cell>
          <cell r="T110">
            <v>2.2866231259999998</v>
          </cell>
          <cell r="U110">
            <v>2.205152016</v>
          </cell>
          <cell r="V110">
            <v>2.1266959760000002</v>
          </cell>
          <cell r="W110">
            <v>2.0511228469999998</v>
          </cell>
          <cell r="X110">
            <v>1.9783149630000001</v>
          </cell>
          <cell r="Y110">
            <v>1.9081678950000001</v>
          </cell>
          <cell r="Z110">
            <v>1.840586904</v>
          </cell>
          <cell r="AA110">
            <v>1.7754855469999999</v>
          </cell>
          <cell r="AB110">
            <v>1.7127869689999999</v>
          </cell>
          <cell r="AC110">
            <v>1.6524201119999999</v>
          </cell>
          <cell r="AD110">
            <v>1.5943168830000001</v>
          </cell>
          <cell r="AE110">
            <v>1.53840669</v>
          </cell>
          <cell r="AF110">
            <v>1.484615756</v>
          </cell>
          <cell r="AG110">
            <v>1.432873632</v>
          </cell>
          <cell r="AH110">
            <v>1.3831130110000001</v>
          </cell>
          <cell r="AI110">
            <v>1.33526842</v>
          </cell>
          <cell r="AJ110">
            <v>1.289275282</v>
          </cell>
          <cell r="AK110">
            <v>1.2450694200000001</v>
          </cell>
          <cell r="AL110">
            <v>1.202586527</v>
          </cell>
          <cell r="AM110">
            <v>1.1617622590000001</v>
          </cell>
          <cell r="AN110">
            <v>1.122532356</v>
          </cell>
          <cell r="AO110">
            <v>1.084832993</v>
          </cell>
          <cell r="AP110">
            <v>1.0486000980000001</v>
          </cell>
          <cell r="AQ110">
            <v>1.0137691609999999</v>
          </cell>
          <cell r="AR110">
            <v>0.98027879709999999</v>
          </cell>
          <cell r="AS110">
            <v>0.94807091730000004</v>
          </cell>
          <cell r="AT110">
            <v>0.91709016889999995</v>
          </cell>
          <cell r="AU110">
            <v>0.88728349309999999</v>
          </cell>
          <cell r="AV110">
            <v>0.85859997290000001</v>
          </cell>
          <cell r="AW110">
            <v>0.83099120230000001</v>
          </cell>
          <cell r="AX110">
            <v>0.80441122430000001</v>
          </cell>
          <cell r="AY110">
            <v>0.77881637999999997</v>
          </cell>
          <cell r="AZ110">
            <v>0.75416496190000004</v>
          </cell>
          <cell r="BA110">
            <v>0.7304169277</v>
          </cell>
          <cell r="BB110">
            <v>0.70753477799999998</v>
          </cell>
          <cell r="BC110">
            <v>0.68548328930000002</v>
          </cell>
          <cell r="BD110">
            <v>0.6642290904</v>
          </cell>
          <cell r="BE110">
            <v>0.72578483000000005</v>
          </cell>
          <cell r="BF110">
            <v>0.70667312709999996</v>
          </cell>
          <cell r="BG110">
            <v>0.68819737540000003</v>
          </cell>
          <cell r="BH110">
            <v>0.67033503049999998</v>
          </cell>
          <cell r="BI110">
            <v>0.65306457139999996</v>
          </cell>
        </row>
        <row r="112">
          <cell r="F112">
            <v>3.476542051</v>
          </cell>
          <cell r="G112">
            <v>5.7227175470000002</v>
          </cell>
          <cell r="H112">
            <v>7.9150343369999998</v>
          </cell>
          <cell r="I112">
            <v>9.8028883990000004</v>
          </cell>
          <cell r="J112">
            <v>11.15595847</v>
          </cell>
          <cell r="K112">
            <v>16.284897399999998</v>
          </cell>
          <cell r="L112">
            <v>22.964128339999998</v>
          </cell>
          <cell r="M112">
            <v>30.052267690000001</v>
          </cell>
          <cell r="N112">
            <v>37.20089703</v>
          </cell>
          <cell r="O112">
            <v>44.335406280000001</v>
          </cell>
          <cell r="P112">
            <v>51.493073940000002</v>
          </cell>
          <cell r="Q112">
            <v>58.603533079999998</v>
          </cell>
          <cell r="R112">
            <v>65.708721609999998</v>
          </cell>
          <cell r="S112">
            <v>72.805004060000002</v>
          </cell>
          <cell r="T112">
            <v>79.885951109999993</v>
          </cell>
          <cell r="U112">
            <v>86.944290539999997</v>
          </cell>
          <cell r="V112">
            <v>93.97300525</v>
          </cell>
          <cell r="W112">
            <v>100.96594949999999</v>
          </cell>
          <cell r="X112">
            <v>107.9181931</v>
          </cell>
          <cell r="Y112">
            <v>114.8261806</v>
          </cell>
          <cell r="Z112">
            <v>121.6598013</v>
          </cell>
          <cell r="AA112">
            <v>128.4675905</v>
          </cell>
          <cell r="AB112">
            <v>135.22188199999999</v>
          </cell>
          <cell r="AC112">
            <v>141.92391509999999</v>
          </cell>
          <cell r="AD112">
            <v>148.57648760000001</v>
          </cell>
          <cell r="AE112">
            <v>155.10655740000001</v>
          </cell>
          <cell r="AF112">
            <v>161.61603640000001</v>
          </cell>
          <cell r="AG112">
            <v>168.05824989999999</v>
          </cell>
          <cell r="AH112">
            <v>174.42633319999999</v>
          </cell>
          <cell r="AI112">
            <v>180.71551890000001</v>
          </cell>
          <cell r="AJ112">
            <v>186.92350070000001</v>
          </cell>
          <cell r="AK112">
            <v>193.04966809999999</v>
          </cell>
          <cell r="AL112">
            <v>199.0941177</v>
          </cell>
          <cell r="AM112">
            <v>205.05679739999999</v>
          </cell>
          <cell r="AN112">
            <v>210.93677199999999</v>
          </cell>
          <cell r="AO112">
            <v>216.73162930000001</v>
          </cell>
          <cell r="AP112">
            <v>222.42014159999999</v>
          </cell>
          <cell r="AQ112">
            <v>228.00590439999999</v>
          </cell>
          <cell r="AR112">
            <v>233.47195289999999</v>
          </cell>
          <cell r="AS112">
            <v>238.7966553</v>
          </cell>
          <cell r="AT112">
            <v>243.95343869999999</v>
          </cell>
          <cell r="AU112">
            <v>248.909536</v>
          </cell>
          <cell r="AV112">
            <v>253.62351000000001</v>
          </cell>
          <cell r="AW112">
            <v>258.04058409999999</v>
          </cell>
          <cell r="AX112">
            <v>262.08348169999999</v>
          </cell>
          <cell r="AY112">
            <v>265.63353069999999</v>
          </cell>
          <cell r="AZ112">
            <v>268.48968380000002</v>
          </cell>
          <cell r="BA112">
            <v>272.33609730000001</v>
          </cell>
          <cell r="BB112">
            <v>276.30589149999997</v>
          </cell>
          <cell r="BC112">
            <v>280.86314579999998</v>
          </cell>
          <cell r="BD112">
            <v>285.93934839999997</v>
          </cell>
          <cell r="BE112">
            <v>23.02165338</v>
          </cell>
          <cell r="BF112">
            <v>23.098603359999998</v>
          </cell>
          <cell r="BG112">
            <v>23.175166600000001</v>
          </cell>
          <cell r="BH112">
            <v>23.251348539999999</v>
          </cell>
          <cell r="BI112">
            <v>23.327155260000001</v>
          </cell>
        </row>
        <row r="113">
          <cell r="F113">
            <v>68.80476281</v>
          </cell>
          <cell r="G113">
            <v>77.184615829999998</v>
          </cell>
          <cell r="H113">
            <v>86.226500110000003</v>
          </cell>
          <cell r="I113">
            <v>95.792891119999993</v>
          </cell>
          <cell r="J113">
            <v>106.7444995</v>
          </cell>
          <cell r="K113">
            <v>114.81332070000001</v>
          </cell>
          <cell r="L113">
            <v>120.3170875</v>
          </cell>
          <cell r="M113">
            <v>124.825518</v>
          </cell>
          <cell r="N113">
            <v>128.83006660000001</v>
          </cell>
          <cell r="O113">
            <v>132.56906330000001</v>
          </cell>
          <cell r="P113">
            <v>137.19727230000001</v>
          </cell>
          <cell r="Q113">
            <v>140.70088380000001</v>
          </cell>
          <cell r="R113">
            <v>144.1477209</v>
          </cell>
          <cell r="S113">
            <v>147.55777399999999</v>
          </cell>
          <cell r="T113">
            <v>150.9439399</v>
          </cell>
          <cell r="U113">
            <v>154.31505329999999</v>
          </cell>
          <cell r="V113">
            <v>157.67746199999999</v>
          </cell>
          <cell r="W113">
            <v>161.03584290000001</v>
          </cell>
          <cell r="X113">
            <v>164.39362539999999</v>
          </cell>
          <cell r="Y113">
            <v>167.75322790000001</v>
          </cell>
          <cell r="Z113">
            <v>170.42982019999999</v>
          </cell>
          <cell r="AA113">
            <v>173.79778930000001</v>
          </cell>
          <cell r="AB113">
            <v>177.17321659999999</v>
          </cell>
          <cell r="AC113">
            <v>180.555937</v>
          </cell>
          <cell r="AD113">
            <v>183.9450301</v>
          </cell>
          <cell r="AE113">
            <v>185.46559959999999</v>
          </cell>
          <cell r="AF113">
            <v>187.98595460000001</v>
          </cell>
          <cell r="AG113">
            <v>190.51668849999999</v>
          </cell>
          <cell r="AH113">
            <v>193.06129300000001</v>
          </cell>
          <cell r="AI113">
            <v>195.62236870000001</v>
          </cell>
          <cell r="AJ113">
            <v>198.2014145</v>
          </cell>
          <cell r="AK113">
            <v>200.79914450000001</v>
          </cell>
          <cell r="AL113">
            <v>203.4159138</v>
          </cell>
          <cell r="AM113">
            <v>206.05210170000001</v>
          </cell>
          <cell r="AN113">
            <v>208.70845120000001</v>
          </cell>
          <cell r="AO113">
            <v>211.3863551</v>
          </cell>
          <cell r="AP113">
            <v>213.68843680000001</v>
          </cell>
          <cell r="AQ113">
            <v>216.0192194</v>
          </cell>
          <cell r="AR113">
            <v>218.38682130000001</v>
          </cell>
          <cell r="AS113">
            <v>220.80176309999999</v>
          </cell>
          <cell r="AT113">
            <v>223.2772463</v>
          </cell>
          <cell r="AU113">
            <v>225.82999760000001</v>
          </cell>
          <cell r="AV113">
            <v>228.481979</v>
          </cell>
          <cell r="AW113">
            <v>231.26385579999999</v>
          </cell>
          <cell r="AX113">
            <v>234.22265429999999</v>
          </cell>
          <cell r="AY113">
            <v>237.4413534</v>
          </cell>
          <cell r="AZ113">
            <v>241.13749419999999</v>
          </cell>
          <cell r="BA113">
            <v>244.86281349999999</v>
          </cell>
          <cell r="BB113">
            <v>249.31713809999999</v>
          </cell>
          <cell r="BC113">
            <v>253.3174655</v>
          </cell>
          <cell r="BD113">
            <v>256.61934719999999</v>
          </cell>
          <cell r="BE113">
            <v>505.70694400000002</v>
          </cell>
          <cell r="BF113">
            <v>512.00260160000005</v>
          </cell>
          <cell r="BG113">
            <v>518.24737849999997</v>
          </cell>
          <cell r="BH113">
            <v>524.44232790000001</v>
          </cell>
          <cell r="BI113">
            <v>530.58864100000005</v>
          </cell>
        </row>
        <row r="114">
          <cell r="F114">
            <v>408.28039699999999</v>
          </cell>
          <cell r="G114">
            <v>425.47099270000001</v>
          </cell>
          <cell r="H114">
            <v>444.58497019999999</v>
          </cell>
          <cell r="I114">
            <v>464.58604109999999</v>
          </cell>
          <cell r="J114">
            <v>486.6693712</v>
          </cell>
          <cell r="K114">
            <v>503.40871429999999</v>
          </cell>
          <cell r="L114">
            <v>515.1470865</v>
          </cell>
          <cell r="M114">
            <v>525.29697420000002</v>
          </cell>
          <cell r="N114">
            <v>534.66990869999995</v>
          </cell>
          <cell r="O114">
            <v>543.64612980000004</v>
          </cell>
          <cell r="P114">
            <v>555.3221661</v>
          </cell>
          <cell r="Q114">
            <v>563.96910119999995</v>
          </cell>
          <cell r="R114">
            <v>572.54160530000001</v>
          </cell>
          <cell r="S114">
            <v>581.06932170000005</v>
          </cell>
          <cell r="T114">
            <v>589.57114209999997</v>
          </cell>
          <cell r="U114">
            <v>598.05989390000002</v>
          </cell>
          <cell r="V114">
            <v>606.54474319999997</v>
          </cell>
          <cell r="W114">
            <v>615.03241739999999</v>
          </cell>
          <cell r="X114">
            <v>623.5278227</v>
          </cell>
          <cell r="Y114">
            <v>632.0343742</v>
          </cell>
          <cell r="Z114">
            <v>638.62614910000002</v>
          </cell>
          <cell r="AA114">
            <v>647.15849649999996</v>
          </cell>
          <cell r="AB114">
            <v>655.70986110000001</v>
          </cell>
          <cell r="AC114">
            <v>664.27965859999995</v>
          </cell>
          <cell r="AD114">
            <v>672.86610889999997</v>
          </cell>
          <cell r="AE114">
            <v>676.20394880000003</v>
          </cell>
          <cell r="AF114">
            <v>682.34075099999995</v>
          </cell>
          <cell r="AG114">
            <v>688.49358670000004</v>
          </cell>
          <cell r="AH114">
            <v>694.66760580000005</v>
          </cell>
          <cell r="AI114">
            <v>700.86654550000003</v>
          </cell>
          <cell r="AJ114">
            <v>707.09244850000005</v>
          </cell>
          <cell r="AK114">
            <v>713.34613649999994</v>
          </cell>
          <cell r="AL114">
            <v>719.62789020000002</v>
          </cell>
          <cell r="AM114">
            <v>725.93807230000004</v>
          </cell>
          <cell r="AN114">
            <v>732.27768649999996</v>
          </cell>
          <cell r="AO114">
            <v>738.64885340000001</v>
          </cell>
          <cell r="AP114">
            <v>743.93235470000002</v>
          </cell>
          <cell r="AQ114">
            <v>749.2573089</v>
          </cell>
          <cell r="AR114">
            <v>754.63727210000002</v>
          </cell>
          <cell r="AS114">
            <v>760.09010750000004</v>
          </cell>
          <cell r="AT114">
            <v>765.63873939999996</v>
          </cell>
          <cell r="AU114">
            <v>771.3130754</v>
          </cell>
          <cell r="AV114">
            <v>777.15382239999997</v>
          </cell>
          <cell r="AW114">
            <v>783.22028060000002</v>
          </cell>
          <cell r="AX114">
            <v>789.60802369999999</v>
          </cell>
          <cell r="AY114">
            <v>796.49658669999997</v>
          </cell>
          <cell r="AZ114">
            <v>804.41516960000001</v>
          </cell>
          <cell r="BA114">
            <v>811.4736054</v>
          </cell>
          <cell r="BB114">
            <v>818.84461650000003</v>
          </cell>
          <cell r="BC114">
            <v>825.58280690000004</v>
          </cell>
          <cell r="BD114">
            <v>831.54626169999995</v>
          </cell>
          <cell r="BE114">
            <v>1097.5222470000001</v>
          </cell>
          <cell r="BF114">
            <v>1106.9728580000001</v>
          </cell>
          <cell r="BG114">
            <v>1116.3591220000001</v>
          </cell>
          <cell r="BH114">
            <v>1125.682438</v>
          </cell>
          <cell r="BI114">
            <v>1134.9443100000001</v>
          </cell>
        </row>
        <row r="115">
          <cell r="F115">
            <v>954.38155940000001</v>
          </cell>
          <cell r="G115">
            <v>947.69777150000004</v>
          </cell>
          <cell r="H115">
            <v>940.93763569999999</v>
          </cell>
          <cell r="I115">
            <v>933.32371699999999</v>
          </cell>
          <cell r="J115">
            <v>923.43122440000002</v>
          </cell>
          <cell r="K115">
            <v>915.16062880000004</v>
          </cell>
          <cell r="L115">
            <v>908.60448059999999</v>
          </cell>
          <cell r="M115">
            <v>903.13097400000004</v>
          </cell>
          <cell r="N115">
            <v>898.27586350000001</v>
          </cell>
          <cell r="O115">
            <v>893.76580669999998</v>
          </cell>
          <cell r="P115">
            <v>889.45009909999999</v>
          </cell>
          <cell r="Q115">
            <v>885.24814170000002</v>
          </cell>
          <cell r="R115">
            <v>881.11617000000001</v>
          </cell>
          <cell r="S115">
            <v>877.03083500000002</v>
          </cell>
          <cell r="T115">
            <v>872.97939050000002</v>
          </cell>
          <cell r="U115">
            <v>868.95471729999997</v>
          </cell>
          <cell r="V115">
            <v>864.95270670000002</v>
          </cell>
          <cell r="W115">
            <v>860.97088740000004</v>
          </cell>
          <cell r="X115">
            <v>857.0077053</v>
          </cell>
          <cell r="Y115">
            <v>853.06214590000002</v>
          </cell>
          <cell r="Z115">
            <v>849.13346920000004</v>
          </cell>
          <cell r="AA115">
            <v>845.2207899</v>
          </cell>
          <cell r="AB115">
            <v>841.32393690000004</v>
          </cell>
          <cell r="AC115">
            <v>837.44267170000001</v>
          </cell>
          <cell r="AD115">
            <v>833.5769209</v>
          </cell>
          <cell r="AE115">
            <v>829.72654179999995</v>
          </cell>
          <cell r="AF115">
            <v>825.89032659999998</v>
          </cell>
          <cell r="AG115">
            <v>822.06799260000003</v>
          </cell>
          <cell r="AH115">
            <v>818.2588293</v>
          </cell>
          <cell r="AI115">
            <v>814.46217260000003</v>
          </cell>
          <cell r="AJ115">
            <v>810.67747789999999</v>
          </cell>
          <cell r="AK115">
            <v>806.90432120000003</v>
          </cell>
          <cell r="AL115">
            <v>803.14236170000004</v>
          </cell>
          <cell r="AM115">
            <v>799.39128579999999</v>
          </cell>
          <cell r="AN115">
            <v>795.65073919999998</v>
          </cell>
          <cell r="AO115">
            <v>791.92025130000002</v>
          </cell>
          <cell r="AP115">
            <v>788.19906219999996</v>
          </cell>
          <cell r="AQ115">
            <v>784.48567839999998</v>
          </cell>
          <cell r="AR115">
            <v>780.7779673</v>
          </cell>
          <cell r="AS115">
            <v>777.07276009999998</v>
          </cell>
          <cell r="AT115">
            <v>773.36544809999998</v>
          </cell>
          <cell r="AU115">
            <v>769.64924080000003</v>
          </cell>
          <cell r="AV115">
            <v>765.91377130000001</v>
          </cell>
          <cell r="AW115">
            <v>762.14232579999998</v>
          </cell>
          <cell r="AX115">
            <v>758.30587490000005</v>
          </cell>
          <cell r="AY115">
            <v>754.34888249999995</v>
          </cell>
          <cell r="AZ115">
            <v>750.15091470000004</v>
          </cell>
          <cell r="BA115">
            <v>745.40463690000001</v>
          </cell>
          <cell r="BB115">
            <v>739.19344620000004</v>
          </cell>
          <cell r="BC115">
            <v>733.29091510000001</v>
          </cell>
          <cell r="BD115">
            <v>728.22388350000006</v>
          </cell>
          <cell r="BE115">
            <v>484.04968780000002</v>
          </cell>
          <cell r="BF115">
            <v>477.39374570000001</v>
          </cell>
          <cell r="BG115">
            <v>470.83057000000002</v>
          </cell>
          <cell r="BH115">
            <v>464.35802790000002</v>
          </cell>
          <cell r="BI115">
            <v>457.97382290000002</v>
          </cell>
        </row>
        <row r="116">
          <cell r="F116">
            <v>878.79999729999997</v>
          </cell>
          <cell r="G116">
            <v>867.97061580000002</v>
          </cell>
          <cell r="H116">
            <v>857.17684689999999</v>
          </cell>
          <cell r="I116">
            <v>846.13862789999996</v>
          </cell>
          <cell r="J116">
            <v>834.45323350000001</v>
          </cell>
          <cell r="K116">
            <v>825.60426370000005</v>
          </cell>
          <cell r="L116">
            <v>818.66441099999997</v>
          </cell>
          <cell r="M116">
            <v>812.81115279999995</v>
          </cell>
          <cell r="N116">
            <v>807.55775259999996</v>
          </cell>
          <cell r="O116">
            <v>802.63672680000002</v>
          </cell>
          <cell r="P116">
            <v>797.90480430000002</v>
          </cell>
          <cell r="Q116">
            <v>793.28651779999996</v>
          </cell>
          <cell r="R116">
            <v>788.74111819999996</v>
          </cell>
          <cell r="S116">
            <v>784.24689999999998</v>
          </cell>
          <cell r="T116">
            <v>779.79194870000003</v>
          </cell>
          <cell r="U116">
            <v>775.36951669999996</v>
          </cell>
          <cell r="V116">
            <v>770.9756155</v>
          </cell>
          <cell r="W116">
            <v>766.60776820000001</v>
          </cell>
          <cell r="X116">
            <v>762.26436750000005</v>
          </cell>
          <cell r="Y116">
            <v>757.94434520000004</v>
          </cell>
          <cell r="Z116">
            <v>753.64688620000004</v>
          </cell>
          <cell r="AA116">
            <v>749.37100120000002</v>
          </cell>
          <cell r="AB116">
            <v>745.11652300000003</v>
          </cell>
          <cell r="AC116">
            <v>740.88332879999996</v>
          </cell>
          <cell r="AD116">
            <v>736.67153980000001</v>
          </cell>
          <cell r="AE116">
            <v>732.48109999999997</v>
          </cell>
          <cell r="AF116">
            <v>728.31061699999998</v>
          </cell>
          <cell r="AG116">
            <v>724.15960729999995</v>
          </cell>
          <cell r="AH116">
            <v>720.02724260000002</v>
          </cell>
          <cell r="AI116">
            <v>715.91285089999997</v>
          </cell>
          <cell r="AJ116">
            <v>711.81598910000002</v>
          </cell>
          <cell r="AK116">
            <v>707.73642170000005</v>
          </cell>
          <cell r="AL116">
            <v>703.67404550000003</v>
          </cell>
          <cell r="AM116">
            <v>699.62879929999997</v>
          </cell>
          <cell r="AN116">
            <v>695.60056729999997</v>
          </cell>
          <cell r="AO116">
            <v>691.58908540000004</v>
          </cell>
          <cell r="AP116">
            <v>687.59373070000004</v>
          </cell>
          <cell r="AQ116">
            <v>683.61303610000004</v>
          </cell>
          <cell r="AR116">
            <v>679.6448431</v>
          </cell>
          <cell r="AS116">
            <v>675.68597490000002</v>
          </cell>
          <cell r="AT116">
            <v>671.73187380000002</v>
          </cell>
          <cell r="AU116">
            <v>667.77582419999999</v>
          </cell>
          <cell r="AV116">
            <v>663.80729570000005</v>
          </cell>
          <cell r="AW116">
            <v>659.80812349999997</v>
          </cell>
          <cell r="AX116">
            <v>655.74230390000002</v>
          </cell>
          <cell r="AY116">
            <v>651.52180780000003</v>
          </cell>
          <cell r="AZ116">
            <v>646.8457363</v>
          </cell>
          <cell r="BA116">
            <v>642.55228639999996</v>
          </cell>
          <cell r="BB116">
            <v>638.55257089999998</v>
          </cell>
          <cell r="BC116">
            <v>634.73751249999998</v>
          </cell>
          <cell r="BD116">
            <v>631.03532910000001</v>
          </cell>
          <cell r="BE116">
            <v>627.43126419999999</v>
          </cell>
          <cell r="BF116">
            <v>623.80247299999996</v>
          </cell>
          <cell r="BG116">
            <v>620.1914491</v>
          </cell>
          <cell r="BH116">
            <v>616.59806479999997</v>
          </cell>
          <cell r="BI116">
            <v>613.02212169999996</v>
          </cell>
        </row>
        <row r="117">
          <cell r="F117">
            <v>139.85209269999999</v>
          </cell>
          <cell r="G117">
            <v>137.95542620000001</v>
          </cell>
          <cell r="H117">
            <v>136.0868151</v>
          </cell>
          <cell r="I117">
            <v>134.2500221</v>
          </cell>
          <cell r="J117">
            <v>132.44730100000001</v>
          </cell>
          <cell r="K117">
            <v>130.6786276</v>
          </cell>
          <cell r="L117">
            <v>128.94239920000001</v>
          </cell>
          <cell r="M117">
            <v>127.23581470000001</v>
          </cell>
          <cell r="N117">
            <v>125.5558056</v>
          </cell>
          <cell r="O117">
            <v>123.8997037</v>
          </cell>
          <cell r="P117">
            <v>122.26555</v>
          </cell>
          <cell r="Q117">
            <v>120.6520087</v>
          </cell>
          <cell r="R117">
            <v>119.0581193</v>
          </cell>
          <cell r="S117">
            <v>117.4832194</v>
          </cell>
          <cell r="T117">
            <v>115.9268713</v>
          </cell>
          <cell r="U117">
            <v>114.38879660000001</v>
          </cell>
          <cell r="V117">
            <v>112.8688291</v>
          </cell>
          <cell r="W117">
            <v>111.36688289999999</v>
          </cell>
          <cell r="X117">
            <v>109.88293109999999</v>
          </cell>
          <cell r="Y117">
            <v>108.4169892</v>
          </cell>
          <cell r="Z117">
            <v>106.96906989999999</v>
          </cell>
          <cell r="AA117">
            <v>105.5391838</v>
          </cell>
          <cell r="AB117">
            <v>104.1273893</v>
          </cell>
          <cell r="AC117">
            <v>102.73375369999999</v>
          </cell>
          <cell r="AD117">
            <v>101.35832480000001</v>
          </cell>
          <cell r="AE117">
            <v>100.0010434</v>
          </cell>
          <cell r="AF117">
            <v>98.661739859999997</v>
          </cell>
          <cell r="AG117">
            <v>97.340268550000005</v>
          </cell>
          <cell r="AH117">
            <v>96.036500689999997</v>
          </cell>
          <cell r="AI117">
            <v>94.750307169999999</v>
          </cell>
          <cell r="AJ117">
            <v>93.481543200000004</v>
          </cell>
          <cell r="AK117">
            <v>92.230042909999995</v>
          </cell>
          <cell r="AL117">
            <v>90.995615450000003</v>
          </cell>
          <cell r="AM117">
            <v>89.778041970000004</v>
          </cell>
          <cell r="AN117">
            <v>88.577074830000001</v>
          </cell>
          <cell r="AO117">
            <v>87.392439760000002</v>
          </cell>
          <cell r="AP117">
            <v>86.223828190000006</v>
          </cell>
          <cell r="AQ117">
            <v>85.070898009999993</v>
          </cell>
          <cell r="AR117">
            <v>83.933300669999994</v>
          </cell>
          <cell r="AS117">
            <v>82.810697259999998</v>
          </cell>
          <cell r="AT117">
            <v>81.702766580000002</v>
          </cell>
          <cell r="AU117">
            <v>80.609209010000001</v>
          </cell>
          <cell r="AV117">
            <v>79.529748519999998</v>
          </cell>
          <cell r="AW117">
            <v>78.464131469999998</v>
          </cell>
          <cell r="AX117">
            <v>77.412121069999998</v>
          </cell>
          <cell r="AY117">
            <v>76.373492249999998</v>
          </cell>
          <cell r="AZ117">
            <v>75.348025919999998</v>
          </cell>
          <cell r="BA117">
            <v>74.335489050000007</v>
          </cell>
          <cell r="BB117">
            <v>73.335748670000001</v>
          </cell>
          <cell r="BC117">
            <v>72.348674259999996</v>
          </cell>
          <cell r="BD117">
            <v>71.374126559999993</v>
          </cell>
          <cell r="BE117">
            <v>71.569973329999996</v>
          </cell>
          <cell r="BF117">
            <v>70.642954649999993</v>
          </cell>
          <cell r="BG117">
            <v>69.727825420000002</v>
          </cell>
          <cell r="BH117">
            <v>68.824426950000003</v>
          </cell>
          <cell r="BI117">
            <v>67.932590059999995</v>
          </cell>
        </row>
        <row r="118">
          <cell r="F118">
            <v>3.874567114</v>
          </cell>
          <cell r="G118">
            <v>3.7242339819999999</v>
          </cell>
          <cell r="H118">
            <v>3.5803045760000001</v>
          </cell>
          <cell r="I118">
            <v>3.4427972160000002</v>
          </cell>
          <cell r="J118">
            <v>3.3116253869999999</v>
          </cell>
          <cell r="K118">
            <v>3.1865472050000001</v>
          </cell>
          <cell r="L118">
            <v>3.0671962060000002</v>
          </cell>
          <cell r="M118">
            <v>2.9531470999999998</v>
          </cell>
          <cell r="N118">
            <v>2.843983218</v>
          </cell>
          <cell r="O118">
            <v>2.7393390050000002</v>
          </cell>
          <cell r="P118">
            <v>2.6389157519999999</v>
          </cell>
          <cell r="Q118">
            <v>2.5424707350000002</v>
          </cell>
          <cell r="R118">
            <v>2.4497966789999999</v>
          </cell>
          <cell r="S118">
            <v>2.3607140210000002</v>
          </cell>
          <cell r="T118">
            <v>2.2750643959999999</v>
          </cell>
          <cell r="U118">
            <v>2.1927053089999999</v>
          </cell>
          <cell r="V118">
            <v>2.113506288</v>
          </cell>
          <cell r="W118">
            <v>2.0373462839999998</v>
          </cell>
          <cell r="X118">
            <v>1.9641118689999999</v>
          </cell>
          <cell r="Y118">
            <v>1.893695881</v>
          </cell>
          <cell r="Z118">
            <v>1.8259947059999999</v>
          </cell>
          <cell r="AA118">
            <v>1.7609081680000001</v>
          </cell>
          <cell r="AB118">
            <v>1.698342016</v>
          </cell>
          <cell r="AC118">
            <v>1.638205935</v>
          </cell>
          <cell r="AD118">
            <v>1.5804121010000001</v>
          </cell>
          <cell r="AE118">
            <v>1.5248709760000001</v>
          </cell>
          <cell r="AF118">
            <v>1.471491307</v>
          </cell>
          <cell r="AG118">
            <v>1.420186401</v>
          </cell>
          <cell r="AH118">
            <v>1.370873939</v>
          </cell>
          <cell r="AI118">
            <v>1.323475202</v>
          </cell>
          <cell r="AJ118">
            <v>1.2779144229999999</v>
          </cell>
          <cell r="AK118">
            <v>1.2341184620000001</v>
          </cell>
          <cell r="AL118">
            <v>1.1920164470000001</v>
          </cell>
          <cell r="AM118">
            <v>1.1515395289999999</v>
          </cell>
          <cell r="AN118">
            <v>1.1126207749999999</v>
          </cell>
          <cell r="AO118">
            <v>1.0751951799999999</v>
          </cell>
          <cell r="AP118">
            <v>1.039199301</v>
          </cell>
          <cell r="AQ118">
            <v>1.0045712040000001</v>
          </cell>
          <cell r="AR118">
            <v>0.9712513612</v>
          </cell>
          <cell r="AS118">
            <v>0.93918311980000002</v>
          </cell>
          <cell r="AT118">
            <v>0.90831284869999995</v>
          </cell>
          <cell r="AU118">
            <v>0.87858991149999999</v>
          </cell>
          <cell r="AV118">
            <v>0.8499665716</v>
          </cell>
          <cell r="AW118">
            <v>0.82239779710000005</v>
          </cell>
          <cell r="AX118">
            <v>0.79584096410000005</v>
          </cell>
          <cell r="AY118">
            <v>0.77025562280000004</v>
          </cell>
          <cell r="AZ118">
            <v>0.7456033594</v>
          </cell>
          <cell r="BA118">
            <v>0.72184771569999995</v>
          </cell>
          <cell r="BB118">
            <v>0.69895407170000001</v>
          </cell>
          <cell r="BC118">
            <v>0.67688946000000005</v>
          </cell>
          <cell r="BD118">
            <v>0.65562223539999998</v>
          </cell>
          <cell r="BE118">
            <v>0.67613615360000001</v>
          </cell>
          <cell r="BF118">
            <v>0.65614706970000003</v>
          </cell>
          <cell r="BG118">
            <v>0.6368516139</v>
          </cell>
          <cell r="BH118">
            <v>0.61822360580000002</v>
          </cell>
          <cell r="BI118">
            <v>0.6002375418</v>
          </cell>
        </row>
        <row r="205">
          <cell r="E205" t="str">
            <v>YG_toe_2</v>
          </cell>
          <cell r="F205">
            <v>146.19502299999999</v>
          </cell>
          <cell r="G205">
            <v>146.8057226</v>
          </cell>
          <cell r="H205">
            <v>147.457334</v>
          </cell>
          <cell r="I205">
            <v>148.21992499999999</v>
          </cell>
          <cell r="J205">
            <v>149.1417252</v>
          </cell>
          <cell r="K205">
            <v>150.22345229999999</v>
          </cell>
          <cell r="L205">
            <v>151.3565121</v>
          </cell>
          <cell r="M205">
            <v>152.57176530000001</v>
          </cell>
          <cell r="N205">
            <v>153.85228849999999</v>
          </cell>
          <cell r="O205">
            <v>155.18015460000001</v>
          </cell>
          <cell r="P205">
            <v>156.47031920000001</v>
          </cell>
          <cell r="Q205">
            <v>157.99626369999999</v>
          </cell>
          <cell r="R205">
            <v>159.55949279999999</v>
          </cell>
          <cell r="S205">
            <v>161.1451026</v>
          </cell>
          <cell r="T205">
            <v>162.74732950000001</v>
          </cell>
          <cell r="U205">
            <v>164.36252920000001</v>
          </cell>
          <cell r="V205">
            <v>165.9783606</v>
          </cell>
          <cell r="W205">
            <v>167.60121760000001</v>
          </cell>
          <cell r="X205">
            <v>169.23066299999999</v>
          </cell>
          <cell r="Y205">
            <v>170.86655959999999</v>
          </cell>
          <cell r="Z205">
            <v>172.4074799</v>
          </cell>
          <cell r="AA205">
            <v>174.02687560000001</v>
          </cell>
          <cell r="AB205">
            <v>175.66861639999999</v>
          </cell>
          <cell r="AC205">
            <v>177.32749240000001</v>
          </cell>
          <cell r="AD205">
            <v>179.00307309999999</v>
          </cell>
          <cell r="AE205">
            <v>180.40716549999999</v>
          </cell>
          <cell r="AF205">
            <v>181.89855679999999</v>
          </cell>
          <cell r="AG205">
            <v>183.40444310000001</v>
          </cell>
          <cell r="AH205">
            <v>184.92385279999999</v>
          </cell>
          <cell r="AI205">
            <v>186.45986250000001</v>
          </cell>
          <cell r="AJ205">
            <v>188.01583189999999</v>
          </cell>
          <cell r="AK205">
            <v>189.59744409999999</v>
          </cell>
          <cell r="AL205">
            <v>191.20435570000001</v>
          </cell>
          <cell r="AM205">
            <v>192.8377375</v>
          </cell>
          <cell r="AN205">
            <v>194.49835160000001</v>
          </cell>
          <cell r="AO205">
            <v>196.18652969999999</v>
          </cell>
          <cell r="AP205">
            <v>197.8620239</v>
          </cell>
          <cell r="AQ205">
            <v>199.54799919999999</v>
          </cell>
          <cell r="AR205">
            <v>201.25117309999999</v>
          </cell>
          <cell r="AS205">
            <v>202.97475259999999</v>
          </cell>
          <cell r="AT205">
            <v>204.72044919999999</v>
          </cell>
          <cell r="AU205">
            <v>206.4938502</v>
          </cell>
          <cell r="AV205">
            <v>208.29165620000001</v>
          </cell>
          <cell r="AW205">
            <v>210.11390320000001</v>
          </cell>
          <cell r="AX205">
            <v>211.9605722</v>
          </cell>
          <cell r="AY205">
            <v>213.83148420000001</v>
          </cell>
          <cell r="AZ205">
            <v>215.7488381</v>
          </cell>
          <cell r="BA205">
            <v>217.69453139999999</v>
          </cell>
          <cell r="BB205">
            <v>219.66674470000001</v>
          </cell>
          <cell r="BC205">
            <v>221.66460649999999</v>
          </cell>
          <cell r="BD205">
            <v>223.687397</v>
          </cell>
          <cell r="BE205">
            <v>260.51870730000002</v>
          </cell>
          <cell r="BF205">
            <v>264.01853419999998</v>
          </cell>
          <cell r="BG205">
            <v>267.57925560000001</v>
          </cell>
          <cell r="BH205">
            <v>271.20175319999998</v>
          </cell>
          <cell r="BI205">
            <v>274.88702260000002</v>
          </cell>
        </row>
        <row r="206">
          <cell r="E206" t="str">
            <v>YG_toe_ccoa_2</v>
          </cell>
          <cell r="F206">
            <v>2.3327737239999999</v>
          </cell>
          <cell r="G206">
            <v>2.3388464120000001</v>
          </cell>
          <cell r="H206">
            <v>2.35445327</v>
          </cell>
          <cell r="I206">
            <v>2.374078876</v>
          </cell>
          <cell r="J206">
            <v>2.3965825540000001</v>
          </cell>
          <cell r="K206">
            <v>2.4214178620000002</v>
          </cell>
          <cell r="L206">
            <v>2.4466300969999999</v>
          </cell>
          <cell r="M206">
            <v>2.4729111079999999</v>
          </cell>
          <cell r="N206">
            <v>2.500204895</v>
          </cell>
          <cell r="O206">
            <v>2.528347589</v>
          </cell>
          <cell r="P206">
            <v>2.5544655079999998</v>
          </cell>
          <cell r="Q206">
            <v>2.586775287</v>
          </cell>
          <cell r="R206">
            <v>2.6207431589999999</v>
          </cell>
          <cell r="S206">
            <v>2.6554404479999998</v>
          </cell>
          <cell r="T206">
            <v>2.690650153</v>
          </cell>
          <cell r="U206">
            <v>2.7263081329999999</v>
          </cell>
          <cell r="V206">
            <v>2.762143118</v>
          </cell>
          <cell r="W206">
            <v>2.798334986</v>
          </cell>
          <cell r="X206">
            <v>2.8349189639999999</v>
          </cell>
          <cell r="Y206">
            <v>2.8719065920000002</v>
          </cell>
          <cell r="Z206">
            <v>2.9075239279999998</v>
          </cell>
          <cell r="AA206">
            <v>2.9447930210000002</v>
          </cell>
          <cell r="AB206">
            <v>2.9827730059999999</v>
          </cell>
          <cell r="AC206">
            <v>3.0212912670000001</v>
          </cell>
          <cell r="AD206">
            <v>3.0603276190000002</v>
          </cell>
          <cell r="AE206">
            <v>3.0947856389999999</v>
          </cell>
          <cell r="AF206">
            <v>3.1309788080000001</v>
          </cell>
          <cell r="AG206">
            <v>3.1677213100000001</v>
          </cell>
          <cell r="AH206">
            <v>3.2048232890000001</v>
          </cell>
          <cell r="AI206">
            <v>3.2422891680000001</v>
          </cell>
          <cell r="AJ206">
            <v>3.2801540249999999</v>
          </cell>
          <cell r="AK206">
            <v>3.3185237559999998</v>
          </cell>
          <cell r="AL206">
            <v>3.3573654400000001</v>
          </cell>
          <cell r="AM206">
            <v>3.3966804050000001</v>
          </cell>
          <cell r="AN206">
            <v>3.4364704170000002</v>
          </cell>
          <cell r="AO206">
            <v>3.4767328019999999</v>
          </cell>
          <cell r="AP206">
            <v>3.5169451669999998</v>
          </cell>
          <cell r="AQ206">
            <v>3.5573834930000001</v>
          </cell>
          <cell r="AR206">
            <v>3.5981183680000002</v>
          </cell>
          <cell r="AS206">
            <v>3.6391721590000001</v>
          </cell>
          <cell r="AT206">
            <v>3.6805569419999999</v>
          </cell>
          <cell r="AU206">
            <v>3.7224011799999999</v>
          </cell>
          <cell r="AV206">
            <v>3.764624296</v>
          </cell>
          <cell r="AW206">
            <v>3.8072155780000001</v>
          </cell>
          <cell r="AX206">
            <v>3.8501745829999998</v>
          </cell>
          <cell r="AY206">
            <v>3.8935006589999999</v>
          </cell>
          <cell r="AZ206">
            <v>3.9377251050000002</v>
          </cell>
          <cell r="BA206">
            <v>3.9824542859999998</v>
          </cell>
          <cell r="BB206">
            <v>4.0276080849999998</v>
          </cell>
          <cell r="BC206">
            <v>4.0731640110000003</v>
          </cell>
          <cell r="BD206">
            <v>4.1191110059999998</v>
          </cell>
          <cell r="BE206">
            <v>5.3030612970000002</v>
          </cell>
          <cell r="BF206">
            <v>5.3926175350000003</v>
          </cell>
          <cell r="BG206">
            <v>5.4835762130000001</v>
          </cell>
          <cell r="BH206">
            <v>5.5759606100000001</v>
          </cell>
          <cell r="BI206">
            <v>5.6697948240000002</v>
          </cell>
        </row>
        <row r="209">
          <cell r="E209" t="str">
            <v>YG_toe_ccoi_2</v>
          </cell>
          <cell r="F209">
            <v>1.076771564</v>
          </cell>
          <cell r="G209">
            <v>1.0786092039999999</v>
          </cell>
          <cell r="H209">
            <v>1.0819997180000001</v>
          </cell>
          <cell r="I209">
            <v>1.0866351080000001</v>
          </cell>
          <cell r="J209">
            <v>1.092779551</v>
          </cell>
          <cell r="K209">
            <v>1.100389855</v>
          </cell>
          <cell r="L209">
            <v>1.108677903</v>
          </cell>
          <cell r="M209">
            <v>1.117745379</v>
          </cell>
          <cell r="N209">
            <v>1.127460691</v>
          </cell>
          <cell r="O209">
            <v>1.1376723070000001</v>
          </cell>
          <cell r="P209">
            <v>1.1474608900000001</v>
          </cell>
          <cell r="Q209">
            <v>1.15932959</v>
          </cell>
          <cell r="R209">
            <v>1.171818899</v>
          </cell>
          <cell r="S209">
            <v>1.1846068670000001</v>
          </cell>
          <cell r="T209">
            <v>1.197609226</v>
          </cell>
          <cell r="U209">
            <v>1.2107892979999999</v>
          </cell>
          <cell r="V209">
            <v>1.224045534</v>
          </cell>
          <cell r="W209">
            <v>1.237416686</v>
          </cell>
          <cell r="X209">
            <v>1.250899253</v>
          </cell>
          <cell r="Y209">
            <v>1.2644846350000001</v>
          </cell>
          <cell r="Z209">
            <v>1.277497447</v>
          </cell>
          <cell r="AA209">
            <v>1.2910216050000001</v>
          </cell>
          <cell r="AB209">
            <v>1.3047548950000001</v>
          </cell>
          <cell r="AC209">
            <v>1.3186261530000001</v>
          </cell>
          <cell r="AD209">
            <v>1.3326226459999999</v>
          </cell>
          <cell r="AE209">
            <v>1.3448363210000001</v>
          </cell>
          <cell r="AF209">
            <v>1.357504308</v>
          </cell>
          <cell r="AG209">
            <v>1.370292713</v>
          </cell>
          <cell r="AH209">
            <v>1.3831446140000001</v>
          </cell>
          <cell r="AI209">
            <v>1.396071587</v>
          </cell>
          <cell r="AJ209">
            <v>1.409096092</v>
          </cell>
          <cell r="AK209">
            <v>1.4222613930000001</v>
          </cell>
          <cell r="AL209">
            <v>1.4355661179999999</v>
          </cell>
          <cell r="AM209">
            <v>1.449017599</v>
          </cell>
          <cell r="AN209">
            <v>1.4626224720000001</v>
          </cell>
          <cell r="AO209">
            <v>1.476385115</v>
          </cell>
          <cell r="AP209">
            <v>1.490074906</v>
          </cell>
          <cell r="AQ209">
            <v>1.5038072899999999</v>
          </cell>
          <cell r="AR209">
            <v>1.517628612</v>
          </cell>
          <cell r="AS209">
            <v>1.5315606799999999</v>
          </cell>
          <cell r="AT209">
            <v>1.545617078</v>
          </cell>
          <cell r="AU209">
            <v>1.559844426</v>
          </cell>
          <cell r="AV209">
            <v>1.574222676</v>
          </cell>
          <cell r="AW209">
            <v>1.588751748</v>
          </cell>
          <cell r="AX209">
            <v>1.603433678</v>
          </cell>
          <cell r="AY209">
            <v>1.6182693509999999</v>
          </cell>
          <cell r="AZ209">
            <v>1.633429875</v>
          </cell>
          <cell r="BA209">
            <v>1.6487918050000001</v>
          </cell>
          <cell r="BB209">
            <v>1.6643282939999999</v>
          </cell>
          <cell r="BC209">
            <v>1.680031227</v>
          </cell>
          <cell r="BD209">
            <v>1.6958953960000001</v>
          </cell>
          <cell r="BE209">
            <v>2.0573651060000002</v>
          </cell>
          <cell r="BF209">
            <v>2.086709532</v>
          </cell>
          <cell r="BG209">
            <v>2.1165431620000001</v>
          </cell>
          <cell r="BH209">
            <v>2.146877581</v>
          </cell>
          <cell r="BI209">
            <v>2.1777251980000001</v>
          </cell>
        </row>
        <row r="212">
          <cell r="E212" t="str">
            <v>YG_toe_cfut_2</v>
          </cell>
          <cell r="F212">
            <v>41.653186329999997</v>
          </cell>
          <cell r="G212">
            <v>41.743133309999997</v>
          </cell>
          <cell r="H212">
            <v>41.841426319999997</v>
          </cell>
          <cell r="I212">
            <v>41.994106250000002</v>
          </cell>
          <cell r="J212">
            <v>42.216483359999998</v>
          </cell>
          <cell r="K212">
            <v>42.503969230000003</v>
          </cell>
          <cell r="L212">
            <v>42.824070759999998</v>
          </cell>
          <cell r="M212">
            <v>43.180674410000002</v>
          </cell>
          <cell r="N212">
            <v>43.566084070000002</v>
          </cell>
          <cell r="O212">
            <v>43.973678839999998</v>
          </cell>
          <cell r="P212">
            <v>44.370639320000002</v>
          </cell>
          <cell r="Q212">
            <v>44.848890390000001</v>
          </cell>
          <cell r="R212">
            <v>45.345147449999999</v>
          </cell>
          <cell r="S212">
            <v>45.85391929</v>
          </cell>
          <cell r="T212">
            <v>46.372758249999997</v>
          </cell>
          <cell r="U212">
            <v>46.899953369999999</v>
          </cell>
          <cell r="V212">
            <v>47.431234150000002</v>
          </cell>
          <cell r="W212">
            <v>47.967868019999997</v>
          </cell>
          <cell r="X212">
            <v>48.509103439999997</v>
          </cell>
          <cell r="Y212">
            <v>49.054304950000002</v>
          </cell>
          <cell r="Z212">
            <v>49.577425609999999</v>
          </cell>
          <cell r="AA212">
            <v>50.121558589999999</v>
          </cell>
          <cell r="AB212">
            <v>50.671029820000001</v>
          </cell>
          <cell r="AC212">
            <v>51.224802169999997</v>
          </cell>
          <cell r="AD212">
            <v>51.782719120000003</v>
          </cell>
          <cell r="AE212">
            <v>52.271674240000003</v>
          </cell>
          <cell r="AF212">
            <v>52.782488260000001</v>
          </cell>
          <cell r="AG212">
            <v>53.293339269999997</v>
          </cell>
          <cell r="AH212">
            <v>53.804382850000003</v>
          </cell>
          <cell r="AI212">
            <v>54.316746680000001</v>
          </cell>
          <cell r="AJ212">
            <v>54.831575960000002</v>
          </cell>
          <cell r="AK212">
            <v>55.350682319999997</v>
          </cell>
          <cell r="AL212">
            <v>55.874094390000003</v>
          </cell>
          <cell r="AM212">
            <v>56.402310810000003</v>
          </cell>
          <cell r="AN212">
            <v>56.93569497</v>
          </cell>
          <cell r="AO212">
            <v>57.474489480000003</v>
          </cell>
          <cell r="AP212">
            <v>58.009661909999998</v>
          </cell>
          <cell r="AQ212">
            <v>58.546424989999998</v>
          </cell>
          <cell r="AR212">
            <v>59.085953850000003</v>
          </cell>
          <cell r="AS212">
            <v>59.628959160000001</v>
          </cell>
          <cell r="AT212">
            <v>60.176001130000003</v>
          </cell>
          <cell r="AU212">
            <v>60.728918219999997</v>
          </cell>
          <cell r="AV212">
            <v>61.286941830000004</v>
          </cell>
          <cell r="AW212">
            <v>61.850277609999999</v>
          </cell>
          <cell r="AX212">
            <v>62.41907604</v>
          </cell>
          <cell r="AY212">
            <v>62.993407769999997</v>
          </cell>
          <cell r="AZ212">
            <v>63.579722930000003</v>
          </cell>
          <cell r="BA212">
            <v>64.172852320000004</v>
          </cell>
          <cell r="BB212">
            <v>64.772358069999996</v>
          </cell>
          <cell r="BC212">
            <v>65.377989810000003</v>
          </cell>
          <cell r="BD212">
            <v>65.989517520000007</v>
          </cell>
          <cell r="BE212">
            <v>79.759657880000006</v>
          </cell>
          <cell r="BF212">
            <v>80.877687420000001</v>
          </cell>
          <cell r="BG212">
            <v>82.013431510000004</v>
          </cell>
          <cell r="BH212">
            <v>83.167382599999996</v>
          </cell>
          <cell r="BI212">
            <v>84.340058659999997</v>
          </cell>
        </row>
        <row r="215">
          <cell r="E215" t="str">
            <v>YG_toe_cfuh_2</v>
          </cell>
          <cell r="F215">
            <v>7.8551307890000004</v>
          </cell>
          <cell r="G215">
            <v>7.8927475019999997</v>
          </cell>
          <cell r="H215">
            <v>7.9246982160000004</v>
          </cell>
          <cell r="I215">
            <v>7.9574615250000003</v>
          </cell>
          <cell r="J215">
            <v>7.9956838069999998</v>
          </cell>
          <cell r="K215">
            <v>8.0410269309999993</v>
          </cell>
          <cell r="L215">
            <v>8.0893662059999993</v>
          </cell>
          <cell r="M215">
            <v>8.1421642619999997</v>
          </cell>
          <cell r="N215">
            <v>8.1989037949999997</v>
          </cell>
          <cell r="O215">
            <v>8.2587556089999996</v>
          </cell>
          <cell r="P215">
            <v>8.3200844590000003</v>
          </cell>
          <cell r="Q215">
            <v>8.3895554499999996</v>
          </cell>
          <cell r="R215">
            <v>8.4616434320000007</v>
          </cell>
          <cell r="S215">
            <v>8.5356848490000008</v>
          </cell>
          <cell r="T215">
            <v>8.6113689119999997</v>
          </cell>
          <cell r="U215">
            <v>8.6884704480000003</v>
          </cell>
          <cell r="V215">
            <v>8.7665641969999992</v>
          </cell>
          <cell r="W215">
            <v>8.8457118720000008</v>
          </cell>
          <cell r="X215">
            <v>8.9258140620000006</v>
          </cell>
          <cell r="Y215">
            <v>9.0067790799999994</v>
          </cell>
          <cell r="Z215">
            <v>9.0837589780000005</v>
          </cell>
          <cell r="AA215">
            <v>9.1643467489999999</v>
          </cell>
          <cell r="AB215">
            <v>9.2464748140000008</v>
          </cell>
          <cell r="AC215">
            <v>9.3297343240000004</v>
          </cell>
          <cell r="AD215">
            <v>9.4140144130000003</v>
          </cell>
          <cell r="AE215">
            <v>9.4857024499999998</v>
          </cell>
          <cell r="AF215">
            <v>9.5601801490000007</v>
          </cell>
          <cell r="AG215">
            <v>9.6353003029999993</v>
          </cell>
          <cell r="AH215">
            <v>9.7109577290000004</v>
          </cell>
          <cell r="AI215">
            <v>9.7872993279999996</v>
          </cell>
          <cell r="AJ215">
            <v>9.8644967430000001</v>
          </cell>
          <cell r="AK215">
            <v>9.9427708409999997</v>
          </cell>
          <cell r="AL215">
            <v>10.022167960000001</v>
          </cell>
          <cell r="AM215">
            <v>10.10273291</v>
          </cell>
          <cell r="AN215">
            <v>10.18450981</v>
          </cell>
          <cell r="AO215">
            <v>10.267531139999999</v>
          </cell>
          <cell r="AP215">
            <v>10.349359740000001</v>
          </cell>
          <cell r="AQ215">
            <v>10.431316219999999</v>
          </cell>
          <cell r="AR215">
            <v>10.51388663</v>
          </cell>
          <cell r="AS215">
            <v>10.59731848</v>
          </cell>
          <cell r="AT215">
            <v>10.68175763</v>
          </cell>
          <cell r="AU215">
            <v>10.76741762</v>
          </cell>
          <cell r="AV215">
            <v>10.854263380000001</v>
          </cell>
          <cell r="AW215">
            <v>10.94232356</v>
          </cell>
          <cell r="AX215">
            <v>11.03161607</v>
          </cell>
          <cell r="AY215">
            <v>11.122145769999999</v>
          </cell>
          <cell r="AZ215">
            <v>11.214627979999999</v>
          </cell>
          <cell r="BA215">
            <v>11.3085621</v>
          </cell>
          <cell r="BB215">
            <v>11.40387555</v>
          </cell>
          <cell r="BC215">
            <v>11.500539549999999</v>
          </cell>
          <cell r="BD215">
            <v>11.598528529999999</v>
          </cell>
          <cell r="BE215">
            <v>13.19740314</v>
          </cell>
          <cell r="BF215">
            <v>13.36274448</v>
          </cell>
          <cell r="BG215">
            <v>13.530779470000001</v>
          </cell>
          <cell r="BH215">
            <v>13.7015577</v>
          </cell>
          <cell r="BI215">
            <v>13.87513983</v>
          </cell>
        </row>
        <row r="217">
          <cell r="E217" t="str">
            <v>YG_toe_cgas_2</v>
          </cell>
          <cell r="F217">
            <v>6.4247130190000004</v>
          </cell>
          <cell r="G217">
            <v>6.5025745050000001</v>
          </cell>
          <cell r="H217">
            <v>6.5391464199999998</v>
          </cell>
          <cell r="I217">
            <v>6.5548236360000001</v>
          </cell>
          <cell r="J217">
            <v>6.5592073910000002</v>
          </cell>
          <cell r="K217">
            <v>6.5568444469999996</v>
          </cell>
          <cell r="L217">
            <v>6.5453927500000004</v>
          </cell>
          <cell r="M217">
            <v>6.5311477900000003</v>
          </cell>
          <cell r="N217">
            <v>6.5147865850000004</v>
          </cell>
          <cell r="O217">
            <v>6.4967291710000001</v>
          </cell>
          <cell r="P217">
            <v>6.4702680340000001</v>
          </cell>
          <cell r="Q217">
            <v>6.4603692239999999</v>
          </cell>
          <cell r="R217">
            <v>6.4473283910000001</v>
          </cell>
          <cell r="S217">
            <v>6.4336126629999999</v>
          </cell>
          <cell r="T217">
            <v>6.4200011860000004</v>
          </cell>
          <cell r="U217">
            <v>6.4070391029999998</v>
          </cell>
          <cell r="V217">
            <v>6.3943970869999998</v>
          </cell>
          <cell r="W217">
            <v>6.3832636630000001</v>
          </cell>
          <cell r="X217">
            <v>6.3736975359999999</v>
          </cell>
          <cell r="Y217">
            <v>6.3656707590000003</v>
          </cell>
          <cell r="Z217">
            <v>6.3541678460000002</v>
          </cell>
          <cell r="AA217">
            <v>6.3495406589999996</v>
          </cell>
          <cell r="AB217">
            <v>6.3459542549999997</v>
          </cell>
          <cell r="AC217">
            <v>6.3432806680000002</v>
          </cell>
          <cell r="AD217">
            <v>6.3412490869999996</v>
          </cell>
          <cell r="AE217">
            <v>6.3260138750000001</v>
          </cell>
          <cell r="AF217">
            <v>6.3207355090000004</v>
          </cell>
          <cell r="AG217">
            <v>6.3161686460000004</v>
          </cell>
          <cell r="AH217">
            <v>6.3123305470000002</v>
          </cell>
          <cell r="AI217">
            <v>6.308872633</v>
          </cell>
          <cell r="AJ217">
            <v>6.3054691170000003</v>
          </cell>
          <cell r="AK217">
            <v>6.30209346</v>
          </cell>
          <cell r="AL217">
            <v>6.2982515440000002</v>
          </cell>
          <cell r="AM217">
            <v>6.2937753430000001</v>
          </cell>
          <cell r="AN217">
            <v>6.2885843289999999</v>
          </cell>
          <cell r="AO217">
            <v>6.2826517429999997</v>
          </cell>
          <cell r="AP217">
            <v>6.2750697830000002</v>
          </cell>
          <cell r="AQ217">
            <v>6.2668374949999999</v>
          </cell>
          <cell r="AR217">
            <v>6.2580985619999998</v>
          </cell>
          <cell r="AS217">
            <v>6.2489690370000002</v>
          </cell>
          <cell r="AT217">
            <v>6.2394829789999999</v>
          </cell>
          <cell r="AU217">
            <v>6.2299936139999996</v>
          </cell>
          <cell r="AV217">
            <v>6.2200349079999997</v>
          </cell>
          <cell r="AW217">
            <v>6.2096227470000001</v>
          </cell>
          <cell r="AX217">
            <v>6.1987679020000002</v>
          </cell>
          <cell r="AY217">
            <v>6.187488117</v>
          </cell>
          <cell r="AZ217">
            <v>6.1773711349999996</v>
          </cell>
          <cell r="BA217">
            <v>6.1665582030000001</v>
          </cell>
          <cell r="BB217">
            <v>6.155219185</v>
          </cell>
          <cell r="BC217">
            <v>6.1434546680000004</v>
          </cell>
          <cell r="BD217">
            <v>6.1313453879999997</v>
          </cell>
          <cell r="BE217">
            <v>6.2656216210000002</v>
          </cell>
          <cell r="BF217">
            <v>6.2765990770000002</v>
          </cell>
          <cell r="BG217">
            <v>6.2882836400000004</v>
          </cell>
          <cell r="BH217">
            <v>6.3006207659999998</v>
          </cell>
          <cell r="BI217">
            <v>6.3135823980000003</v>
          </cell>
        </row>
        <row r="223">
          <cell r="E223" t="str">
            <v>YG_toe_cele_2</v>
          </cell>
          <cell r="F223">
            <v>56.621799979999999</v>
          </cell>
          <cell r="G223">
            <v>56.899055920000002</v>
          </cell>
          <cell r="H223">
            <v>57.196645699999998</v>
          </cell>
          <cell r="I223">
            <v>57.535402310000002</v>
          </cell>
          <cell r="J223">
            <v>57.937217879999999</v>
          </cell>
          <cell r="K223">
            <v>58.404650779999997</v>
          </cell>
          <cell r="L223">
            <v>58.896421719999999</v>
          </cell>
          <cell r="M223">
            <v>59.42091319</v>
          </cell>
          <cell r="N223">
            <v>59.970176129999999</v>
          </cell>
          <cell r="O223">
            <v>60.535697229999997</v>
          </cell>
          <cell r="P223">
            <v>61.088491060000003</v>
          </cell>
          <cell r="Q223">
            <v>61.718747489999998</v>
          </cell>
          <cell r="R223">
            <v>62.361629809999997</v>
          </cell>
          <cell r="S223">
            <v>63.00963497</v>
          </cell>
          <cell r="T223">
            <v>63.659614210000001</v>
          </cell>
          <cell r="U223">
            <v>64.309593140000004</v>
          </cell>
          <cell r="V223">
            <v>64.955041820000005</v>
          </cell>
          <cell r="W223">
            <v>65.598016479999998</v>
          </cell>
          <cell r="X223">
            <v>66.238683199999997</v>
          </cell>
          <cell r="Y223">
            <v>66.877522440000007</v>
          </cell>
          <cell r="Z223">
            <v>67.476174900000004</v>
          </cell>
          <cell r="AA223">
            <v>68.100617959999994</v>
          </cell>
          <cell r="AB223">
            <v>68.732397770000006</v>
          </cell>
          <cell r="AC223">
            <v>69.370113450000005</v>
          </cell>
          <cell r="AD223">
            <v>70.014365670000004</v>
          </cell>
          <cell r="AE223">
            <v>70.554692470000006</v>
          </cell>
          <cell r="AF223">
            <v>71.125225</v>
          </cell>
          <cell r="AG223">
            <v>71.703238440000007</v>
          </cell>
          <cell r="AH223">
            <v>72.289085279999995</v>
          </cell>
          <cell r="AI223">
            <v>72.884798520000004</v>
          </cell>
          <cell r="AJ223">
            <v>73.492345560000004</v>
          </cell>
          <cell r="AK223">
            <v>74.114261020000001</v>
          </cell>
          <cell r="AL223">
            <v>74.750902310000001</v>
          </cell>
          <cell r="AM223">
            <v>75.402940520000001</v>
          </cell>
          <cell r="AN223">
            <v>76.070738309999996</v>
          </cell>
          <cell r="AO223">
            <v>76.754375699999997</v>
          </cell>
          <cell r="AP223">
            <v>77.436715500000005</v>
          </cell>
          <cell r="AQ223">
            <v>78.126886929999998</v>
          </cell>
          <cell r="AR223">
            <v>78.827807289999996</v>
          </cell>
          <cell r="AS223">
            <v>79.540840540000005</v>
          </cell>
          <cell r="AT223">
            <v>80.266649009999995</v>
          </cell>
          <cell r="AU223">
            <v>81.007080040000005</v>
          </cell>
          <cell r="AV223">
            <v>81.760981599999994</v>
          </cell>
          <cell r="AW223">
            <v>82.528231669999997</v>
          </cell>
          <cell r="AX223">
            <v>83.308685609999998</v>
          </cell>
          <cell r="AY223">
            <v>84.102133949999995</v>
          </cell>
          <cell r="AZ223">
            <v>84.916240310000006</v>
          </cell>
          <cell r="BA223">
            <v>85.744886280000003</v>
          </cell>
          <cell r="BB223">
            <v>86.587268399999999</v>
          </cell>
          <cell r="BC223">
            <v>87.442986610000005</v>
          </cell>
          <cell r="BD223">
            <v>88.311690609999999</v>
          </cell>
          <cell r="BE223">
            <v>100.3150411</v>
          </cell>
          <cell r="BF223">
            <v>101.6970796</v>
          </cell>
          <cell r="BG223">
            <v>103.1047011</v>
          </cell>
          <cell r="BH223">
            <v>104.53813890000001</v>
          </cell>
          <cell r="BI223">
            <v>105.99762610000001</v>
          </cell>
        </row>
        <row r="233">
          <cell r="E233" t="str">
            <v>YG_toe_chea_2</v>
          </cell>
          <cell r="F233">
            <v>5.6660130520000003</v>
          </cell>
          <cell r="G233">
            <v>5.7223441920000004</v>
          </cell>
          <cell r="H233">
            <v>5.7850004889999997</v>
          </cell>
          <cell r="I233">
            <v>5.849364639</v>
          </cell>
          <cell r="J233">
            <v>5.9155752069999998</v>
          </cell>
          <cell r="K233">
            <v>5.9842091960000001</v>
          </cell>
          <cell r="L233">
            <v>6.0502161110000001</v>
          </cell>
          <cell r="M233">
            <v>6.1167686229999996</v>
          </cell>
          <cell r="N233">
            <v>6.1847795989999996</v>
          </cell>
          <cell r="O233">
            <v>6.2543099340000001</v>
          </cell>
          <cell r="P233">
            <v>6.3301224520000003</v>
          </cell>
          <cell r="Q233">
            <v>6.4066083899999997</v>
          </cell>
          <cell r="R233">
            <v>6.4828846020000004</v>
          </cell>
          <cell r="S233">
            <v>6.5591156799999997</v>
          </cell>
          <cell r="T233">
            <v>6.6353782649999999</v>
          </cell>
          <cell r="U233">
            <v>6.711639828</v>
          </cell>
          <cell r="V233">
            <v>6.7876902509999999</v>
          </cell>
          <cell r="W233">
            <v>6.8635833999999996</v>
          </cell>
          <cell r="X233">
            <v>6.9392874520000003</v>
          </cell>
          <cell r="Y233">
            <v>7.0147906569999998</v>
          </cell>
          <cell r="Z233">
            <v>7.083944668</v>
          </cell>
          <cell r="AA233">
            <v>7.156666446</v>
          </cell>
          <cell r="AB233">
            <v>7.2307098390000002</v>
          </cell>
          <cell r="AC233">
            <v>7.3053472230000001</v>
          </cell>
          <cell r="AD233">
            <v>7.3803432899999999</v>
          </cell>
          <cell r="AE233">
            <v>7.4385063130000004</v>
          </cell>
          <cell r="AF233">
            <v>7.4992853909999999</v>
          </cell>
          <cell r="AG233">
            <v>7.5610227590000001</v>
          </cell>
          <cell r="AH233">
            <v>7.6233390429999996</v>
          </cell>
          <cell r="AI233">
            <v>7.6861657299999999</v>
          </cell>
          <cell r="AJ233">
            <v>7.7495237680000004</v>
          </cell>
          <cell r="AK233">
            <v>7.8134990159999997</v>
          </cell>
          <cell r="AL233">
            <v>7.8781029279999997</v>
          </cell>
          <cell r="AM233">
            <v>7.9433712080000003</v>
          </cell>
          <cell r="AN233">
            <v>8.0093309020000003</v>
          </cell>
          <cell r="AO233">
            <v>8.0759962600000001</v>
          </cell>
          <cell r="AP233">
            <v>8.1399451119999995</v>
          </cell>
          <cell r="AQ233">
            <v>8.2031236700000001</v>
          </cell>
          <cell r="AR233">
            <v>8.2663547499999996</v>
          </cell>
          <cell r="AS233">
            <v>8.3299974100000007</v>
          </cell>
          <cell r="AT233">
            <v>8.394200863</v>
          </cell>
          <cell r="AU233">
            <v>8.4590838149999996</v>
          </cell>
          <cell r="AV233">
            <v>8.5246045370000001</v>
          </cell>
          <cell r="AW233">
            <v>8.5907573809999995</v>
          </cell>
          <cell r="AX233">
            <v>8.6575346470000003</v>
          </cell>
          <cell r="AY233">
            <v>8.7249237229999999</v>
          </cell>
          <cell r="AZ233">
            <v>8.7934610339999999</v>
          </cell>
          <cell r="BA233">
            <v>8.862746692</v>
          </cell>
          <cell r="BB233">
            <v>8.9326941729999998</v>
          </cell>
          <cell r="BC233">
            <v>9.0032753250000006</v>
          </cell>
          <cell r="BD233">
            <v>9.0744700839999997</v>
          </cell>
          <cell r="BE233">
            <v>9.5287003880000007</v>
          </cell>
          <cell r="BF233">
            <v>9.6281772360000009</v>
          </cell>
          <cell r="BG233">
            <v>9.7291266630000006</v>
          </cell>
          <cell r="BH233">
            <v>9.831553778</v>
          </cell>
          <cell r="BI233">
            <v>9.9354808410000004</v>
          </cell>
        </row>
        <row r="235">
          <cell r="E235" t="str">
            <v>YG_toe_cbio_2</v>
          </cell>
          <cell r="F235">
            <v>11.105718449999999</v>
          </cell>
          <cell r="G235">
            <v>11.08697991</v>
          </cell>
          <cell r="H235">
            <v>11.07434731</v>
          </cell>
          <cell r="I235">
            <v>11.075469330000001</v>
          </cell>
          <cell r="J235">
            <v>11.09021751</v>
          </cell>
          <cell r="K235">
            <v>11.116616110000001</v>
          </cell>
          <cell r="L235">
            <v>11.146716809999999</v>
          </cell>
          <cell r="M235">
            <v>11.18067705</v>
          </cell>
          <cell r="N235">
            <v>11.21690667</v>
          </cell>
          <cell r="O235">
            <v>11.25425156</v>
          </cell>
          <cell r="P235">
            <v>11.294926390000001</v>
          </cell>
          <cell r="Q235">
            <v>11.33840067</v>
          </cell>
          <cell r="R235">
            <v>11.38157898</v>
          </cell>
          <cell r="S235">
            <v>11.424714610000001</v>
          </cell>
          <cell r="T235">
            <v>11.46808794</v>
          </cell>
          <cell r="U235">
            <v>11.511818269999999</v>
          </cell>
          <cell r="V235">
            <v>11.555486330000001</v>
          </cell>
          <cell r="W235">
            <v>11.599250359999999</v>
          </cell>
          <cell r="X235">
            <v>11.643168660000001</v>
          </cell>
          <cell r="Y235">
            <v>11.687288730000001</v>
          </cell>
          <cell r="Z235">
            <v>11.725598639999999</v>
          </cell>
          <cell r="AA235">
            <v>11.7676605</v>
          </cell>
          <cell r="AB235">
            <v>11.81144076</v>
          </cell>
          <cell r="AC235">
            <v>11.85625735</v>
          </cell>
          <cell r="AD235">
            <v>11.901875009999999</v>
          </cell>
          <cell r="AE235">
            <v>11.93139077</v>
          </cell>
          <cell r="AF235">
            <v>11.96357038</v>
          </cell>
          <cell r="AG235">
            <v>11.997013859999999</v>
          </cell>
          <cell r="AH235">
            <v>12.03143515</v>
          </cell>
          <cell r="AI235">
            <v>12.066804879999999</v>
          </cell>
          <cell r="AJ235">
            <v>12.10317936</v>
          </cell>
          <cell r="AK235">
            <v>12.14075519</v>
          </cell>
          <cell r="AL235">
            <v>12.179544460000001</v>
          </cell>
          <cell r="AM235">
            <v>12.21956759</v>
          </cell>
          <cell r="AN235">
            <v>12.260827799999999</v>
          </cell>
          <cell r="AO235">
            <v>12.30331327</v>
          </cell>
          <cell r="AP235">
            <v>12.34438602</v>
          </cell>
          <cell r="AQ235">
            <v>12.3856579</v>
          </cell>
          <cell r="AR235">
            <v>12.42770765</v>
          </cell>
          <cell r="AS235">
            <v>12.470707129999999</v>
          </cell>
          <cell r="AT235">
            <v>12.514687739999999</v>
          </cell>
          <cell r="AU235">
            <v>12.5598343</v>
          </cell>
          <cell r="AV235">
            <v>12.60605269</v>
          </cell>
          <cell r="AW235">
            <v>12.65329551</v>
          </cell>
          <cell r="AX235">
            <v>12.70152156</v>
          </cell>
          <cell r="AY235">
            <v>12.75069427</v>
          </cell>
          <cell r="AZ235">
            <v>12.80177919</v>
          </cell>
          <cell r="BA235">
            <v>12.85428478</v>
          </cell>
          <cell r="BB235">
            <v>12.90800142</v>
          </cell>
          <cell r="BC235">
            <v>12.96278306</v>
          </cell>
          <cell r="BD235">
            <v>13.01852581</v>
          </cell>
          <cell r="BE235">
            <v>14.15840839</v>
          </cell>
          <cell r="BF235">
            <v>14.268085299999999</v>
          </cell>
          <cell r="BG235">
            <v>14.38012975</v>
          </cell>
          <cell r="BH235">
            <v>14.49452866</v>
          </cell>
          <cell r="BI235">
            <v>14.61129745</v>
          </cell>
        </row>
        <row r="238">
          <cell r="E238" t="str">
            <v>YG_toe_cote_2</v>
          </cell>
          <cell r="F238">
            <v>13.45891608</v>
          </cell>
          <cell r="G238">
            <v>13.54143167</v>
          </cell>
          <cell r="H238">
            <v>13.6596165</v>
          </cell>
          <cell r="I238">
            <v>13.79258332</v>
          </cell>
          <cell r="J238">
            <v>13.937977930000001</v>
          </cell>
          <cell r="K238">
            <v>14.09432793</v>
          </cell>
          <cell r="L238">
            <v>14.249019690000001</v>
          </cell>
          <cell r="M238">
            <v>14.408763459999999</v>
          </cell>
          <cell r="N238">
            <v>14.572986070000001</v>
          </cell>
          <cell r="O238">
            <v>14.740712370000001</v>
          </cell>
          <cell r="P238">
            <v>14.89386109</v>
          </cell>
          <cell r="Q238">
            <v>15.087587170000001</v>
          </cell>
          <cell r="R238">
            <v>15.2867181</v>
          </cell>
          <cell r="S238">
            <v>15.488373210000001</v>
          </cell>
          <cell r="T238">
            <v>15.69186133</v>
          </cell>
          <cell r="U238">
            <v>15.89691766</v>
          </cell>
          <cell r="V238">
            <v>16.10175808</v>
          </cell>
          <cell r="W238">
            <v>16.307772140000001</v>
          </cell>
          <cell r="X238">
            <v>16.515090399999998</v>
          </cell>
          <cell r="Y238">
            <v>16.7238118</v>
          </cell>
          <cell r="Z238">
            <v>16.921387859999999</v>
          </cell>
          <cell r="AA238">
            <v>17.130670110000001</v>
          </cell>
          <cell r="AB238">
            <v>17.34308124</v>
          </cell>
          <cell r="AC238">
            <v>17.558039770000001</v>
          </cell>
          <cell r="AD238">
            <v>17.77555624</v>
          </cell>
          <cell r="AE238">
            <v>17.959563429999999</v>
          </cell>
          <cell r="AF238">
            <v>18.158589020000001</v>
          </cell>
          <cell r="AG238">
            <v>18.360345819999999</v>
          </cell>
          <cell r="AH238">
            <v>18.564354309999999</v>
          </cell>
          <cell r="AI238">
            <v>18.770813990000001</v>
          </cell>
          <cell r="AJ238">
            <v>18.97999123</v>
          </cell>
          <cell r="AK238">
            <v>19.1925971</v>
          </cell>
          <cell r="AL238">
            <v>19.408360559999998</v>
          </cell>
          <cell r="AM238">
            <v>19.627341139999999</v>
          </cell>
          <cell r="AN238">
            <v>19.84957262</v>
          </cell>
          <cell r="AO238">
            <v>20.075054179999999</v>
          </cell>
          <cell r="AP238">
            <v>20.299865709999999</v>
          </cell>
          <cell r="AQ238">
            <v>20.526561210000001</v>
          </cell>
          <cell r="AR238">
            <v>20.75561738</v>
          </cell>
          <cell r="AS238">
            <v>20.987227969999999</v>
          </cell>
          <cell r="AT238">
            <v>21.221495829999999</v>
          </cell>
          <cell r="AU238">
            <v>21.45927695</v>
          </cell>
          <cell r="AV238">
            <v>21.699930290000001</v>
          </cell>
          <cell r="AW238">
            <v>21.943427440000001</v>
          </cell>
          <cell r="AX238">
            <v>22.189762120000001</v>
          </cell>
          <cell r="AY238">
            <v>22.438920589999999</v>
          </cell>
          <cell r="AZ238">
            <v>22.69448057</v>
          </cell>
          <cell r="BA238">
            <v>22.95339487</v>
          </cell>
          <cell r="BB238">
            <v>23.215391489999998</v>
          </cell>
          <cell r="BC238">
            <v>23.480382200000001</v>
          </cell>
          <cell r="BD238">
            <v>23.74831262</v>
          </cell>
          <cell r="BE238">
            <v>29.933448439999999</v>
          </cell>
          <cell r="BF238">
            <v>30.42883411</v>
          </cell>
          <cell r="BG238">
            <v>30.932684080000001</v>
          </cell>
          <cell r="BH238">
            <v>31.445132619999999</v>
          </cell>
          <cell r="BI238">
            <v>31.966317310000001</v>
          </cell>
        </row>
        <row r="241">
          <cell r="E241" t="str">
            <v>YG_toe_0</v>
          </cell>
          <cell r="F241">
            <v>148.7539031</v>
          </cell>
          <cell r="G241">
            <v>149.9412342</v>
          </cell>
          <cell r="H241">
            <v>151.04358999999999</v>
          </cell>
          <cell r="I241">
            <v>152.21546219999999</v>
          </cell>
          <cell r="J241">
            <v>153.5049544</v>
          </cell>
          <cell r="K241">
            <v>154.9279942</v>
          </cell>
          <cell r="L241">
            <v>156.3904393</v>
          </cell>
          <cell r="M241">
            <v>157.9308772</v>
          </cell>
          <cell r="N241">
            <v>159.53738469999999</v>
          </cell>
          <cell r="O241">
            <v>161.19526300000001</v>
          </cell>
          <cell r="P241">
            <v>163.04248129999999</v>
          </cell>
          <cell r="Q241">
            <v>164.8173654</v>
          </cell>
          <cell r="R241">
            <v>166.59956059999999</v>
          </cell>
          <cell r="S241">
            <v>168.39561670000001</v>
          </cell>
          <cell r="T241">
            <v>170.2067753</v>
          </cell>
          <cell r="U241">
            <v>172.0335111</v>
          </cell>
          <cell r="V241">
            <v>173.87654760000001</v>
          </cell>
          <cell r="W241">
            <v>175.73701080000001</v>
          </cell>
          <cell r="X241">
            <v>177.616364</v>
          </cell>
          <cell r="Y241">
            <v>179.5162976</v>
          </cell>
          <cell r="Z241">
            <v>181.32944319999999</v>
          </cell>
          <cell r="AA241">
            <v>183.2430426</v>
          </cell>
          <cell r="AB241">
            <v>185.19625569999999</v>
          </cell>
          <cell r="AC241">
            <v>187.18375610000001</v>
          </cell>
          <cell r="AD241">
            <v>189.2048983</v>
          </cell>
          <cell r="AE241">
            <v>190.9473625</v>
          </cell>
          <cell r="AF241">
            <v>192.79503099999999</v>
          </cell>
          <cell r="AG241">
            <v>194.67020890000001</v>
          </cell>
          <cell r="AH241">
            <v>196.57115350000001</v>
          </cell>
          <cell r="AI241">
            <v>198.5002246</v>
          </cell>
          <cell r="AJ241">
            <v>200.46024940000001</v>
          </cell>
          <cell r="AK241">
            <v>202.4535937</v>
          </cell>
          <cell r="AL241">
            <v>204.48195219999999</v>
          </cell>
          <cell r="AM241">
            <v>206.54637690000001</v>
          </cell>
          <cell r="AN241">
            <v>208.64738940000001</v>
          </cell>
          <cell r="AO241">
            <v>210.78511599999999</v>
          </cell>
          <cell r="AP241">
            <v>212.88488269999999</v>
          </cell>
          <cell r="AQ241">
            <v>214.99802600000001</v>
          </cell>
          <cell r="AR241">
            <v>217.1329484</v>
          </cell>
          <cell r="AS241">
            <v>219.29347419999999</v>
          </cell>
          <cell r="AT241">
            <v>221.48204630000001</v>
          </cell>
          <cell r="AU241">
            <v>223.7005102</v>
          </cell>
          <cell r="AV241">
            <v>225.9503129</v>
          </cell>
          <cell r="AW241">
            <v>228.23256749999999</v>
          </cell>
          <cell r="AX241">
            <v>230.54804870000001</v>
          </cell>
          <cell r="AY241">
            <v>232.8970721</v>
          </cell>
          <cell r="AZ241">
            <v>235.28533590000001</v>
          </cell>
          <cell r="BA241">
            <v>237.70370270000001</v>
          </cell>
          <cell r="BB241">
            <v>240.148944</v>
          </cell>
          <cell r="BC241">
            <v>242.62557390000001</v>
          </cell>
          <cell r="BD241">
            <v>245.1377923</v>
          </cell>
          <cell r="BE241">
            <v>263.32302049999998</v>
          </cell>
          <cell r="BF241">
            <v>266.90438410000002</v>
          </cell>
          <cell r="BG241">
            <v>270.54608409999997</v>
          </cell>
          <cell r="BH241">
            <v>274.249459</v>
          </cell>
          <cell r="BI241">
            <v>278.01577370000001</v>
          </cell>
        </row>
        <row r="242">
          <cell r="E242" t="str">
            <v>YG_toe_ccoa_0</v>
          </cell>
          <cell r="F242">
            <v>2.395310383</v>
          </cell>
          <cell r="G242">
            <v>2.4206345919999999</v>
          </cell>
          <cell r="H242">
            <v>2.447536323</v>
          </cell>
          <cell r="I242">
            <v>2.4770827469999999</v>
          </cell>
          <cell r="J242">
            <v>2.5093666809999999</v>
          </cell>
          <cell r="K242">
            <v>2.5441740340000001</v>
          </cell>
          <cell r="L242">
            <v>2.579616256</v>
          </cell>
          <cell r="M242">
            <v>2.6163531619999998</v>
          </cell>
          <cell r="N242">
            <v>2.654317824</v>
          </cell>
          <cell r="O242">
            <v>2.6933564520000002</v>
          </cell>
          <cell r="P242">
            <v>2.735985152</v>
          </cell>
          <cell r="Q242">
            <v>2.7776421349999998</v>
          </cell>
          <cell r="R242">
            <v>2.8196814479999999</v>
          </cell>
          <cell r="S242">
            <v>2.8623338180000002</v>
          </cell>
          <cell r="T242">
            <v>2.9056221459999998</v>
          </cell>
          <cell r="U242">
            <v>2.9495423490000001</v>
          </cell>
          <cell r="V242">
            <v>2.9940955410000001</v>
          </cell>
          <cell r="W242">
            <v>3.0392911709999999</v>
          </cell>
          <cell r="X242">
            <v>3.0851448000000001</v>
          </cell>
          <cell r="Y242">
            <v>3.1316753720000001</v>
          </cell>
          <cell r="Z242">
            <v>3.1769283779999999</v>
          </cell>
          <cell r="AA242">
            <v>3.2242513719999999</v>
          </cell>
          <cell r="AB242">
            <v>3.2726041110000001</v>
          </cell>
          <cell r="AC242">
            <v>3.3217969969999999</v>
          </cell>
          <cell r="AD242">
            <v>3.3718056820000002</v>
          </cell>
          <cell r="AE242">
            <v>3.4169121250000001</v>
          </cell>
          <cell r="AF242">
            <v>3.4640408790000001</v>
          </cell>
          <cell r="AG242">
            <v>3.5119538729999999</v>
          </cell>
          <cell r="AH242">
            <v>3.5604472089999999</v>
          </cell>
          <cell r="AI242">
            <v>3.6095196450000002</v>
          </cell>
          <cell r="AJ242">
            <v>3.6592028270000001</v>
          </cell>
          <cell r="AK242">
            <v>3.7095267660000002</v>
          </cell>
          <cell r="AL242">
            <v>3.7605126790000001</v>
          </cell>
          <cell r="AM242">
            <v>3.812172473</v>
          </cell>
          <cell r="AN242">
            <v>3.864510267</v>
          </cell>
          <cell r="AO242">
            <v>3.9175245410000001</v>
          </cell>
          <cell r="AP242">
            <v>3.9698140799999999</v>
          </cell>
          <cell r="AQ242">
            <v>4.0223102009999998</v>
          </cell>
          <cell r="AR242">
            <v>4.0752093900000004</v>
          </cell>
          <cell r="AS242">
            <v>4.1285652629999996</v>
          </cell>
          <cell r="AT242">
            <v>4.1824051940000002</v>
          </cell>
          <cell r="AU242">
            <v>4.2367514550000003</v>
          </cell>
          <cell r="AV242">
            <v>4.2916239190000001</v>
          </cell>
          <cell r="AW242">
            <v>4.3470395030000004</v>
          </cell>
          <cell r="AX242">
            <v>4.4030115600000004</v>
          </cell>
          <cell r="AY242">
            <v>4.4595492160000001</v>
          </cell>
          <cell r="AZ242">
            <v>4.5167821320000003</v>
          </cell>
          <cell r="BA242">
            <v>4.5746674629999999</v>
          </cell>
          <cell r="BB242">
            <v>4.6332013940000003</v>
          </cell>
          <cell r="BC242">
            <v>4.6923859270000001</v>
          </cell>
          <cell r="BD242">
            <v>4.752222293</v>
          </cell>
          <cell r="BE242">
            <v>5.2808698180000002</v>
          </cell>
          <cell r="BF242">
            <v>5.3692964270000001</v>
          </cell>
          <cell r="BG242">
            <v>5.4590872729999997</v>
          </cell>
          <cell r="BH242">
            <v>5.5502613419999998</v>
          </cell>
          <cell r="BI242">
            <v>5.6428395079999998</v>
          </cell>
        </row>
        <row r="245">
          <cell r="E245" t="str">
            <v>YG_toe_ccoi_0</v>
          </cell>
          <cell r="F245">
            <v>1.097368924</v>
          </cell>
          <cell r="G245">
            <v>1.1057038960000001</v>
          </cell>
          <cell r="H245">
            <v>1.1130509319999999</v>
          </cell>
          <cell r="I245">
            <v>1.121294832</v>
          </cell>
          <cell r="J245">
            <v>1.1309730769999999</v>
          </cell>
          <cell r="K245">
            <v>1.1421154529999999</v>
          </cell>
          <cell r="L245">
            <v>1.153956024</v>
          </cell>
          <cell r="M245">
            <v>1.166592182</v>
          </cell>
          <cell r="N245">
            <v>1.179891311</v>
          </cell>
          <cell r="O245">
            <v>1.1937072630000001</v>
          </cell>
          <cell r="P245">
            <v>1.2089186700000001</v>
          </cell>
          <cell r="Q245">
            <v>1.223835301</v>
          </cell>
          <cell r="R245">
            <v>1.2388558940000001</v>
          </cell>
          <cell r="S245">
            <v>1.2540528419999999</v>
          </cell>
          <cell r="T245">
            <v>1.2694263589999999</v>
          </cell>
          <cell r="U245">
            <v>1.2849680990000001</v>
          </cell>
          <cell r="V245">
            <v>1.3006731840000001</v>
          </cell>
          <cell r="W245">
            <v>1.3165411570000001</v>
          </cell>
          <cell r="X245">
            <v>1.332574945</v>
          </cell>
          <cell r="Y245">
            <v>1.3487797370000001</v>
          </cell>
          <cell r="Z245">
            <v>1.3644293780000001</v>
          </cell>
          <cell r="AA245">
            <v>1.380725043</v>
          </cell>
          <cell r="AB245">
            <v>1.397337923</v>
          </cell>
          <cell r="AC245">
            <v>1.414195976</v>
          </cell>
          <cell r="AD245">
            <v>1.431289265</v>
          </cell>
          <cell r="AE245">
            <v>1.446507502</v>
          </cell>
          <cell r="AF245">
            <v>1.462297044</v>
          </cell>
          <cell r="AG245">
            <v>1.4783070869999999</v>
          </cell>
          <cell r="AH245">
            <v>1.494476084</v>
          </cell>
          <cell r="AI245">
            <v>1.510813642</v>
          </cell>
          <cell r="AJ245">
            <v>1.527341163</v>
          </cell>
          <cell r="AK245">
            <v>1.544078456</v>
          </cell>
          <cell r="AL245">
            <v>1.5610409240000001</v>
          </cell>
          <cell r="AM245">
            <v>1.5782395229999999</v>
          </cell>
          <cell r="AN245">
            <v>1.5956815129999999</v>
          </cell>
          <cell r="AO245">
            <v>1.613371374</v>
          </cell>
          <cell r="AP245">
            <v>1.630802227</v>
          </cell>
          <cell r="AQ245">
            <v>1.648293217</v>
          </cell>
          <cell r="AR245">
            <v>1.665929502</v>
          </cell>
          <cell r="AS245">
            <v>1.6837411170000001</v>
          </cell>
          <cell r="AT245">
            <v>1.7017460659999999</v>
          </cell>
          <cell r="AU245">
            <v>1.719958804</v>
          </cell>
          <cell r="AV245">
            <v>1.7383914620000001</v>
          </cell>
          <cell r="AW245">
            <v>1.757053814</v>
          </cell>
          <cell r="AX245">
            <v>1.775953085</v>
          </cell>
          <cell r="AY245">
            <v>1.795093324</v>
          </cell>
          <cell r="AZ245">
            <v>1.8145177779999999</v>
          </cell>
          <cell r="BA245">
            <v>1.8341973600000001</v>
          </cell>
          <cell r="BB245">
            <v>1.854120346</v>
          </cell>
          <cell r="BC245">
            <v>1.8742991579999999</v>
          </cell>
          <cell r="BD245">
            <v>1.894746694</v>
          </cell>
          <cell r="BE245">
            <v>2.0594486289999998</v>
          </cell>
          <cell r="BF245">
            <v>2.0887388640000002</v>
          </cell>
          <cell r="BG245">
            <v>2.118508641</v>
          </cell>
          <cell r="BH245">
            <v>2.1487698270000002</v>
          </cell>
          <cell r="BI245">
            <v>2.1795345500000001</v>
          </cell>
        </row>
        <row r="248">
          <cell r="E248" t="str">
            <v>YG_toe_cfut_0</v>
          </cell>
          <cell r="F248">
            <v>42.403763159999997</v>
          </cell>
          <cell r="G248">
            <v>42.671330259999998</v>
          </cell>
          <cell r="H248">
            <v>42.920814280000002</v>
          </cell>
          <cell r="I248">
            <v>43.221645610000003</v>
          </cell>
          <cell r="J248">
            <v>43.59053445</v>
          </cell>
          <cell r="K248">
            <v>44.022083260000002</v>
          </cell>
          <cell r="L248">
            <v>44.483522000000001</v>
          </cell>
          <cell r="M248">
            <v>44.978733200000001</v>
          </cell>
          <cell r="N248">
            <v>45.500559770000002</v>
          </cell>
          <cell r="O248">
            <v>46.043145780000003</v>
          </cell>
          <cell r="P248">
            <v>46.639897910000002</v>
          </cell>
          <cell r="Q248">
            <v>47.223769050000001</v>
          </cell>
          <cell r="R248">
            <v>47.81572371</v>
          </cell>
          <cell r="S248">
            <v>48.415613700000002</v>
          </cell>
          <cell r="T248">
            <v>49.022576489999999</v>
          </cell>
          <cell r="U248">
            <v>49.635924340000003</v>
          </cell>
          <cell r="V248">
            <v>50.255243350000001</v>
          </cell>
          <cell r="W248">
            <v>50.880344450000003</v>
          </cell>
          <cell r="X248">
            <v>51.511200580000001</v>
          </cell>
          <cell r="Y248">
            <v>52.147895470000002</v>
          </cell>
          <cell r="Z248">
            <v>52.762622989999997</v>
          </cell>
          <cell r="AA248">
            <v>53.403172920000003</v>
          </cell>
          <cell r="AB248">
            <v>54.052528619999997</v>
          </cell>
          <cell r="AC248">
            <v>54.709884330000001</v>
          </cell>
          <cell r="AD248">
            <v>55.37528906</v>
          </cell>
          <cell r="AE248">
            <v>55.968175440000003</v>
          </cell>
          <cell r="AF248">
            <v>56.58789024</v>
          </cell>
          <cell r="AG248">
            <v>57.211059259999999</v>
          </cell>
          <cell r="AH248">
            <v>57.837820020000002</v>
          </cell>
          <cell r="AI248">
            <v>58.469319259999999</v>
          </cell>
          <cell r="AJ248">
            <v>59.106717510000003</v>
          </cell>
          <cell r="AK248">
            <v>59.750971749999998</v>
          </cell>
          <cell r="AL248">
            <v>60.402807979999999</v>
          </cell>
          <cell r="AM248">
            <v>61.062747119999997</v>
          </cell>
          <cell r="AN248">
            <v>61.731146350000003</v>
          </cell>
          <cell r="AO248">
            <v>62.408241510000003</v>
          </cell>
          <cell r="AP248">
            <v>63.07468274</v>
          </cell>
          <cell r="AQ248">
            <v>63.744179350000003</v>
          </cell>
          <cell r="AR248">
            <v>64.418396830000006</v>
          </cell>
          <cell r="AS248">
            <v>65.09824399</v>
          </cell>
          <cell r="AT248">
            <v>65.784468090000004</v>
          </cell>
          <cell r="AU248">
            <v>66.477733459999996</v>
          </cell>
          <cell r="AV248">
            <v>67.178612049999998</v>
          </cell>
          <cell r="AW248">
            <v>67.887572989999995</v>
          </cell>
          <cell r="AX248">
            <v>68.604983439999998</v>
          </cell>
          <cell r="AY248">
            <v>69.331117430000006</v>
          </cell>
          <cell r="AZ248">
            <v>70.067921839999997</v>
          </cell>
          <cell r="BA248">
            <v>70.814276680000006</v>
          </cell>
          <cell r="BB248">
            <v>71.570129690000002</v>
          </cell>
          <cell r="BC248">
            <v>72.335539359999999</v>
          </cell>
          <cell r="BD248">
            <v>73.110565440000002</v>
          </cell>
          <cell r="BE248">
            <v>79.660940400000001</v>
          </cell>
          <cell r="BF248">
            <v>80.770912499999994</v>
          </cell>
          <cell r="BG248">
            <v>81.898136870000002</v>
          </cell>
          <cell r="BH248">
            <v>83.043075369999997</v>
          </cell>
          <cell r="BI248">
            <v>84.206216670000003</v>
          </cell>
        </row>
        <row r="251">
          <cell r="E251" t="str">
            <v>YG_toe_cfuh_0</v>
          </cell>
          <cell r="F251">
            <v>7.942823883</v>
          </cell>
          <cell r="G251">
            <v>8.0004213370000006</v>
          </cell>
          <cell r="H251">
            <v>8.0493748949999997</v>
          </cell>
          <cell r="I251">
            <v>8.0983180370000003</v>
          </cell>
          <cell r="J251">
            <v>8.1500469330000005</v>
          </cell>
          <cell r="K251">
            <v>8.2086689160000006</v>
          </cell>
          <cell r="L251">
            <v>8.2710929180000008</v>
          </cell>
          <cell r="M251">
            <v>8.3388245009999995</v>
          </cell>
          <cell r="N251">
            <v>8.4111189680000003</v>
          </cell>
          <cell r="O251">
            <v>8.4869429249999992</v>
          </cell>
          <cell r="P251">
            <v>8.5723894610000002</v>
          </cell>
          <cell r="Q251">
            <v>8.6557614750000003</v>
          </cell>
          <cell r="R251">
            <v>8.7396671149999996</v>
          </cell>
          <cell r="S251">
            <v>8.8244490199999994</v>
          </cell>
          <cell r="T251">
            <v>8.9101403309999991</v>
          </cell>
          <cell r="U251">
            <v>8.9967330899999993</v>
          </cell>
          <cell r="V251">
            <v>9.0842334969999996</v>
          </cell>
          <cell r="W251">
            <v>9.1726677680000002</v>
          </cell>
          <cell r="X251">
            <v>9.2620776619999994</v>
          </cell>
          <cell r="Y251">
            <v>9.3525150779999997</v>
          </cell>
          <cell r="Z251">
            <v>9.4389963760000004</v>
          </cell>
          <cell r="AA251">
            <v>9.5296474680000003</v>
          </cell>
          <cell r="AB251">
            <v>9.6223272790000003</v>
          </cell>
          <cell r="AC251">
            <v>9.7166659410000005</v>
          </cell>
          <cell r="AD251">
            <v>9.8125826350000001</v>
          </cell>
          <cell r="AE251">
            <v>9.8956498439999994</v>
          </cell>
          <cell r="AF251">
            <v>9.9821131740000002</v>
          </cell>
          <cell r="AG251">
            <v>10.06969269</v>
          </cell>
          <cell r="AH251">
            <v>10.158259490000001</v>
          </cell>
          <cell r="AI251">
            <v>10.247919339999999</v>
          </cell>
          <cell r="AJ251">
            <v>10.33881105</v>
          </cell>
          <cell r="AK251">
            <v>10.43106191</v>
          </cell>
          <cell r="AL251">
            <v>10.52477036</v>
          </cell>
          <cell r="AM251">
            <v>10.620005369999999</v>
          </cell>
          <cell r="AN251">
            <v>10.71681124</v>
          </cell>
          <cell r="AO251">
            <v>10.81521358</v>
          </cell>
          <cell r="AP251">
            <v>10.91180557</v>
          </cell>
          <cell r="AQ251">
            <v>11.00861237</v>
          </cell>
          <cell r="AR251">
            <v>11.106165320000001</v>
          </cell>
          <cell r="AS251">
            <v>11.204714989999999</v>
          </cell>
          <cell r="AT251">
            <v>11.30442392</v>
          </cell>
          <cell r="AU251">
            <v>11.405413490000001</v>
          </cell>
          <cell r="AV251">
            <v>11.507775410000001</v>
          </cell>
          <cell r="AW251">
            <v>11.61157317</v>
          </cell>
          <cell r="AX251">
            <v>11.71683589</v>
          </cell>
          <cell r="AY251">
            <v>11.823528270000001</v>
          </cell>
          <cell r="AZ251">
            <v>11.93170205</v>
          </cell>
          <cell r="BA251">
            <v>12.041198039999999</v>
          </cell>
          <cell r="BB251">
            <v>12.151822709999999</v>
          </cell>
          <cell r="BC251">
            <v>12.26401362</v>
          </cell>
          <cell r="BD251">
            <v>12.378119509999999</v>
          </cell>
          <cell r="BE251">
            <v>13.2800452</v>
          </cell>
          <cell r="BF251">
            <v>13.446028159999999</v>
          </cell>
          <cell r="BG251">
            <v>13.61463571</v>
          </cell>
          <cell r="BH251">
            <v>13.785939519999999</v>
          </cell>
          <cell r="BI251">
            <v>13.96000641</v>
          </cell>
        </row>
        <row r="253">
          <cell r="E253" t="str">
            <v>YG_toe_cgas_0</v>
          </cell>
          <cell r="F253">
            <v>6.6062603229999999</v>
          </cell>
          <cell r="G253">
            <v>6.6480353159999996</v>
          </cell>
          <cell r="H253">
            <v>6.6704480950000002</v>
          </cell>
          <cell r="I253">
            <v>6.6792893109999998</v>
          </cell>
          <cell r="J253">
            <v>6.6778001109999998</v>
          </cell>
          <cell r="K253">
            <v>6.675258253</v>
          </cell>
          <cell r="L253">
            <v>6.6708197609999997</v>
          </cell>
          <cell r="M253">
            <v>6.6697477489999999</v>
          </cell>
          <cell r="N253">
            <v>6.6711559339999997</v>
          </cell>
          <cell r="O253">
            <v>6.6741641180000002</v>
          </cell>
          <cell r="P253">
            <v>6.686073522</v>
          </cell>
          <cell r="Q253">
            <v>6.6900411980000003</v>
          </cell>
          <cell r="R253">
            <v>6.6946569419999999</v>
          </cell>
          <cell r="S253">
            <v>6.6998824240000001</v>
          </cell>
          <cell r="T253">
            <v>6.705927977</v>
          </cell>
          <cell r="U253">
            <v>6.7129278589999997</v>
          </cell>
          <cell r="V253">
            <v>6.7209333249999998</v>
          </cell>
          <cell r="W253">
            <v>6.7299379650000004</v>
          </cell>
          <cell r="X253">
            <v>6.7398986470000004</v>
          </cell>
          <cell r="Y253">
            <v>6.7507501899999998</v>
          </cell>
          <cell r="Z253">
            <v>6.7568754630000001</v>
          </cell>
          <cell r="AA253">
            <v>6.7699868460000001</v>
          </cell>
          <cell r="AB253">
            <v>6.7836348620000004</v>
          </cell>
          <cell r="AC253">
            <v>6.7978218999999998</v>
          </cell>
          <cell r="AD253">
            <v>6.8123806849999999</v>
          </cell>
          <cell r="AE253">
            <v>6.8115622719999998</v>
          </cell>
          <cell r="AF253">
            <v>6.8214316100000003</v>
          </cell>
          <cell r="AG253">
            <v>6.8320571120000002</v>
          </cell>
          <cell r="AH253">
            <v>6.8435382929999999</v>
          </cell>
          <cell r="AI253">
            <v>6.8554909530000003</v>
          </cell>
          <cell r="AJ253">
            <v>6.8675971039999997</v>
          </cell>
          <cell r="AK253">
            <v>6.8796483930000001</v>
          </cell>
          <cell r="AL253">
            <v>6.891522202</v>
          </cell>
          <cell r="AM253">
            <v>6.9031590239999998</v>
          </cell>
          <cell r="AN253">
            <v>6.9145443980000003</v>
          </cell>
          <cell r="AO253">
            <v>6.9256947230000003</v>
          </cell>
          <cell r="AP253">
            <v>6.9330359770000003</v>
          </cell>
          <cell r="AQ253">
            <v>6.9408049329999999</v>
          </cell>
          <cell r="AR253">
            <v>6.9489016269999997</v>
          </cell>
          <cell r="AS253">
            <v>6.9573271940000003</v>
          </cell>
          <cell r="AT253">
            <v>6.9660339330000003</v>
          </cell>
          <cell r="AU253">
            <v>6.9749455329999996</v>
          </cell>
          <cell r="AV253">
            <v>6.9839789720000001</v>
          </cell>
          <cell r="AW253">
            <v>6.9930500450000004</v>
          </cell>
          <cell r="AX253">
            <v>7.0020595050000001</v>
          </cell>
          <cell r="AY253">
            <v>7.010841847</v>
          </cell>
          <cell r="AZ253">
            <v>7.0192826860000004</v>
          </cell>
          <cell r="BA253">
            <v>7.0268422160000004</v>
          </cell>
          <cell r="BB253">
            <v>7.0323414800000004</v>
          </cell>
          <cell r="BC253">
            <v>7.0376312390000004</v>
          </cell>
          <cell r="BD253">
            <v>7.0441854570000002</v>
          </cell>
          <cell r="BE253">
            <v>6.5550224909999999</v>
          </cell>
          <cell r="BF253">
            <v>6.5727831459999999</v>
          </cell>
          <cell r="BG253">
            <v>6.5912239770000003</v>
          </cell>
          <cell r="BH253">
            <v>6.6103602400000003</v>
          </cell>
          <cell r="BI253">
            <v>6.6301887920000002</v>
          </cell>
        </row>
        <row r="259">
          <cell r="E259" t="str">
            <v>YG_toe_cele_0</v>
          </cell>
          <cell r="F259">
            <v>57.529655949999999</v>
          </cell>
          <cell r="G259">
            <v>58.024710339999999</v>
          </cell>
          <cell r="H259">
            <v>58.486192180000003</v>
          </cell>
          <cell r="I259">
            <v>58.965917310000002</v>
          </cell>
          <cell r="J259">
            <v>59.482010879999997</v>
          </cell>
          <cell r="K259">
            <v>60.04720914</v>
          </cell>
          <cell r="L259">
            <v>60.6281222</v>
          </cell>
          <cell r="M259">
            <v>61.237200260000002</v>
          </cell>
          <cell r="N259">
            <v>61.869040750000003</v>
          </cell>
          <cell r="O259">
            <v>62.517182900000002</v>
          </cell>
          <cell r="P259">
            <v>63.233221010000001</v>
          </cell>
          <cell r="Q259">
            <v>63.920640849999998</v>
          </cell>
          <cell r="R259">
            <v>64.606280609999999</v>
          </cell>
          <cell r="S259">
            <v>65.293249950000003</v>
          </cell>
          <cell r="T259">
            <v>65.982451800000007</v>
          </cell>
          <cell r="U259">
            <v>66.674545100000003</v>
          </cell>
          <cell r="V259">
            <v>67.370347170000002</v>
          </cell>
          <cell r="W259">
            <v>68.070875290000004</v>
          </cell>
          <cell r="X259">
            <v>68.777303059999994</v>
          </cell>
          <cell r="Y259">
            <v>69.490899249999998</v>
          </cell>
          <cell r="Z259">
            <v>70.171593680000001</v>
          </cell>
          <cell r="AA259">
            <v>70.889139760000006</v>
          </cell>
          <cell r="AB259">
            <v>71.623619509999997</v>
          </cell>
          <cell r="AC259">
            <v>72.373229739999999</v>
          </cell>
          <cell r="AD259">
            <v>73.138100499999993</v>
          </cell>
          <cell r="AE259">
            <v>73.800083540000003</v>
          </cell>
          <cell r="AF259">
            <v>74.499691240000004</v>
          </cell>
          <cell r="AG259">
            <v>75.212717650000002</v>
          </cell>
          <cell r="AH259">
            <v>75.93882936</v>
          </cell>
          <cell r="AI259">
            <v>76.679497130000001</v>
          </cell>
          <cell r="AJ259">
            <v>77.436238540000005</v>
          </cell>
          <cell r="AK259">
            <v>78.210221759999996</v>
          </cell>
          <cell r="AL259">
            <v>79.002206319999999</v>
          </cell>
          <cell r="AM259">
            <v>79.812580780000005</v>
          </cell>
          <cell r="AN259">
            <v>80.641432170000002</v>
          </cell>
          <cell r="AO259">
            <v>81.488623660000002</v>
          </cell>
          <cell r="AP259">
            <v>82.325474150000005</v>
          </cell>
          <cell r="AQ259">
            <v>83.169913059999999</v>
          </cell>
          <cell r="AR259">
            <v>84.025416870000001</v>
          </cell>
          <cell r="AS259">
            <v>84.893519299999994</v>
          </cell>
          <cell r="AT259">
            <v>85.77518723</v>
          </cell>
          <cell r="AU259">
            <v>86.671129469999997</v>
          </cell>
          <cell r="AV259">
            <v>87.581865260000001</v>
          </cell>
          <cell r="AW259">
            <v>88.507748599999999</v>
          </cell>
          <cell r="AX259">
            <v>89.448949010000007</v>
          </cell>
          <cell r="AY259">
            <v>90.405352919999999</v>
          </cell>
          <cell r="AZ259">
            <v>91.378581620000006</v>
          </cell>
          <cell r="BA259">
            <v>92.366398799999999</v>
          </cell>
          <cell r="BB259">
            <v>93.367646949999994</v>
          </cell>
          <cell r="BC259">
            <v>94.383784469999995</v>
          </cell>
          <cell r="BD259">
            <v>95.416139529999995</v>
          </cell>
          <cell r="BE259">
            <v>102.0538025</v>
          </cell>
          <cell r="BF259">
            <v>103.4970831</v>
          </cell>
          <cell r="BG259">
            <v>104.966171</v>
          </cell>
          <cell r="BH259">
            <v>106.46154749999999</v>
          </cell>
          <cell r="BI259">
            <v>107.9836487</v>
          </cell>
        </row>
        <row r="269">
          <cell r="E269" t="str">
            <v>YG_toe_chea_0</v>
          </cell>
          <cell r="F269">
            <v>5.7131595600000002</v>
          </cell>
          <cell r="G269">
            <v>5.7821035439999999</v>
          </cell>
          <cell r="H269">
            <v>5.8586526790000004</v>
          </cell>
          <cell r="I269">
            <v>5.9404580549999997</v>
          </cell>
          <cell r="J269">
            <v>6.0270499580000001</v>
          </cell>
          <cell r="K269">
            <v>6.1094408629999997</v>
          </cell>
          <cell r="L269">
            <v>6.1818491040000003</v>
          </cell>
          <cell r="M269">
            <v>6.2494611539999996</v>
          </cell>
          <cell r="N269">
            <v>6.3152038609999996</v>
          </cell>
          <cell r="O269">
            <v>6.3805787450000002</v>
          </cell>
          <cell r="P269">
            <v>6.4553791829999998</v>
          </cell>
          <cell r="Q269">
            <v>6.5252664060000001</v>
          </cell>
          <cell r="R269">
            <v>6.593693386</v>
          </cell>
          <cell r="S269">
            <v>6.6618395059999997</v>
          </cell>
          <cell r="T269">
            <v>6.7301478540000002</v>
          </cell>
          <cell r="U269">
            <v>6.7987918360000004</v>
          </cell>
          <cell r="V269">
            <v>6.8678460179999998</v>
          </cell>
          <cell r="W269">
            <v>6.9373538979999996</v>
          </cell>
          <cell r="X269">
            <v>7.0073539389999997</v>
          </cell>
          <cell r="Y269">
            <v>7.0778878479999996</v>
          </cell>
          <cell r="Z269">
            <v>7.142726326</v>
          </cell>
          <cell r="AA269">
            <v>7.2119706990000001</v>
          </cell>
          <cell r="AB269">
            <v>7.283305189</v>
          </cell>
          <cell r="AC269">
            <v>7.3559660320000004</v>
          </cell>
          <cell r="AD269">
            <v>7.4296763700000001</v>
          </cell>
          <cell r="AE269">
            <v>7.4868596869999999</v>
          </cell>
          <cell r="AF269">
            <v>7.5472606300000002</v>
          </cell>
          <cell r="AG269">
            <v>7.6091731039999999</v>
          </cell>
          <cell r="AH269">
            <v>7.6721814070000001</v>
          </cell>
          <cell r="AI269">
            <v>7.7361674819999999</v>
          </cell>
          <cell r="AJ269">
            <v>7.8011184919999996</v>
          </cell>
          <cell r="AK269">
            <v>7.8670526020000002</v>
          </cell>
          <cell r="AL269">
            <v>7.933991389</v>
          </cell>
          <cell r="AM269">
            <v>8.0019499510000003</v>
          </cell>
          <cell r="AN269">
            <v>8.0709350069999992</v>
          </cell>
          <cell r="AO269">
            <v>8.1409465660000002</v>
          </cell>
          <cell r="AP269">
            <v>8.2080739949999995</v>
          </cell>
          <cell r="AQ269">
            <v>8.2746570960000003</v>
          </cell>
          <cell r="AR269">
            <v>8.3415503599999994</v>
          </cell>
          <cell r="AS269">
            <v>8.4091236990000002</v>
          </cell>
          <cell r="AT269">
            <v>8.4775683280000003</v>
          </cell>
          <cell r="AU269">
            <v>8.5470103819999999</v>
          </cell>
          <cell r="AV269">
            <v>8.6175607460000005</v>
          </cell>
          <cell r="AW269">
            <v>8.6893454539999997</v>
          </cell>
          <cell r="AX269">
            <v>8.7625424160000005</v>
          </cell>
          <cell r="AY269">
            <v>8.8374668780000007</v>
          </cell>
          <cell r="AZ269">
            <v>8.9152227049999997</v>
          </cell>
          <cell r="BA269">
            <v>8.9925951249999994</v>
          </cell>
          <cell r="BB269">
            <v>9.0691653980000009</v>
          </cell>
          <cell r="BC269">
            <v>9.1452051010000002</v>
          </cell>
          <cell r="BD269">
            <v>9.2211935119999993</v>
          </cell>
          <cell r="BE269">
            <v>9.8041921369999994</v>
          </cell>
          <cell r="BF269">
            <v>9.9115410859999997</v>
          </cell>
          <cell r="BG269">
            <v>10.020335210000001</v>
          </cell>
          <cell r="BH269">
            <v>10.130629770000001</v>
          </cell>
          <cell r="BI269">
            <v>10.24246739</v>
          </cell>
        </row>
        <row r="271">
          <cell r="E271" t="str">
            <v>YG_toe_cbio_0</v>
          </cell>
          <cell r="F271">
            <v>11.183799690000001</v>
          </cell>
          <cell r="G271">
            <v>11.237025859999999</v>
          </cell>
          <cell r="H271">
            <v>11.265660370000001</v>
          </cell>
          <cell r="I271">
            <v>11.288540040000001</v>
          </cell>
          <cell r="J271">
            <v>11.31207498</v>
          </cell>
          <cell r="K271">
            <v>11.341818249999999</v>
          </cell>
          <cell r="L271">
            <v>11.37427125</v>
          </cell>
          <cell r="M271">
            <v>11.4118464</v>
          </cell>
          <cell r="N271">
            <v>11.454154620000001</v>
          </cell>
          <cell r="O271">
            <v>11.50004678</v>
          </cell>
          <cell r="P271">
            <v>11.55755793</v>
          </cell>
          <cell r="Q271">
            <v>11.611723680000001</v>
          </cell>
          <cell r="R271">
            <v>11.66516629</v>
          </cell>
          <cell r="S271">
            <v>11.718691489999999</v>
          </cell>
          <cell r="T271">
            <v>11.772583210000001</v>
          </cell>
          <cell r="U271">
            <v>11.826952990000001</v>
          </cell>
          <cell r="V271">
            <v>11.88187016</v>
          </cell>
          <cell r="W271">
            <v>11.937405679999999</v>
          </cell>
          <cell r="X271">
            <v>11.99364321</v>
          </cell>
          <cell r="Y271">
            <v>12.05067805</v>
          </cell>
          <cell r="Z271">
            <v>12.102291620000001</v>
          </cell>
          <cell r="AA271">
            <v>12.15852787</v>
          </cell>
          <cell r="AB271">
            <v>12.21727664</v>
          </cell>
          <cell r="AC271">
            <v>12.277870890000001</v>
          </cell>
          <cell r="AD271">
            <v>12.34008319</v>
          </cell>
          <cell r="AE271">
            <v>12.386129029999999</v>
          </cell>
          <cell r="AF271">
            <v>12.435522450000001</v>
          </cell>
          <cell r="AG271">
            <v>12.486768680000001</v>
          </cell>
          <cell r="AH271">
            <v>12.539591420000001</v>
          </cell>
          <cell r="AI271">
            <v>12.59396963</v>
          </cell>
          <cell r="AJ271">
            <v>12.649959730000001</v>
          </cell>
          <cell r="AK271">
            <v>12.707624600000001</v>
          </cell>
          <cell r="AL271">
            <v>12.76700932</v>
          </cell>
          <cell r="AM271">
            <v>12.8281358</v>
          </cell>
          <cell r="AN271">
            <v>12.89100517</v>
          </cell>
          <cell r="AO271">
            <v>12.95560328</v>
          </cell>
          <cell r="AP271">
            <v>13.01787676</v>
          </cell>
          <cell r="AQ271">
            <v>13.08009141</v>
          </cell>
          <cell r="AR271">
            <v>13.14308441</v>
          </cell>
          <cell r="AS271">
            <v>13.20723065</v>
          </cell>
          <cell r="AT271">
            <v>13.27272342</v>
          </cell>
          <cell r="AU271">
            <v>13.33968035</v>
          </cell>
          <cell r="AV271">
            <v>13.40818312</v>
          </cell>
          <cell r="AW271">
            <v>13.47828846</v>
          </cell>
          <cell r="AX271">
            <v>13.550023100000001</v>
          </cell>
          <cell r="AY271">
            <v>13.62334441</v>
          </cell>
          <cell r="AZ271">
            <v>13.69821451</v>
          </cell>
          <cell r="BA271">
            <v>13.773713519999999</v>
          </cell>
          <cell r="BB271">
            <v>13.8497498</v>
          </cell>
          <cell r="BC271">
            <v>13.926678709999999</v>
          </cell>
          <cell r="BD271">
            <v>14.00489488</v>
          </cell>
          <cell r="BE271">
            <v>14.610772430000001</v>
          </cell>
          <cell r="BF271">
            <v>14.73188167</v>
          </cell>
          <cell r="BG271">
            <v>14.855241469999999</v>
          </cell>
          <cell r="BH271">
            <v>14.98092958</v>
          </cell>
          <cell r="BI271">
            <v>15.109000999999999</v>
          </cell>
        </row>
        <row r="274">
          <cell r="E274" t="str">
            <v>YG_toe_cote_0</v>
          </cell>
          <cell r="F274">
            <v>13.881761239999999</v>
          </cell>
          <cell r="G274">
            <v>14.05126907</v>
          </cell>
          <cell r="H274">
            <v>14.231860230000001</v>
          </cell>
          <cell r="I274">
            <v>14.42291623</v>
          </cell>
          <cell r="J274">
            <v>14.62509738</v>
          </cell>
          <cell r="K274">
            <v>14.837226060000001</v>
          </cell>
          <cell r="L274">
            <v>15.047189769999999</v>
          </cell>
          <cell r="M274">
            <v>15.26211855</v>
          </cell>
          <cell r="N274">
            <v>15.48194168</v>
          </cell>
          <cell r="O274">
            <v>15.706138060000001</v>
          </cell>
          <cell r="P274">
            <v>15.95305845</v>
          </cell>
          <cell r="Q274">
            <v>16.18868526</v>
          </cell>
          <cell r="R274">
            <v>16.425835240000001</v>
          </cell>
          <cell r="S274">
            <v>16.665503919999999</v>
          </cell>
          <cell r="T274">
            <v>16.907899180000001</v>
          </cell>
          <cell r="U274">
            <v>17.153125410000001</v>
          </cell>
          <cell r="V274">
            <v>17.401305350000001</v>
          </cell>
          <cell r="W274">
            <v>17.652593370000002</v>
          </cell>
          <cell r="X274">
            <v>17.907167189999999</v>
          </cell>
          <cell r="Y274">
            <v>18.165216579999999</v>
          </cell>
          <cell r="Z274">
            <v>18.412978949999999</v>
          </cell>
          <cell r="AA274">
            <v>18.67562066</v>
          </cell>
          <cell r="AB274">
            <v>18.943621570000001</v>
          </cell>
          <cell r="AC274">
            <v>19.216324279999998</v>
          </cell>
          <cell r="AD274">
            <v>19.49369094</v>
          </cell>
          <cell r="AE274">
            <v>19.735483039999998</v>
          </cell>
          <cell r="AF274">
            <v>19.994783720000001</v>
          </cell>
          <cell r="AG274">
            <v>20.258479449999999</v>
          </cell>
          <cell r="AH274">
            <v>20.526010200000002</v>
          </cell>
          <cell r="AI274">
            <v>20.79752749</v>
          </cell>
          <cell r="AJ274">
            <v>21.073262960000001</v>
          </cell>
          <cell r="AK274">
            <v>21.353407489999999</v>
          </cell>
          <cell r="AL274">
            <v>21.638090999999999</v>
          </cell>
          <cell r="AM274">
            <v>21.92738684</v>
          </cell>
          <cell r="AN274">
            <v>22.221323309999999</v>
          </cell>
          <cell r="AO274">
            <v>22.519896790000001</v>
          </cell>
          <cell r="AP274">
            <v>22.813317210000001</v>
          </cell>
          <cell r="AQ274">
            <v>23.109164379999999</v>
          </cell>
          <cell r="AR274">
            <v>23.408294089999998</v>
          </cell>
          <cell r="AS274">
            <v>23.71100796</v>
          </cell>
          <cell r="AT274">
            <v>24.01749015</v>
          </cell>
          <cell r="AU274">
            <v>24.32788729</v>
          </cell>
          <cell r="AV274">
            <v>24.642321939999999</v>
          </cell>
          <cell r="AW274">
            <v>24.960895440000002</v>
          </cell>
          <cell r="AX274">
            <v>25.283690669999999</v>
          </cell>
          <cell r="AY274">
            <v>25.610777819999999</v>
          </cell>
          <cell r="AZ274">
            <v>25.943110539999999</v>
          </cell>
          <cell r="BA274">
            <v>26.279813520000001</v>
          </cell>
          <cell r="BB274">
            <v>26.62076626</v>
          </cell>
          <cell r="BC274">
            <v>26.966036330000001</v>
          </cell>
          <cell r="BD274">
            <v>27.315725019999999</v>
          </cell>
          <cell r="BE274">
            <v>30.017926889999998</v>
          </cell>
          <cell r="BF274">
            <v>30.51611922</v>
          </cell>
          <cell r="BG274">
            <v>31.022743940000002</v>
          </cell>
          <cell r="BH274">
            <v>31.53794589</v>
          </cell>
          <cell r="BI274">
            <v>32.061870679999998</v>
          </cell>
        </row>
        <row r="281">
          <cell r="F281">
            <v>160.5069689</v>
          </cell>
          <cell r="G281">
            <v>160.93864859999999</v>
          </cell>
          <cell r="H281">
            <v>161.4267049</v>
          </cell>
          <cell r="I281">
            <v>162.07264430000001</v>
          </cell>
          <cell r="J281">
            <v>162.93474889999999</v>
          </cell>
          <cell r="K281">
            <v>164.01491949999999</v>
          </cell>
          <cell r="L281">
            <v>165.20560320000001</v>
          </cell>
          <cell r="M281">
            <v>166.51685710000001</v>
          </cell>
          <cell r="N281">
            <v>167.92734490000001</v>
          </cell>
          <cell r="O281">
            <v>169.4134971</v>
          </cell>
          <cell r="P281">
            <v>170.9360288</v>
          </cell>
          <cell r="Q281">
            <v>172.6271883</v>
          </cell>
          <cell r="R281">
            <v>174.38050089999999</v>
          </cell>
          <cell r="S281">
            <v>176.17473630000001</v>
          </cell>
          <cell r="T281">
            <v>178.00071829999999</v>
          </cell>
          <cell r="U281">
            <v>179.8519206</v>
          </cell>
          <cell r="V281">
            <v>181.71693379999999</v>
          </cell>
          <cell r="W281">
            <v>183.59595469999999</v>
          </cell>
          <cell r="X281">
            <v>185.48671060000001</v>
          </cell>
          <cell r="Y281">
            <v>187.38741690000001</v>
          </cell>
          <cell r="Z281">
            <v>189.19940930000001</v>
          </cell>
          <cell r="AA281">
            <v>191.0749477</v>
          </cell>
          <cell r="AB281">
            <v>192.9765778</v>
          </cell>
          <cell r="AC281">
            <v>194.89682980000001</v>
          </cell>
          <cell r="AD281">
            <v>196.83468310000001</v>
          </cell>
          <cell r="AE281">
            <v>198.51281739999999</v>
          </cell>
          <cell r="AF281">
            <v>200.23672329999999</v>
          </cell>
          <cell r="AG281">
            <v>201.969595</v>
          </cell>
          <cell r="AH281">
            <v>203.71002379999999</v>
          </cell>
          <cell r="AI281">
            <v>205.46264690000001</v>
          </cell>
          <cell r="AJ281">
            <v>207.23244320000001</v>
          </cell>
          <cell r="AK281">
            <v>209.02542209999999</v>
          </cell>
          <cell r="AL281">
            <v>210.84348850000001</v>
          </cell>
          <cell r="AM281">
            <v>212.68856170000001</v>
          </cell>
          <cell r="AN281">
            <v>214.56206499999999</v>
          </cell>
          <cell r="AO281">
            <v>216.4648603</v>
          </cell>
          <cell r="AP281">
            <v>218.349591</v>
          </cell>
          <cell r="AQ281">
            <v>220.24032149999999</v>
          </cell>
          <cell r="AR281">
            <v>222.14602350000001</v>
          </cell>
          <cell r="AS281">
            <v>224.07121050000001</v>
          </cell>
          <cell r="AT281">
            <v>226.0185966</v>
          </cell>
          <cell r="AU281">
            <v>227.9928487</v>
          </cell>
          <cell r="AV281">
            <v>229.99316339999999</v>
          </cell>
          <cell r="AW281">
            <v>232.0199532</v>
          </cell>
          <cell r="AX281">
            <v>234.07347429999999</v>
          </cell>
          <cell r="AY281">
            <v>236.15369480000001</v>
          </cell>
          <cell r="AZ281">
            <v>238.27652119999999</v>
          </cell>
          <cell r="BA281">
            <v>240.43157719999999</v>
          </cell>
          <cell r="BB281">
            <v>242.61662140000001</v>
          </cell>
          <cell r="BC281">
            <v>244.83059729999999</v>
          </cell>
          <cell r="BD281">
            <v>247.07256140000001</v>
          </cell>
          <cell r="BE281">
            <v>283.96565909999998</v>
          </cell>
          <cell r="BF281">
            <v>287.72227379999998</v>
          </cell>
          <cell r="BG281">
            <v>291.5392842</v>
          </cell>
          <cell r="BH281">
            <v>295.41791599999999</v>
          </cell>
          <cell r="BI281">
            <v>299.35954529999998</v>
          </cell>
        </row>
        <row r="282">
          <cell r="E282" t="str">
            <v>CF_toe_ccoa_2</v>
          </cell>
          <cell r="F282">
            <v>5.3446684769999999</v>
          </cell>
          <cell r="G282">
            <v>5.3657191050000002</v>
          </cell>
          <cell r="H282">
            <v>5.4112971810000001</v>
          </cell>
          <cell r="I282">
            <v>5.4665768830000001</v>
          </cell>
          <cell r="J282">
            <v>5.5280921669999996</v>
          </cell>
          <cell r="K282">
            <v>5.5945317509999999</v>
          </cell>
          <cell r="L282">
            <v>5.6613375210000001</v>
          </cell>
          <cell r="M282">
            <v>5.7302390550000002</v>
          </cell>
          <cell r="N282">
            <v>5.801235846</v>
          </cell>
          <cell r="O282">
            <v>5.8740157010000003</v>
          </cell>
          <cell r="P282">
            <v>5.9429214469999998</v>
          </cell>
          <cell r="Q282">
            <v>6.0249468610000001</v>
          </cell>
          <cell r="R282">
            <v>6.1104693320000001</v>
          </cell>
          <cell r="S282">
            <v>6.1975459849999996</v>
          </cell>
          <cell r="T282">
            <v>6.2856812140000002</v>
          </cell>
          <cell r="U282">
            <v>6.3746989960000002</v>
          </cell>
          <cell r="V282">
            <v>6.4639775049999999</v>
          </cell>
          <cell r="W282">
            <v>6.553904857</v>
          </cell>
          <cell r="X282">
            <v>6.6445735690000003</v>
          </cell>
          <cell r="Y282">
            <v>6.736041964</v>
          </cell>
          <cell r="Z282">
            <v>6.8239611529999999</v>
          </cell>
          <cell r="AA282">
            <v>6.9156703320000004</v>
          </cell>
          <cell r="AB282">
            <v>7.009112902</v>
          </cell>
          <cell r="AC282">
            <v>7.1039372480000003</v>
          </cell>
          <cell r="AD282">
            <v>7.2001309129999997</v>
          </cell>
          <cell r="AE282">
            <v>7.2851166669999996</v>
          </cell>
          <cell r="AF282">
            <v>7.3739702730000003</v>
          </cell>
          <cell r="AG282">
            <v>7.4642001660000004</v>
          </cell>
          <cell r="AH282">
            <v>7.5554848659999996</v>
          </cell>
          <cell r="AI282">
            <v>7.6479032790000003</v>
          </cell>
          <cell r="AJ282">
            <v>7.7415829929999997</v>
          </cell>
          <cell r="AK282">
            <v>7.8367934139999997</v>
          </cell>
          <cell r="AL282">
            <v>7.9334875440000001</v>
          </cell>
          <cell r="AM282">
            <v>8.0316822440000006</v>
          </cell>
          <cell r="AN282">
            <v>8.1313829139999996</v>
          </cell>
          <cell r="AO282">
            <v>8.2325765690000008</v>
          </cell>
          <cell r="AP282">
            <v>8.3337800830000006</v>
          </cell>
          <cell r="AQ282">
            <v>8.4356989030000005</v>
          </cell>
          <cell r="AR282">
            <v>8.5385469860000001</v>
          </cell>
          <cell r="AS282">
            <v>8.6424038139999997</v>
          </cell>
          <cell r="AT282">
            <v>8.747308898</v>
          </cell>
          <cell r="AU282">
            <v>8.8535496970000001</v>
          </cell>
          <cell r="AV282">
            <v>8.9609513360000008</v>
          </cell>
          <cell r="AW282">
            <v>9.0694869730000001</v>
          </cell>
          <cell r="AX282">
            <v>9.1791488730000008</v>
          </cell>
          <cell r="AY282">
            <v>9.2899276749999995</v>
          </cell>
          <cell r="AZ282">
            <v>9.4030210759999999</v>
          </cell>
          <cell r="BA282">
            <v>9.5175652759999991</v>
          </cell>
          <cell r="BB282">
            <v>9.6333794439999991</v>
          </cell>
          <cell r="BC282">
            <v>9.7504048080000008</v>
          </cell>
          <cell r="BD282">
            <v>9.868608365</v>
          </cell>
          <cell r="BE282">
            <v>12.585566829999999</v>
          </cell>
          <cell r="BF282">
            <v>12.805525859999999</v>
          </cell>
          <cell r="BG282">
            <v>13.02890981</v>
          </cell>
          <cell r="BH282">
            <v>13.25575914</v>
          </cell>
          <cell r="BI282">
            <v>13.48611507</v>
          </cell>
        </row>
        <row r="285">
          <cell r="E285" t="str">
            <v>CF_toe_ccoi_2</v>
          </cell>
          <cell r="F285">
            <v>8.3313317200000001E-2</v>
          </cell>
          <cell r="G285">
            <v>8.3598649799999994E-2</v>
          </cell>
          <cell r="H285">
            <v>8.4113048900000001E-2</v>
          </cell>
          <cell r="I285">
            <v>8.4770285500000001E-2</v>
          </cell>
          <cell r="J285">
            <v>8.5570552899999999E-2</v>
          </cell>
          <cell r="K285">
            <v>8.65109357E-2</v>
          </cell>
          <cell r="L285">
            <v>8.7522591699999999E-2</v>
          </cell>
          <cell r="M285">
            <v>8.8619269200000003E-2</v>
          </cell>
          <cell r="N285">
            <v>8.9790607300000005E-2</v>
          </cell>
          <cell r="O285">
            <v>9.1023291399999998E-2</v>
          </cell>
          <cell r="P285">
            <v>9.2263699899999996E-2</v>
          </cell>
          <cell r="Q285">
            <v>9.3665397499999997E-2</v>
          </cell>
          <cell r="R285">
            <v>9.5132825500000004E-2</v>
          </cell>
          <cell r="S285">
            <v>9.6645498299999993E-2</v>
          </cell>
          <cell r="T285">
            <v>9.8193893399999996E-2</v>
          </cell>
          <cell r="U285">
            <v>9.9770543899999994E-2</v>
          </cell>
          <cell r="V285">
            <v>0.1013636943</v>
          </cell>
          <cell r="W285">
            <v>0.102971994</v>
          </cell>
          <cell r="X285">
            <v>0.1045923269</v>
          </cell>
          <cell r="Y285">
            <v>0.10622232619999999</v>
          </cell>
          <cell r="Z285">
            <v>0.1077912979</v>
          </cell>
          <cell r="AA285">
            <v>0.10940583280000001</v>
          </cell>
          <cell r="AB285">
            <v>0.1110380627</v>
          </cell>
          <cell r="AC285">
            <v>0.1126836764</v>
          </cell>
          <cell r="AD285">
            <v>0.1143426171</v>
          </cell>
          <cell r="AE285">
            <v>0.1158161192</v>
          </cell>
          <cell r="AF285">
            <v>0.1173211109</v>
          </cell>
          <cell r="AG285">
            <v>0.11882701280000001</v>
          </cell>
          <cell r="AH285">
            <v>0.1203336003</v>
          </cell>
          <cell r="AI285">
            <v>0.1218453979</v>
          </cell>
          <cell r="AJ285">
            <v>0.1233670466</v>
          </cell>
          <cell r="AK285">
            <v>0.1249040642</v>
          </cell>
          <cell r="AL285">
            <v>0.1264585164</v>
          </cell>
          <cell r="AM285">
            <v>0.12803264689999999</v>
          </cell>
          <cell r="AN285">
            <v>0.12962818170000001</v>
          </cell>
          <cell r="AO285">
            <v>0.1312463203</v>
          </cell>
          <cell r="AP285">
            <v>0.13285519539999999</v>
          </cell>
          <cell r="AQ285">
            <v>0.13447054659999999</v>
          </cell>
          <cell r="AR285">
            <v>0.13609793070000001</v>
          </cell>
          <cell r="AS285">
            <v>0.13774048180000001</v>
          </cell>
          <cell r="AT285">
            <v>0.13940038090000001</v>
          </cell>
          <cell r="AU285">
            <v>0.1410817255</v>
          </cell>
          <cell r="AV285">
            <v>0.142783935</v>
          </cell>
          <cell r="AW285">
            <v>0.1445075156</v>
          </cell>
          <cell r="AX285">
            <v>0.1462528511</v>
          </cell>
          <cell r="AY285">
            <v>0.14802008280000001</v>
          </cell>
          <cell r="AZ285">
            <v>0.1498224652</v>
          </cell>
          <cell r="BA285">
            <v>0.151651652</v>
          </cell>
          <cell r="BB285">
            <v>0.15350617580000001</v>
          </cell>
          <cell r="BC285">
            <v>0.15538547389999999</v>
          </cell>
          <cell r="BD285">
            <v>0.15728899669999999</v>
          </cell>
          <cell r="BE285">
            <v>0.19860557870000001</v>
          </cell>
          <cell r="BF285">
            <v>0.20196968779999999</v>
          </cell>
          <cell r="BG285">
            <v>0.20537931740000001</v>
          </cell>
          <cell r="BH285">
            <v>0.2088358948</v>
          </cell>
          <cell r="BI285">
            <v>0.21234085599999999</v>
          </cell>
        </row>
        <row r="288">
          <cell r="E288" t="str">
            <v>CF_toe_cfut_2</v>
          </cell>
          <cell r="F288">
            <v>46.97992773</v>
          </cell>
          <cell r="G288">
            <v>46.971642439999997</v>
          </cell>
          <cell r="H288">
            <v>46.960338139999998</v>
          </cell>
          <cell r="I288">
            <v>47.029678730000001</v>
          </cell>
          <cell r="J288">
            <v>47.20142285</v>
          </cell>
          <cell r="K288">
            <v>47.468373389999996</v>
          </cell>
          <cell r="L288">
            <v>47.79730404</v>
          </cell>
          <cell r="M288">
            <v>48.179794350000002</v>
          </cell>
          <cell r="N288">
            <v>48.604323000000001</v>
          </cell>
          <cell r="O288">
            <v>49.061123209999998</v>
          </cell>
          <cell r="P288">
            <v>49.53393604</v>
          </cell>
          <cell r="Q288">
            <v>50.060182189999999</v>
          </cell>
          <cell r="R288">
            <v>50.610583920000003</v>
          </cell>
          <cell r="S288">
            <v>51.17786134</v>
          </cell>
          <cell r="T288">
            <v>51.758442690000003</v>
          </cell>
          <cell r="U288">
            <v>52.349662610000003</v>
          </cell>
          <cell r="V288">
            <v>52.94785744</v>
          </cell>
          <cell r="W288">
            <v>53.55203659</v>
          </cell>
          <cell r="X288">
            <v>54.160907029999997</v>
          </cell>
          <cell r="Y288">
            <v>54.773411639999999</v>
          </cell>
          <cell r="Z288">
            <v>55.367619650000002</v>
          </cell>
          <cell r="AA288">
            <v>55.973850720000002</v>
          </cell>
          <cell r="AB288">
            <v>56.585208139999999</v>
          </cell>
          <cell r="AC288">
            <v>57.200405789999998</v>
          </cell>
          <cell r="AD288">
            <v>57.819249880000001</v>
          </cell>
          <cell r="AE288">
            <v>58.381126090000002</v>
          </cell>
          <cell r="AF288">
            <v>58.946403109999999</v>
          </cell>
          <cell r="AG288">
            <v>59.508670330000001</v>
          </cell>
          <cell r="AH288">
            <v>60.068595389999999</v>
          </cell>
          <cell r="AI288">
            <v>60.628032920000003</v>
          </cell>
          <cell r="AJ288">
            <v>61.188782060000001</v>
          </cell>
          <cell r="AK288">
            <v>61.752753220000002</v>
          </cell>
          <cell r="AL288">
            <v>62.320848580000003</v>
          </cell>
          <cell r="AM288">
            <v>62.893855559999999</v>
          </cell>
          <cell r="AN288">
            <v>63.472336660000003</v>
          </cell>
          <cell r="AO288">
            <v>64.056664740000002</v>
          </cell>
          <cell r="AP288">
            <v>64.636731740000002</v>
          </cell>
          <cell r="AQ288">
            <v>65.216874899999993</v>
          </cell>
          <cell r="AR288">
            <v>65.79877338</v>
          </cell>
          <cell r="AS288">
            <v>66.383484710000005</v>
          </cell>
          <cell r="AT288">
            <v>66.971867040000006</v>
          </cell>
          <cell r="AU288">
            <v>67.565320729999996</v>
          </cell>
          <cell r="AV288">
            <v>68.164035220000002</v>
          </cell>
          <cell r="AW288">
            <v>68.768348160000002</v>
          </cell>
          <cell r="AX288">
            <v>69.37848434</v>
          </cell>
          <cell r="AY288">
            <v>69.99453871</v>
          </cell>
          <cell r="AZ288">
            <v>70.6202203</v>
          </cell>
          <cell r="BA288">
            <v>71.253508019999998</v>
          </cell>
          <cell r="BB288">
            <v>71.893826020000006</v>
          </cell>
          <cell r="BC288">
            <v>72.540782280000002</v>
          </cell>
          <cell r="BD288">
            <v>73.193997229999994</v>
          </cell>
          <cell r="BE288">
            <v>85.552448339999998</v>
          </cell>
          <cell r="BF288">
            <v>86.679266389999995</v>
          </cell>
          <cell r="BG288">
            <v>87.82308707</v>
          </cell>
          <cell r="BH288">
            <v>88.984520930000002</v>
          </cell>
          <cell r="BI288">
            <v>90.16421339</v>
          </cell>
        </row>
        <row r="291">
          <cell r="E291" t="str">
            <v>CF_toe_cfuh_2</v>
          </cell>
          <cell r="F291">
            <v>14.71671899</v>
          </cell>
          <cell r="G291">
            <v>14.77928824</v>
          </cell>
          <cell r="H291">
            <v>14.82262206</v>
          </cell>
          <cell r="I291">
            <v>14.864894509999999</v>
          </cell>
          <cell r="J291">
            <v>14.9172376</v>
          </cell>
          <cell r="K291">
            <v>14.983756</v>
          </cell>
          <cell r="L291">
            <v>15.05765811</v>
          </cell>
          <cell r="M291">
            <v>15.14081492</v>
          </cell>
          <cell r="N291">
            <v>15.23208019</v>
          </cell>
          <cell r="O291">
            <v>15.329697169999999</v>
          </cell>
          <cell r="P291">
            <v>15.43300063</v>
          </cell>
          <cell r="Q291">
            <v>15.54719047</v>
          </cell>
          <cell r="R291">
            <v>15.66631306</v>
          </cell>
          <cell r="S291">
            <v>15.789295579999999</v>
          </cell>
          <cell r="T291">
            <v>15.915568179999999</v>
          </cell>
          <cell r="U291">
            <v>16.044677149999998</v>
          </cell>
          <cell r="V291">
            <v>16.17603845</v>
          </cell>
          <cell r="W291">
            <v>16.309502599999998</v>
          </cell>
          <cell r="X291">
            <v>16.444820350000001</v>
          </cell>
          <cell r="Y291">
            <v>16.58176748</v>
          </cell>
          <cell r="Z291">
            <v>16.711988829999999</v>
          </cell>
          <cell r="AA291">
            <v>16.847986639999998</v>
          </cell>
          <cell r="AB291">
            <v>16.986802860000001</v>
          </cell>
          <cell r="AC291">
            <v>17.12762472</v>
          </cell>
          <cell r="AD291">
            <v>17.270210980000002</v>
          </cell>
          <cell r="AE291">
            <v>17.391276269999999</v>
          </cell>
          <cell r="AF291">
            <v>17.51570976</v>
          </cell>
          <cell r="AG291">
            <v>17.641102149999998</v>
          </cell>
          <cell r="AH291">
            <v>17.76726498</v>
          </cell>
          <cell r="AI291">
            <v>17.894472390000001</v>
          </cell>
          <cell r="AJ291">
            <v>18.02304685</v>
          </cell>
          <cell r="AK291">
            <v>18.153332160000001</v>
          </cell>
          <cell r="AL291">
            <v>18.28548936</v>
          </cell>
          <cell r="AM291">
            <v>18.419608920000002</v>
          </cell>
          <cell r="AN291">
            <v>18.55578607</v>
          </cell>
          <cell r="AO291">
            <v>18.69409568</v>
          </cell>
          <cell r="AP291">
            <v>18.829815539999998</v>
          </cell>
          <cell r="AQ291">
            <v>18.965448840000001</v>
          </cell>
          <cell r="AR291">
            <v>19.101994449999999</v>
          </cell>
          <cell r="AS291">
            <v>19.239960360000001</v>
          </cell>
          <cell r="AT291">
            <v>19.37963886</v>
          </cell>
          <cell r="AU291">
            <v>19.521312649999999</v>
          </cell>
          <cell r="AV291">
            <v>19.665021849999999</v>
          </cell>
          <cell r="AW291">
            <v>19.81082597</v>
          </cell>
          <cell r="AX291">
            <v>19.95875917</v>
          </cell>
          <cell r="AY291">
            <v>20.108829499999999</v>
          </cell>
          <cell r="AZ291">
            <v>20.26188956</v>
          </cell>
          <cell r="BA291">
            <v>20.417443299999999</v>
          </cell>
          <cell r="BB291">
            <v>20.575388360000002</v>
          </cell>
          <cell r="BC291">
            <v>20.735684880000001</v>
          </cell>
          <cell r="BD291">
            <v>20.898288969999999</v>
          </cell>
          <cell r="BE291">
            <v>23.280117629999999</v>
          </cell>
          <cell r="BF291">
            <v>23.549838619999999</v>
          </cell>
          <cell r="BG291">
            <v>23.823821410000001</v>
          </cell>
          <cell r="BH291">
            <v>24.102147460000001</v>
          </cell>
          <cell r="BI291">
            <v>24.384922530000001</v>
          </cell>
        </row>
        <row r="293">
          <cell r="E293" t="str">
            <v>CF_toe_cgas_2</v>
          </cell>
          <cell r="F293">
            <v>34.055685619999998</v>
          </cell>
          <cell r="G293">
            <v>34.21378095</v>
          </cell>
          <cell r="H293">
            <v>34.37376656</v>
          </cell>
          <cell r="I293">
            <v>34.545507550000004</v>
          </cell>
          <cell r="J293">
            <v>34.745229989999999</v>
          </cell>
          <cell r="K293">
            <v>34.979786369999999</v>
          </cell>
          <cell r="L293">
            <v>35.229054499999997</v>
          </cell>
          <cell r="M293">
            <v>35.500675479999998</v>
          </cell>
          <cell r="N293">
            <v>35.792797999999998</v>
          </cell>
          <cell r="O293">
            <v>36.101583320000003</v>
          </cell>
          <cell r="P293">
            <v>36.423005449999998</v>
          </cell>
          <cell r="Q293">
            <v>36.778279310000002</v>
          </cell>
          <cell r="R293">
            <v>37.14809228</v>
          </cell>
          <cell r="S293">
            <v>37.529267249999997</v>
          </cell>
          <cell r="T293">
            <v>37.919989049999998</v>
          </cell>
          <cell r="U293">
            <v>38.31884943</v>
          </cell>
          <cell r="V293">
            <v>38.723395019999998</v>
          </cell>
          <cell r="W293">
            <v>39.133519870000001</v>
          </cell>
          <cell r="X293">
            <v>39.548422180000003</v>
          </cell>
          <cell r="Y293">
            <v>39.967349669999997</v>
          </cell>
          <cell r="Z293">
            <v>40.36597956</v>
          </cell>
          <cell r="AA293">
            <v>40.78143875</v>
          </cell>
          <cell r="AB293">
            <v>41.203809849999999</v>
          </cell>
          <cell r="AC293">
            <v>41.630817450000002</v>
          </cell>
          <cell r="AD293">
            <v>42.061866170000002</v>
          </cell>
          <cell r="AE293">
            <v>42.429381599999999</v>
          </cell>
          <cell r="AF293">
            <v>42.808613110000003</v>
          </cell>
          <cell r="AG293">
            <v>43.189828480000003</v>
          </cell>
          <cell r="AH293">
            <v>43.572263499999998</v>
          </cell>
          <cell r="AI293">
            <v>43.956678029999999</v>
          </cell>
          <cell r="AJ293">
            <v>44.344001300000002</v>
          </cell>
          <cell r="AK293">
            <v>44.735424690000002</v>
          </cell>
          <cell r="AL293">
            <v>45.131279159999998</v>
          </cell>
          <cell r="AM293">
            <v>45.531944809999999</v>
          </cell>
          <cell r="AN293">
            <v>45.937803350000003</v>
          </cell>
          <cell r="AO293">
            <v>46.349162489999998</v>
          </cell>
          <cell r="AP293">
            <v>46.753924560000002</v>
          </cell>
          <cell r="AQ293">
            <v>47.158573079999996</v>
          </cell>
          <cell r="AR293">
            <v>47.565639160000003</v>
          </cell>
          <cell r="AS293">
            <v>47.976443760000002</v>
          </cell>
          <cell r="AT293">
            <v>48.391764649999999</v>
          </cell>
          <cell r="AU293">
            <v>48.812648240000001</v>
          </cell>
          <cell r="AV293">
            <v>49.238950889999998</v>
          </cell>
          <cell r="AW293">
            <v>49.670821670000002</v>
          </cell>
          <cell r="AX293">
            <v>50.108373469999997</v>
          </cell>
          <cell r="AY293">
            <v>50.55165229</v>
          </cell>
          <cell r="AZ293">
            <v>51.004077330000001</v>
          </cell>
          <cell r="BA293">
            <v>51.463297619999999</v>
          </cell>
          <cell r="BB293">
            <v>51.9289749</v>
          </cell>
          <cell r="BC293">
            <v>52.401035020000002</v>
          </cell>
          <cell r="BD293">
            <v>52.879387549999997</v>
          </cell>
          <cell r="BE293">
            <v>60.448364050000002</v>
          </cell>
          <cell r="BF293">
            <v>61.25071707</v>
          </cell>
          <cell r="BG293">
            <v>62.065198590000001</v>
          </cell>
          <cell r="BH293">
            <v>62.89208069</v>
          </cell>
          <cell r="BI293">
            <v>63.731686179999997</v>
          </cell>
        </row>
        <row r="299">
          <cell r="E299" t="str">
            <v>CF_toe_cele_2</v>
          </cell>
          <cell r="F299">
            <v>37.567211749999998</v>
          </cell>
          <cell r="G299">
            <v>37.711549740000002</v>
          </cell>
          <cell r="H299">
            <v>37.859431260000001</v>
          </cell>
          <cell r="I299">
            <v>38.035034830000001</v>
          </cell>
          <cell r="J299">
            <v>38.256399250000001</v>
          </cell>
          <cell r="K299">
            <v>38.526711880000001</v>
          </cell>
          <cell r="L299">
            <v>38.821480630000003</v>
          </cell>
          <cell r="M299">
            <v>39.142558800000003</v>
          </cell>
          <cell r="N299">
            <v>39.484299540000002</v>
          </cell>
          <cell r="O299">
            <v>39.84046523</v>
          </cell>
          <cell r="P299">
            <v>40.202091899999999</v>
          </cell>
          <cell r="Q299">
            <v>40.59763925</v>
          </cell>
          <cell r="R299">
            <v>41.004243369999998</v>
          </cell>
          <cell r="S299">
            <v>41.416597400000001</v>
          </cell>
          <cell r="T299">
            <v>41.832283259999997</v>
          </cell>
          <cell r="U299">
            <v>42.249596820000001</v>
          </cell>
          <cell r="V299">
            <v>42.665926040000002</v>
          </cell>
          <cell r="W299">
            <v>43.081455720000001</v>
          </cell>
          <cell r="X299">
            <v>43.495962929999997</v>
          </cell>
          <cell r="Y299">
            <v>43.909478120000003</v>
          </cell>
          <cell r="Z299">
            <v>44.299053399999998</v>
          </cell>
          <cell r="AA299">
            <v>44.701557880000003</v>
          </cell>
          <cell r="AB299">
            <v>45.108850740000001</v>
          </cell>
          <cell r="AC299">
            <v>45.519769740000001</v>
          </cell>
          <cell r="AD299">
            <v>45.934635440000001</v>
          </cell>
          <cell r="AE299">
            <v>46.287845179999998</v>
          </cell>
          <cell r="AF299">
            <v>46.652620050000003</v>
          </cell>
          <cell r="AG299">
            <v>47.021062399999998</v>
          </cell>
          <cell r="AH299">
            <v>47.393410600000003</v>
          </cell>
          <cell r="AI299">
            <v>47.771210019999998</v>
          </cell>
          <cell r="AJ299">
            <v>48.155953490000002</v>
          </cell>
          <cell r="AK299">
            <v>48.549253540000002</v>
          </cell>
          <cell r="AL299">
            <v>48.95173054</v>
          </cell>
          <cell r="AM299">
            <v>49.363957319999997</v>
          </cell>
          <cell r="AN299">
            <v>49.786284330000001</v>
          </cell>
          <cell r="AO299">
            <v>50.218855859999998</v>
          </cell>
          <cell r="AP299">
            <v>50.649976930000001</v>
          </cell>
          <cell r="AQ299">
            <v>51.085408559999998</v>
          </cell>
          <cell r="AR299">
            <v>51.527339820000002</v>
          </cell>
          <cell r="AS299">
            <v>51.976838360000002</v>
          </cell>
          <cell r="AT299">
            <v>52.434471250000001</v>
          </cell>
          <cell r="AU299">
            <v>52.901183099999997</v>
          </cell>
          <cell r="AV299">
            <v>53.37666849</v>
          </cell>
          <cell r="AW299">
            <v>53.860906120000003</v>
          </cell>
          <cell r="AX299">
            <v>54.353844969999997</v>
          </cell>
          <cell r="AY299">
            <v>54.855375879999997</v>
          </cell>
          <cell r="AZ299">
            <v>55.369074910000002</v>
          </cell>
          <cell r="BA299">
            <v>55.89251015</v>
          </cell>
          <cell r="BB299">
            <v>56.42515933</v>
          </cell>
          <cell r="BC299">
            <v>56.966772169999999</v>
          </cell>
          <cell r="BD299">
            <v>57.517115250000003</v>
          </cell>
          <cell r="BE299">
            <v>64.359417219999997</v>
          </cell>
          <cell r="BF299">
            <v>65.209907079999994</v>
          </cell>
          <cell r="BG299">
            <v>66.075298020000005</v>
          </cell>
          <cell r="BH299">
            <v>66.955731420000006</v>
          </cell>
          <cell r="BI299">
            <v>67.851352849999998</v>
          </cell>
        </row>
        <row r="309">
          <cell r="E309" t="str">
            <v>CF_toe_chea_2</v>
          </cell>
          <cell r="F309">
            <v>5.0993447740000004</v>
          </cell>
          <cell r="G309">
            <v>5.1500620750000001</v>
          </cell>
          <cell r="H309">
            <v>5.2064801479999998</v>
          </cell>
          <cell r="I309">
            <v>5.2644371090000002</v>
          </cell>
          <cell r="J309">
            <v>5.3240550620000002</v>
          </cell>
          <cell r="K309">
            <v>5.3858525290000001</v>
          </cell>
          <cell r="L309">
            <v>5.445282089</v>
          </cell>
          <cell r="M309">
            <v>5.5052016080000001</v>
          </cell>
          <cell r="N309">
            <v>5.5664332989999998</v>
          </cell>
          <cell r="O309">
            <v>5.6290323210000004</v>
          </cell>
          <cell r="P309">
            <v>5.6972880300000002</v>
          </cell>
          <cell r="Q309">
            <v>5.7661484249999999</v>
          </cell>
          <cell r="R309">
            <v>5.8348195629999999</v>
          </cell>
          <cell r="S309">
            <v>5.9034499499999997</v>
          </cell>
          <cell r="T309">
            <v>5.97210865</v>
          </cell>
          <cell r="U309">
            <v>6.0407663950000003</v>
          </cell>
          <cell r="V309">
            <v>6.1092340109999999</v>
          </cell>
          <cell r="W309">
            <v>6.1775600190000004</v>
          </cell>
          <cell r="X309">
            <v>6.2457157590000003</v>
          </cell>
          <cell r="Y309">
            <v>6.3136906420000001</v>
          </cell>
          <cell r="Z309">
            <v>6.3759487579999998</v>
          </cell>
          <cell r="AA309">
            <v>6.441420001</v>
          </cell>
          <cell r="AB309">
            <v>6.5080807370000002</v>
          </cell>
          <cell r="AC309">
            <v>6.5752759349999996</v>
          </cell>
          <cell r="AD309">
            <v>6.6427937999999997</v>
          </cell>
          <cell r="AE309">
            <v>6.6951551919999996</v>
          </cell>
          <cell r="AF309">
            <v>6.7498740100000001</v>
          </cell>
          <cell r="AG309">
            <v>6.8054553330000003</v>
          </cell>
          <cell r="AH309">
            <v>6.8615574739999996</v>
          </cell>
          <cell r="AI309">
            <v>6.9181187370000004</v>
          </cell>
          <cell r="AJ309">
            <v>6.9751579489999997</v>
          </cell>
          <cell r="AK309">
            <v>7.0327523860000003</v>
          </cell>
          <cell r="AL309">
            <v>7.0909123269999998</v>
          </cell>
          <cell r="AM309">
            <v>7.1496699049999997</v>
          </cell>
          <cell r="AN309">
            <v>7.2090494600000001</v>
          </cell>
          <cell r="AO309">
            <v>7.2690638209999996</v>
          </cell>
          <cell r="AP309">
            <v>7.3266317509999999</v>
          </cell>
          <cell r="AQ309">
            <v>7.3835060439999998</v>
          </cell>
          <cell r="AR309">
            <v>7.440427337</v>
          </cell>
          <cell r="AS309">
            <v>7.497718785</v>
          </cell>
          <cell r="AT309">
            <v>7.5555146710000001</v>
          </cell>
          <cell r="AU309">
            <v>7.6139218450000001</v>
          </cell>
          <cell r="AV309">
            <v>7.6729027189999996</v>
          </cell>
          <cell r="AW309">
            <v>7.732452211</v>
          </cell>
          <cell r="AX309">
            <v>7.7925633879999996</v>
          </cell>
          <cell r="AY309">
            <v>7.8532248999999998</v>
          </cell>
          <cell r="AZ309">
            <v>7.9149197239999998</v>
          </cell>
          <cell r="BA309">
            <v>7.9772877449999999</v>
          </cell>
          <cell r="BB309">
            <v>8.0402510940000003</v>
          </cell>
          <cell r="BC309">
            <v>8.1037844379999999</v>
          </cell>
          <cell r="BD309">
            <v>8.1678697119999999</v>
          </cell>
          <cell r="BE309">
            <v>8.5768502299999998</v>
          </cell>
          <cell r="BF309">
            <v>8.666396185</v>
          </cell>
          <cell r="BG309">
            <v>8.7572674819999996</v>
          </cell>
          <cell r="BH309">
            <v>8.8494687390000006</v>
          </cell>
          <cell r="BI309">
            <v>8.9430200129999999</v>
          </cell>
        </row>
        <row r="311">
          <cell r="E311" t="str">
            <v>CF_toe_cbio_2</v>
          </cell>
          <cell r="F311">
            <v>8.1707439839999996</v>
          </cell>
          <cell r="G311">
            <v>8.1319020739999992</v>
          </cell>
          <cell r="H311">
            <v>8.0969290950000001</v>
          </cell>
          <cell r="I311">
            <v>8.0739275470000003</v>
          </cell>
          <cell r="J311">
            <v>8.062098851</v>
          </cell>
          <cell r="K311">
            <v>8.0593698020000009</v>
          </cell>
          <cell r="L311">
            <v>8.0602808190000008</v>
          </cell>
          <cell r="M311">
            <v>8.0642405119999996</v>
          </cell>
          <cell r="N311">
            <v>8.0696402620000001</v>
          </cell>
          <cell r="O311">
            <v>8.0755370850000006</v>
          </cell>
          <cell r="P311">
            <v>8.0839122369999998</v>
          </cell>
          <cell r="Q311">
            <v>8.0926520190000009</v>
          </cell>
          <cell r="R311">
            <v>8.1011244680000001</v>
          </cell>
          <cell r="S311">
            <v>8.1097026379999999</v>
          </cell>
          <cell r="T311">
            <v>8.1186802549999992</v>
          </cell>
          <cell r="U311">
            <v>8.1281925160000004</v>
          </cell>
          <cell r="V311">
            <v>8.1379870109999999</v>
          </cell>
          <cell r="W311">
            <v>8.1481265310000008</v>
          </cell>
          <cell r="X311">
            <v>8.1586500569999991</v>
          </cell>
          <cell r="Y311">
            <v>8.1695750819999997</v>
          </cell>
          <cell r="Z311">
            <v>8.177358173</v>
          </cell>
          <cell r="AA311">
            <v>8.1875549549999995</v>
          </cell>
          <cell r="AB311">
            <v>8.1989291719999997</v>
          </cell>
          <cell r="AC311">
            <v>8.2110471779999994</v>
          </cell>
          <cell r="AD311">
            <v>8.2237457569999997</v>
          </cell>
          <cell r="AE311">
            <v>8.2271457269999999</v>
          </cell>
          <cell r="AF311">
            <v>8.2321566290000003</v>
          </cell>
          <cell r="AG311">
            <v>8.2379398530000003</v>
          </cell>
          <cell r="AH311">
            <v>8.2442933180000004</v>
          </cell>
          <cell r="AI311">
            <v>8.2511882009999997</v>
          </cell>
          <cell r="AJ311">
            <v>8.2586498840000004</v>
          </cell>
          <cell r="AK311">
            <v>8.2667953409999999</v>
          </cell>
          <cell r="AL311">
            <v>8.2756376280000001</v>
          </cell>
          <cell r="AM311">
            <v>8.2851807330000007</v>
          </cell>
          <cell r="AN311">
            <v>8.2954199850000006</v>
          </cell>
          <cell r="AO311">
            <v>8.3063444840000003</v>
          </cell>
          <cell r="AP311">
            <v>8.3164886439999997</v>
          </cell>
          <cell r="AQ311">
            <v>8.3268524429999999</v>
          </cell>
          <cell r="AR311">
            <v>8.3377042849999992</v>
          </cell>
          <cell r="AS311">
            <v>8.3490865549999995</v>
          </cell>
          <cell r="AT311">
            <v>8.3609874489999996</v>
          </cell>
          <cell r="AU311">
            <v>8.3735130529999999</v>
          </cell>
          <cell r="AV311">
            <v>8.3866233640000001</v>
          </cell>
          <cell r="AW311">
            <v>8.4002860140000006</v>
          </cell>
          <cell r="AX311">
            <v>8.4144735449999999</v>
          </cell>
          <cell r="AY311">
            <v>8.4291632019999998</v>
          </cell>
          <cell r="AZ311">
            <v>8.4449401819999999</v>
          </cell>
          <cell r="BA311">
            <v>8.4615717860000004</v>
          </cell>
          <cell r="BB311">
            <v>8.4789035689999999</v>
          </cell>
          <cell r="BC311">
            <v>8.496820499</v>
          </cell>
          <cell r="BD311">
            <v>8.5152428390000008</v>
          </cell>
          <cell r="BE311">
            <v>9.1587507319999997</v>
          </cell>
          <cell r="BF311">
            <v>9.2090429220000001</v>
          </cell>
          <cell r="BG311">
            <v>9.2606713220000003</v>
          </cell>
          <cell r="BH311">
            <v>9.3136211660000008</v>
          </cell>
          <cell r="BI311">
            <v>9.3679002540000003</v>
          </cell>
        </row>
        <row r="314">
          <cell r="E314" t="str">
            <v>CF_toe_cote_2</v>
          </cell>
          <cell r="F314">
            <v>8.4893542610000008</v>
          </cell>
          <cell r="G314">
            <v>8.5311053609999998</v>
          </cell>
          <cell r="H314">
            <v>8.6117274049999999</v>
          </cell>
          <cell r="I314">
            <v>8.7078168540000007</v>
          </cell>
          <cell r="J314">
            <v>8.8146426219999992</v>
          </cell>
          <cell r="K314">
            <v>8.9300268089999992</v>
          </cell>
          <cell r="L314">
            <v>9.0456829239999994</v>
          </cell>
          <cell r="M314">
            <v>9.1647131300000009</v>
          </cell>
          <cell r="N314">
            <v>9.2867441149999994</v>
          </cell>
          <cell r="O314">
            <v>9.4110197739999997</v>
          </cell>
          <cell r="P314">
            <v>9.5276093510000006</v>
          </cell>
          <cell r="Q314">
            <v>9.6664843860000005</v>
          </cell>
          <cell r="R314">
            <v>9.8097220949999997</v>
          </cell>
          <cell r="S314">
            <v>9.9543706239999992</v>
          </cell>
          <cell r="T314">
            <v>10.0997711</v>
          </cell>
          <cell r="U314">
            <v>10.245706139999999</v>
          </cell>
          <cell r="V314">
            <v>10.391154609999999</v>
          </cell>
          <cell r="W314">
            <v>10.536876550000001</v>
          </cell>
          <cell r="X314">
            <v>10.68306639</v>
          </cell>
          <cell r="Y314">
            <v>10.82987994</v>
          </cell>
          <cell r="Z314">
            <v>10.969708450000001</v>
          </cell>
          <cell r="AA314">
            <v>11.116062579999999</v>
          </cell>
          <cell r="AB314">
            <v>11.26474535</v>
          </cell>
          <cell r="AC314">
            <v>11.415268019999999</v>
          </cell>
          <cell r="AD314">
            <v>11.56770757</v>
          </cell>
          <cell r="AE314">
            <v>11.69995454</v>
          </cell>
          <cell r="AF314">
            <v>11.8400552</v>
          </cell>
          <cell r="AG314">
            <v>11.98250923</v>
          </cell>
          <cell r="AH314">
            <v>12.12682006</v>
          </cell>
          <cell r="AI314">
            <v>12.27319795</v>
          </cell>
          <cell r="AJ314">
            <v>12.421901589999999</v>
          </cell>
          <cell r="AK314">
            <v>12.573413240000001</v>
          </cell>
          <cell r="AL314">
            <v>12.727644809999999</v>
          </cell>
          <cell r="AM314">
            <v>12.88462953</v>
          </cell>
          <cell r="AN314">
            <v>13.044374019999999</v>
          </cell>
          <cell r="AO314">
            <v>13.20685037</v>
          </cell>
          <cell r="AP314">
            <v>13.3693866</v>
          </cell>
          <cell r="AQ314">
            <v>13.533488139999999</v>
          </cell>
          <cell r="AR314">
            <v>13.69950014</v>
          </cell>
          <cell r="AS314">
            <v>13.86753364</v>
          </cell>
          <cell r="AT314">
            <v>14.037643409999999</v>
          </cell>
          <cell r="AU314">
            <v>14.210317610000001</v>
          </cell>
          <cell r="AV314">
            <v>14.385225569999999</v>
          </cell>
          <cell r="AW314">
            <v>14.562318579999999</v>
          </cell>
          <cell r="AX314">
            <v>14.741573649999999</v>
          </cell>
          <cell r="AY314">
            <v>14.92296252</v>
          </cell>
          <cell r="AZ314">
            <v>15.10855566</v>
          </cell>
          <cell r="BA314">
            <v>15.29674165</v>
          </cell>
          <cell r="BB314">
            <v>15.487232519999999</v>
          </cell>
          <cell r="BC314">
            <v>15.6799277</v>
          </cell>
          <cell r="BD314">
            <v>15.874762459999999</v>
          </cell>
          <cell r="BE314">
            <v>19.805538519999999</v>
          </cell>
          <cell r="BF314">
            <v>20.149609949999999</v>
          </cell>
          <cell r="BG314">
            <v>20.49965121</v>
          </cell>
          <cell r="BH314">
            <v>20.855750520000001</v>
          </cell>
          <cell r="BI314">
            <v>21.21799416</v>
          </cell>
        </row>
        <row r="317">
          <cell r="E317" t="str">
            <v>CF_toe_0</v>
          </cell>
          <cell r="F317">
            <v>162.32540449999999</v>
          </cell>
          <cell r="G317">
            <v>163.4156279</v>
          </cell>
          <cell r="H317">
            <v>164.40111590000001</v>
          </cell>
          <cell r="I317">
            <v>165.49306659999999</v>
          </cell>
          <cell r="J317">
            <v>166.7450049</v>
          </cell>
          <cell r="K317">
            <v>168.1815799</v>
          </cell>
          <cell r="L317">
            <v>169.7110524</v>
          </cell>
          <cell r="M317">
            <v>171.35065499999999</v>
          </cell>
          <cell r="N317">
            <v>173.08313810000001</v>
          </cell>
          <cell r="O317">
            <v>174.88787880000001</v>
          </cell>
          <cell r="P317">
            <v>176.8894071</v>
          </cell>
          <cell r="Q317">
            <v>178.8554997</v>
          </cell>
          <cell r="R317">
            <v>180.83299869999999</v>
          </cell>
          <cell r="S317">
            <v>182.82848540000001</v>
          </cell>
          <cell r="T317">
            <v>184.84160489999999</v>
          </cell>
          <cell r="U317">
            <v>186.87145630000001</v>
          </cell>
          <cell r="V317">
            <v>188.91776089999999</v>
          </cell>
          <cell r="W317">
            <v>190.98094789999999</v>
          </cell>
          <cell r="X317">
            <v>193.06201329999999</v>
          </cell>
          <cell r="Y317">
            <v>195.16235159999999</v>
          </cell>
          <cell r="Z317">
            <v>197.18068349999999</v>
          </cell>
          <cell r="AA317">
            <v>199.2793337</v>
          </cell>
          <cell r="AB317">
            <v>201.41965780000001</v>
          </cell>
          <cell r="AC317">
            <v>203.594572</v>
          </cell>
          <cell r="AD317">
            <v>205.80329029999999</v>
          </cell>
          <cell r="AE317">
            <v>207.7517143</v>
          </cell>
          <cell r="AF317">
            <v>209.7602455</v>
          </cell>
          <cell r="AG317">
            <v>211.79003230000001</v>
          </cell>
          <cell r="AH317">
            <v>213.83877129999999</v>
          </cell>
          <cell r="AI317">
            <v>215.91022290000001</v>
          </cell>
          <cell r="AJ317">
            <v>218.00870889999999</v>
          </cell>
          <cell r="AK317">
            <v>220.13788170000001</v>
          </cell>
          <cell r="AL317">
            <v>222.30046110000001</v>
          </cell>
          <cell r="AM317">
            <v>224.4982799</v>
          </cell>
          <cell r="AN317">
            <v>226.7324304</v>
          </cell>
          <cell r="AO317">
            <v>229.00343720000001</v>
          </cell>
          <cell r="AP317">
            <v>231.2414551</v>
          </cell>
          <cell r="AQ317">
            <v>233.48483450000001</v>
          </cell>
          <cell r="AR317">
            <v>235.74447989999999</v>
          </cell>
          <cell r="AS317">
            <v>238.02541360000001</v>
          </cell>
          <cell r="AT317">
            <v>240.3310563</v>
          </cell>
          <cell r="AU317">
            <v>242.664108</v>
          </cell>
          <cell r="AV317">
            <v>245.0267264</v>
          </cell>
          <cell r="AW317">
            <v>247.4205657</v>
          </cell>
          <cell r="AX317">
            <v>249.84675200000001</v>
          </cell>
          <cell r="AY317">
            <v>252.3057019</v>
          </cell>
          <cell r="AZ317">
            <v>254.80226020000001</v>
          </cell>
          <cell r="BA317">
            <v>257.32966210000001</v>
          </cell>
          <cell r="BB317">
            <v>259.88363240000001</v>
          </cell>
          <cell r="BC317">
            <v>262.47046660000001</v>
          </cell>
          <cell r="BD317">
            <v>265.09553620000003</v>
          </cell>
          <cell r="BE317">
            <v>285.81156920000001</v>
          </cell>
          <cell r="BF317">
            <v>289.59841449999999</v>
          </cell>
          <cell r="BG317">
            <v>293.44403879999999</v>
          </cell>
          <cell r="BH317">
            <v>297.34999809999999</v>
          </cell>
          <cell r="BI317">
            <v>301.31780850000001</v>
          </cell>
        </row>
        <row r="318">
          <cell r="E318" t="str">
            <v>CF_toe_ccoa_0</v>
          </cell>
          <cell r="F318">
            <v>5.4830682990000001</v>
          </cell>
          <cell r="G318">
            <v>5.5492793770000004</v>
          </cell>
          <cell r="H318">
            <v>5.6226819590000003</v>
          </cell>
          <cell r="I318">
            <v>5.701917527</v>
          </cell>
          <cell r="J318">
            <v>5.7861248319999996</v>
          </cell>
          <cell r="K318">
            <v>5.8747395669999998</v>
          </cell>
          <cell r="L318">
            <v>5.9635537019999996</v>
          </cell>
          <cell r="M318">
            <v>6.0544641649999997</v>
          </cell>
          <cell r="N318">
            <v>6.1476467259999996</v>
          </cell>
          <cell r="O318">
            <v>6.2429638369999996</v>
          </cell>
          <cell r="P318">
            <v>6.3467157189999996</v>
          </cell>
          <cell r="Q318">
            <v>6.4481039610000002</v>
          </cell>
          <cell r="R318">
            <v>6.5501806470000004</v>
          </cell>
          <cell r="S318">
            <v>6.6535140009999996</v>
          </cell>
          <cell r="T318">
            <v>6.7582072540000002</v>
          </cell>
          <cell r="U318">
            <v>6.8642977380000003</v>
          </cell>
          <cell r="V318">
            <v>6.9718316849999997</v>
          </cell>
          <cell r="W318">
            <v>7.0808734849999997</v>
          </cell>
          <cell r="X318">
            <v>7.191501186</v>
          </cell>
          <cell r="Y318">
            <v>7.3037997639999999</v>
          </cell>
          <cell r="Z318">
            <v>7.4130387689999999</v>
          </cell>
          <cell r="AA318">
            <v>7.5272154489999998</v>
          </cell>
          <cell r="AB318">
            <v>7.6440588519999997</v>
          </cell>
          <cell r="AC318">
            <v>7.7631628279999996</v>
          </cell>
          <cell r="AD318">
            <v>7.8844808659999996</v>
          </cell>
          <cell r="AE318">
            <v>7.9940915879999999</v>
          </cell>
          <cell r="AF318">
            <v>8.1082709449999992</v>
          </cell>
          <cell r="AG318">
            <v>8.2244082340000002</v>
          </cell>
          <cell r="AH318">
            <v>8.3421332620000008</v>
          </cell>
          <cell r="AI318">
            <v>8.4614956269999997</v>
          </cell>
          <cell r="AJ318">
            <v>8.5826001230000006</v>
          </cell>
          <cell r="AK318">
            <v>8.7055333939999997</v>
          </cell>
          <cell r="AL318">
            <v>8.8303500489999998</v>
          </cell>
          <cell r="AM318">
            <v>8.9570736620000009</v>
          </cell>
          <cell r="AN318">
            <v>9.0857025090000008</v>
          </cell>
          <cell r="AO318">
            <v>9.2162167109999995</v>
          </cell>
          <cell r="AP318">
            <v>9.3451920059999996</v>
          </cell>
          <cell r="AQ318">
            <v>9.474724106</v>
          </cell>
          <cell r="AR318">
            <v>9.6052880090000006</v>
          </cell>
          <cell r="AS318">
            <v>9.7370358279999998</v>
          </cell>
          <cell r="AT318">
            <v>9.8700524590000001</v>
          </cell>
          <cell r="AU318">
            <v>10.0044042</v>
          </cell>
          <cell r="AV318">
            <v>10.140146639999999</v>
          </cell>
          <cell r="AW318">
            <v>10.27732524</v>
          </cell>
          <cell r="AX318">
            <v>10.41597535</v>
          </cell>
          <cell r="AY318">
            <v>10.556122820000001</v>
          </cell>
          <cell r="AZ318">
            <v>10.69809186</v>
          </cell>
          <cell r="BA318">
            <v>10.841721420000001</v>
          </cell>
          <cell r="BB318">
            <v>10.986985839999999</v>
          </cell>
          <cell r="BC318">
            <v>11.133882270000001</v>
          </cell>
          <cell r="BD318">
            <v>11.28241703</v>
          </cell>
          <cell r="BE318">
            <v>12.5681329</v>
          </cell>
          <cell r="BF318">
            <v>12.78677233</v>
          </cell>
          <cell r="BG318">
            <v>13.00876092</v>
          </cell>
          <cell r="BH318">
            <v>13.23413545</v>
          </cell>
          <cell r="BI318">
            <v>13.462935549999999</v>
          </cell>
        </row>
        <row r="321">
          <cell r="E321" t="str">
            <v>CF_toe_ccoi_0</v>
          </cell>
          <cell r="F321">
            <v>8.4917494900000001E-2</v>
          </cell>
          <cell r="G321">
            <v>8.5904173299999997E-2</v>
          </cell>
          <cell r="H321">
            <v>8.6975202500000001E-2</v>
          </cell>
          <cell r="I321">
            <v>8.8142268999999995E-2</v>
          </cell>
          <cell r="J321">
            <v>8.9414280299999996E-2</v>
          </cell>
          <cell r="K321">
            <v>9.0790635600000003E-2</v>
          </cell>
          <cell r="L321">
            <v>9.2207440299999999E-2</v>
          </cell>
          <cell r="M321">
            <v>9.3684891300000003E-2</v>
          </cell>
          <cell r="N321">
            <v>9.5219327399999998E-2</v>
          </cell>
          <cell r="O321">
            <v>9.6803458999999994E-2</v>
          </cell>
          <cell r="P321">
            <v>9.8529666200000005E-2</v>
          </cell>
          <cell r="Q321">
            <v>0.1002378513</v>
          </cell>
          <cell r="R321">
            <v>0.1019637946</v>
          </cell>
          <cell r="S321">
            <v>0.10371059169999999</v>
          </cell>
          <cell r="T321">
            <v>0.10547654469999999</v>
          </cell>
          <cell r="U321">
            <v>0.10725994730000001</v>
          </cell>
          <cell r="V321">
            <v>0.1090597834</v>
          </cell>
          <cell r="W321">
            <v>0.1108757007</v>
          </cell>
          <cell r="X321">
            <v>0.1127078772</v>
          </cell>
          <cell r="Y321">
            <v>0.1145568923</v>
          </cell>
          <cell r="Z321">
            <v>0.11634893709999999</v>
          </cell>
          <cell r="AA321">
            <v>0.1182004707</v>
          </cell>
          <cell r="AB321">
            <v>0.1200823359</v>
          </cell>
          <cell r="AC321">
            <v>0.12199055120000001</v>
          </cell>
          <cell r="AD321">
            <v>0.1239253453</v>
          </cell>
          <cell r="AE321">
            <v>0.12567097899999999</v>
          </cell>
          <cell r="AF321">
            <v>0.12745954100000001</v>
          </cell>
          <cell r="AG321">
            <v>0.12925843849999999</v>
          </cell>
          <cell r="AH321">
            <v>0.1310666754</v>
          </cell>
          <cell r="AI321">
            <v>0.132888268</v>
          </cell>
          <cell r="AJ321">
            <v>0.13472742300000001</v>
          </cell>
          <cell r="AK321">
            <v>0.13658764840000001</v>
          </cell>
          <cell r="AL321">
            <v>0.13847164910000001</v>
          </cell>
          <cell r="AM321">
            <v>0.1403813995</v>
          </cell>
          <cell r="AN321">
            <v>0.14231825740000001</v>
          </cell>
          <cell r="AO321">
            <v>0.1442830849</v>
          </cell>
          <cell r="AP321">
            <v>0.14622375800000001</v>
          </cell>
          <cell r="AQ321">
            <v>0.1481684751</v>
          </cell>
          <cell r="AR321">
            <v>0.1501243146</v>
          </cell>
          <cell r="AS321">
            <v>0.15209465650000001</v>
          </cell>
          <cell r="AT321">
            <v>0.1540821151</v>
          </cell>
          <cell r="AU321">
            <v>0.15608895989999999</v>
          </cell>
          <cell r="AV321">
            <v>0.15811713669999999</v>
          </cell>
          <cell r="AW321">
            <v>0.1601682639</v>
          </cell>
          <cell r="AX321">
            <v>0.16224365390000001</v>
          </cell>
          <cell r="AY321">
            <v>0.1643443597</v>
          </cell>
          <cell r="AZ321">
            <v>0.16647602410000001</v>
          </cell>
          <cell r="BA321">
            <v>0.1686368617</v>
          </cell>
          <cell r="BB321">
            <v>0.17082688500000001</v>
          </cell>
          <cell r="BC321">
            <v>0.1730462321</v>
          </cell>
          <cell r="BD321">
            <v>0.17529506089999999</v>
          </cell>
          <cell r="BE321">
            <v>0.1973296433</v>
          </cell>
          <cell r="BF321">
            <v>0.2006222366</v>
          </cell>
          <cell r="BG321">
            <v>0.2039584817</v>
          </cell>
          <cell r="BH321">
            <v>0.20733960309999999</v>
          </cell>
          <cell r="BI321">
            <v>0.21076692059999999</v>
          </cell>
        </row>
        <row r="324">
          <cell r="E324" t="str">
            <v>CF_toe_cfut_0</v>
          </cell>
          <cell r="F324">
            <v>47.396219520000002</v>
          </cell>
          <cell r="G324">
            <v>47.572488120000003</v>
          </cell>
          <cell r="H324">
            <v>47.715054289999998</v>
          </cell>
          <cell r="I324">
            <v>47.933097959999998</v>
          </cell>
          <cell r="J324">
            <v>48.248534429999999</v>
          </cell>
          <cell r="K324">
            <v>48.652318780000002</v>
          </cell>
          <cell r="L324">
            <v>49.110529749999998</v>
          </cell>
          <cell r="M324">
            <v>49.614983969999997</v>
          </cell>
          <cell r="N324">
            <v>50.15509342</v>
          </cell>
          <cell r="O324">
            <v>50.722348689999997</v>
          </cell>
          <cell r="P324">
            <v>51.340709910000001</v>
          </cell>
          <cell r="Q324">
            <v>51.961652739999998</v>
          </cell>
          <cell r="R324">
            <v>52.59153294</v>
          </cell>
          <cell r="S324">
            <v>53.229606789999998</v>
          </cell>
          <cell r="T324">
            <v>53.87438066</v>
          </cell>
          <cell r="U324">
            <v>54.524709280000003</v>
          </cell>
          <cell r="V324">
            <v>55.179880920000002</v>
          </cell>
          <cell r="W324">
            <v>55.839527969999999</v>
          </cell>
          <cell r="X324">
            <v>56.50352857</v>
          </cell>
          <cell r="Y324">
            <v>57.171929089999999</v>
          </cell>
          <cell r="Z324">
            <v>57.822471810000003</v>
          </cell>
          <cell r="AA324">
            <v>58.488130839999997</v>
          </cell>
          <cell r="AB324">
            <v>59.162029029999999</v>
          </cell>
          <cell r="AC324">
            <v>59.843234639999999</v>
          </cell>
          <cell r="AD324">
            <v>60.531841649999997</v>
          </cell>
          <cell r="AE324">
            <v>61.163390649999997</v>
          </cell>
          <cell r="AF324">
            <v>61.8018632</v>
          </cell>
          <cell r="AG324">
            <v>62.440449469999997</v>
          </cell>
          <cell r="AH324">
            <v>63.079769519999999</v>
          </cell>
          <cell r="AI324">
            <v>63.721679999999999</v>
          </cell>
          <cell r="AJ324">
            <v>64.367969049999999</v>
          </cell>
          <cell r="AK324">
            <v>65.02008352</v>
          </cell>
          <cell r="AL324">
            <v>65.679104269999996</v>
          </cell>
          <cell r="AM324">
            <v>66.345791840000004</v>
          </cell>
          <cell r="AN324">
            <v>67.020651849999993</v>
          </cell>
          <cell r="AO324">
            <v>67.704000820000005</v>
          </cell>
          <cell r="AP324">
            <v>68.380444940000004</v>
          </cell>
          <cell r="AQ324">
            <v>69.05720925</v>
          </cell>
          <cell r="AR324">
            <v>69.73649245</v>
          </cell>
          <cell r="AS324">
            <v>70.419591659999995</v>
          </cell>
          <cell r="AT324">
            <v>71.107616809999996</v>
          </cell>
          <cell r="AU324">
            <v>71.801559749999996</v>
          </cell>
          <cell r="AV324">
            <v>72.502267520000004</v>
          </cell>
          <cell r="AW324">
            <v>73.210424040000007</v>
          </cell>
          <cell r="AX324">
            <v>73.926553350000006</v>
          </cell>
          <cell r="AY324">
            <v>74.651039190000006</v>
          </cell>
          <cell r="AZ324">
            <v>75.38556097</v>
          </cell>
          <cell r="BA324">
            <v>76.129668170000002</v>
          </cell>
          <cell r="BB324">
            <v>76.883308369999995</v>
          </cell>
          <cell r="BC324">
            <v>77.646438570000001</v>
          </cell>
          <cell r="BD324">
            <v>78.419003630000006</v>
          </cell>
          <cell r="BE324">
            <v>85.312169370000007</v>
          </cell>
          <cell r="BF324">
            <v>86.423256069999994</v>
          </cell>
          <cell r="BG324">
            <v>87.550619229999995</v>
          </cell>
          <cell r="BH324">
            <v>88.694809750000005</v>
          </cell>
          <cell r="BI324">
            <v>89.856421949999998</v>
          </cell>
        </row>
        <row r="327">
          <cell r="E327" t="str">
            <v>CF_toe_cfuh_0</v>
          </cell>
          <cell r="F327">
            <v>14.83425304</v>
          </cell>
          <cell r="G327">
            <v>14.924954290000001</v>
          </cell>
          <cell r="H327">
            <v>14.99378463</v>
          </cell>
          <cell r="I327">
            <v>15.060781009999999</v>
          </cell>
          <cell r="J327">
            <v>15.13222141</v>
          </cell>
          <cell r="K327">
            <v>15.217554229999999</v>
          </cell>
          <cell r="L327">
            <v>15.312203970000001</v>
          </cell>
          <cell r="M327">
            <v>15.41807865</v>
          </cell>
          <cell r="N327">
            <v>15.53343295</v>
          </cell>
          <cell r="O327">
            <v>15.6559632</v>
          </cell>
          <cell r="P327">
            <v>15.79562039</v>
          </cell>
          <cell r="Q327">
            <v>15.932841939999999</v>
          </cell>
          <cell r="R327">
            <v>16.07097147</v>
          </cell>
          <cell r="S327">
            <v>16.210606569999999</v>
          </cell>
          <cell r="T327">
            <v>16.351777429999999</v>
          </cell>
          <cell r="U327">
            <v>16.494440099999998</v>
          </cell>
          <cell r="V327">
            <v>16.638578200000001</v>
          </cell>
          <cell r="W327">
            <v>16.78421445</v>
          </cell>
          <cell r="X327">
            <v>16.931403159999999</v>
          </cell>
          <cell r="Y327">
            <v>17.080220749999999</v>
          </cell>
          <cell r="Z327">
            <v>17.222231820000001</v>
          </cell>
          <cell r="AA327">
            <v>17.37069017</v>
          </cell>
          <cell r="AB327">
            <v>17.52264744</v>
          </cell>
          <cell r="AC327">
            <v>17.677383379999998</v>
          </cell>
          <cell r="AD327">
            <v>17.834727869999998</v>
          </cell>
          <cell r="AE327">
            <v>17.9703518</v>
          </cell>
          <cell r="AF327">
            <v>18.110230789999999</v>
          </cell>
          <cell r="AG327">
            <v>18.251800249999999</v>
          </cell>
          <cell r="AH327">
            <v>18.394817360000001</v>
          </cell>
          <cell r="AI327">
            <v>18.539462530000002</v>
          </cell>
          <cell r="AJ327">
            <v>18.685984430000001</v>
          </cell>
          <cell r="AK327">
            <v>18.834621599999998</v>
          </cell>
          <cell r="AL327">
            <v>18.985565529999999</v>
          </cell>
          <cell r="AM327">
            <v>19.138955939999999</v>
          </cell>
          <cell r="AN327">
            <v>19.294887070000001</v>
          </cell>
          <cell r="AO327">
            <v>19.45341728</v>
          </cell>
          <cell r="AP327">
            <v>19.608858770000001</v>
          </cell>
          <cell r="AQ327">
            <v>19.76426489</v>
          </cell>
          <cell r="AR327">
            <v>19.92065075</v>
          </cell>
          <cell r="AS327">
            <v>20.07849736</v>
          </cell>
          <cell r="AT327">
            <v>20.238113930000001</v>
          </cell>
          <cell r="AU327">
            <v>20.39972895</v>
          </cell>
          <cell r="AV327">
            <v>20.563513650000001</v>
          </cell>
          <cell r="AW327">
            <v>20.72958466</v>
          </cell>
          <cell r="AX327">
            <v>20.897988699999999</v>
          </cell>
          <cell r="AY327">
            <v>21.068633049999999</v>
          </cell>
          <cell r="AZ327">
            <v>21.241442599999999</v>
          </cell>
          <cell r="BA327">
            <v>21.4161906</v>
          </cell>
          <cell r="BB327">
            <v>21.592451929999999</v>
          </cell>
          <cell r="BC327">
            <v>21.77122297</v>
          </cell>
          <cell r="BD327">
            <v>21.953295950000001</v>
          </cell>
          <cell r="BE327">
            <v>23.453218750000001</v>
          </cell>
          <cell r="BF327">
            <v>23.723576749999999</v>
          </cell>
          <cell r="BG327">
            <v>23.998018949999999</v>
          </cell>
          <cell r="BH327">
            <v>24.276674310000001</v>
          </cell>
          <cell r="BI327">
            <v>24.559660640000001</v>
          </cell>
        </row>
        <row r="329">
          <cell r="E329" t="str">
            <v>CF_toe_cgas_0</v>
          </cell>
          <cell r="F329">
            <v>34.455909929999997</v>
          </cell>
          <cell r="G329">
            <v>34.735827729999997</v>
          </cell>
          <cell r="H329">
            <v>34.995736540000003</v>
          </cell>
          <cell r="I329">
            <v>35.262800059999996</v>
          </cell>
          <cell r="J329">
            <v>35.545407359999999</v>
          </cell>
          <cell r="K329">
            <v>35.85970622</v>
          </cell>
          <cell r="L329">
            <v>36.18981582</v>
          </cell>
          <cell r="M329">
            <v>36.543720520000001</v>
          </cell>
          <cell r="N329">
            <v>36.918847030000002</v>
          </cell>
          <cell r="O329">
            <v>37.31092039</v>
          </cell>
          <cell r="P329">
            <v>37.750746650000004</v>
          </cell>
          <cell r="Q329">
            <v>38.181040979999999</v>
          </cell>
          <cell r="R329">
            <v>38.61398234</v>
          </cell>
          <cell r="S329">
            <v>39.051442809999998</v>
          </cell>
          <cell r="T329">
            <v>39.493438840000003</v>
          </cell>
          <cell r="U329">
            <v>39.939729460000002</v>
          </cell>
          <cell r="V329">
            <v>40.390138090000001</v>
          </cell>
          <cell r="W329">
            <v>40.844607400000001</v>
          </cell>
          <cell r="X329">
            <v>41.303192789999997</v>
          </cell>
          <cell r="Y329">
            <v>41.766041950000002</v>
          </cell>
          <cell r="Z329">
            <v>42.20831707</v>
          </cell>
          <cell r="AA329">
            <v>42.66986034</v>
          </cell>
          <cell r="AB329">
            <v>43.140639149999998</v>
          </cell>
          <cell r="AC329">
            <v>43.618656739999999</v>
          </cell>
          <cell r="AD329">
            <v>44.103556339999997</v>
          </cell>
          <cell r="AE329">
            <v>44.523800489999999</v>
          </cell>
          <cell r="AF329">
            <v>44.958608820000002</v>
          </cell>
          <cell r="AG329">
            <v>45.397820109999998</v>
          </cell>
          <cell r="AH329">
            <v>45.840496790000003</v>
          </cell>
          <cell r="AI329">
            <v>46.287105910000001</v>
          </cell>
          <cell r="AJ329">
            <v>46.738403910000002</v>
          </cell>
          <cell r="AK329">
            <v>47.195129989999998</v>
          </cell>
          <cell r="AL329">
            <v>47.657907229999999</v>
          </cell>
          <cell r="AM329">
            <v>48.127221910000003</v>
          </cell>
          <cell r="AN329">
            <v>48.603430539999998</v>
          </cell>
          <cell r="AO329">
            <v>49.086777939999997</v>
          </cell>
          <cell r="AP329">
            <v>49.560524800000003</v>
          </cell>
          <cell r="AQ329">
            <v>50.034354639999997</v>
          </cell>
          <cell r="AR329">
            <v>50.510984710000002</v>
          </cell>
          <cell r="AS329">
            <v>50.991610729999998</v>
          </cell>
          <cell r="AT329">
            <v>51.476987549999997</v>
          </cell>
          <cell r="AU329">
            <v>51.967675669999998</v>
          </cell>
          <cell r="AV329">
            <v>52.464104059999997</v>
          </cell>
          <cell r="AW329">
            <v>52.966582770000002</v>
          </cell>
          <cell r="AX329">
            <v>53.475287020000003</v>
          </cell>
          <cell r="AY329">
            <v>53.99018281</v>
          </cell>
          <cell r="AZ329">
            <v>54.51220481</v>
          </cell>
          <cell r="BA329">
            <v>55.039883439999997</v>
          </cell>
          <cell r="BB329">
            <v>55.570551279999997</v>
          </cell>
          <cell r="BC329">
            <v>56.107931319999999</v>
          </cell>
          <cell r="BD329">
            <v>56.655027349999997</v>
          </cell>
          <cell r="BE329">
            <v>60.695917489999999</v>
          </cell>
          <cell r="BF329">
            <v>61.493967240000003</v>
          </cell>
          <cell r="BG329">
            <v>62.303657729999998</v>
          </cell>
          <cell r="BH329">
            <v>63.125339080000003</v>
          </cell>
          <cell r="BI329">
            <v>63.959341160000001</v>
          </cell>
        </row>
        <row r="335">
          <cell r="E335" t="str">
            <v>CF_toe_cele_0</v>
          </cell>
          <cell r="F335">
            <v>37.992390450000002</v>
          </cell>
          <cell r="G335">
            <v>38.276743850000003</v>
          </cell>
          <cell r="H335">
            <v>38.530684659999999</v>
          </cell>
          <cell r="I335">
            <v>38.797107580000002</v>
          </cell>
          <cell r="J335">
            <v>39.089575859999997</v>
          </cell>
          <cell r="K335">
            <v>39.41854953</v>
          </cell>
          <cell r="L335">
            <v>39.764851970000002</v>
          </cell>
          <cell r="M335">
            <v>40.133085770000001</v>
          </cell>
          <cell r="N335">
            <v>40.519239079999998</v>
          </cell>
          <cell r="O335">
            <v>40.918433100000001</v>
          </cell>
          <cell r="P335">
            <v>41.360046439999998</v>
          </cell>
          <cell r="Q335">
            <v>41.789856239999999</v>
          </cell>
          <cell r="R335">
            <v>42.21893962</v>
          </cell>
          <cell r="S335">
            <v>42.649196600000003</v>
          </cell>
          <cell r="T335">
            <v>43.080938500000002</v>
          </cell>
          <cell r="U335">
            <v>43.514363170000003</v>
          </cell>
          <cell r="V335">
            <v>43.949823139999999</v>
          </cell>
          <cell r="W335">
            <v>44.387842910000003</v>
          </cell>
          <cell r="X335">
            <v>44.829082380000003</v>
          </cell>
          <cell r="Y335">
            <v>45.274291040000001</v>
          </cell>
          <cell r="Z335">
            <v>45.700009209999997</v>
          </cell>
          <cell r="AA335">
            <v>46.144843629999997</v>
          </cell>
          <cell r="AB335">
            <v>46.600240390000003</v>
          </cell>
          <cell r="AC335">
            <v>47.064854570000001</v>
          </cell>
          <cell r="AD335">
            <v>47.53876125</v>
          </cell>
          <cell r="AE335">
            <v>47.952820340000002</v>
          </cell>
          <cell r="AF335">
            <v>48.382597930000003</v>
          </cell>
          <cell r="AG335">
            <v>48.819584089999999</v>
          </cell>
          <cell r="AH335">
            <v>49.263543339999998</v>
          </cell>
          <cell r="AI335">
            <v>49.715632020000001</v>
          </cell>
          <cell r="AJ335">
            <v>50.177029109999999</v>
          </cell>
          <cell r="AK335">
            <v>50.648656189999997</v>
          </cell>
          <cell r="AL335">
            <v>51.131139660000002</v>
          </cell>
          <cell r="AM335">
            <v>51.624838179999998</v>
          </cell>
          <cell r="AN335">
            <v>52.129891010000001</v>
          </cell>
          <cell r="AO335">
            <v>52.646271570000003</v>
          </cell>
          <cell r="AP335">
            <v>53.157286280000001</v>
          </cell>
          <cell r="AQ335">
            <v>53.671763130000002</v>
          </cell>
          <cell r="AR335">
            <v>54.192208190000002</v>
          </cell>
          <cell r="AS335">
            <v>54.71974771</v>
          </cell>
          <cell r="AT335">
            <v>55.255125900000003</v>
          </cell>
          <cell r="AU335">
            <v>55.798907499999999</v>
          </cell>
          <cell r="AV335">
            <v>56.351518660000004</v>
          </cell>
          <cell r="AW335">
            <v>56.913261910000003</v>
          </cell>
          <cell r="AX335">
            <v>57.484299739999997</v>
          </cell>
          <cell r="AY335">
            <v>58.064578050000001</v>
          </cell>
          <cell r="AZ335">
            <v>58.654896839999999</v>
          </cell>
          <cell r="BA335">
            <v>59.254107269999999</v>
          </cell>
          <cell r="BB335">
            <v>59.861396569999997</v>
          </cell>
          <cell r="BC335">
            <v>60.477901780000003</v>
          </cell>
          <cell r="BD335">
            <v>61.104611400000003</v>
          </cell>
          <cell r="BE335">
            <v>65.412551059999998</v>
          </cell>
          <cell r="BF335">
            <v>66.296898889999994</v>
          </cell>
          <cell r="BG335">
            <v>67.196138849999997</v>
          </cell>
          <cell r="BH335">
            <v>68.110568479999998</v>
          </cell>
          <cell r="BI335">
            <v>69.040456840000004</v>
          </cell>
        </row>
        <row r="345">
          <cell r="E345" t="str">
            <v>CF_toe_chea_0</v>
          </cell>
          <cell r="F345">
            <v>5.141788762</v>
          </cell>
          <cell r="G345">
            <v>5.2038577220000004</v>
          </cell>
          <cell r="H345">
            <v>5.272784723</v>
          </cell>
          <cell r="I345">
            <v>5.3464468930000004</v>
          </cell>
          <cell r="J345">
            <v>5.4244187999999998</v>
          </cell>
          <cell r="K345">
            <v>5.4986044420000004</v>
          </cell>
          <cell r="L345">
            <v>5.5637983809999998</v>
          </cell>
          <cell r="M345">
            <v>5.6246720809999999</v>
          </cell>
          <cell r="N345">
            <v>5.683861308</v>
          </cell>
          <cell r="O345">
            <v>5.7427184359999996</v>
          </cell>
          <cell r="P345">
            <v>5.8100617100000003</v>
          </cell>
          <cell r="Q345">
            <v>5.8729795840000003</v>
          </cell>
          <cell r="R345">
            <v>5.9345829879999998</v>
          </cell>
          <cell r="S345">
            <v>5.9959336949999997</v>
          </cell>
          <cell r="T345">
            <v>6.0574305309999996</v>
          </cell>
          <cell r="U345">
            <v>6.1192295669999996</v>
          </cell>
          <cell r="V345">
            <v>6.1813979049999999</v>
          </cell>
          <cell r="W345">
            <v>6.2439746759999997</v>
          </cell>
          <cell r="X345">
            <v>6.3069944759999998</v>
          </cell>
          <cell r="Y345">
            <v>6.3704948200000002</v>
          </cell>
          <cell r="Z345">
            <v>6.4288668869999999</v>
          </cell>
          <cell r="AA345">
            <v>6.491206568</v>
          </cell>
          <cell r="AB345">
            <v>6.555427516</v>
          </cell>
          <cell r="AC345">
            <v>6.6208421639999999</v>
          </cell>
          <cell r="AD345">
            <v>6.6872013160000003</v>
          </cell>
          <cell r="AE345">
            <v>6.7386793899999997</v>
          </cell>
          <cell r="AF345">
            <v>6.7930564499999999</v>
          </cell>
          <cell r="AG345">
            <v>6.8487940470000002</v>
          </cell>
          <cell r="AH345">
            <v>6.9055178069999998</v>
          </cell>
          <cell r="AI345">
            <v>6.9631214379999999</v>
          </cell>
          <cell r="AJ345">
            <v>7.0215933660000003</v>
          </cell>
          <cell r="AK345">
            <v>7.0809499279999999</v>
          </cell>
          <cell r="AL345">
            <v>7.1412105370000001</v>
          </cell>
          <cell r="AM345">
            <v>7.2023887809999998</v>
          </cell>
          <cell r="AN345">
            <v>7.2644907109999997</v>
          </cell>
          <cell r="AO345">
            <v>7.3275163430000001</v>
          </cell>
          <cell r="AP345">
            <v>7.3879446580000003</v>
          </cell>
          <cell r="AQ345">
            <v>7.4478828909999999</v>
          </cell>
          <cell r="AR345">
            <v>7.5081001729999999</v>
          </cell>
          <cell r="AS345">
            <v>7.5689294360000003</v>
          </cell>
          <cell r="AT345">
            <v>7.6305427830000001</v>
          </cell>
          <cell r="AU345">
            <v>7.6930537579999996</v>
          </cell>
          <cell r="AV345">
            <v>7.7565621910000004</v>
          </cell>
          <cell r="AW345">
            <v>7.8211815680000001</v>
          </cell>
          <cell r="AX345">
            <v>7.8870721030000004</v>
          </cell>
          <cell r="AY345">
            <v>7.9545177130000004</v>
          </cell>
          <cell r="AZ345">
            <v>8.0245125359999996</v>
          </cell>
          <cell r="BA345">
            <v>8.0941612910000007</v>
          </cell>
          <cell r="BB345">
            <v>8.1630872920000002</v>
          </cell>
          <cell r="BC345">
            <v>8.2315350580000004</v>
          </cell>
          <cell r="BD345">
            <v>8.2999360459999991</v>
          </cell>
          <cell r="BE345">
            <v>8.8248155520000005</v>
          </cell>
          <cell r="BF345">
            <v>8.9214467200000005</v>
          </cell>
          <cell r="BG345">
            <v>9.0193785480000006</v>
          </cell>
          <cell r="BH345">
            <v>9.1186607859999995</v>
          </cell>
          <cell r="BI345">
            <v>9.2193318049999995</v>
          </cell>
        </row>
        <row r="347">
          <cell r="E347" t="str">
            <v>CF_toe_cbio_0</v>
          </cell>
          <cell r="F347">
            <v>8.2066322189999994</v>
          </cell>
          <cell r="G347">
            <v>8.2272731690000001</v>
          </cell>
          <cell r="H347">
            <v>8.2228348679999996</v>
          </cell>
          <cell r="I347">
            <v>8.2111086899999997</v>
          </cell>
          <cell r="J347">
            <v>8.1980360660000002</v>
          </cell>
          <cell r="K347">
            <v>8.1912228660000004</v>
          </cell>
          <cell r="L347">
            <v>8.1896895779999994</v>
          </cell>
          <cell r="M347">
            <v>8.1943002319999998</v>
          </cell>
          <cell r="N347">
            <v>8.2038736360000009</v>
          </cell>
          <cell r="O347">
            <v>8.2169014300000001</v>
          </cell>
          <cell r="P347">
            <v>8.2375590790000004</v>
          </cell>
          <cell r="Q347">
            <v>8.2567148059999997</v>
          </cell>
          <cell r="R347">
            <v>8.2757272949999994</v>
          </cell>
          <cell r="S347">
            <v>8.2949545039999997</v>
          </cell>
          <cell r="T347">
            <v>8.3144870219999998</v>
          </cell>
          <cell r="U347">
            <v>8.3343495020000002</v>
          </cell>
          <cell r="V347">
            <v>8.3545609209999991</v>
          </cell>
          <cell r="W347">
            <v>8.3751510580000001</v>
          </cell>
          <cell r="X347">
            <v>8.3961620460000006</v>
          </cell>
          <cell r="Y347">
            <v>8.4176450880000004</v>
          </cell>
          <cell r="Z347">
            <v>8.4359666789999999</v>
          </cell>
          <cell r="AA347">
            <v>8.4569724110000006</v>
          </cell>
          <cell r="AB347">
            <v>8.4794335749999998</v>
          </cell>
          <cell r="AC347">
            <v>8.5029590020000008</v>
          </cell>
          <cell r="AD347">
            <v>8.5274204600000001</v>
          </cell>
          <cell r="AE347">
            <v>8.5424752300000009</v>
          </cell>
          <cell r="AF347">
            <v>8.5594170779999992</v>
          </cell>
          <cell r="AG347">
            <v>8.5773863810000002</v>
          </cell>
          <cell r="AH347">
            <v>8.5962145270000008</v>
          </cell>
          <cell r="AI347">
            <v>8.6159032510000007</v>
          </cell>
          <cell r="AJ347">
            <v>8.6364932200000002</v>
          </cell>
          <cell r="AK347">
            <v>8.6580247139999997</v>
          </cell>
          <cell r="AL347">
            <v>8.6805255409999997</v>
          </cell>
          <cell r="AM347">
            <v>8.7040090219999993</v>
          </cell>
          <cell r="AN347">
            <v>8.7284760539999997</v>
          </cell>
          <cell r="AO347">
            <v>8.7539185699999997</v>
          </cell>
          <cell r="AP347">
            <v>8.7779995470000003</v>
          </cell>
          <cell r="AQ347">
            <v>8.8020075860000002</v>
          </cell>
          <cell r="AR347">
            <v>8.8264244200000004</v>
          </cell>
          <cell r="AS347">
            <v>8.8514643179999997</v>
          </cell>
          <cell r="AT347">
            <v>8.8772394390000002</v>
          </cell>
          <cell r="AU347">
            <v>8.9038170389999998</v>
          </cell>
          <cell r="AV347">
            <v>8.9312391200000008</v>
          </cell>
          <cell r="AW347">
            <v>8.959522518</v>
          </cell>
          <cell r="AX347">
            <v>8.9886435500000008</v>
          </cell>
          <cell r="AY347">
            <v>9.0184772899999999</v>
          </cell>
          <cell r="AZ347">
            <v>9.0486459420000003</v>
          </cell>
          <cell r="BA347">
            <v>9.0791002019999993</v>
          </cell>
          <cell r="BB347">
            <v>9.1099881790000001</v>
          </cell>
          <cell r="BC347">
            <v>9.1415747849999995</v>
          </cell>
          <cell r="BD347">
            <v>9.1740776200000003</v>
          </cell>
          <cell r="BE347">
            <v>9.484807537</v>
          </cell>
          <cell r="BF347">
            <v>9.5424931760000007</v>
          </cell>
          <cell r="BG347">
            <v>9.6013940170000005</v>
          </cell>
          <cell r="BH347">
            <v>9.6615604289999997</v>
          </cell>
          <cell r="BI347">
            <v>9.7230260650000009</v>
          </cell>
        </row>
        <row r="350">
          <cell r="E350" t="str">
            <v>CF_toe_cote_0</v>
          </cell>
          <cell r="F350">
            <v>8.7302247630000007</v>
          </cell>
          <cell r="G350">
            <v>8.8392994750000007</v>
          </cell>
          <cell r="H350">
            <v>8.9605790719999998</v>
          </cell>
          <cell r="I350">
            <v>9.0916645789999997</v>
          </cell>
          <cell r="J350">
            <v>9.2312718950000008</v>
          </cell>
          <cell r="K350">
            <v>9.3780936659999998</v>
          </cell>
          <cell r="L350">
            <v>9.5244017680000006</v>
          </cell>
          <cell r="M350">
            <v>9.6736647009999999</v>
          </cell>
          <cell r="N350">
            <v>9.8259246559999998</v>
          </cell>
          <cell r="O350">
            <v>9.9808262980000002</v>
          </cell>
          <cell r="P350">
            <v>10.14941758</v>
          </cell>
          <cell r="Q350">
            <v>10.312071639999999</v>
          </cell>
          <cell r="R350">
            <v>10.47511757</v>
          </cell>
          <cell r="S350">
            <v>10.63951984</v>
          </cell>
          <cell r="T350">
            <v>10.805468149999999</v>
          </cell>
          <cell r="U350">
            <v>10.97307751</v>
          </cell>
          <cell r="V350">
            <v>11.14249027</v>
          </cell>
          <cell r="W350">
            <v>11.313880230000001</v>
          </cell>
          <cell r="X350">
            <v>11.487440769999999</v>
          </cell>
          <cell r="Y350">
            <v>11.66337225</v>
          </cell>
          <cell r="Z350">
            <v>11.83343228</v>
          </cell>
          <cell r="AA350">
            <v>12.012213839999999</v>
          </cell>
          <cell r="AB350">
            <v>12.19509948</v>
          </cell>
          <cell r="AC350">
            <v>12.381488170000001</v>
          </cell>
          <cell r="AD350">
            <v>12.57137518</v>
          </cell>
          <cell r="AE350">
            <v>12.74043378</v>
          </cell>
          <cell r="AF350">
            <v>12.91874074</v>
          </cell>
          <cell r="AG350">
            <v>13.10053126</v>
          </cell>
          <cell r="AH350">
            <v>13.28521198</v>
          </cell>
          <cell r="AI350">
            <v>13.47293387</v>
          </cell>
          <cell r="AJ350">
            <v>13.663908299999999</v>
          </cell>
          <cell r="AK350">
            <v>13.858294689999999</v>
          </cell>
          <cell r="AL350">
            <v>14.056186609999999</v>
          </cell>
          <cell r="AM350">
            <v>14.25761922</v>
          </cell>
          <cell r="AN350">
            <v>14.46258242</v>
          </cell>
          <cell r="AO350">
            <v>14.67103487</v>
          </cell>
          <cell r="AP350">
            <v>14.876980379999999</v>
          </cell>
          <cell r="AQ350">
            <v>15.08445957</v>
          </cell>
          <cell r="AR350">
            <v>15.29420689</v>
          </cell>
          <cell r="AS350">
            <v>15.50644185</v>
          </cell>
          <cell r="AT350">
            <v>15.721295319999999</v>
          </cell>
          <cell r="AU350">
            <v>15.93887222</v>
          </cell>
          <cell r="AV350">
            <v>16.159257360000002</v>
          </cell>
          <cell r="AW350">
            <v>16.382514740000001</v>
          </cell>
          <cell r="AX350">
            <v>16.60868851</v>
          </cell>
          <cell r="AY350">
            <v>16.83780659</v>
          </cell>
          <cell r="AZ350">
            <v>17.070428589999999</v>
          </cell>
          <cell r="BA350">
            <v>17.306192800000002</v>
          </cell>
          <cell r="BB350">
            <v>17.545036020000001</v>
          </cell>
          <cell r="BC350">
            <v>17.786933619999999</v>
          </cell>
          <cell r="BD350">
            <v>18.031872109999998</v>
          </cell>
          <cell r="BE350">
            <v>19.86262687</v>
          </cell>
          <cell r="BF350">
            <v>20.209381090000001</v>
          </cell>
          <cell r="BG350">
            <v>20.562112070000001</v>
          </cell>
          <cell r="BH350">
            <v>20.92091023</v>
          </cell>
          <cell r="BI350">
            <v>21.285867530000001</v>
          </cell>
        </row>
        <row r="353">
          <cell r="F353">
            <v>64.301440170000006</v>
          </cell>
          <cell r="G353">
            <v>64.319194240000002</v>
          </cell>
          <cell r="H353">
            <v>64.090920629999999</v>
          </cell>
          <cell r="I353">
            <v>63.840260379999997</v>
          </cell>
          <cell r="J353">
            <v>63.644442939999998</v>
          </cell>
          <cell r="K353">
            <v>63.521041320000002</v>
          </cell>
          <cell r="L353">
            <v>63.447176939999999</v>
          </cell>
          <cell r="M353">
            <v>63.418667620000001</v>
          </cell>
          <cell r="N353">
            <v>63.425645359999997</v>
          </cell>
          <cell r="O353">
            <v>63.458544160000002</v>
          </cell>
          <cell r="P353">
            <v>63.53743411</v>
          </cell>
          <cell r="Q353">
            <v>63.615291409999998</v>
          </cell>
          <cell r="R353">
            <v>63.698522330000003</v>
          </cell>
          <cell r="S353">
            <v>63.790269780000003</v>
          </cell>
          <cell r="T353">
            <v>63.891224999999999</v>
          </cell>
          <cell r="U353">
            <v>64.001442620000006</v>
          </cell>
          <cell r="V353">
            <v>64.120860429999993</v>
          </cell>
          <cell r="W353">
            <v>64.248697030000002</v>
          </cell>
          <cell r="X353">
            <v>64.383835899999994</v>
          </cell>
          <cell r="Y353">
            <v>64.525008970000002</v>
          </cell>
          <cell r="Z353">
            <v>64.651412129999997</v>
          </cell>
          <cell r="AA353">
            <v>64.790916150000001</v>
          </cell>
          <cell r="AB353">
            <v>64.937365639999996</v>
          </cell>
          <cell r="AC353">
            <v>65.087534590000004</v>
          </cell>
          <cell r="AD353">
            <v>65.239669649999996</v>
          </cell>
          <cell r="AE353">
            <v>65.339255089999995</v>
          </cell>
          <cell r="AF353">
            <v>65.440056740000003</v>
          </cell>
          <cell r="AG353">
            <v>65.540104690000007</v>
          </cell>
          <cell r="AH353">
            <v>65.638616029999994</v>
          </cell>
          <cell r="AI353">
            <v>65.735428830000004</v>
          </cell>
          <cell r="AJ353">
            <v>65.830663369999996</v>
          </cell>
          <cell r="AK353">
            <v>65.924494300000006</v>
          </cell>
          <cell r="AL353">
            <v>66.017158370000004</v>
          </cell>
          <cell r="AM353">
            <v>66.108788009999998</v>
          </cell>
          <cell r="AN353">
            <v>66.199633289999994</v>
          </cell>
          <cell r="AO353">
            <v>66.28996626</v>
          </cell>
          <cell r="AP353">
            <v>66.367734530000007</v>
          </cell>
          <cell r="AQ353">
            <v>66.43901812</v>
          </cell>
          <cell r="AR353">
            <v>66.507081700000001</v>
          </cell>
          <cell r="AS353">
            <v>66.573680280000005</v>
          </cell>
          <cell r="AT353">
            <v>66.639780099999996</v>
          </cell>
          <cell r="AU353">
            <v>66.705815189999996</v>
          </cell>
          <cell r="AV353">
            <v>66.772185820000004</v>
          </cell>
          <cell r="AW353">
            <v>66.839202409999999</v>
          </cell>
          <cell r="AX353">
            <v>66.907081180000006</v>
          </cell>
          <cell r="AY353">
            <v>66.975959369999998</v>
          </cell>
          <cell r="AZ353">
            <v>67.046400449999993</v>
          </cell>
          <cell r="BA353">
            <v>67.118159570000003</v>
          </cell>
          <cell r="BB353">
            <v>67.191278010000005</v>
          </cell>
          <cell r="BC353">
            <v>67.265799939999994</v>
          </cell>
          <cell r="BD353">
            <v>67.341704649999997</v>
          </cell>
          <cell r="BE353">
            <v>64.419719540000003</v>
          </cell>
          <cell r="BF353">
            <v>64.521376770000003</v>
          </cell>
          <cell r="BG353">
            <v>64.626029189999997</v>
          </cell>
          <cell r="BH353">
            <v>64.733579050000003</v>
          </cell>
          <cell r="BI353">
            <v>64.844110799999996</v>
          </cell>
        </row>
        <row r="354">
          <cell r="F354">
            <v>42.52087745</v>
          </cell>
          <cell r="G354">
            <v>42.834433179999998</v>
          </cell>
          <cell r="H354">
            <v>42.777058020000005</v>
          </cell>
          <cell r="I354">
            <v>42.611312049999995</v>
          </cell>
          <cell r="J354">
            <v>42.440037070000002</v>
          </cell>
          <cell r="K354">
            <v>42.297337570000003</v>
          </cell>
          <cell r="L354">
            <v>42.173667549999998</v>
          </cell>
          <cell r="M354">
            <v>42.071983969999998</v>
          </cell>
          <cell r="N354">
            <v>41.987376380000001</v>
          </cell>
          <cell r="O354">
            <v>41.913890350000003</v>
          </cell>
          <cell r="P354">
            <v>41.871860380000001</v>
          </cell>
          <cell r="Q354">
            <v>41.81880005</v>
          </cell>
          <cell r="R354">
            <v>41.762034229999998</v>
          </cell>
          <cell r="S354">
            <v>41.705900820000004</v>
          </cell>
          <cell r="T354">
            <v>41.652274799999994</v>
          </cell>
          <cell r="U354">
            <v>41.602330649999999</v>
          </cell>
          <cell r="V354">
            <v>41.55714957</v>
          </cell>
          <cell r="W354">
            <v>41.516969950000004</v>
          </cell>
          <cell r="X354">
            <v>41.481584920000003</v>
          </cell>
          <cell r="Y354">
            <v>41.45053772</v>
          </cell>
          <cell r="Z354">
            <v>41.406863130000005</v>
          </cell>
          <cell r="AA354">
            <v>41.375672180000002</v>
          </cell>
          <cell r="AB354">
            <v>41.35127593</v>
          </cell>
          <cell r="AC354">
            <v>41.330793560000004</v>
          </cell>
          <cell r="AD354">
            <v>41.3127645</v>
          </cell>
          <cell r="AE354">
            <v>41.251699369999997</v>
          </cell>
          <cell r="AF354">
            <v>41.196178799999998</v>
          </cell>
          <cell r="AG354">
            <v>41.143935570000004</v>
          </cell>
          <cell r="AH354">
            <v>41.093720619999999</v>
          </cell>
          <cell r="AI354">
            <v>41.044864049999994</v>
          </cell>
          <cell r="AJ354">
            <v>40.997001159999996</v>
          </cell>
          <cell r="AK354">
            <v>40.94985037</v>
          </cell>
          <cell r="AL354">
            <v>40.903270090000007</v>
          </cell>
          <cell r="AM354">
            <v>40.857081890000003</v>
          </cell>
          <cell r="AN354">
            <v>40.81127549</v>
          </cell>
          <cell r="AO354">
            <v>40.765899879999999</v>
          </cell>
          <cell r="AP354">
            <v>40.710450770000001</v>
          </cell>
          <cell r="AQ354">
            <v>40.650596020000002</v>
          </cell>
          <cell r="AR354">
            <v>40.589268600000004</v>
          </cell>
          <cell r="AS354">
            <v>40.527885299999994</v>
          </cell>
          <cell r="AT354">
            <v>40.467066340000002</v>
          </cell>
          <cell r="AU354">
            <v>40.406878540000001</v>
          </cell>
          <cell r="AV354">
            <v>40.347417049999997</v>
          </cell>
          <cell r="AW354">
            <v>40.288753610000001</v>
          </cell>
          <cell r="AX354">
            <v>40.230924009999995</v>
          </cell>
          <cell r="AY354">
            <v>40.173936329999997</v>
          </cell>
          <cell r="AZ354">
            <v>40.117977680000003</v>
          </cell>
          <cell r="BA354">
            <v>40.062726179999999</v>
          </cell>
          <cell r="BB354">
            <v>40.00823201</v>
          </cell>
          <cell r="BC354">
            <v>39.954586949999999</v>
          </cell>
          <cell r="BD354">
            <v>39.901835779999999</v>
          </cell>
          <cell r="BE354">
            <v>34.849368820000002</v>
          </cell>
          <cell r="BF354">
            <v>34.745864249999997</v>
          </cell>
          <cell r="BG354">
            <v>34.643640210000001</v>
          </cell>
          <cell r="BH354">
            <v>34.542457280000001</v>
          </cell>
          <cell r="BI354">
            <v>34.442238750000001</v>
          </cell>
        </row>
        <row r="362">
          <cell r="F362">
            <v>21.78056273</v>
          </cell>
          <cell r="G362">
            <v>21.48476106</v>
          </cell>
          <cell r="H362">
            <v>21.313862620000002</v>
          </cell>
          <cell r="I362">
            <v>21.228948329999998</v>
          </cell>
          <cell r="J362">
            <v>21.204405870000002</v>
          </cell>
          <cell r="K362">
            <v>21.223703749999999</v>
          </cell>
          <cell r="L362">
            <v>21.273509390000001</v>
          </cell>
          <cell r="M362">
            <v>21.346683649999999</v>
          </cell>
          <cell r="N362">
            <v>21.438268969999999</v>
          </cell>
          <cell r="O362">
            <v>21.54465381</v>
          </cell>
          <cell r="P362">
            <v>21.665573719999998</v>
          </cell>
          <cell r="Q362">
            <v>21.796491360000001</v>
          </cell>
          <cell r="R362">
            <v>21.936488090000001</v>
          </cell>
          <cell r="S362">
            <v>22.084368960000003</v>
          </cell>
          <cell r="T362">
            <v>22.238950190000001</v>
          </cell>
          <cell r="U362">
            <v>22.39911197</v>
          </cell>
          <cell r="V362">
            <v>22.56371086</v>
          </cell>
          <cell r="W362">
            <v>22.731727079999999</v>
          </cell>
          <cell r="X362">
            <v>22.902250989999999</v>
          </cell>
          <cell r="Y362">
            <v>23.074471260000003</v>
          </cell>
          <cell r="Z362">
            <v>23.244548999999999</v>
          </cell>
          <cell r="AA362">
            <v>23.415243969999999</v>
          </cell>
          <cell r="AB362">
            <v>23.58608971</v>
          </cell>
          <cell r="AC362">
            <v>23.756741030000001</v>
          </cell>
          <cell r="AD362">
            <v>23.926905140000002</v>
          </cell>
          <cell r="AE362">
            <v>24.087555719999997</v>
          </cell>
          <cell r="AF362">
            <v>24.243877940000001</v>
          </cell>
          <cell r="AG362">
            <v>24.39616912</v>
          </cell>
          <cell r="AH362">
            <v>24.544895420000003</v>
          </cell>
          <cell r="AI362">
            <v>24.690564780000003</v>
          </cell>
          <cell r="AJ362">
            <v>24.83366221</v>
          </cell>
          <cell r="AK362">
            <v>24.974643929999999</v>
          </cell>
          <cell r="AL362">
            <v>25.113888280000001</v>
          </cell>
          <cell r="AM362">
            <v>25.251706120000001</v>
          </cell>
          <cell r="AN362">
            <v>25.388357800000001</v>
          </cell>
          <cell r="AO362">
            <v>25.524066390000002</v>
          </cell>
          <cell r="AP362">
            <v>25.657283760000002</v>
          </cell>
          <cell r="AQ362">
            <v>25.788422100000002</v>
          </cell>
          <cell r="AR362">
            <v>25.9178131</v>
          </cell>
          <cell r="AS362">
            <v>26.04579498</v>
          </cell>
          <cell r="AT362">
            <v>26.172713760000001</v>
          </cell>
          <cell r="AU362">
            <v>26.298936649999998</v>
          </cell>
          <cell r="AV362">
            <v>26.42476877</v>
          </cell>
          <cell r="AW362">
            <v>26.550448800000002</v>
          </cell>
          <cell r="AX362">
            <v>26.676157170000003</v>
          </cell>
          <cell r="AY362">
            <v>26.802023050000003</v>
          </cell>
          <cell r="AZ362">
            <v>26.928422770000001</v>
          </cell>
          <cell r="BA362">
            <v>27.05543338</v>
          </cell>
          <cell r="BB362">
            <v>27.183046000000001</v>
          </cell>
          <cell r="BC362">
            <v>27.311212989999998</v>
          </cell>
          <cell r="BD362">
            <v>27.439868870000002</v>
          </cell>
          <cell r="BE362">
            <v>29.57035072</v>
          </cell>
          <cell r="BF362">
            <v>29.775512519999999</v>
          </cell>
          <cell r="BG362">
            <v>29.98238898</v>
          </cell>
          <cell r="BH362">
            <v>30.191121769999999</v>
          </cell>
          <cell r="BI362">
            <v>30.401872050000001</v>
          </cell>
        </row>
        <row r="366">
          <cell r="F366">
            <v>25.95253348</v>
          </cell>
          <cell r="G366">
            <v>26.10520459</v>
          </cell>
          <cell r="H366">
            <v>26.326791929999999</v>
          </cell>
          <cell r="I366">
            <v>26.585382190000001</v>
          </cell>
          <cell r="J366">
            <v>26.874911170000001</v>
          </cell>
          <cell r="K366">
            <v>27.191536490000001</v>
          </cell>
          <cell r="L366">
            <v>27.51528957</v>
          </cell>
          <cell r="M366">
            <v>27.85136529</v>
          </cell>
          <cell r="N366">
            <v>28.198635029999998</v>
          </cell>
          <cell r="O366">
            <v>28.55494976</v>
          </cell>
          <cell r="P366">
            <v>28.90849644</v>
          </cell>
          <cell r="Q366">
            <v>29.30084858</v>
          </cell>
          <cell r="R366">
            <v>29.70466601</v>
          </cell>
          <cell r="S366">
            <v>30.114378720000001</v>
          </cell>
          <cell r="T366">
            <v>30.528130189999999</v>
          </cell>
          <cell r="U366">
            <v>30.94493722</v>
          </cell>
          <cell r="V366">
            <v>31.36240827</v>
          </cell>
          <cell r="W366">
            <v>31.781406870000001</v>
          </cell>
          <cell r="X366">
            <v>32.2020245</v>
          </cell>
          <cell r="Y366">
            <v>32.624356929999998</v>
          </cell>
          <cell r="Z366">
            <v>33.029278910000002</v>
          </cell>
          <cell r="AA366">
            <v>33.447721569999999</v>
          </cell>
          <cell r="AB366">
            <v>33.872059219999997</v>
          </cell>
          <cell r="AC366">
            <v>34.300988160000003</v>
          </cell>
          <cell r="AD366">
            <v>34.734492889999999</v>
          </cell>
          <cell r="AE366">
            <v>35.117433239999997</v>
          </cell>
          <cell r="AF366">
            <v>35.512375310000003</v>
          </cell>
          <cell r="AG366">
            <v>35.911105740000004</v>
          </cell>
          <cell r="AH366">
            <v>36.31318958</v>
          </cell>
          <cell r="AI366">
            <v>36.719567390000002</v>
          </cell>
          <cell r="AJ366">
            <v>37.131226409999996</v>
          </cell>
          <cell r="AK366">
            <v>37.549464190000002</v>
          </cell>
          <cell r="AL366">
            <v>37.974447400000003</v>
          </cell>
          <cell r="AM366">
            <v>38.406420920000002</v>
          </cell>
          <cell r="AN366">
            <v>38.845517639999997</v>
          </cell>
          <cell r="AO366">
            <v>39.291769109999997</v>
          </cell>
          <cell r="AP366">
            <v>39.736969569999999</v>
          </cell>
          <cell r="AQ366">
            <v>40.185132289999999</v>
          </cell>
          <cell r="AR366">
            <v>40.63765403</v>
          </cell>
          <cell r="AS366">
            <v>41.095221600000002</v>
          </cell>
          <cell r="AT366">
            <v>41.558310810000002</v>
          </cell>
          <cell r="AU366">
            <v>42.028143120000003</v>
          </cell>
          <cell r="AV366">
            <v>42.50441395</v>
          </cell>
          <cell r="AW366">
            <v>42.987182199999999</v>
          </cell>
          <cell r="AX366">
            <v>43.47649723</v>
          </cell>
          <cell r="AY366">
            <v>43.972358389999997</v>
          </cell>
          <cell r="AZ366">
            <v>44.478969679999999</v>
          </cell>
          <cell r="BA366">
            <v>44.993529700000003</v>
          </cell>
          <cell r="BB366">
            <v>45.515343280000003</v>
          </cell>
          <cell r="BC366">
            <v>46.044092569999997</v>
          </cell>
          <cell r="BD366">
            <v>46.579564560000001</v>
          </cell>
          <cell r="BE366">
            <v>55.400333269999997</v>
          </cell>
          <cell r="BF366">
            <v>56.275190469999998</v>
          </cell>
          <cell r="BG366">
            <v>57.165000159999998</v>
          </cell>
          <cell r="BH366">
            <v>58.070065749999998</v>
          </cell>
          <cell r="BI366">
            <v>58.990694609999998</v>
          </cell>
        </row>
        <row r="378">
          <cell r="F378">
            <v>4.8451072850000001</v>
          </cell>
          <cell r="G378">
            <v>4.8542304659999997</v>
          </cell>
          <cell r="H378">
            <v>4.8742544759999999</v>
          </cell>
          <cell r="I378">
            <v>4.9066253030000002</v>
          </cell>
          <cell r="J378">
            <v>4.9511107570000004</v>
          </cell>
          <cell r="K378">
            <v>5.0064428100000002</v>
          </cell>
          <cell r="L378">
            <v>5.068218377</v>
          </cell>
          <cell r="M378">
            <v>5.1358888489999996</v>
          </cell>
          <cell r="N378">
            <v>5.2084163009999997</v>
          </cell>
          <cell r="O378">
            <v>5.2848218139999998</v>
          </cell>
          <cell r="P378">
            <v>5.362343332</v>
          </cell>
          <cell r="Q378">
            <v>5.4492475010000003</v>
          </cell>
          <cell r="R378">
            <v>5.5398925739999996</v>
          </cell>
          <cell r="S378">
            <v>5.6330338299999996</v>
          </cell>
          <cell r="T378">
            <v>5.7281386479999998</v>
          </cell>
          <cell r="U378">
            <v>5.8248166350000004</v>
          </cell>
          <cell r="V378">
            <v>5.9230973020000004</v>
          </cell>
          <cell r="W378">
            <v>6.0223059320000001</v>
          </cell>
          <cell r="X378">
            <v>6.122229892</v>
          </cell>
          <cell r="Y378">
            <v>6.2227723890000002</v>
          </cell>
          <cell r="Z378">
            <v>6.3203284120000003</v>
          </cell>
          <cell r="AA378">
            <v>6.4199335880000001</v>
          </cell>
          <cell r="AB378">
            <v>6.5207581179999998</v>
          </cell>
          <cell r="AC378">
            <v>6.6226476290000003</v>
          </cell>
          <cell r="AD378">
            <v>6.7256037600000003</v>
          </cell>
          <cell r="AE378">
            <v>6.8193552549999996</v>
          </cell>
          <cell r="AF378">
            <v>6.9134010049999999</v>
          </cell>
          <cell r="AG378">
            <v>7.0075166519999996</v>
          </cell>
          <cell r="AH378">
            <v>7.1019732360000001</v>
          </cell>
          <cell r="AI378">
            <v>7.197134202</v>
          </cell>
          <cell r="AJ378">
            <v>7.2933235390000002</v>
          </cell>
          <cell r="AK378">
            <v>7.390688162</v>
          </cell>
          <cell r="AL378">
            <v>7.4895518069999998</v>
          </cell>
          <cell r="AM378">
            <v>7.5900588090000003</v>
          </cell>
          <cell r="AN378">
            <v>7.6922921999999998</v>
          </cell>
          <cell r="AO378">
            <v>7.7963008110000001</v>
          </cell>
          <cell r="AP378">
            <v>7.8985974240000001</v>
          </cell>
          <cell r="AQ378">
            <v>8.0014746930000005</v>
          </cell>
          <cell r="AR378">
            <v>8.1054574089999996</v>
          </cell>
          <cell r="AS378">
            <v>8.2107541919999996</v>
          </cell>
          <cell r="AT378">
            <v>8.3175015470000009</v>
          </cell>
          <cell r="AU378">
            <v>8.4256302160000001</v>
          </cell>
          <cell r="AV378">
            <v>8.5354454240000006</v>
          </cell>
          <cell r="AW378">
            <v>8.6470281740000008</v>
          </cell>
          <cell r="AX378">
            <v>8.7604094139999997</v>
          </cell>
          <cell r="AY378">
            <v>8.8755987530000002</v>
          </cell>
          <cell r="AZ378">
            <v>8.992181446</v>
          </cell>
          <cell r="BA378">
            <v>9.1108527329999998</v>
          </cell>
          <cell r="BB378">
            <v>9.2316316700000005</v>
          </cell>
          <cell r="BC378">
            <v>9.3544454859999995</v>
          </cell>
          <cell r="BD378">
            <v>9.4792152329999997</v>
          </cell>
          <cell r="BE378">
            <v>10.89254086</v>
          </cell>
          <cell r="BF378">
            <v>11.071818240000001</v>
          </cell>
          <cell r="BG378">
            <v>11.25394421</v>
          </cell>
          <cell r="BH378">
            <v>11.439009499999999</v>
          </cell>
          <cell r="BI378">
            <v>11.62710313</v>
          </cell>
        </row>
        <row r="390">
          <cell r="F390">
            <v>43.160148079999999</v>
          </cell>
          <cell r="G390">
            <v>43.300098470000002</v>
          </cell>
          <cell r="H390">
            <v>43.614130119999999</v>
          </cell>
          <cell r="I390">
            <v>44.017172299999999</v>
          </cell>
          <cell r="J390">
            <v>44.495001930000001</v>
          </cell>
          <cell r="K390">
            <v>45.038884709999998</v>
          </cell>
          <cell r="L390">
            <v>45.608090660000002</v>
          </cell>
          <cell r="M390">
            <v>46.210630809999998</v>
          </cell>
          <cell r="N390">
            <v>46.840996099999998</v>
          </cell>
          <cell r="O390">
            <v>47.492478230000003</v>
          </cell>
          <cell r="P390">
            <v>48.119901489999997</v>
          </cell>
          <cell r="Q390">
            <v>48.849577289999999</v>
          </cell>
          <cell r="R390">
            <v>49.607083680000002</v>
          </cell>
          <cell r="S390">
            <v>50.37801554</v>
          </cell>
          <cell r="T390">
            <v>51.157396439999999</v>
          </cell>
          <cell r="U390">
            <v>51.942203460000002</v>
          </cell>
          <cell r="V390">
            <v>52.726146470000003</v>
          </cell>
          <cell r="W390">
            <v>53.510924629999998</v>
          </cell>
          <cell r="X390">
            <v>54.296342350000003</v>
          </cell>
          <cell r="Y390">
            <v>55.082405719999997</v>
          </cell>
          <cell r="Z390">
            <v>55.832853960000001</v>
          </cell>
          <cell r="AA390">
            <v>56.607632600000002</v>
          </cell>
          <cell r="AB390">
            <v>57.390647770000001</v>
          </cell>
          <cell r="AC390">
            <v>58.180042909999997</v>
          </cell>
          <cell r="AD390">
            <v>58.976416690000001</v>
          </cell>
          <cell r="AE390">
            <v>59.675834070000001</v>
          </cell>
          <cell r="AF390">
            <v>60.400622830000003</v>
          </cell>
          <cell r="AG390">
            <v>61.131249169999997</v>
          </cell>
          <cell r="AH390">
            <v>61.866874860000003</v>
          </cell>
          <cell r="AI390">
            <v>62.609495889999998</v>
          </cell>
          <cell r="AJ390">
            <v>63.361199300000003</v>
          </cell>
          <cell r="AK390">
            <v>64.124912019999996</v>
          </cell>
          <cell r="AL390">
            <v>64.901002649999995</v>
          </cell>
          <cell r="AM390">
            <v>65.690189669999995</v>
          </cell>
          <cell r="AN390">
            <v>66.492938229999993</v>
          </cell>
          <cell r="AO390">
            <v>67.309431669999995</v>
          </cell>
          <cell r="AP390">
            <v>68.126348780000001</v>
          </cell>
          <cell r="AQ390">
            <v>68.949851879999997</v>
          </cell>
          <cell r="AR390">
            <v>69.781992610000003</v>
          </cell>
          <cell r="AS390">
            <v>70.623699349999995</v>
          </cell>
          <cell r="AT390">
            <v>71.47546595</v>
          </cell>
          <cell r="AU390">
            <v>72.339513120000007</v>
          </cell>
          <cell r="AV390">
            <v>73.214526520000007</v>
          </cell>
          <cell r="AW390">
            <v>74.100296069999999</v>
          </cell>
          <cell r="AX390">
            <v>74.996679369999995</v>
          </cell>
          <cell r="AY390">
            <v>75.903474029999998</v>
          </cell>
          <cell r="AZ390">
            <v>76.829679029999994</v>
          </cell>
          <cell r="BA390">
            <v>77.768654310000002</v>
          </cell>
          <cell r="BB390">
            <v>78.719128929999997</v>
          </cell>
          <cell r="BC390">
            <v>79.680581910000001</v>
          </cell>
          <cell r="BD390">
            <v>80.652579560000007</v>
          </cell>
          <cell r="BE390">
            <v>101.8741746</v>
          </cell>
          <cell r="BF390">
            <v>103.62538499999999</v>
          </cell>
          <cell r="BG390">
            <v>105.40327739999999</v>
          </cell>
          <cell r="BH390">
            <v>107.20839049999999</v>
          </cell>
          <cell r="BI390">
            <v>109.0412402</v>
          </cell>
        </row>
        <row r="402">
          <cell r="F402">
            <v>22.247739880000001</v>
          </cell>
          <cell r="G402">
            <v>22.35992087</v>
          </cell>
          <cell r="H402">
            <v>22.520607739999999</v>
          </cell>
          <cell r="I402">
            <v>22.723204129999999</v>
          </cell>
          <cell r="J402">
            <v>22.969282150000002</v>
          </cell>
          <cell r="K402">
            <v>23.257014139999999</v>
          </cell>
          <cell r="L402">
            <v>23.566827679999999</v>
          </cell>
          <cell r="M402">
            <v>23.900304559999999</v>
          </cell>
          <cell r="N402">
            <v>24.253652079999998</v>
          </cell>
          <cell r="O402">
            <v>24.62270315</v>
          </cell>
          <cell r="P402">
            <v>25.00785342</v>
          </cell>
          <cell r="Q402">
            <v>25.412223529999999</v>
          </cell>
          <cell r="R402">
            <v>25.830336320000001</v>
          </cell>
          <cell r="S402">
            <v>26.259038400000001</v>
          </cell>
          <cell r="T402">
            <v>26.69582802</v>
          </cell>
          <cell r="U402">
            <v>27.138520669999998</v>
          </cell>
          <cell r="V402">
            <v>27.58442131</v>
          </cell>
          <cell r="W402">
            <v>28.032620269999999</v>
          </cell>
          <cell r="X402">
            <v>28.48227795</v>
          </cell>
          <cell r="Y402">
            <v>28.932872849999999</v>
          </cell>
          <cell r="Z402">
            <v>29.365535869999999</v>
          </cell>
          <cell r="AA402">
            <v>29.80874378</v>
          </cell>
          <cell r="AB402">
            <v>30.255747060000001</v>
          </cell>
          <cell r="AC402">
            <v>30.70561648</v>
          </cell>
          <cell r="AD402">
            <v>31.158500140000001</v>
          </cell>
          <cell r="AE402">
            <v>31.560939739999998</v>
          </cell>
          <cell r="AF402">
            <v>31.970267369999998</v>
          </cell>
          <cell r="AG402">
            <v>32.379618700000002</v>
          </cell>
          <cell r="AH402">
            <v>32.789370079999998</v>
          </cell>
          <cell r="AI402">
            <v>33.201020620000001</v>
          </cell>
          <cell r="AJ402">
            <v>33.616030549999998</v>
          </cell>
          <cell r="AK402">
            <v>34.035863390000003</v>
          </cell>
          <cell r="AL402">
            <v>34.46132824</v>
          </cell>
          <cell r="AM402">
            <v>34.893104270000002</v>
          </cell>
          <cell r="AN402">
            <v>35.331683609999999</v>
          </cell>
          <cell r="AO402">
            <v>35.777392480000003</v>
          </cell>
          <cell r="AP402">
            <v>36.219940729999998</v>
          </cell>
          <cell r="AQ402">
            <v>36.664844479999999</v>
          </cell>
          <cell r="AR402">
            <v>37.113837740000001</v>
          </cell>
          <cell r="AS402">
            <v>37.567855039999998</v>
          </cell>
          <cell r="AT402">
            <v>38.027538190000001</v>
          </cell>
          <cell r="AU402">
            <v>38.493746999999999</v>
          </cell>
          <cell r="AV402">
            <v>38.966591649999998</v>
          </cell>
          <cell r="AW402">
            <v>39.446244350000001</v>
          </cell>
          <cell r="AX402">
            <v>39.932807060000002</v>
          </cell>
          <cell r="AY402">
            <v>40.426304199999997</v>
          </cell>
          <cell r="AZ402">
            <v>40.929290600000002</v>
          </cell>
          <cell r="BA402">
            <v>41.440380879999999</v>
          </cell>
          <cell r="BB402">
            <v>41.959239519999997</v>
          </cell>
          <cell r="BC402">
            <v>42.485677369999998</v>
          </cell>
          <cell r="BD402">
            <v>43.019497360000003</v>
          </cell>
          <cell r="BE402">
            <v>51.378890849999998</v>
          </cell>
          <cell r="BF402">
            <v>52.228503259999997</v>
          </cell>
          <cell r="BG402">
            <v>53.091033299999999</v>
          </cell>
          <cell r="BH402">
            <v>53.966871159999997</v>
          </cell>
          <cell r="BI402">
            <v>54.856396529999998</v>
          </cell>
        </row>
        <row r="414">
          <cell r="F414">
            <v>64.301440170000006</v>
          </cell>
          <cell r="G414">
            <v>64.244438369999997</v>
          </cell>
          <cell r="H414">
            <v>63.979054069999997</v>
          </cell>
          <cell r="I414">
            <v>63.707653280000002</v>
          </cell>
          <cell r="J414">
            <v>63.482470309999997</v>
          </cell>
          <cell r="K414">
            <v>63.336263119999998</v>
          </cell>
          <cell r="L414">
            <v>63.253989850000004</v>
          </cell>
          <cell r="M414">
            <v>63.230666900000003</v>
          </cell>
          <cell r="N414">
            <v>63.25270665</v>
          </cell>
          <cell r="O414">
            <v>63.306551339999999</v>
          </cell>
          <cell r="P414">
            <v>63.411263230000003</v>
          </cell>
          <cell r="Q414">
            <v>63.516182059999998</v>
          </cell>
          <cell r="R414">
            <v>63.624458609999998</v>
          </cell>
          <cell r="S414">
            <v>63.736656080000003</v>
          </cell>
          <cell r="T414">
            <v>63.852380840000002</v>
          </cell>
          <cell r="U414">
            <v>63.970976999999998</v>
          </cell>
          <cell r="V414">
            <v>64.091795399999995</v>
          </cell>
          <cell r="W414">
            <v>64.21427869</v>
          </cell>
          <cell r="X414">
            <v>64.337973930000004</v>
          </cell>
          <cell r="Y414">
            <v>64.462521370000005</v>
          </cell>
          <cell r="Z414">
            <v>64.568139410000001</v>
          </cell>
          <cell r="AA414">
            <v>64.683683740000006</v>
          </cell>
          <cell r="AB414">
            <v>64.803930500000007</v>
          </cell>
          <cell r="AC414">
            <v>64.926449059999996</v>
          </cell>
          <cell r="AD414">
            <v>65.050136710000004</v>
          </cell>
          <cell r="AE414">
            <v>65.121097719999995</v>
          </cell>
          <cell r="AF414">
            <v>65.193553199999997</v>
          </cell>
          <cell r="AG414">
            <v>65.265840109999999</v>
          </cell>
          <cell r="AH414">
            <v>65.33738142</v>
          </cell>
          <cell r="AI414">
            <v>65.407922630000002</v>
          </cell>
          <cell r="AJ414">
            <v>65.477596759999997</v>
          </cell>
          <cell r="AK414">
            <v>65.546739720000005</v>
          </cell>
          <cell r="AL414">
            <v>65.615738050000004</v>
          </cell>
          <cell r="AM414">
            <v>65.684962580000004</v>
          </cell>
          <cell r="AN414">
            <v>65.754746269999998</v>
          </cell>
          <cell r="AO414">
            <v>65.825382500000003</v>
          </cell>
          <cell r="AP414">
            <v>65.885647710000001</v>
          </cell>
          <cell r="AQ414">
            <v>65.941297739999996</v>
          </cell>
          <cell r="AR414">
            <v>65.995158619999998</v>
          </cell>
          <cell r="AS414">
            <v>66.048711780000005</v>
          </cell>
          <cell r="AT414">
            <v>66.102831179999995</v>
          </cell>
          <cell r="AU414">
            <v>66.158103019999999</v>
          </cell>
          <cell r="AV414">
            <v>66.214953059999999</v>
          </cell>
          <cell r="AW414">
            <v>66.273683539999993</v>
          </cell>
          <cell r="AX414">
            <v>66.334417869999996</v>
          </cell>
          <cell r="AY414">
            <v>66.396859019999994</v>
          </cell>
          <cell r="AZ414">
            <v>66.460015470000002</v>
          </cell>
          <cell r="BA414">
            <v>66.519687619999999</v>
          </cell>
          <cell r="BB414">
            <v>66.57202814</v>
          </cell>
          <cell r="BC414">
            <v>66.623567550000004</v>
          </cell>
          <cell r="BD414">
            <v>66.679879940000006</v>
          </cell>
          <cell r="BE414">
            <v>66.181774820000001</v>
          </cell>
          <cell r="BF414">
            <v>66.315964530000002</v>
          </cell>
          <cell r="BG414">
            <v>66.452371409999998</v>
          </cell>
          <cell r="BH414">
            <v>66.591310300000004</v>
          </cell>
          <cell r="BI414">
            <v>66.732995119999998</v>
          </cell>
        </row>
        <row r="415">
          <cell r="F415">
            <v>42.52087745</v>
          </cell>
          <cell r="G415">
            <v>42.741900170000001</v>
          </cell>
          <cell r="H415">
            <v>42.617083280000003</v>
          </cell>
          <cell r="I415">
            <v>42.393360109999996</v>
          </cell>
          <cell r="J415">
            <v>42.152352610000001</v>
          </cell>
          <cell r="K415">
            <v>41.945862579999996</v>
          </cell>
          <cell r="L415">
            <v>41.773744979999996</v>
          </cell>
          <cell r="M415">
            <v>41.63906678</v>
          </cell>
          <cell r="N415">
            <v>41.53363547</v>
          </cell>
          <cell r="O415">
            <v>41.447631289999997</v>
          </cell>
          <cell r="P415">
            <v>41.39838589</v>
          </cell>
          <cell r="Q415">
            <v>41.341999030000004</v>
          </cell>
          <cell r="R415">
            <v>41.283366899999997</v>
          </cell>
          <cell r="S415">
            <v>41.224530630000004</v>
          </cell>
          <cell r="T415">
            <v>41.166291569999999</v>
          </cell>
          <cell r="U415">
            <v>41.108941189999996</v>
          </cell>
          <cell r="V415">
            <v>41.05257563</v>
          </cell>
          <cell r="W415">
            <v>40.997223380000001</v>
          </cell>
          <cell r="X415">
            <v>40.942892430000001</v>
          </cell>
          <cell r="Y415">
            <v>40.889584890000002</v>
          </cell>
          <cell r="Z415">
            <v>40.820963689999999</v>
          </cell>
          <cell r="AA415">
            <v>40.76271363</v>
          </cell>
          <cell r="AB415">
            <v>40.709698619999998</v>
          </cell>
          <cell r="AC415">
            <v>40.659504579999997</v>
          </cell>
          <cell r="AD415">
            <v>40.611042140000002</v>
          </cell>
          <cell r="AE415">
            <v>40.519310369999999</v>
          </cell>
          <cell r="AF415">
            <v>40.433222389999997</v>
          </cell>
          <cell r="AG415">
            <v>40.350661649999999</v>
          </cell>
          <cell r="AH415">
            <v>40.270437149999999</v>
          </cell>
          <cell r="AI415">
            <v>40.191664909999993</v>
          </cell>
          <cell r="AJ415">
            <v>40.113900999999998</v>
          </cell>
          <cell r="AK415">
            <v>40.03698438</v>
          </cell>
          <cell r="AL415">
            <v>39.960888400000002</v>
          </cell>
          <cell r="AM415">
            <v>39.885645930000003</v>
          </cell>
          <cell r="AN415">
            <v>39.811313599999998</v>
          </cell>
          <cell r="AO415">
            <v>39.737956179999998</v>
          </cell>
          <cell r="AP415">
            <v>39.656155240000004</v>
          </cell>
          <cell r="AQ415">
            <v>39.571360890000001</v>
          </cell>
          <cell r="AR415">
            <v>39.48607277</v>
          </cell>
          <cell r="AS415">
            <v>39.401410409999997</v>
          </cell>
          <cell r="AT415">
            <v>39.3178755</v>
          </cell>
          <cell r="AU415">
            <v>39.235699830000001</v>
          </cell>
          <cell r="AV415">
            <v>39.154992740000004</v>
          </cell>
          <cell r="AW415">
            <v>39.075788380000006</v>
          </cell>
          <cell r="AX415">
            <v>38.997992529999998</v>
          </cell>
          <cell r="AY415">
            <v>38.921137639999998</v>
          </cell>
          <cell r="AZ415">
            <v>38.843933640000003</v>
          </cell>
          <cell r="BA415">
            <v>38.762096219999997</v>
          </cell>
          <cell r="BB415">
            <v>38.67172317</v>
          </cell>
          <cell r="BC415">
            <v>38.579317320000001</v>
          </cell>
          <cell r="BD415">
            <v>38.49044559</v>
          </cell>
          <cell r="BE415">
            <v>36.670255640000001</v>
          </cell>
          <cell r="BF415">
            <v>36.60359107</v>
          </cell>
          <cell r="BG415">
            <v>36.537648270000005</v>
          </cell>
          <cell r="BH415">
            <v>36.472608630000003</v>
          </cell>
          <cell r="BI415">
            <v>36.408537789999997</v>
          </cell>
        </row>
        <row r="423">
          <cell r="F423">
            <v>21.78056273</v>
          </cell>
          <cell r="G423">
            <v>21.5025382</v>
          </cell>
          <cell r="H423">
            <v>21.361970790000001</v>
          </cell>
          <cell r="I423">
            <v>21.314293170000003</v>
          </cell>
          <cell r="J423">
            <v>21.330117699999999</v>
          </cell>
          <cell r="K423">
            <v>21.390400539999998</v>
          </cell>
          <cell r="L423">
            <v>21.48024487</v>
          </cell>
          <cell r="M423">
            <v>21.591600109999998</v>
          </cell>
          <cell r="N423">
            <v>21.71907118</v>
          </cell>
          <cell r="O423">
            <v>21.858920050000002</v>
          </cell>
          <cell r="P423">
            <v>22.012877339999999</v>
          </cell>
          <cell r="Q423">
            <v>22.174183030000002</v>
          </cell>
          <cell r="R423">
            <v>22.341091710000001</v>
          </cell>
          <cell r="S423">
            <v>22.51212546</v>
          </cell>
          <cell r="T423">
            <v>22.686089260000003</v>
          </cell>
          <cell r="U423">
            <v>22.862035809999998</v>
          </cell>
          <cell r="V423">
            <v>23.039219769999999</v>
          </cell>
          <cell r="W423">
            <v>23.217055309999999</v>
          </cell>
          <cell r="X423">
            <v>23.395081510000001</v>
          </cell>
          <cell r="Y423">
            <v>23.572936479999999</v>
          </cell>
          <cell r="Z423">
            <v>23.747175730000002</v>
          </cell>
          <cell r="AA423">
            <v>23.920970109999999</v>
          </cell>
          <cell r="AB423">
            <v>24.094231879999999</v>
          </cell>
          <cell r="AC423">
            <v>24.266944479999999</v>
          </cell>
          <cell r="AD423">
            <v>24.439094570000002</v>
          </cell>
          <cell r="AE423">
            <v>24.601787350000002</v>
          </cell>
          <cell r="AF423">
            <v>24.760330809999999</v>
          </cell>
          <cell r="AG423">
            <v>24.91517846</v>
          </cell>
          <cell r="AH423">
            <v>25.06694427</v>
          </cell>
          <cell r="AI423">
            <v>25.216257719999998</v>
          </cell>
          <cell r="AJ423">
            <v>25.363695750000002</v>
          </cell>
          <cell r="AK423">
            <v>25.509755339999998</v>
          </cell>
          <cell r="AL423">
            <v>25.654849640000002</v>
          </cell>
          <cell r="AM423">
            <v>25.799316640000001</v>
          </cell>
          <cell r="AN423">
            <v>25.943432670000004</v>
          </cell>
          <cell r="AO423">
            <v>26.087426319999999</v>
          </cell>
          <cell r="AP423">
            <v>26.22949247</v>
          </cell>
          <cell r="AQ423">
            <v>26.369936850000002</v>
          </cell>
          <cell r="AR423">
            <v>26.509085850000002</v>
          </cell>
          <cell r="AS423">
            <v>26.647301370000001</v>
          </cell>
          <cell r="AT423">
            <v>26.784955679999999</v>
          </cell>
          <cell r="AU423">
            <v>26.922403190000001</v>
          </cell>
          <cell r="AV423">
            <v>27.059960329999999</v>
          </cell>
          <cell r="AW423">
            <v>27.197895160000002</v>
          </cell>
          <cell r="AX423">
            <v>27.336425329999997</v>
          </cell>
          <cell r="AY423">
            <v>27.47572139</v>
          </cell>
          <cell r="AZ423">
            <v>27.616081829999999</v>
          </cell>
          <cell r="BA423">
            <v>27.757591399999999</v>
          </cell>
          <cell r="BB423">
            <v>27.90030496</v>
          </cell>
          <cell r="BC423">
            <v>28.044250229999999</v>
          </cell>
          <cell r="BD423">
            <v>28.189434350000003</v>
          </cell>
          <cell r="BE423">
            <v>29.511519180000001</v>
          </cell>
          <cell r="BF423">
            <v>29.712373460000002</v>
          </cell>
          <cell r="BG423">
            <v>29.91472314</v>
          </cell>
          <cell r="BH423">
            <v>30.11870167</v>
          </cell>
          <cell r="BI423">
            <v>30.324457339999999</v>
          </cell>
        </row>
        <row r="427">
          <cell r="F427">
            <v>26.37987115</v>
          </cell>
          <cell r="G427">
            <v>26.68954651</v>
          </cell>
          <cell r="H427">
            <v>27.01817612</v>
          </cell>
          <cell r="I427">
            <v>27.368658140000001</v>
          </cell>
          <cell r="J427">
            <v>27.741209659999999</v>
          </cell>
          <cell r="K427">
            <v>28.134008099999999</v>
          </cell>
          <cell r="L427">
            <v>28.528733840000001</v>
          </cell>
          <cell r="M427">
            <v>28.931914150000001</v>
          </cell>
          <cell r="N427">
            <v>29.343819929999999</v>
          </cell>
          <cell r="O427">
            <v>29.76361064</v>
          </cell>
          <cell r="P427">
            <v>30.217983719999999</v>
          </cell>
          <cell r="Q427">
            <v>30.66237564</v>
          </cell>
          <cell r="R427">
            <v>31.10769329</v>
          </cell>
          <cell r="S427">
            <v>31.55592957</v>
          </cell>
          <cell r="T427">
            <v>32.007439150000003</v>
          </cell>
          <cell r="U427">
            <v>32.462404929999998</v>
          </cell>
          <cell r="V427">
            <v>32.921099069999997</v>
          </cell>
          <cell r="W427">
            <v>33.383893200000003</v>
          </cell>
          <cell r="X427">
            <v>33.851222610000001</v>
          </cell>
          <cell r="Y427">
            <v>34.323550640000001</v>
          </cell>
          <cell r="Z427">
            <v>34.780851679999998</v>
          </cell>
          <cell r="AA427">
            <v>35.256059579999999</v>
          </cell>
          <cell r="AB427">
            <v>35.741056260000001</v>
          </cell>
          <cell r="AC427">
            <v>36.234440220000003</v>
          </cell>
          <cell r="AD427">
            <v>36.736105350000003</v>
          </cell>
          <cell r="AE427">
            <v>37.186976510000001</v>
          </cell>
          <cell r="AF427">
            <v>37.652840159999997</v>
          </cell>
          <cell r="AG427">
            <v>38.125171440000003</v>
          </cell>
          <cell r="AH427">
            <v>38.603413750000001</v>
          </cell>
          <cell r="AI427">
            <v>39.088421289999999</v>
          </cell>
          <cell r="AJ427">
            <v>39.581094669999999</v>
          </cell>
          <cell r="AK427">
            <v>40.082111329999996</v>
          </cell>
          <cell r="AL427">
            <v>40.591904800000002</v>
          </cell>
          <cell r="AM427">
            <v>41.110705840000001</v>
          </cell>
          <cell r="AN427">
            <v>41.63859626</v>
          </cell>
          <cell r="AO427">
            <v>42.175559499999999</v>
          </cell>
          <cell r="AP427">
            <v>42.707177549999997</v>
          </cell>
          <cell r="AQ427">
            <v>43.241588370000002</v>
          </cell>
          <cell r="AR427">
            <v>43.781027960000003</v>
          </cell>
          <cell r="AS427">
            <v>44.326505830000002</v>
          </cell>
          <cell r="AT427">
            <v>44.878725410000001</v>
          </cell>
          <cell r="AU427">
            <v>45.438246919999997</v>
          </cell>
          <cell r="AV427">
            <v>46.005509140000001</v>
          </cell>
          <cell r="AW427">
            <v>46.580835890000003</v>
          </cell>
          <cell r="AX427">
            <v>47.164449439999999</v>
          </cell>
          <cell r="AY427">
            <v>47.756491279999999</v>
          </cell>
          <cell r="AZ427">
            <v>48.358352050000001</v>
          </cell>
          <cell r="BA427">
            <v>48.969339869999999</v>
          </cell>
          <cell r="BB427">
            <v>49.58928006</v>
          </cell>
          <cell r="BC427">
            <v>50.218076879999998</v>
          </cell>
          <cell r="BD427">
            <v>50.855660749999998</v>
          </cell>
          <cell r="BE427">
            <v>55.493589890000003</v>
          </cell>
          <cell r="BF427">
            <v>56.373474880000003</v>
          </cell>
          <cell r="BG427">
            <v>57.26841727</v>
          </cell>
          <cell r="BH427">
            <v>58.178734579999997</v>
          </cell>
          <cell r="BI427">
            <v>59.104750869999997</v>
          </cell>
        </row>
        <row r="439">
          <cell r="F439">
            <v>4.8967256030000001</v>
          </cell>
          <cell r="G439">
            <v>4.9371381320000003</v>
          </cell>
          <cell r="H439">
            <v>4.9821183519999996</v>
          </cell>
          <cell r="I439">
            <v>5.0356536409999997</v>
          </cell>
          <cell r="J439">
            <v>5.098033729</v>
          </cell>
          <cell r="K439">
            <v>5.1684125659999998</v>
          </cell>
          <cell r="L439">
            <v>5.2427701229999997</v>
          </cell>
          <cell r="M439">
            <v>5.3211436990000003</v>
          </cell>
          <cell r="N439">
            <v>5.40296237</v>
          </cell>
          <cell r="O439">
            <v>5.4876413079999997</v>
          </cell>
          <cell r="P439">
            <v>5.579664009</v>
          </cell>
          <cell r="Q439">
            <v>5.6715202140000001</v>
          </cell>
          <cell r="R439">
            <v>5.7642180249999999</v>
          </cell>
          <cell r="S439">
            <v>5.8578144620000003</v>
          </cell>
          <cell r="T439">
            <v>5.9522154670000003</v>
          </cell>
          <cell r="U439">
            <v>6.0473505789999997</v>
          </cell>
          <cell r="V439">
            <v>6.1431971130000003</v>
          </cell>
          <cell r="W439">
            <v>6.2397721449999999</v>
          </cell>
          <cell r="X439">
            <v>6.3371204580000002</v>
          </cell>
          <cell r="Y439">
            <v>6.4353045179999997</v>
          </cell>
          <cell r="Z439">
            <v>6.5306901320000001</v>
          </cell>
          <cell r="AA439">
            <v>6.6286546739999999</v>
          </cell>
          <cell r="AB439">
            <v>6.7283058200000001</v>
          </cell>
          <cell r="AC439">
            <v>6.8295040910000004</v>
          </cell>
          <cell r="AD439">
            <v>6.9322594579999999</v>
          </cell>
          <cell r="AE439">
            <v>7.0258803680000002</v>
          </cell>
          <cell r="AF439">
            <v>7.1206103570000003</v>
          </cell>
          <cell r="AG439">
            <v>7.2157772400000004</v>
          </cell>
          <cell r="AH439">
            <v>7.3115759440000003</v>
          </cell>
          <cell r="AI439">
            <v>7.4083459999999999</v>
          </cell>
          <cell r="AJ439">
            <v>7.506391196</v>
          </cell>
          <cell r="AK439">
            <v>7.6059430240000001</v>
          </cell>
          <cell r="AL439">
            <v>7.707162962</v>
          </cell>
          <cell r="AM439">
            <v>7.8101549280000002</v>
          </cell>
          <cell r="AN439">
            <v>7.9149793610000003</v>
          </cell>
          <cell r="AO439">
            <v>8.0216660409999996</v>
          </cell>
          <cell r="AP439">
            <v>8.1276290420000006</v>
          </cell>
          <cell r="AQ439">
            <v>8.2339534580000002</v>
          </cell>
          <cell r="AR439">
            <v>8.3410495640000004</v>
          </cell>
          <cell r="AS439">
            <v>8.4491758620000006</v>
          </cell>
          <cell r="AT439">
            <v>8.5585446760000004</v>
          </cell>
          <cell r="AU439">
            <v>8.6693354639999995</v>
          </cell>
          <cell r="AV439">
            <v>8.7816934189999998</v>
          </cell>
          <cell r="AW439">
            <v>8.8957294640000004</v>
          </cell>
          <cell r="AX439">
            <v>9.0115234809999993</v>
          </cell>
          <cell r="AY439">
            <v>9.1291295209999994</v>
          </cell>
          <cell r="AZ439">
            <v>9.2488160490000002</v>
          </cell>
          <cell r="BA439">
            <v>9.3705138570000006</v>
          </cell>
          <cell r="BB439">
            <v>9.4942086470000007</v>
          </cell>
          <cell r="BC439">
            <v>9.6198788670000006</v>
          </cell>
          <cell r="BD439">
            <v>9.7475017390000005</v>
          </cell>
          <cell r="BE439">
            <v>10.78471672</v>
          </cell>
          <cell r="BF439">
            <v>10.958941790000001</v>
          </cell>
          <cell r="BG439">
            <v>11.13593225</v>
          </cell>
          <cell r="BH439">
            <v>11.315761910000001</v>
          </cell>
          <cell r="BI439">
            <v>11.498509670000001</v>
          </cell>
        </row>
        <row r="451">
          <cell r="F451">
            <v>44.244008659999999</v>
          </cell>
          <cell r="G451">
            <v>44.769815770000001</v>
          </cell>
          <cell r="H451">
            <v>45.353067879999998</v>
          </cell>
          <cell r="I451">
            <v>45.991688310000001</v>
          </cell>
          <cell r="J451">
            <v>46.683978740000001</v>
          </cell>
          <cell r="K451">
            <v>47.42537514</v>
          </cell>
          <cell r="L451">
            <v>48.179204900000002</v>
          </cell>
          <cell r="M451">
            <v>48.95718368</v>
          </cell>
          <cell r="N451">
            <v>49.757438270000002</v>
          </cell>
          <cell r="O451">
            <v>50.576470350000001</v>
          </cell>
          <cell r="P451">
            <v>51.464484419999998</v>
          </cell>
          <cell r="Q451">
            <v>52.333025550000002</v>
          </cell>
          <cell r="R451">
            <v>53.205418080000001</v>
          </cell>
          <cell r="S451">
            <v>54.084782150000002</v>
          </cell>
          <cell r="T451">
            <v>54.971196980000002</v>
          </cell>
          <cell r="U451">
            <v>55.864593290000002</v>
          </cell>
          <cell r="V451">
            <v>56.765192839999997</v>
          </cell>
          <cell r="W451">
            <v>57.673515649999999</v>
          </cell>
          <cell r="X451">
            <v>58.59031281</v>
          </cell>
          <cell r="Y451">
            <v>59.516491950000002</v>
          </cell>
          <cell r="Z451">
            <v>60.413300249999999</v>
          </cell>
          <cell r="AA451">
            <v>61.345848250000003</v>
          </cell>
          <cell r="AB451">
            <v>62.296504040000002</v>
          </cell>
          <cell r="AC451">
            <v>63.263019229999998</v>
          </cell>
          <cell r="AD451">
            <v>64.245650549999993</v>
          </cell>
          <cell r="AE451">
            <v>65.130067490000002</v>
          </cell>
          <cell r="AF451">
            <v>66.047222959999999</v>
          </cell>
          <cell r="AG451">
            <v>66.976295690000001</v>
          </cell>
          <cell r="AH451">
            <v>67.915770949999995</v>
          </cell>
          <cell r="AI451">
            <v>68.867155030000006</v>
          </cell>
          <cell r="AJ451">
            <v>69.832134850000003</v>
          </cell>
          <cell r="AK451">
            <v>70.812064419999999</v>
          </cell>
          <cell r="AL451">
            <v>71.80789231</v>
          </cell>
          <cell r="AM451">
            <v>72.820190319999995</v>
          </cell>
          <cell r="AN451">
            <v>73.849212989999998</v>
          </cell>
          <cell r="AO451">
            <v>74.89496681</v>
          </cell>
          <cell r="AP451">
            <v>75.929390159999997</v>
          </cell>
          <cell r="AQ451">
            <v>76.968864960000005</v>
          </cell>
          <cell r="AR451">
            <v>78.016891330000007</v>
          </cell>
          <cell r="AS451">
            <v>79.074750660000007</v>
          </cell>
          <cell r="AT451">
            <v>80.143301089999994</v>
          </cell>
          <cell r="AU451">
            <v>81.223257200000006</v>
          </cell>
          <cell r="AV451">
            <v>82.315217110000006</v>
          </cell>
          <cell r="AW451">
            <v>83.419659260000003</v>
          </cell>
          <cell r="AX451">
            <v>84.536947400000003</v>
          </cell>
          <cell r="AY451">
            <v>85.667348410000002</v>
          </cell>
          <cell r="AZ451">
            <v>86.813606910000004</v>
          </cell>
          <cell r="BA451">
            <v>87.974380510000003</v>
          </cell>
          <cell r="BB451">
            <v>89.149470120000004</v>
          </cell>
          <cell r="BC451">
            <v>90.338799109999997</v>
          </cell>
          <cell r="BD451">
            <v>91.542314680000004</v>
          </cell>
          <cell r="BE451">
            <v>101.9694488</v>
          </cell>
          <cell r="BF451">
            <v>103.7202384</v>
          </cell>
          <cell r="BG451">
            <v>105.4971243</v>
          </cell>
          <cell r="BH451">
            <v>107.30059749999999</v>
          </cell>
          <cell r="BI451">
            <v>109.13117939999999</v>
          </cell>
        </row>
        <row r="463">
          <cell r="F463">
            <v>22.50335888</v>
          </cell>
          <cell r="G463">
            <v>22.774689129999999</v>
          </cell>
          <cell r="H463">
            <v>23.068699509999998</v>
          </cell>
          <cell r="I463">
            <v>23.389413189999999</v>
          </cell>
          <cell r="J463">
            <v>23.73931249</v>
          </cell>
          <cell r="K463">
            <v>24.117521</v>
          </cell>
          <cell r="L463">
            <v>24.506353659999998</v>
          </cell>
          <cell r="M463">
            <v>24.90974654</v>
          </cell>
          <cell r="N463">
            <v>25.32621091</v>
          </cell>
          <cell r="O463">
            <v>25.753605199999999</v>
          </cell>
          <cell r="P463">
            <v>26.216011760000001</v>
          </cell>
          <cell r="Q463">
            <v>26.67239627</v>
          </cell>
          <cell r="R463">
            <v>27.13121065</v>
          </cell>
          <cell r="S463">
            <v>27.593303129999999</v>
          </cell>
          <cell r="T463">
            <v>28.058372500000001</v>
          </cell>
          <cell r="U463">
            <v>28.526130469999998</v>
          </cell>
          <cell r="V463">
            <v>28.996476489999999</v>
          </cell>
          <cell r="W463">
            <v>29.46948819</v>
          </cell>
          <cell r="X463">
            <v>29.945383450000001</v>
          </cell>
          <cell r="Y463">
            <v>30.424483179999999</v>
          </cell>
          <cell r="Z463">
            <v>30.88770199</v>
          </cell>
          <cell r="AA463">
            <v>31.365087469999999</v>
          </cell>
          <cell r="AB463">
            <v>31.849861140000002</v>
          </cell>
          <cell r="AC463">
            <v>32.341159429999998</v>
          </cell>
          <cell r="AD463">
            <v>32.83913819</v>
          </cell>
          <cell r="AE463">
            <v>33.28769217</v>
          </cell>
          <cell r="AF463">
            <v>33.746018820000003</v>
          </cell>
          <cell r="AG463">
            <v>34.206947820000003</v>
          </cell>
          <cell r="AH463">
            <v>34.6706292</v>
          </cell>
          <cell r="AI463">
            <v>35.138377980000001</v>
          </cell>
          <cell r="AJ463">
            <v>35.611491450000003</v>
          </cell>
          <cell r="AK463">
            <v>36.09102317</v>
          </cell>
          <cell r="AL463">
            <v>36.577762960000001</v>
          </cell>
          <cell r="AM463">
            <v>37.072266280000001</v>
          </cell>
          <cell r="AN463">
            <v>37.57489554</v>
          </cell>
          <cell r="AO463">
            <v>38.085862329999998</v>
          </cell>
          <cell r="AP463">
            <v>38.591610670000001</v>
          </cell>
          <cell r="AQ463">
            <v>39.099130010000003</v>
          </cell>
          <cell r="AR463">
            <v>39.610352450000001</v>
          </cell>
          <cell r="AS463">
            <v>40.12626942</v>
          </cell>
          <cell r="AT463">
            <v>40.647653939999998</v>
          </cell>
          <cell r="AU463">
            <v>41.175165440000001</v>
          </cell>
          <cell r="AV463">
            <v>41.709353630000003</v>
          </cell>
          <cell r="AW463">
            <v>42.250657539999999</v>
          </cell>
          <cell r="AX463">
            <v>42.799413790000003</v>
          </cell>
          <cell r="AY463">
            <v>43.355873629999998</v>
          </cell>
          <cell r="AZ463">
            <v>43.921469700000003</v>
          </cell>
          <cell r="BA463">
            <v>44.4957402</v>
          </cell>
          <cell r="BB463">
            <v>45.078645399999999</v>
          </cell>
          <cell r="BC463">
            <v>45.670144190000002</v>
          </cell>
          <cell r="BD463">
            <v>46.270179079999998</v>
          </cell>
          <cell r="BE463">
            <v>51.382038950000002</v>
          </cell>
          <cell r="BF463">
            <v>52.22979488</v>
          </cell>
          <cell r="BG463">
            <v>53.09019361</v>
          </cell>
          <cell r="BH463">
            <v>53.963593869999997</v>
          </cell>
          <cell r="BI463">
            <v>54.850373390000001</v>
          </cell>
        </row>
        <row r="1365">
          <cell r="E1365" t="str">
            <v>100*(GDP_2/GDP_0-1)</v>
          </cell>
          <cell r="F1365">
            <v>-1.3734652863725771</v>
          </cell>
          <cell r="G1365">
            <v>-1.7298565048007308</v>
          </cell>
          <cell r="H1365">
            <v>-2.0645656708817461</v>
          </cell>
          <cell r="I1365">
            <v>-2.357633648455304</v>
          </cell>
          <cell r="J1365">
            <v>-2.6140093324245939</v>
          </cell>
          <cell r="K1365">
            <v>-2.8407767554473717</v>
          </cell>
          <cell r="L1365">
            <v>-3.0464601393956126</v>
          </cell>
          <cell r="M1365">
            <v>-3.2343626267274828</v>
          </cell>
          <cell r="N1365">
            <v>-3.4088044589155264</v>
          </cell>
          <cell r="O1365">
            <v>-3.5735780011471041</v>
          </cell>
          <cell r="P1365">
            <v>-3.8263746283537015</v>
          </cell>
          <cell r="Q1365">
            <v>-3.936158845468507</v>
          </cell>
          <cell r="R1365">
            <v>-4.0335630799199329</v>
          </cell>
          <cell r="S1365">
            <v>-4.1191956885294871</v>
          </cell>
          <cell r="T1365">
            <v>-4.1960202976913274</v>
          </cell>
          <cell r="U1365">
            <v>-4.2668115222945557</v>
          </cell>
          <cell r="V1365">
            <v>-4.3385282847099305</v>
          </cell>
          <cell r="W1365">
            <v>-4.4095100887892924</v>
          </cell>
          <cell r="X1365">
            <v>-4.4812427552597729</v>
          </cell>
          <cell r="Y1365">
            <v>-4.5547781342819116</v>
          </cell>
          <cell r="Z1365">
            <v>-4.6311097941466812</v>
          </cell>
          <cell r="AA1365">
            <v>-4.7099938027228561</v>
          </cell>
          <cell r="AB1365">
            <v>-4.7919176689637073</v>
          </cell>
          <cell r="AC1365">
            <v>-4.8769777598748458</v>
          </cell>
          <cell r="AD1365">
            <v>-4.965046439401311</v>
          </cell>
          <cell r="AE1365">
            <v>-5.0564131786857036</v>
          </cell>
          <cell r="AF1365">
            <v>-5.1476766199514916</v>
          </cell>
          <cell r="AG1365">
            <v>-5.2402349400153199</v>
          </cell>
          <cell r="AH1365">
            <v>-5.333927805019723</v>
          </cell>
          <cell r="AI1365">
            <v>-5.4285754760130871</v>
          </cell>
          <cell r="AJ1365">
            <v>-5.5239595975755229</v>
          </cell>
          <cell r="AK1365">
            <v>-5.6187350233234508</v>
          </cell>
          <cell r="AL1365">
            <v>-5.7135368368529278</v>
          </cell>
          <cell r="AM1365">
            <v>-5.808197333960619</v>
          </cell>
          <cell r="AN1365">
            <v>-5.902594084908797</v>
          </cell>
          <cell r="AO1365">
            <v>-5.9966256826181734</v>
          </cell>
          <cell r="AP1365">
            <v>-6.0804467910879119</v>
          </cell>
          <cell r="AQ1365">
            <v>-6.1616942705872919</v>
          </cell>
          <cell r="AR1365">
            <v>-6.2406874762081284</v>
          </cell>
          <cell r="AS1365">
            <v>-6.3179600181405</v>
          </cell>
          <cell r="AT1365">
            <v>-6.3939607803403353</v>
          </cell>
          <cell r="AU1365">
            <v>-6.4674527934628916</v>
          </cell>
          <cell r="AV1365">
            <v>-6.5399125774206368</v>
          </cell>
          <cell r="AW1365">
            <v>-6.6116128037204565</v>
          </cell>
          <cell r="AX1365">
            <v>-6.6828151577913664</v>
          </cell>
          <cell r="AY1365">
            <v>-6.75374061275601</v>
          </cell>
          <cell r="AZ1365">
            <v>-6.8192810107848505</v>
          </cell>
          <cell r="BA1365">
            <v>-6.8837080079757857</v>
          </cell>
          <cell r="BB1365">
            <v>-6.9474240648402024</v>
          </cell>
          <cell r="BC1365">
            <v>-7.0108335681959062</v>
          </cell>
          <cell r="BD1365">
            <v>-7.0742357919410859</v>
          </cell>
          <cell r="BE1365">
            <v>-0.17309504926293906</v>
          </cell>
          <cell r="BF1365">
            <v>-0.17504737969170625</v>
          </cell>
          <cell r="BG1365">
            <v>-0.17671713472687811</v>
          </cell>
          <cell r="BH1365">
            <v>-0.17817411467598854</v>
          </cell>
          <cell r="BI1365">
            <v>-0.17947550510799548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-1.7200374417430608</v>
          </cell>
          <cell r="G1366">
            <v>-2.1092918090200752</v>
          </cell>
          <cell r="H1366">
            <v>-2.4827537792660115</v>
          </cell>
          <cell r="I1366">
            <v>-2.8105382441615312</v>
          </cell>
          <cell r="J1366">
            <v>-3.0983291283854797</v>
          </cell>
          <cell r="K1366">
            <v>-3.3543235935452276</v>
          </cell>
          <cell r="L1366">
            <v>-3.5882042999577202</v>
          </cell>
          <cell r="M1366">
            <v>-3.803578294356047</v>
          </cell>
          <cell r="N1366">
            <v>-4.0051699333833124</v>
          </cell>
          <cell r="O1366">
            <v>-4.1971211594134639</v>
          </cell>
          <cell r="P1366">
            <v>-4.5019793778900308</v>
          </cell>
          <cell r="Q1366">
            <v>-4.6241439606573014</v>
          </cell>
          <cell r="R1366">
            <v>-4.7357877854921293</v>
          </cell>
          <cell r="S1366">
            <v>-4.8363329173529257</v>
          </cell>
          <cell r="T1366">
            <v>-4.9288682461351208</v>
          </cell>
          <cell r="U1366">
            <v>-5.0163111705401997</v>
          </cell>
          <cell r="V1366">
            <v>-5.1068689167936938</v>
          </cell>
          <cell r="W1366">
            <v>-5.1977411167469345</v>
          </cell>
          <cell r="X1366">
            <v>-5.290394458348735</v>
          </cell>
          <cell r="Y1366">
            <v>-5.3857981065073108</v>
          </cell>
          <cell r="Z1366">
            <v>-5.484571006119543</v>
          </cell>
          <cell r="AA1366">
            <v>-5.5870395354350899</v>
          </cell>
          <cell r="AB1366">
            <v>-5.6930671041684811</v>
          </cell>
          <cell r="AC1366">
            <v>-5.8026580681931783</v>
          </cell>
          <cell r="AD1366">
            <v>-5.9155599554662537</v>
          </cell>
          <cell r="AE1366">
            <v>-6.0311124556078788</v>
          </cell>
          <cell r="AF1366">
            <v>-6.1470340624102837</v>
          </cell>
          <cell r="AG1366">
            <v>-6.264224260306694</v>
          </cell>
          <cell r="AH1366">
            <v>-6.3824453642912999</v>
          </cell>
          <cell r="AI1366">
            <v>-6.5014372104148954</v>
          </cell>
          <cell r="AJ1366">
            <v>-6.6209131802054344</v>
          </cell>
          <cell r="AK1366">
            <v>-6.7391895029004107</v>
          </cell>
          <cell r="AL1366">
            <v>-6.85712965244758</v>
          </cell>
          <cell r="AM1366">
            <v>-6.9745369018853971</v>
          </cell>
          <cell r="AN1366">
            <v>-7.091282886932337</v>
          </cell>
          <cell r="AO1366">
            <v>-7.2072714420248207</v>
          </cell>
          <cell r="AP1366">
            <v>-7.309936879052148</v>
          </cell>
          <cell r="AQ1366">
            <v>-7.409674605380479</v>
          </cell>
          <cell r="AR1366">
            <v>-7.5067513643559014</v>
          </cell>
          <cell r="AS1366">
            <v>-7.6017634282371631</v>
          </cell>
          <cell r="AT1366">
            <v>-7.6952238129964883</v>
          </cell>
          <cell r="AU1366">
            <v>-7.7855443803001574</v>
          </cell>
          <cell r="AV1366">
            <v>-7.8746167453460298</v>
          </cell>
          <cell r="AW1366">
            <v>-7.9627429658681415</v>
          </cell>
          <cell r="AX1366">
            <v>-8.050222928384354</v>
          </cell>
          <cell r="AY1366">
            <v>-8.1373128149462062</v>
          </cell>
          <cell r="AZ1366">
            <v>-8.2176073101556497</v>
          </cell>
          <cell r="BA1366">
            <v>-8.2966250260011485</v>
          </cell>
          <cell r="BB1366">
            <v>-8.3747941546832081</v>
          </cell>
          <cell r="BC1366">
            <v>-8.4525602773989679</v>
          </cell>
          <cell r="BD1366">
            <v>-8.5302578918805096</v>
          </cell>
          <cell r="BE1366">
            <v>-0.23572931163051702</v>
          </cell>
          <cell r="BF1366">
            <v>-0.23913277799035848</v>
          </cell>
          <cell r="BG1366">
            <v>-0.24217281316902817</v>
          </cell>
          <cell r="BH1366">
            <v>-0.24492995704027409</v>
          </cell>
          <cell r="BI1366">
            <v>-0.24747210843392153</v>
          </cell>
        </row>
        <row r="1367">
          <cell r="E1367" t="str">
            <v>100*((CH_2-CH_0)/GDP_0)</v>
          </cell>
          <cell r="F1367">
            <v>-0.25349993310914692</v>
          </cell>
          <cell r="G1367">
            <v>-0.55820546753204225</v>
          </cell>
          <cell r="H1367">
            <v>-0.8451056209479344</v>
          </cell>
          <cell r="I1367">
            <v>-1.096312673034505</v>
          </cell>
          <cell r="J1367">
            <v>-1.3101014119216667</v>
          </cell>
          <cell r="K1367">
            <v>-1.4898914520720428</v>
          </cell>
          <cell r="L1367">
            <v>-1.6415562464252413</v>
          </cell>
          <cell r="M1367">
            <v>-1.7693167349294219</v>
          </cell>
          <cell r="N1367">
            <v>-1.8777603733670754</v>
          </cell>
          <cell r="O1367">
            <v>-1.9709943315202718</v>
          </cell>
          <cell r="P1367">
            <v>-2.0673698302730399</v>
          </cell>
          <cell r="Q1367">
            <v>-2.1490538343784582</v>
          </cell>
          <cell r="R1367">
            <v>-2.2101879639452178</v>
          </cell>
          <cell r="S1367">
            <v>-2.2519384582132185</v>
          </cell>
          <cell r="T1367">
            <v>-2.2770778095652848</v>
          </cell>
          <cell r="U1367">
            <v>-2.2887703653548996</v>
          </cell>
          <cell r="V1367">
            <v>-2.2910571257198828</v>
          </cell>
          <cell r="W1367">
            <v>-2.2869521895194063</v>
          </cell>
          <cell r="X1367">
            <v>-2.2788776759401488</v>
          </cell>
          <cell r="Y1367">
            <v>-2.2688195681676366</v>
          </cell>
          <cell r="Z1367">
            <v>-2.2591178044581985</v>
          </cell>
          <cell r="AA1367">
            <v>-2.2490630684457544</v>
          </cell>
          <cell r="AB1367">
            <v>-2.2407853717781685</v>
          </cell>
          <cell r="AC1367">
            <v>-2.2350096358845053</v>
          </cell>
          <cell r="AD1367">
            <v>-2.23218749974499</v>
          </cell>
          <cell r="AE1367">
            <v>-2.2344883853530919</v>
          </cell>
          <cell r="AF1367">
            <v>-2.2373717118322745</v>
          </cell>
          <cell r="AG1367">
            <v>-2.2425049362198255</v>
          </cell>
          <cell r="AH1367">
            <v>-2.2501111571028698</v>
          </cell>
          <cell r="AI1367">
            <v>-2.2603146279243993</v>
          </cell>
          <cell r="AJ1367">
            <v>-2.2731165742037729</v>
          </cell>
          <cell r="AK1367">
            <v>-2.2882026531722253</v>
          </cell>
          <cell r="AL1367">
            <v>-2.3054148067870064</v>
          </cell>
          <cell r="AM1367">
            <v>-2.3246272684858518</v>
          </cell>
          <cell r="AN1367">
            <v>-2.3457040900077386</v>
          </cell>
          <cell r="AO1367">
            <v>-2.3684946864135541</v>
          </cell>
          <cell r="AP1367">
            <v>-2.3912546579922793</v>
          </cell>
          <cell r="AQ1367">
            <v>-2.4130529057477452</v>
          </cell>
          <cell r="AR1367">
            <v>-2.4342303757643857</v>
          </cell>
          <cell r="AS1367">
            <v>-2.4552000761161481</v>
          </cell>
          <cell r="AT1367">
            <v>-2.4762769906457085</v>
          </cell>
          <cell r="AU1367">
            <v>-2.4973531578316743</v>
          </cell>
          <cell r="AV1367">
            <v>-2.5185602647292979</v>
          </cell>
          <cell r="AW1367">
            <v>-2.5400805599254799</v>
          </cell>
          <cell r="AX1367">
            <v>-2.5620759139605429</v>
          </cell>
          <cell r="AY1367">
            <v>-2.5846736083364883</v>
          </cell>
          <cell r="AZ1367">
            <v>-2.6068682595768604</v>
          </cell>
          <cell r="BA1367">
            <v>-2.6287756366810795</v>
          </cell>
          <cell r="BB1367">
            <v>-2.6507322766072168</v>
          </cell>
          <cell r="BC1367">
            <v>-2.6730419780536034</v>
          </cell>
          <cell r="BD1367">
            <v>-2.6959058505531894</v>
          </cell>
          <cell r="BE1367">
            <v>2.4627260846567238E-2</v>
          </cell>
          <cell r="BF1367">
            <v>2.6598171712759654E-2</v>
          </cell>
          <cell r="BG1367">
            <v>2.8484324639781216E-2</v>
          </cell>
          <cell r="BH1367">
            <v>3.0234981441569546E-2</v>
          </cell>
          <cell r="BI1367">
            <v>3.1819722090826522E-2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-2.1955260541659265E-4</v>
          </cell>
          <cell r="G1368">
            <v>-2.037141425645846E-2</v>
          </cell>
          <cell r="H1368">
            <v>-4.4896180148261758E-2</v>
          </cell>
          <cell r="I1368">
            <v>-6.5657767400436842E-2</v>
          </cell>
          <cell r="J1368">
            <v>-8.04615199797067E-2</v>
          </cell>
          <cell r="K1368">
            <v>-8.9718601541706688E-2</v>
          </cell>
          <cell r="L1368">
            <v>-9.4833073758625527E-2</v>
          </cell>
          <cell r="M1368">
            <v>-9.7138979670547965E-2</v>
          </cell>
          <cell r="N1368">
            <v>-9.7755729581654571E-2</v>
          </cell>
          <cell r="O1368">
            <v>-9.7476740650710561E-2</v>
          </cell>
          <cell r="P1368">
            <v>-9.8678791975510216E-2</v>
          </cell>
          <cell r="Q1368">
            <v>-9.8401554470021857E-2</v>
          </cell>
          <cell r="R1368">
            <v>-9.6492680315387491E-2</v>
          </cell>
          <cell r="S1368">
            <v>-9.3429965327512007E-2</v>
          </cell>
          <cell r="T1368">
            <v>-8.9678371648628838E-2</v>
          </cell>
          <cell r="U1368">
            <v>-8.5612649360315818E-2</v>
          </cell>
          <cell r="V1368">
            <v>-8.1606401394372419E-2</v>
          </cell>
          <cell r="W1368">
            <v>-7.7860279508500246E-2</v>
          </cell>
          <cell r="X1368">
            <v>-7.4481376937247809E-2</v>
          </cell>
          <cell r="Y1368">
            <v>-7.1525691103988556E-2</v>
          </cell>
          <cell r="Z1368">
            <v>-6.9027224329298115E-2</v>
          </cell>
          <cell r="AA1368">
            <v>-6.6923660733810633E-2</v>
          </cell>
          <cell r="AB1368">
            <v>-6.5242544045294351E-2</v>
          </cell>
          <cell r="AC1368">
            <v>-6.3952983077210285E-2</v>
          </cell>
          <cell r="AD1368">
            <v>-6.3013704061591375E-2</v>
          </cell>
          <cell r="AE1368">
            <v>-6.2414939163930795E-2</v>
          </cell>
          <cell r="AF1368">
            <v>-6.195302229153013E-2</v>
          </cell>
          <cell r="AG1368">
            <v>-6.1678931603275367E-2</v>
          </cell>
          <cell r="AH1368">
            <v>-6.1596672740200031E-2</v>
          </cell>
          <cell r="AI1368">
            <v>-6.1693467604625171E-2</v>
          </cell>
          <cell r="AJ1368">
            <v>-6.1945630610675928E-2</v>
          </cell>
          <cell r="AK1368">
            <v>-6.230768832858135E-2</v>
          </cell>
          <cell r="AL1368">
            <v>-6.2757586817668895E-2</v>
          </cell>
          <cell r="AM1368">
            <v>-6.3281853893616347E-2</v>
          </cell>
          <cell r="AN1368">
            <v>-6.3867678911643341E-2</v>
          </cell>
          <cell r="AO1368">
            <v>-6.4502454105597296E-2</v>
          </cell>
          <cell r="AP1368">
            <v>-6.5021340071055797E-2</v>
          </cell>
          <cell r="AQ1368">
            <v>-6.5422013687429267E-2</v>
          </cell>
          <cell r="AR1368">
            <v>-6.5778407264372313E-2</v>
          </cell>
          <cell r="AS1368">
            <v>-6.6140832169806277E-2</v>
          </cell>
          <cell r="AT1368">
            <v>-6.6530930501553134E-2</v>
          </cell>
          <cell r="AU1368">
            <v>-6.6929992084857684E-2</v>
          </cell>
          <cell r="AV1368">
            <v>-6.7343176158708218E-2</v>
          </cell>
          <cell r="AW1368">
            <v>-6.7782815734040269E-2</v>
          </cell>
          <cell r="AX1368">
            <v>-6.8258059050221198E-2</v>
          </cell>
          <cell r="AY1368">
            <v>-6.877454324319271E-2</v>
          </cell>
          <cell r="AZ1368">
            <v>-6.925668754843313E-2</v>
          </cell>
          <cell r="BA1368">
            <v>-6.9724658583385501E-2</v>
          </cell>
          <cell r="BB1368">
            <v>-7.0220069396418061E-2</v>
          </cell>
          <cell r="BC1368">
            <v>-7.076768676710303E-2</v>
          </cell>
          <cell r="BD1368">
            <v>-7.1376216447356047E-2</v>
          </cell>
          <cell r="BE1368">
            <v>6.2562576488679683E-3</v>
          </cell>
          <cell r="BF1368">
            <v>6.4977563843595931E-3</v>
          </cell>
          <cell r="BG1368">
            <v>6.7405093711651069E-3</v>
          </cell>
          <cell r="BH1368">
            <v>6.9831096687923509E-3</v>
          </cell>
          <cell r="BI1368">
            <v>7.2267607524996134E-3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</row>
        <row r="1370">
          <cell r="E1370" t="str">
            <v>100*((I_2-I_0)/GDP_0)</v>
          </cell>
          <cell r="F1370">
            <v>-0.20564416411976044</v>
          </cell>
          <cell r="G1370">
            <v>-0.34570085463578221</v>
          </cell>
          <cell r="H1370">
            <v>-0.44966903021153598</v>
          </cell>
          <cell r="I1370">
            <v>-0.53639982613231607</v>
          </cell>
          <cell r="J1370">
            <v>-0.6147585425587424</v>
          </cell>
          <cell r="K1370">
            <v>-0.68891481342461203</v>
          </cell>
          <cell r="L1370">
            <v>-0.76137314945572909</v>
          </cell>
          <cell r="M1370">
            <v>-0.83271080442397571</v>
          </cell>
          <cell r="N1370">
            <v>-0.90336520119326269</v>
          </cell>
          <cell r="O1370">
            <v>-0.97361919302601851</v>
          </cell>
          <cell r="P1370">
            <v>-1.0573687346501632</v>
          </cell>
          <cell r="Q1370">
            <v>-1.126869030368512</v>
          </cell>
          <cell r="R1370">
            <v>-1.188217081701064</v>
          </cell>
          <cell r="S1370">
            <v>-1.2451981643446242</v>
          </cell>
          <cell r="T1370">
            <v>-1.2994446519331644</v>
          </cell>
          <cell r="U1370">
            <v>-1.3516284582422586</v>
          </cell>
          <cell r="V1370">
            <v>-1.4027124801813082</v>
          </cell>
          <cell r="W1370">
            <v>-1.4525989756497069</v>
          </cell>
          <cell r="X1370">
            <v>-1.5012361023938816</v>
          </cell>
          <cell r="Y1370">
            <v>-1.5486143524803258</v>
          </cell>
          <cell r="Z1370">
            <v>-1.5952491329096015</v>
          </cell>
          <cell r="AA1370">
            <v>-1.6399613376951765</v>
          </cell>
          <cell r="AB1370">
            <v>-1.6834421352939568</v>
          </cell>
          <cell r="AC1370">
            <v>-1.7256593740316624</v>
          </cell>
          <cell r="AD1370">
            <v>-1.7665910647481586</v>
          </cell>
          <cell r="AE1370">
            <v>-1.807750557881765</v>
          </cell>
          <cell r="AF1370">
            <v>-1.8459653117493771</v>
          </cell>
          <cell r="AG1370">
            <v>-1.8824609586016277</v>
          </cell>
          <cell r="AH1370">
            <v>-1.9172356003215694</v>
          </cell>
          <cell r="AI1370">
            <v>-1.9503008451330481</v>
          </cell>
          <cell r="AJ1370">
            <v>-1.9816737997600646</v>
          </cell>
          <cell r="AK1370">
            <v>-2.0112071813859465</v>
          </cell>
          <cell r="AL1370">
            <v>-2.038980456488626</v>
          </cell>
          <cell r="AM1370">
            <v>-2.0650610999349448</v>
          </cell>
          <cell r="AN1370">
            <v>-2.0895114520860956</v>
          </cell>
          <cell r="AO1370">
            <v>-2.1123942179229873</v>
          </cell>
          <cell r="AP1370">
            <v>-2.1326471518355974</v>
          </cell>
          <cell r="AQ1370">
            <v>-2.1503342941667043</v>
          </cell>
          <cell r="AR1370">
            <v>-2.1658806680754217</v>
          </cell>
          <cell r="AS1370">
            <v>-2.1795806234600525</v>
          </cell>
          <cell r="AT1370">
            <v>-2.1916572939967036</v>
          </cell>
          <cell r="AU1370">
            <v>-2.2020467133666073</v>
          </cell>
          <cell r="AV1370">
            <v>-2.2109720922876188</v>
          </cell>
          <cell r="AW1370">
            <v>-2.2186165957329553</v>
          </cell>
          <cell r="AX1370">
            <v>-2.2251375058759724</v>
          </cell>
          <cell r="AY1370">
            <v>-2.2306770954986268</v>
          </cell>
          <cell r="AZ1370">
            <v>-2.2345253634236348</v>
          </cell>
          <cell r="BA1370">
            <v>-2.2371048354117256</v>
          </cell>
          <cell r="BB1370">
            <v>-2.2387161488849863</v>
          </cell>
          <cell r="BC1370">
            <v>-2.2395918727492226</v>
          </cell>
          <cell r="BD1370">
            <v>-2.2399170641839548</v>
          </cell>
          <cell r="BE1370">
            <v>-4.521236430945175E-3</v>
          </cell>
          <cell r="BF1370">
            <v>7.2949558812879342E-4</v>
          </cell>
          <cell r="BG1370">
            <v>6.3874356486643144E-3</v>
          </cell>
          <cell r="BH1370">
            <v>1.2419202628000638E-2</v>
          </cell>
          <cell r="BI1370">
            <v>1.8789179124359609E-2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</row>
        <row r="1372">
          <cell r="E1372" t="str">
            <v>100*((X_2-X_0)/GDP_0)-100*((M_2-M_0)/GDP_0)</v>
          </cell>
          <cell r="F1372">
            <v>-0.91432121186443971</v>
          </cell>
          <cell r="G1372">
            <v>-0.82595014224634145</v>
          </cell>
          <cell r="H1372">
            <v>-0.76979102857482262</v>
          </cell>
          <cell r="I1372">
            <v>-0.72492112747295112</v>
          </cell>
          <cell r="J1372">
            <v>-0.68914939513792639</v>
          </cell>
          <cell r="K1372">
            <v>-0.66197048148517057</v>
          </cell>
          <cell r="L1372">
            <v>-0.64353076853037305</v>
          </cell>
          <cell r="M1372">
            <v>-0.6323350832678396</v>
          </cell>
          <cell r="N1372">
            <v>-0.62767893287951604</v>
          </cell>
          <cell r="O1372">
            <v>-0.62896447261902688</v>
          </cell>
          <cell r="P1372">
            <v>-0.70163603209967684</v>
          </cell>
          <cell r="Q1372">
            <v>-0.66023596530177198</v>
          </cell>
          <cell r="R1372">
            <v>-0.63515803047897412</v>
          </cell>
          <cell r="S1372">
            <v>-0.62205907717839759</v>
          </cell>
          <cell r="T1372">
            <v>-0.61949781044938956</v>
          </cell>
          <cell r="U1372">
            <v>-0.62641266610996116</v>
          </cell>
          <cell r="V1372">
            <v>-0.64475867880874183</v>
          </cell>
          <cell r="W1372">
            <v>-0.66995894117216959</v>
          </cell>
          <cell r="X1372">
            <v>-0.70112898383913302</v>
          </cell>
          <cell r="Y1372">
            <v>-0.73734422384576925</v>
          </cell>
          <cell r="Z1372">
            <v>-0.77674285342446936</v>
          </cell>
          <cell r="AA1372">
            <v>-0.82096941640586829</v>
          </cell>
          <cell r="AB1372">
            <v>-0.8676901456202688</v>
          </cell>
          <cell r="AC1372">
            <v>-0.91630874995867106</v>
          </cell>
          <cell r="AD1372">
            <v>-0.96626788122178819</v>
          </cell>
          <cell r="AE1372">
            <v>-1.0141742167615142</v>
          </cell>
          <cell r="AF1372">
            <v>-1.0643395748662456</v>
          </cell>
          <cell r="AG1372">
            <v>-1.1152690451938647</v>
          </cell>
          <cell r="AH1372">
            <v>-1.1665810625386022</v>
          </cell>
          <cell r="AI1372">
            <v>-1.2179600000075688</v>
          </cell>
          <cell r="AJ1372">
            <v>-1.2691692148875675</v>
          </cell>
          <cell r="AK1372">
            <v>-1.319325194502365</v>
          </cell>
          <cell r="AL1372">
            <v>-1.3691415848954738</v>
          </cell>
          <cell r="AM1372">
            <v>-1.4185089990321726</v>
          </cell>
          <cell r="AN1372">
            <v>-1.4673785593329454</v>
          </cell>
          <cell r="AO1372">
            <v>-1.51573682715973</v>
          </cell>
          <cell r="AP1372">
            <v>-1.556544981260032</v>
          </cell>
          <cell r="AQ1372">
            <v>-1.5983070574521041</v>
          </cell>
          <cell r="AR1372">
            <v>-1.6405764558541049</v>
          </cell>
          <cell r="AS1372">
            <v>-1.6831793262908472</v>
          </cell>
          <cell r="AT1372">
            <v>-1.7260265287445158</v>
          </cell>
          <cell r="AU1372">
            <v>-1.768052959900769</v>
          </cell>
          <cell r="AV1372">
            <v>-1.8103802080208369</v>
          </cell>
          <cell r="AW1372">
            <v>-1.8529156725071694</v>
          </cell>
          <cell r="AX1372">
            <v>-1.8956017644965546</v>
          </cell>
          <cell r="AY1372">
            <v>-1.9383899160658831</v>
          </cell>
          <cell r="AZ1372">
            <v>-1.9778873971874482</v>
          </cell>
          <cell r="BA1372">
            <v>-2.0178275173208853</v>
          </cell>
          <cell r="BB1372">
            <v>-2.0579756278973296</v>
          </cell>
          <cell r="BC1372">
            <v>-2.0981997219138853</v>
          </cell>
          <cell r="BD1372">
            <v>-2.1384128682798478</v>
          </cell>
          <cell r="BE1372">
            <v>-0.19320109391079338</v>
          </cell>
          <cell r="BF1372">
            <v>-0.20237502709255517</v>
          </cell>
          <cell r="BG1372">
            <v>-0.21158891458899307</v>
          </cell>
          <cell r="BH1372">
            <v>-0.22082829874555396</v>
          </cell>
          <cell r="BI1372">
            <v>-0.23008438738529277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-0.24947326351086105</v>
          </cell>
          <cell r="G1373">
            <v>-0.55012888790273196</v>
          </cell>
          <cell r="H1373">
            <v>-0.83373110611594892</v>
          </cell>
          <cell r="I1373">
            <v>-1.0822218378719421</v>
          </cell>
          <cell r="J1373">
            <v>-1.2936308993914838</v>
          </cell>
          <cell r="K1373">
            <v>-1.471253110116916</v>
          </cell>
          <cell r="L1373">
            <v>-1.620906376671744</v>
          </cell>
          <cell r="M1373">
            <v>-1.746818795401929</v>
          </cell>
          <cell r="N1373">
            <v>-1.8535822757655771</v>
          </cell>
          <cell r="O1373">
            <v>-1.9452994897833895</v>
          </cell>
          <cell r="P1373">
            <v>-2.0401193399454227</v>
          </cell>
          <cell r="Q1373">
            <v>-2.1204707701871999</v>
          </cell>
          <cell r="R1373">
            <v>-2.1805537672794983</v>
          </cell>
          <cell r="S1373">
            <v>-2.2214990203100862</v>
          </cell>
          <cell r="T1373">
            <v>-2.2460392419461614</v>
          </cell>
          <cell r="U1373">
            <v>-2.2573063692517974</v>
          </cell>
          <cell r="V1373">
            <v>-2.2592986654642035</v>
          </cell>
          <cell r="W1373">
            <v>-2.2550009371378068</v>
          </cell>
          <cell r="X1373">
            <v>-2.2468096325961961</v>
          </cell>
          <cell r="Y1373">
            <v>-2.2366859007078763</v>
          </cell>
          <cell r="Z1373">
            <v>-2.2269350174453439</v>
          </cell>
          <cell r="AA1373">
            <v>-2.2168551666429375</v>
          </cell>
          <cell r="AB1373">
            <v>-2.2085414733298996</v>
          </cell>
          <cell r="AC1373">
            <v>-2.2027041403711456</v>
          </cell>
          <cell r="AD1373">
            <v>-2.1997845740950588</v>
          </cell>
          <cell r="AE1373">
            <v>-2.2019160515882956</v>
          </cell>
          <cell r="AF1373">
            <v>-2.2046222618124447</v>
          </cell>
          <cell r="AG1373">
            <v>-2.2095427659842826</v>
          </cell>
          <cell r="AH1373">
            <v>-2.2168940380200493</v>
          </cell>
          <cell r="AI1373">
            <v>-2.2267961713099091</v>
          </cell>
          <cell r="AJ1373">
            <v>-2.2392493570026168</v>
          </cell>
          <cell r="AK1373">
            <v>-2.253944227023168</v>
          </cell>
          <cell r="AL1373">
            <v>-2.2707255037718821</v>
          </cell>
          <cell r="AM1373">
            <v>-2.289469818576737</v>
          </cell>
          <cell r="AN1373">
            <v>-2.3100439028783839</v>
          </cell>
          <cell r="AO1373">
            <v>-2.3323002822519259</v>
          </cell>
          <cell r="AP1373">
            <v>-2.3545241997707098</v>
          </cell>
          <cell r="AQ1373">
            <v>-2.3757977910942558</v>
          </cell>
          <cell r="AR1373">
            <v>-2.3964538035545315</v>
          </cell>
          <cell r="AS1373">
            <v>-2.4168969364565052</v>
          </cell>
          <cell r="AT1373">
            <v>-2.4374377820687556</v>
          </cell>
          <cell r="AU1373">
            <v>-2.4579730407217006</v>
          </cell>
          <cell r="AV1373">
            <v>-2.4786358215429392</v>
          </cell>
          <cell r="AW1373">
            <v>-2.499608843258815</v>
          </cell>
          <cell r="AX1373">
            <v>-2.5210544260628871</v>
          </cell>
          <cell r="AY1373">
            <v>-2.543100366494587</v>
          </cell>
          <cell r="AZ1373">
            <v>-2.564759803470114</v>
          </cell>
          <cell r="BA1373">
            <v>-2.5861459270604419</v>
          </cell>
          <cell r="BB1373">
            <v>-2.6075882958952095</v>
          </cell>
          <cell r="BC1373">
            <v>-2.6293873432036396</v>
          </cell>
          <cell r="BD1373">
            <v>-2.6517430357552096</v>
          </cell>
          <cell r="BE1373">
            <v>2.6026198978007193E-2</v>
          </cell>
          <cell r="BF1373">
            <v>2.8054577078108104E-2</v>
          </cell>
          <cell r="BG1373">
            <v>2.9998808361020476E-2</v>
          </cell>
          <cell r="BH1373">
            <v>3.1809355117782684E-2</v>
          </cell>
          <cell r="BI1373">
            <v>3.3456583928692905E-2</v>
          </cell>
        </row>
        <row r="1374">
          <cell r="E1374" t="str">
            <v>100*((I_2+CH_ccon_2-(I_0+CH_ccon_0))/GDP_0)</v>
          </cell>
          <cell r="F1374">
            <v>-0.20967083371804893</v>
          </cell>
          <cell r="G1374">
            <v>-0.35377743426509239</v>
          </cell>
          <cell r="H1374">
            <v>-0.46104354504351885</v>
          </cell>
          <cell r="I1374">
            <v>-0.550490661294879</v>
          </cell>
          <cell r="J1374">
            <v>-0.63122905508892024</v>
          </cell>
          <cell r="K1374">
            <v>-0.70755315537973651</v>
          </cell>
          <cell r="L1374">
            <v>-0.78202301920922401</v>
          </cell>
          <cell r="M1374">
            <v>-0.85520874395147306</v>
          </cell>
          <cell r="N1374">
            <v>-0.92754329879475872</v>
          </cell>
          <cell r="O1374">
            <v>-0.99931403476289826</v>
          </cell>
          <cell r="P1374">
            <v>-1.0846192249777851</v>
          </cell>
          <cell r="Q1374">
            <v>-1.1554520945597793</v>
          </cell>
          <cell r="R1374">
            <v>-1.2178512783667792</v>
          </cell>
          <cell r="S1374">
            <v>-1.2756376022477516</v>
          </cell>
          <cell r="T1374">
            <v>-1.3304832195522793</v>
          </cell>
          <cell r="U1374">
            <v>-1.3830924543453567</v>
          </cell>
          <cell r="V1374">
            <v>-1.4344709404369917</v>
          </cell>
          <cell r="W1374">
            <v>-1.4845502280313059</v>
          </cell>
          <cell r="X1374">
            <v>-1.533304145737834</v>
          </cell>
          <cell r="Y1374">
            <v>-1.5807480199400818</v>
          </cell>
          <cell r="Z1374">
            <v>-1.6274319199224518</v>
          </cell>
          <cell r="AA1374">
            <v>-1.6721692394980014</v>
          </cell>
          <cell r="AB1374">
            <v>-1.7156860337422259</v>
          </cell>
          <cell r="AC1374">
            <v>-1.7579648695450221</v>
          </cell>
          <cell r="AD1374">
            <v>-1.79899399039809</v>
          </cell>
          <cell r="AE1374">
            <v>-1.8403228916465613</v>
          </cell>
          <cell r="AF1374">
            <v>-1.8787147617692104</v>
          </cell>
          <cell r="AG1374">
            <v>-1.9154231288371708</v>
          </cell>
          <cell r="AH1374">
            <v>-1.9504527194043892</v>
          </cell>
          <cell r="AI1374">
            <v>-1.9838193017475345</v>
          </cell>
          <cell r="AJ1374">
            <v>-2.0155410169612207</v>
          </cell>
          <cell r="AK1374">
            <v>-2.0454656075350042</v>
          </cell>
          <cell r="AL1374">
            <v>-2.0736697595037539</v>
          </cell>
          <cell r="AM1374">
            <v>-2.1002185498440635</v>
          </cell>
          <cell r="AN1374">
            <v>-2.1251716392154472</v>
          </cell>
          <cell r="AO1374">
            <v>-2.1485886220846151</v>
          </cell>
          <cell r="AP1374">
            <v>-2.16937761005717</v>
          </cell>
          <cell r="AQ1374">
            <v>-2.1875894088201937</v>
          </cell>
          <cell r="AR1374">
            <v>-2.203657240285279</v>
          </cell>
          <cell r="AS1374">
            <v>-2.2178837631196955</v>
          </cell>
          <cell r="AT1374">
            <v>-2.2304965025736574</v>
          </cell>
          <cell r="AU1374">
            <v>-2.2414268304765783</v>
          </cell>
          <cell r="AV1374">
            <v>-2.2508965354739803</v>
          </cell>
          <cell r="AW1374">
            <v>-2.2590883123996206</v>
          </cell>
          <cell r="AX1374">
            <v>-2.2661589937736255</v>
          </cell>
          <cell r="AY1374">
            <v>-2.2722503373405254</v>
          </cell>
          <cell r="AZ1374">
            <v>-2.2766338195303786</v>
          </cell>
          <cell r="BA1374">
            <v>-2.2797345450323632</v>
          </cell>
          <cell r="BB1374">
            <v>-2.2818601295969962</v>
          </cell>
          <cell r="BC1374">
            <v>-2.2832465075991837</v>
          </cell>
          <cell r="BD1374">
            <v>-2.2840798789819319</v>
          </cell>
          <cell r="BE1374">
            <v>-5.9201745623804168E-3</v>
          </cell>
          <cell r="BF1374">
            <v>-7.2690977721502409E-4</v>
          </cell>
          <cell r="BG1374">
            <v>4.8729519274250564E-3</v>
          </cell>
          <cell r="BH1374">
            <v>1.0844828951787504E-2</v>
          </cell>
          <cell r="BI1374">
            <v>1.7152317286497642E-2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-0.20284518444659061</v>
          </cell>
          <cell r="G1375">
            <v>-0.3411956172628568</v>
          </cell>
          <cell r="H1375">
            <v>-0.44419850932038879</v>
          </cell>
          <cell r="I1375">
            <v>-0.53023151876949515</v>
          </cell>
          <cell r="J1375">
            <v>-0.60788749383031193</v>
          </cell>
          <cell r="K1375">
            <v>-0.68122028311411664</v>
          </cell>
          <cell r="L1375">
            <v>-0.7526972866752023</v>
          </cell>
          <cell r="M1375">
            <v>-0.82291204813111984</v>
          </cell>
          <cell r="N1375">
            <v>-0.89232446692837764</v>
          </cell>
          <cell r="O1375">
            <v>-0.96123876590147228</v>
          </cell>
          <cell r="P1375">
            <v>-1.0434105796208155</v>
          </cell>
          <cell r="Q1375">
            <v>-1.111455725271302</v>
          </cell>
          <cell r="R1375">
            <v>-1.171387356854501</v>
          </cell>
          <cell r="S1375">
            <v>-1.2269427963950343</v>
          </cell>
          <cell r="T1375">
            <v>-1.2797534788993294</v>
          </cell>
          <cell r="U1375">
            <v>-1.3305096167258943</v>
          </cell>
          <cell r="V1375">
            <v>-1.3801834812234623</v>
          </cell>
          <cell r="W1375">
            <v>-1.4286984710555461</v>
          </cell>
          <cell r="X1375">
            <v>-1.4760193883204205</v>
          </cell>
          <cell r="Y1375">
            <v>-1.5221479081781086</v>
          </cell>
          <cell r="Z1375">
            <v>-1.567599815549555</v>
          </cell>
          <cell r="AA1375">
            <v>-1.6112165754394843</v>
          </cell>
          <cell r="AB1375">
            <v>-1.6536792147895025</v>
          </cell>
          <cell r="AC1375">
            <v>-1.6949558669204432</v>
          </cell>
          <cell r="AD1375">
            <v>-1.7350230593383067</v>
          </cell>
          <cell r="AE1375">
            <v>-1.7753727890105586</v>
          </cell>
          <cell r="AF1375">
            <v>-1.8128740791954943</v>
          </cell>
          <cell r="AG1375">
            <v>-1.8487258098655999</v>
          </cell>
          <cell r="AH1375">
            <v>-1.8829188142184958</v>
          </cell>
          <cell r="AI1375">
            <v>-1.9154566963917632</v>
          </cell>
          <cell r="AJ1375">
            <v>-1.9463489131710958</v>
          </cell>
          <cell r="AK1375">
            <v>-1.9754442751861494</v>
          </cell>
          <cell r="AL1375">
            <v>-2.0028149343426458</v>
          </cell>
          <cell r="AM1375">
            <v>-2.0285211283693325</v>
          </cell>
          <cell r="AN1375">
            <v>-2.0526185769334391</v>
          </cell>
          <cell r="AO1375">
            <v>-2.0751640773715803</v>
          </cell>
          <cell r="AP1375">
            <v>-2.095114550174729</v>
          </cell>
          <cell r="AQ1375">
            <v>-2.1125297429311147</v>
          </cell>
          <cell r="AR1375">
            <v>-2.1278194265715111</v>
          </cell>
          <cell r="AS1375">
            <v>-2.1412664361292726</v>
          </cell>
          <cell r="AT1375">
            <v>-2.1530865068046303</v>
          </cell>
          <cell r="AU1375">
            <v>-2.1632163366336274</v>
          </cell>
          <cell r="AV1375">
            <v>-2.171876300666189</v>
          </cell>
          <cell r="AW1375">
            <v>-2.1792474316882409</v>
          </cell>
          <cell r="AX1375">
            <v>-2.1854859511146443</v>
          </cell>
          <cell r="AY1375">
            <v>-2.1907339365007217</v>
          </cell>
          <cell r="AZ1375">
            <v>-2.1942981870647169</v>
          </cell>
          <cell r="BA1375">
            <v>-2.1965975052220585</v>
          </cell>
          <cell r="BB1375">
            <v>-2.1979274199606809</v>
          </cell>
          <cell r="BC1375">
            <v>-2.1985172286129182</v>
          </cell>
          <cell r="BD1375">
            <v>-2.1985508096222137</v>
          </cell>
          <cell r="BE1375">
            <v>-3.6374125724455979E-3</v>
          </cell>
          <cell r="BF1375">
            <v>1.4909450650637188E-3</v>
          </cell>
          <cell r="BG1375">
            <v>7.0179858722023399E-3</v>
          </cell>
          <cell r="BH1375">
            <v>1.2911954943280624E-2</v>
          </cell>
          <cell r="BI1375">
            <v>1.9138570094063296E-2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-4.0266695982880086E-3</v>
          </cell>
          <cell r="G1376">
            <v>-8.0765796293110273E-3</v>
          </cell>
          <cell r="H1376">
            <v>-1.1374514831984922E-2</v>
          </cell>
          <cell r="I1376">
            <v>-1.4090835162562725E-2</v>
          </cell>
          <cell r="J1376">
            <v>-1.6470512530179681E-2</v>
          </cell>
          <cell r="K1376">
            <v>-1.8638341955124961E-2</v>
          </cell>
          <cell r="L1376">
            <v>-2.0649869753496253E-2</v>
          </cell>
          <cell r="M1376">
            <v>-2.2497939527496701E-2</v>
          </cell>
          <cell r="N1376">
            <v>-2.4178097601492528E-2</v>
          </cell>
          <cell r="O1376">
            <v>-2.5694841736883221E-2</v>
          </cell>
          <cell r="P1376">
            <v>-2.7250490327620922E-2</v>
          </cell>
          <cell r="Q1376">
            <v>-2.8583064191263479E-2</v>
          </cell>
          <cell r="R1376">
            <v>-2.9634196665718322E-2</v>
          </cell>
          <cell r="S1376">
            <v>-3.0439437903128676E-2</v>
          </cell>
          <cell r="T1376">
            <v>-3.1038567619118197E-2</v>
          </cell>
          <cell r="U1376">
            <v>-3.1463996103099225E-2</v>
          </cell>
          <cell r="V1376">
            <v>-3.175846025568381E-2</v>
          </cell>
          <cell r="W1376">
            <v>-3.1951252381599848E-2</v>
          </cell>
          <cell r="X1376">
            <v>-3.2068043343952544E-2</v>
          </cell>
          <cell r="Y1376">
            <v>-3.2133667459755794E-2</v>
          </cell>
          <cell r="Z1376">
            <v>-3.2182787012851134E-2</v>
          </cell>
          <cell r="AA1376">
            <v>-3.220790180282284E-2</v>
          </cell>
          <cell r="AB1376">
            <v>-3.2243898448266528E-2</v>
          </cell>
          <cell r="AC1376">
            <v>-3.2305495513360732E-2</v>
          </cell>
          <cell r="AD1376">
            <v>-3.240292564993244E-2</v>
          </cell>
          <cell r="AE1376">
            <v>-3.2572333764796069E-2</v>
          </cell>
          <cell r="AF1376">
            <v>-3.2749450019831976E-2</v>
          </cell>
          <cell r="AG1376">
            <v>-3.2962170235544437E-2</v>
          </cell>
          <cell r="AH1376">
            <v>-3.3217119082820996E-2</v>
          </cell>
          <cell r="AI1376">
            <v>-3.3518456614486797E-2</v>
          </cell>
          <cell r="AJ1376">
            <v>-3.3867217201155188E-2</v>
          </cell>
          <cell r="AK1376">
            <v>-3.4258426149057018E-2</v>
          </cell>
          <cell r="AL1376">
            <v>-3.4689303015126904E-2</v>
          </cell>
          <cell r="AM1376">
            <v>-3.5157449909118114E-2</v>
          </cell>
          <cell r="AN1376">
            <v>-3.5660187129354044E-2</v>
          </cell>
          <cell r="AO1376">
            <v>-3.61944041616283E-2</v>
          </cell>
          <cell r="AP1376">
            <v>-3.6730458221571644E-2</v>
          </cell>
          <cell r="AQ1376">
            <v>-3.7255114653487825E-2</v>
          </cell>
          <cell r="AR1376">
            <v>-3.7776572209857077E-2</v>
          </cell>
          <cell r="AS1376">
            <v>-3.8303139659642445E-2</v>
          </cell>
          <cell r="AT1376">
            <v>-3.8839208576954512E-2</v>
          </cell>
          <cell r="AU1376">
            <v>-3.9380117109972843E-2</v>
          </cell>
          <cell r="AV1376">
            <v>-3.9924443186361964E-2</v>
          </cell>
          <cell r="AW1376">
            <v>-4.0471716666666921E-2</v>
          </cell>
          <cell r="AX1376">
            <v>-4.1021487897652469E-2</v>
          </cell>
          <cell r="AY1376">
            <v>-4.1573241841899283E-2</v>
          </cell>
          <cell r="AZ1376">
            <v>-4.2108456106746475E-2</v>
          </cell>
          <cell r="BA1376">
            <v>-4.2629709620637515E-2</v>
          </cell>
          <cell r="BB1376">
            <v>-4.3143980712010574E-2</v>
          </cell>
          <cell r="BC1376">
            <v>-4.3654634849961155E-2</v>
          </cell>
          <cell r="BD1376">
            <v>-4.4162814797978553E-2</v>
          </cell>
          <cell r="BE1376">
            <v>-1.3989381314381863E-3</v>
          </cell>
          <cell r="BF1376">
            <v>-1.4564053653442521E-3</v>
          </cell>
          <cell r="BG1376">
            <v>-1.5144837212395438E-3</v>
          </cell>
          <cell r="BH1376">
            <v>-1.5743736762150961E-3</v>
          </cell>
          <cell r="BI1376">
            <v>-1.6368618378615565E-3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-2.7989796731698446E-3</v>
          </cell>
          <cell r="G1377">
            <v>-4.5052373729260473E-3</v>
          </cell>
          <cell r="H1377">
            <v>-5.4705208911459517E-3</v>
          </cell>
          <cell r="I1377">
            <v>-6.1683073628218919E-3</v>
          </cell>
          <cell r="J1377">
            <v>-6.8710487284313485E-3</v>
          </cell>
          <cell r="K1377">
            <v>-7.6945303104954269E-3</v>
          </cell>
          <cell r="L1377">
            <v>-8.6758627805276819E-3</v>
          </cell>
          <cell r="M1377">
            <v>-9.7987562928552787E-3</v>
          </cell>
          <cell r="N1377">
            <v>-1.1040734264884415E-2</v>
          </cell>
          <cell r="O1377">
            <v>-1.238042712454465E-2</v>
          </cell>
          <cell r="P1377">
            <v>-1.3958155029348057E-2</v>
          </cell>
          <cell r="Q1377">
            <v>-1.5413305097208943E-2</v>
          </cell>
          <cell r="R1377">
            <v>-1.6829724846561235E-2</v>
          </cell>
          <cell r="S1377">
            <v>-1.8255367949588413E-2</v>
          </cell>
          <cell r="T1377">
            <v>-1.9691173033836735E-2</v>
          </cell>
          <cell r="U1377">
            <v>-2.1118841516364152E-2</v>
          </cell>
          <cell r="V1377">
            <v>-2.2528998957847466E-2</v>
          </cell>
          <cell r="W1377">
            <v>-2.390050459415901E-2</v>
          </cell>
          <cell r="X1377">
            <v>-2.5216714073464607E-2</v>
          </cell>
          <cell r="Y1377">
            <v>-2.6466444302216573E-2</v>
          </cell>
          <cell r="Z1377">
            <v>-2.7649317360044664E-2</v>
          </cell>
          <cell r="AA1377">
            <v>-2.874476225569346E-2</v>
          </cell>
          <cell r="AB1377">
            <v>-2.9762920504453141E-2</v>
          </cell>
          <cell r="AC1377">
            <v>-3.0703507111221811E-2</v>
          </cell>
          <cell r="AD1377">
            <v>-3.1568005409849414E-2</v>
          </cell>
          <cell r="AE1377">
            <v>-3.2377768871207371E-2</v>
          </cell>
          <cell r="AF1377">
            <v>-3.3091232553883056E-2</v>
          </cell>
          <cell r="AG1377">
            <v>-3.3735148736028335E-2</v>
          </cell>
          <cell r="AH1377">
            <v>-3.4316786103073378E-2</v>
          </cell>
          <cell r="AI1377">
            <v>-3.4844148741285136E-2</v>
          </cell>
          <cell r="AJ1377">
            <v>-3.5324886588968783E-2</v>
          </cell>
          <cell r="AK1377">
            <v>-3.5762906199796808E-2</v>
          </cell>
          <cell r="AL1377">
            <v>-3.6165522145980664E-2</v>
          </cell>
          <cell r="AM1377">
            <v>-3.6539971565611576E-2</v>
          </cell>
          <cell r="AN1377">
            <v>-3.6892875152659085E-2</v>
          </cell>
          <cell r="AO1377">
            <v>-3.7230140551405243E-2</v>
          </cell>
          <cell r="AP1377">
            <v>-3.7532601660867616E-2</v>
          </cell>
          <cell r="AQ1377">
            <v>-3.7804551235587687E-2</v>
          </cell>
          <cell r="AR1377">
            <v>-3.806124150391102E-2</v>
          </cell>
          <cell r="AS1377">
            <v>-3.8314187330779473E-2</v>
          </cell>
          <cell r="AT1377">
            <v>-3.8570787192073339E-2</v>
          </cell>
          <cell r="AU1377">
            <v>-3.8830376732981071E-2</v>
          </cell>
          <cell r="AV1377">
            <v>-3.9095791621430544E-2</v>
          </cell>
          <cell r="AW1377">
            <v>-3.9369164044714744E-2</v>
          </cell>
          <cell r="AX1377">
            <v>-3.9651554761327014E-2</v>
          </cell>
          <cell r="AY1377">
            <v>-3.9943158997904314E-2</v>
          </cell>
          <cell r="AZ1377">
            <v>-4.0227176358916726E-2</v>
          </cell>
          <cell r="BA1377">
            <v>-4.0507330189667748E-2</v>
          </cell>
          <cell r="BB1377">
            <v>-4.078872892430379E-2</v>
          </cell>
          <cell r="BC1377">
            <v>-4.1074644136303788E-2</v>
          </cell>
          <cell r="BD1377">
            <v>-4.1366254561741103E-2</v>
          </cell>
          <cell r="BE1377">
            <v>-8.8382385850016597E-4</v>
          </cell>
          <cell r="BF1377">
            <v>-7.614494769360836E-4</v>
          </cell>
          <cell r="BG1377">
            <v>-6.3055022354030314E-4</v>
          </cell>
          <cell r="BH1377">
            <v>-4.9275231527942524E-4</v>
          </cell>
          <cell r="BI1377">
            <v>-3.4939096970396073E-4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-0.46372941833520143</v>
          </cell>
          <cell r="G1378">
            <v>-1.0209383332001276</v>
          </cell>
          <cell r="H1378">
            <v>-1.5459908415211276</v>
          </cell>
          <cell r="I1378">
            <v>-2.0062124618875798</v>
          </cell>
          <cell r="J1378">
            <v>-2.3985314341839703</v>
          </cell>
          <cell r="K1378">
            <v>-2.7289939974833755</v>
          </cell>
          <cell r="L1378">
            <v>-3.007416502229121</v>
          </cell>
          <cell r="M1378">
            <v>-3.2422707224020408</v>
          </cell>
          <cell r="N1378">
            <v>-3.4417187951860218</v>
          </cell>
          <cell r="O1378">
            <v>-3.6131501809045563</v>
          </cell>
          <cell r="P1378">
            <v>-3.7913842883887661</v>
          </cell>
          <cell r="Q1378">
            <v>-3.9402256446499972</v>
          </cell>
          <cell r="R1378">
            <v>-4.051526852977938</v>
          </cell>
          <cell r="S1378">
            <v>-4.1274715721228432</v>
          </cell>
          <cell r="T1378">
            <v>-4.1732126733798331</v>
          </cell>
          <cell r="U1378">
            <v>-4.1946005246410678</v>
          </cell>
          <cell r="V1378">
            <v>-4.1990694461192852</v>
          </cell>
          <cell r="W1378">
            <v>-4.1921562954457592</v>
          </cell>
          <cell r="X1378">
            <v>-4.1783043149464572</v>
          </cell>
          <cell r="Y1378">
            <v>-4.1611531508594979</v>
          </cell>
          <cell r="Z1378">
            <v>-4.1441365046868128</v>
          </cell>
          <cell r="AA1378">
            <v>-4.1284004581212619</v>
          </cell>
          <cell r="AB1378">
            <v>-4.1160291364014228</v>
          </cell>
          <cell r="AC1378">
            <v>-4.1084004320024796</v>
          </cell>
          <cell r="AD1378">
            <v>-4.1063669773196203</v>
          </cell>
          <cell r="AE1378">
            <v>-4.1116761886929361</v>
          </cell>
          <cell r="AF1378">
            <v>-4.1214513499495116</v>
          </cell>
          <cell r="AG1378">
            <v>-4.1359456462205513</v>
          </cell>
          <cell r="AH1378">
            <v>-4.1554460143786498</v>
          </cell>
          <cell r="AI1378">
            <v>-4.1800541917596963</v>
          </cell>
          <cell r="AJ1378">
            <v>-4.2096766984856648</v>
          </cell>
          <cell r="AK1378">
            <v>-4.2436667504687779</v>
          </cell>
          <cell r="AL1378">
            <v>-4.2816893523110133</v>
          </cell>
          <cell r="AM1378">
            <v>-4.3234849502345014</v>
          </cell>
          <cell r="AN1378">
            <v>-4.3687843163410456</v>
          </cell>
          <cell r="AO1378">
            <v>-4.4172954721645841</v>
          </cell>
          <cell r="AP1378">
            <v>-4.4652391123155999</v>
          </cell>
          <cell r="AQ1378">
            <v>-4.5118155621522877</v>
          </cell>
          <cell r="AR1378">
            <v>-4.5575176768667962</v>
          </cell>
          <cell r="AS1378">
            <v>-4.6030024568185501</v>
          </cell>
          <cell r="AT1378">
            <v>-4.6487609115775879</v>
          </cell>
          <cell r="AU1378">
            <v>-4.6945083414247861</v>
          </cell>
          <cell r="AV1378">
            <v>-4.740427846438422</v>
          </cell>
          <cell r="AW1378">
            <v>-4.7868160633157348</v>
          </cell>
          <cell r="AX1378">
            <v>-4.8339473878182382</v>
          </cell>
          <cell r="AY1378">
            <v>-4.8820436803889695</v>
          </cell>
          <cell r="AZ1378">
            <v>-4.9292395590653904</v>
          </cell>
          <cell r="BA1378">
            <v>-4.9756593034048109</v>
          </cell>
          <cell r="BB1378">
            <v>-5.0219467139066669</v>
          </cell>
          <cell r="BC1378">
            <v>-5.0686859303455956</v>
          </cell>
          <cell r="BD1378">
            <v>-5.1162695851703184</v>
          </cell>
          <cell r="BE1378">
            <v>4.7232767887850358E-2</v>
          </cell>
          <cell r="BF1378">
            <v>5.1108035496394422E-2</v>
          </cell>
          <cell r="BG1378">
            <v>5.4834125176528303E-2</v>
          </cell>
          <cell r="BH1378">
            <v>5.8312033652341277E-2</v>
          </cell>
          <cell r="BI1378">
            <v>6.1481245551497921E-2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-7.7741662879660112E-3</v>
          </cell>
          <cell r="G1379">
            <v>-0.68455266381969304</v>
          </cell>
          <cell r="H1379">
            <v>-1.4315238046128997</v>
          </cell>
          <cell r="I1379">
            <v>-2.0144614731902433</v>
          </cell>
          <cell r="J1379">
            <v>-2.410328279740348</v>
          </cell>
          <cell r="K1379">
            <v>-2.6536428649920007</v>
          </cell>
          <cell r="L1379">
            <v>-2.79079213998914</v>
          </cell>
          <cell r="M1379">
            <v>-2.8582159945982011</v>
          </cell>
          <cell r="N1379">
            <v>-2.8840467180826668</v>
          </cell>
          <cell r="O1379">
            <v>-2.8880504392626682</v>
          </cell>
          <cell r="P1379">
            <v>-2.9379259262173107</v>
          </cell>
          <cell r="Q1379">
            <v>-2.9453348622392572</v>
          </cell>
          <cell r="R1379">
            <v>-2.9055167753426758</v>
          </cell>
          <cell r="S1379">
            <v>-2.8312969644650576</v>
          </cell>
          <cell r="T1379">
            <v>-2.7357773553564502</v>
          </cell>
          <cell r="U1379">
            <v>-2.6297938641416163</v>
          </cell>
          <cell r="V1379">
            <v>-2.5245293192525775</v>
          </cell>
          <cell r="W1379">
            <v>-2.4261472684949825</v>
          </cell>
          <cell r="X1379">
            <v>-2.3380879112178787</v>
          </cell>
          <cell r="Y1379">
            <v>-2.2622998706840813</v>
          </cell>
          <cell r="Z1379">
            <v>-2.2005259991529025</v>
          </cell>
          <cell r="AA1379">
            <v>-2.150611947151726</v>
          </cell>
          <cell r="AB1379">
            <v>-2.1132548019431319</v>
          </cell>
          <cell r="AC1379">
            <v>-2.0879849280011298</v>
          </cell>
          <cell r="AD1379">
            <v>-2.0738336064454743</v>
          </cell>
          <cell r="AE1379">
            <v>-2.0719199834800639</v>
          </cell>
          <cell r="AF1379">
            <v>-2.0750943251183651</v>
          </cell>
          <cell r="AG1379">
            <v>-2.084025815555024</v>
          </cell>
          <cell r="AH1379">
            <v>-2.0990778576898572</v>
          </cell>
          <cell r="AI1379">
            <v>-2.1200139990480094</v>
          </cell>
          <cell r="AJ1379">
            <v>-2.1462148553029414</v>
          </cell>
          <cell r="AK1379">
            <v>-2.1762813045561047</v>
          </cell>
          <cell r="AL1379">
            <v>-2.2095870744241353</v>
          </cell>
          <cell r="AM1379">
            <v>-2.2457778926152305</v>
          </cell>
          <cell r="AN1379">
            <v>-2.2844963974479993</v>
          </cell>
          <cell r="AO1379">
            <v>-2.3253659263977267</v>
          </cell>
          <cell r="AP1379">
            <v>-2.3627494759679069</v>
          </cell>
          <cell r="AQ1379">
            <v>-2.3964596474821076</v>
          </cell>
          <cell r="AR1379">
            <v>-2.4288381530106151</v>
          </cell>
          <cell r="AS1379">
            <v>-2.4615781257221969</v>
          </cell>
          <cell r="AT1379">
            <v>-2.4954320571359156</v>
          </cell>
          <cell r="AU1379">
            <v>-2.5296986589866344</v>
          </cell>
          <cell r="AV1379">
            <v>-2.5645929390348599</v>
          </cell>
          <cell r="AW1379">
            <v>-2.600627391730248</v>
          </cell>
          <cell r="AX1379">
            <v>-2.6382124389568773</v>
          </cell>
          <cell r="AY1379">
            <v>-2.6776327237024722</v>
          </cell>
          <cell r="AZ1379">
            <v>-2.7159628821332604</v>
          </cell>
          <cell r="BA1379">
            <v>-2.753998581209649</v>
          </cell>
          <cell r="BB1379">
            <v>-2.7934315641396368</v>
          </cell>
          <cell r="BC1379">
            <v>-2.8353084254527205</v>
          </cell>
          <cell r="BD1379">
            <v>-2.8800464516509527</v>
          </cell>
          <cell r="BE1379">
            <v>0.26267238400008441</v>
          </cell>
          <cell r="BF1379">
            <v>0.27538704170322337</v>
          </cell>
          <cell r="BG1379">
            <v>0.28836276144614814</v>
          </cell>
          <cell r="BH1379">
            <v>0.30153980159357552</v>
          </cell>
          <cell r="BI1379">
            <v>0.31496987515489128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0</v>
          </cell>
          <cell r="BF1380">
            <v>0</v>
          </cell>
          <cell r="BG1380">
            <v>0</v>
          </cell>
          <cell r="BH1380">
            <v>0</v>
          </cell>
          <cell r="BI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-0.95630903557907265</v>
          </cell>
          <cell r="G1381">
            <v>-1.6065164931051035</v>
          </cell>
          <cell r="H1381">
            <v>-2.0886139267803583</v>
          </cell>
          <cell r="I1381">
            <v>-2.4898876150409199</v>
          </cell>
          <cell r="J1381">
            <v>-2.8516847120305888</v>
          </cell>
          <cell r="K1381">
            <v>-3.1934312933205589</v>
          </cell>
          <cell r="L1381">
            <v>-3.5257326903397002</v>
          </cell>
          <cell r="M1381">
            <v>-3.8523600413834846</v>
          </cell>
          <cell r="N1381">
            <v>-4.1751071847530907</v>
          </cell>
          <cell r="O1381">
            <v>-4.4950749505176084</v>
          </cell>
          <cell r="P1381">
            <v>-4.8783623124795117</v>
          </cell>
          <cell r="Q1381">
            <v>-5.1915399286354358</v>
          </cell>
          <cell r="R1381">
            <v>-5.4659626369980678</v>
          </cell>
          <cell r="S1381">
            <v>-5.7188900119342634</v>
          </cell>
          <cell r="T1381">
            <v>-5.9577554684096974</v>
          </cell>
          <cell r="U1381">
            <v>-6.1856326689438301</v>
          </cell>
          <cell r="V1381">
            <v>-6.4069513399972022</v>
          </cell>
          <cell r="W1381">
            <v>-6.6213010281496842</v>
          </cell>
          <cell r="X1381">
            <v>-6.8285024891010409</v>
          </cell>
          <cell r="Y1381">
            <v>-7.0285853643946794</v>
          </cell>
          <cell r="Z1381">
            <v>-7.2218737852178361</v>
          </cell>
          <cell r="AA1381">
            <v>-7.4081221868674607</v>
          </cell>
          <cell r="AB1381">
            <v>-7.5874518065174197</v>
          </cell>
          <cell r="AC1381">
            <v>-7.7600067232405419</v>
          </cell>
          <cell r="AD1381">
            <v>-7.9258703589325519</v>
          </cell>
          <cell r="AE1381">
            <v>-8.0856211212347979</v>
          </cell>
          <cell r="AF1381">
            <v>-8.2372534757339739</v>
          </cell>
          <cell r="AG1381">
            <v>-8.3811057643263691</v>
          </cell>
          <cell r="AH1381">
            <v>-8.5175295033840257</v>
          </cell>
          <cell r="AI1381">
            <v>-8.6468250859647817</v>
          </cell>
          <cell r="AJ1381">
            <v>-8.7692470729924032</v>
          </cell>
          <cell r="AK1381">
            <v>-8.8842786263581885</v>
          </cell>
          <cell r="AL1381">
            <v>-8.9923787216373956</v>
          </cell>
          <cell r="AM1381">
            <v>-9.093932560368545</v>
          </cell>
          <cell r="AN1381">
            <v>-9.1892881825013646</v>
          </cell>
          <cell r="AO1381">
            <v>-9.2787836539534485</v>
          </cell>
          <cell r="AP1381">
            <v>-9.3562625295307011</v>
          </cell>
          <cell r="AQ1381">
            <v>-9.4241942673021324</v>
          </cell>
          <cell r="AR1381">
            <v>-9.4843226003609065</v>
          </cell>
          <cell r="AS1381">
            <v>-9.5379204932546369</v>
          </cell>
          <cell r="AT1381">
            <v>-9.5859703617418024</v>
          </cell>
          <cell r="AU1381">
            <v>-9.6281891339152779</v>
          </cell>
          <cell r="AV1381">
            <v>-9.6655307335097866</v>
          </cell>
          <cell r="AW1381">
            <v>-9.6987542280796983</v>
          </cell>
          <cell r="AX1381">
            <v>-9.7284899154565068</v>
          </cell>
          <cell r="AY1381">
            <v>-9.7552912306586812</v>
          </cell>
          <cell r="AZ1381">
            <v>-9.7761041127811694</v>
          </cell>
          <cell r="BA1381">
            <v>-9.7925106417705248</v>
          </cell>
          <cell r="BB1381">
            <v>-9.8057515744886192</v>
          </cell>
          <cell r="BC1381">
            <v>-9.8167592805804453</v>
          </cell>
          <cell r="BD1381">
            <v>-9.8262561360446199</v>
          </cell>
          <cell r="BE1381">
            <v>-1.8968324761670097E-2</v>
          </cell>
          <cell r="BF1381">
            <v>3.056175197979627E-3</v>
          </cell>
          <cell r="BG1381">
            <v>2.6725331404020558E-2</v>
          </cell>
          <cell r="BH1381">
            <v>5.1902589871888338E-2</v>
          </cell>
          <cell r="BI1381">
            <v>7.8444032673608E-2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-1.0293779895981903</v>
          </cell>
          <cell r="G1382">
            <v>-1.7304838873461348</v>
          </cell>
          <cell r="H1382">
            <v>-2.2520577598848956</v>
          </cell>
          <cell r="I1382">
            <v>-2.6868415372012455</v>
          </cell>
          <cell r="J1382">
            <v>-3.0785094702549864</v>
          </cell>
          <cell r="K1382">
            <v>-3.4476392754791974</v>
          </cell>
          <cell r="L1382">
            <v>-3.805537047823504</v>
          </cell>
          <cell r="M1382">
            <v>-4.1564429575473909</v>
          </cell>
          <cell r="N1382">
            <v>-4.5024446907237614</v>
          </cell>
          <cell r="O1382">
            <v>-4.844853753456202</v>
          </cell>
          <cell r="P1382">
            <v>-5.2552475957220786</v>
          </cell>
          <cell r="Q1382">
            <v>-5.5895163252943529</v>
          </cell>
          <cell r="R1382">
            <v>-5.8815603389549498</v>
          </cell>
          <cell r="S1382">
            <v>-6.1500368068804541</v>
          </cell>
          <cell r="T1382">
            <v>-6.4030776876241262</v>
          </cell>
          <cell r="U1382">
            <v>-6.6441404759922111</v>
          </cell>
          <cell r="V1382">
            <v>-6.878112037687611</v>
          </cell>
          <cell r="W1382">
            <v>-7.1046532361763726</v>
          </cell>
          <cell r="X1382">
            <v>-7.3236529941214767</v>
          </cell>
          <cell r="Y1382">
            <v>-7.5351996046283842</v>
          </cell>
          <cell r="Z1382">
            <v>-7.7395367523254937</v>
          </cell>
          <cell r="AA1382">
            <v>-7.936729285447619</v>
          </cell>
          <cell r="AB1382">
            <v>-8.1267859328170822</v>
          </cell>
          <cell r="AC1382">
            <v>-8.3098194265495025</v>
          </cell>
          <cell r="AD1382">
            <v>-8.4859012657496287</v>
          </cell>
          <cell r="AE1382">
            <v>-8.6552244365529436</v>
          </cell>
          <cell r="AF1382">
            <v>-8.8163381253159816</v>
          </cell>
          <cell r="AG1382">
            <v>-8.969438427766141</v>
          </cell>
          <cell r="AH1382">
            <v>-9.1148106284979491</v>
          </cell>
          <cell r="AI1382">
            <v>-9.2527186473152501</v>
          </cell>
          <cell r="AJ1382">
            <v>-9.383391673440034</v>
          </cell>
          <cell r="AK1382">
            <v>-9.5062427536677383</v>
          </cell>
          <cell r="AL1382">
            <v>-9.6217354154462971</v>
          </cell>
          <cell r="AM1382">
            <v>-9.730255874980454</v>
          </cell>
          <cell r="AN1382">
            <v>-9.8321548151839018</v>
          </cell>
          <cell r="AO1382">
            <v>-9.9277768289708579</v>
          </cell>
          <cell r="AP1382">
            <v>-10.010433481679115</v>
          </cell>
          <cell r="AQ1382">
            <v>-10.082886499917642</v>
          </cell>
          <cell r="AR1382">
            <v>-10.147001970912207</v>
          </cell>
          <cell r="AS1382">
            <v>-10.20411799916735</v>
          </cell>
          <cell r="AT1382">
            <v>-10.255266993186163</v>
          </cell>
          <cell r="AU1382">
            <v>-10.300139682969988</v>
          </cell>
          <cell r="AV1382">
            <v>-10.339757109251613</v>
          </cell>
          <cell r="AW1382">
            <v>-10.374931883056004</v>
          </cell>
          <cell r="AX1382">
            <v>-10.406341951258113</v>
          </cell>
          <cell r="AY1382">
            <v>-10.434586038465044</v>
          </cell>
          <cell r="AZ1382">
            <v>-10.456421380673076</v>
          </cell>
          <cell r="BA1382">
            <v>-10.473542863754492</v>
          </cell>
          <cell r="BB1382">
            <v>-10.487271397806442</v>
          </cell>
          <cell r="BC1382">
            <v>-10.498603462130207</v>
          </cell>
          <cell r="BD1382">
            <v>-10.508317349648244</v>
          </cell>
          <cell r="BE1382">
            <v>-1.6590830803153711E-2</v>
          </cell>
          <cell r="BF1382">
            <v>6.790661820388344E-3</v>
          </cell>
          <cell r="BG1382">
            <v>3.1922676942941486E-2</v>
          </cell>
          <cell r="BH1382">
            <v>5.8664753424508831E-2</v>
          </cell>
          <cell r="BI1382">
            <v>8.686713636258947E-2</v>
          </cell>
        </row>
        <row r="1383">
          <cell r="E1383" t="str">
            <v>100*(X_2/X_0-1)</v>
          </cell>
          <cell r="F1383">
            <v>-4.8627019971890668</v>
          </cell>
          <cell r="G1383">
            <v>-5.1927728488800007</v>
          </cell>
          <cell r="H1383">
            <v>-5.4876423011123387</v>
          </cell>
          <cell r="I1383">
            <v>-5.7613001271961899</v>
          </cell>
          <cell r="J1383">
            <v>-6.0243923924694247</v>
          </cell>
          <cell r="K1383">
            <v>-6.2841744950865586</v>
          </cell>
          <cell r="L1383">
            <v>-6.5529911987945999</v>
          </cell>
          <cell r="M1383">
            <v>-6.8263703435521901</v>
          </cell>
          <cell r="N1383">
            <v>-7.1066001594981891</v>
          </cell>
          <cell r="O1383">
            <v>-7.3954593377077993</v>
          </cell>
          <cell r="P1383">
            <v>-8.0354217415250506</v>
          </cell>
          <cell r="Q1383">
            <v>-8.1253278333962005</v>
          </cell>
          <cell r="R1383">
            <v>-8.2296517144174413</v>
          </cell>
          <cell r="S1383">
            <v>-8.3512422886906972</v>
          </cell>
          <cell r="T1383">
            <v>-8.491231853438908</v>
          </cell>
          <cell r="U1383">
            <v>-8.6495440491279005</v>
          </cell>
          <cell r="V1383">
            <v>-8.8410194747171378</v>
          </cell>
          <cell r="W1383">
            <v>-9.0487449347922855</v>
          </cell>
          <cell r="X1383">
            <v>-9.2711863276821234</v>
          </cell>
          <cell r="Y1383">
            <v>-9.5066925410854033</v>
          </cell>
          <cell r="Z1383">
            <v>-9.7535295249826852</v>
          </cell>
          <cell r="AA1383">
            <v>-10.009260335267388</v>
          </cell>
          <cell r="AB1383">
            <v>-10.272962014525922</v>
          </cell>
          <cell r="AC1383">
            <v>-10.543041714338363</v>
          </cell>
          <cell r="AD1383">
            <v>-10.817990880743933</v>
          </cell>
          <cell r="AE1383">
            <v>-11.096329466144262</v>
          </cell>
          <cell r="AF1383">
            <v>-11.368471546729708</v>
          </cell>
          <cell r="AG1383">
            <v>-11.641620353430016</v>
          </cell>
          <cell r="AH1383">
            <v>-11.914915428544404</v>
          </cell>
          <cell r="AI1383">
            <v>-12.187663756195398</v>
          </cell>
          <cell r="AJ1383">
            <v>-12.459311608396629</v>
          </cell>
          <cell r="AK1383">
            <v>-12.725678454544864</v>
          </cell>
          <cell r="AL1383">
            <v>-12.990186723521946</v>
          </cell>
          <cell r="AM1383">
            <v>-13.252634543549579</v>
          </cell>
          <cell r="AN1383">
            <v>-13.512912343478778</v>
          </cell>
          <cell r="AO1383">
            <v>-13.770986733256517</v>
          </cell>
          <cell r="AP1383">
            <v>-13.993893395807422</v>
          </cell>
          <cell r="AQ1383">
            <v>-14.214581632400469</v>
          </cell>
          <cell r="AR1383">
            <v>-14.433337278347025</v>
          </cell>
          <cell r="AS1383">
            <v>-14.650498068220729</v>
          </cell>
          <cell r="AT1383">
            <v>-14.86638649492582</v>
          </cell>
          <cell r="AU1383">
            <v>-15.076029591036711</v>
          </cell>
          <cell r="AV1383">
            <v>-15.284873040686442</v>
          </cell>
          <cell r="AW1383">
            <v>-15.493114359064741</v>
          </cell>
          <cell r="AX1383">
            <v>-15.700911117326633</v>
          </cell>
          <cell r="AY1383">
            <v>-15.908379339459843</v>
          </cell>
          <cell r="AZ1383">
            <v>-16.09804480212269</v>
          </cell>
          <cell r="BA1383">
            <v>-16.287409914333761</v>
          </cell>
          <cell r="BB1383">
            <v>-16.476586238965041</v>
          </cell>
          <cell r="BC1383">
            <v>-16.665675211812992</v>
          </cell>
          <cell r="BD1383">
            <v>-16.8547411790409</v>
          </cell>
          <cell r="BE1383">
            <v>-0.54398262451842427</v>
          </cell>
          <cell r="BF1383">
            <v>-0.56541867023395254</v>
          </cell>
          <cell r="BG1383">
            <v>-0.5866946144340468</v>
          </cell>
          <cell r="BH1383">
            <v>-0.60781986002279575</v>
          </cell>
          <cell r="BI1383">
            <v>-0.62881021150971161</v>
          </cell>
        </row>
        <row r="1384">
          <cell r="E1384" t="str">
            <v>100*(M_2/M_0-1)</v>
          </cell>
          <cell r="F1384">
            <v>-1.6271920438172716</v>
          </cell>
          <cell r="G1384">
            <v>-2.2603035354201384</v>
          </cell>
          <cell r="H1384">
            <v>-2.7529917348438793</v>
          </cell>
          <cell r="I1384">
            <v>-3.1863595554120994</v>
          </cell>
          <cell r="J1384">
            <v>-3.578258682660751</v>
          </cell>
          <cell r="K1384">
            <v>-3.9370499024646288</v>
          </cell>
          <cell r="L1384">
            <v>-4.2716300637080202</v>
          </cell>
          <cell r="M1384">
            <v>-4.5854769372161375</v>
          </cell>
          <cell r="N1384">
            <v>-4.8824823869242913</v>
          </cell>
          <cell r="O1384">
            <v>-5.1659971867308974</v>
          </cell>
          <cell r="P1384">
            <v>-5.5564339338645681</v>
          </cell>
          <cell r="Q1384">
            <v>-5.7806711763294221</v>
          </cell>
          <cell r="R1384">
            <v>-5.9628545388002667</v>
          </cell>
          <cell r="S1384">
            <v>-6.1203870882520661</v>
          </cell>
          <cell r="T1384">
            <v>-6.2593927929144311</v>
          </cell>
          <cell r="U1384">
            <v>-6.3835651418284627</v>
          </cell>
          <cell r="V1384">
            <v>-6.5010404524255989</v>
          </cell>
          <cell r="W1384">
            <v>-6.6108469579808755</v>
          </cell>
          <cell r="X1384">
            <v>-6.7146480680414395</v>
          </cell>
          <cell r="Y1384">
            <v>-6.8141268967833124</v>
          </cell>
          <cell r="Z1384">
            <v>-6.910826906236089</v>
          </cell>
          <cell r="AA1384">
            <v>-7.005812947404932</v>
          </cell>
          <cell r="AB1384">
            <v>-7.0999818408503774</v>
          </cell>
          <cell r="AC1384">
            <v>-7.1941749932554977</v>
          </cell>
          <cell r="AD1384">
            <v>-7.2890072250147986</v>
          </cell>
          <cell r="AE1384">
            <v>-7.3848829356904737</v>
          </cell>
          <cell r="AF1384">
            <v>-7.4801161544810535</v>
          </cell>
          <cell r="AG1384">
            <v>-7.5760927598929495</v>
          </cell>
          <cell r="AH1384">
            <v>-7.6732284960412507</v>
          </cell>
          <cell r="AI1384">
            <v>-7.7717116655397378</v>
          </cell>
          <cell r="AJ1384">
            <v>-7.871600512956789</v>
          </cell>
          <cell r="AK1384">
            <v>-7.9716351193026336</v>
          </cell>
          <cell r="AL1384">
            <v>-8.0726012014123665</v>
          </cell>
          <cell r="AM1384">
            <v>-8.1745604760311785</v>
          </cell>
          <cell r="AN1384">
            <v>-8.2774740837893379</v>
          </cell>
          <cell r="AO1384">
            <v>-8.3812642021994463</v>
          </cell>
          <cell r="AP1384">
            <v>-8.4747802455703898</v>
          </cell>
          <cell r="AQ1384">
            <v>-8.5657760654418773</v>
          </cell>
          <cell r="AR1384">
            <v>-8.6555027109046492</v>
          </cell>
          <cell r="AS1384">
            <v>-8.7444976706543827</v>
          </cell>
          <cell r="AT1384">
            <v>-8.8330564842318164</v>
          </cell>
          <cell r="AU1384">
            <v>-8.9195999432239663</v>
          </cell>
          <cell r="AV1384">
            <v>-9.0054500789189422</v>
          </cell>
          <cell r="AW1384">
            <v>-9.0909231353552009</v>
          </cell>
          <cell r="AX1384">
            <v>-9.1762135417278294</v>
          </cell>
          <cell r="AY1384">
            <v>-9.2614737824683218</v>
          </cell>
          <cell r="AZ1384">
            <v>-9.3409588430215411</v>
          </cell>
          <cell r="BA1384">
            <v>-9.4188556640195422</v>
          </cell>
          <cell r="BB1384">
            <v>-9.4960413098012513</v>
          </cell>
          <cell r="BC1384">
            <v>-9.5730250143270084</v>
          </cell>
          <cell r="BD1384">
            <v>-9.6501294713552959</v>
          </cell>
          <cell r="BE1384">
            <v>0.12102451906113032</v>
          </cell>
          <cell r="BF1384">
            <v>0.1305828611516846</v>
          </cell>
          <cell r="BG1384">
            <v>0.14036785952271646</v>
          </cell>
          <cell r="BH1384">
            <v>0.15031976500954336</v>
          </cell>
          <cell r="BI1384">
            <v>0.1603921557421506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-0.46326566045484796</v>
          </cell>
          <cell r="G1385">
            <v>-1.0213559216053825</v>
          </cell>
          <cell r="H1385">
            <v>-1.5481664192374178</v>
          </cell>
          <cell r="I1385">
            <v>-2.0102358821493582</v>
          </cell>
          <cell r="J1385">
            <v>-2.4040048528280011</v>
          </cell>
          <cell r="K1385">
            <v>-2.735383465983765</v>
          </cell>
          <cell r="L1385">
            <v>-3.0142423356754988</v>
          </cell>
          <cell r="M1385">
            <v>-3.2491820198837562</v>
          </cell>
          <cell r="N1385">
            <v>-3.4484984118330786</v>
          </cell>
          <cell r="O1385">
            <v>-3.61968644582914</v>
          </cell>
          <cell r="P1385">
            <v>-3.7976961264947429</v>
          </cell>
          <cell r="Q1385">
            <v>-3.9463253297234435</v>
          </cell>
          <cell r="R1385">
            <v>-4.0573777063035994</v>
          </cell>
          <cell r="S1385">
            <v>-4.1330028670705126</v>
          </cell>
          <cell r="T1385">
            <v>-4.1783559678446274</v>
          </cell>
          <cell r="U1385">
            <v>-4.1993138330624902</v>
          </cell>
          <cell r="V1385">
            <v>-4.2033420333980391</v>
          </cell>
          <cell r="W1385">
            <v>-4.1960053045006385</v>
          </cell>
          <cell r="X1385">
            <v>-4.181765235097723</v>
          </cell>
          <cell r="Y1385">
            <v>-4.1642694693813986</v>
          </cell>
          <cell r="Z1385">
            <v>-4.1469525588428198</v>
          </cell>
          <cell r="AA1385">
            <v>-4.130954049486812</v>
          </cell>
          <cell r="AB1385">
            <v>-4.118351196505488</v>
          </cell>
          <cell r="AC1385">
            <v>-4.1105143247721969</v>
          </cell>
          <cell r="AD1385">
            <v>-4.1082892255659864</v>
          </cell>
          <cell r="AE1385">
            <v>-4.1134200502751632</v>
          </cell>
          <cell r="AF1385">
            <v>-4.1230222464585076</v>
          </cell>
          <cell r="AG1385">
            <v>-4.137343493268153</v>
          </cell>
          <cell r="AH1385">
            <v>-4.1566645859786195</v>
          </cell>
          <cell r="AI1385">
            <v>-4.1810824630022729</v>
          </cell>
          <cell r="AJ1385">
            <v>-4.2105011593907005</v>
          </cell>
          <cell r="AK1385">
            <v>-4.2442738299796829</v>
          </cell>
          <cell r="AL1385">
            <v>-4.2820658403600165</v>
          </cell>
          <cell r="AM1385">
            <v>-4.3236183261388668</v>
          </cell>
          <cell r="AN1385">
            <v>-4.3686631104139284</v>
          </cell>
          <cell r="AO1385">
            <v>-4.4169097639188637</v>
          </cell>
          <cell r="AP1385">
            <v>-4.4645861083668636</v>
          </cell>
          <cell r="AQ1385">
            <v>-4.510890434580606</v>
          </cell>
          <cell r="AR1385">
            <v>-4.5563099980969639</v>
          </cell>
          <cell r="AS1385">
            <v>-4.601498024499973</v>
          </cell>
          <cell r="AT1385">
            <v>-4.6469462186438548</v>
          </cell>
          <cell r="AU1385">
            <v>-4.6923754032837</v>
          </cell>
          <cell r="AV1385">
            <v>-4.7379749728169385</v>
          </cell>
          <cell r="AW1385">
            <v>-4.7840475488581387</v>
          </cell>
          <cell r="AX1385">
            <v>-4.8308729345230228</v>
          </cell>
          <cell r="AY1385">
            <v>-4.8786775801896054</v>
          </cell>
          <cell r="AZ1385">
            <v>-4.9256017134115755</v>
          </cell>
          <cell r="BA1385">
            <v>-4.9717681119355372</v>
          </cell>
          <cell r="BB1385">
            <v>-5.0178170584972426</v>
          </cell>
          <cell r="BC1385">
            <v>-5.0643349332731624</v>
          </cell>
          <cell r="BD1385">
            <v>-5.1117179332846652</v>
          </cell>
          <cell r="BE1385">
            <v>5.0694879674284543E-2</v>
          </cell>
          <cell r="BF1385">
            <v>5.4749036903967152E-2</v>
          </cell>
          <cell r="BG1385">
            <v>5.8653461274560392E-2</v>
          </cell>
          <cell r="BH1385">
            <v>6.230993204430213E-2</v>
          </cell>
          <cell r="BI1385">
            <v>6.5658514727173767E-2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-0.93945224223519475</v>
          </cell>
          <cell r="G1386">
            <v>-1.5841877572723817</v>
          </cell>
          <cell r="H1386">
            <v>-2.0636592592774061</v>
          </cell>
          <cell r="I1386">
            <v>-2.4626641889440859</v>
          </cell>
          <cell r="J1386">
            <v>-2.8221166535671305</v>
          </cell>
          <cell r="K1386">
            <v>-3.1612913175777857</v>
          </cell>
          <cell r="L1386">
            <v>-3.4906393194320873</v>
          </cell>
          <cell r="M1386">
            <v>-3.8137935991354288</v>
          </cell>
          <cell r="N1386">
            <v>-4.1324584705836447</v>
          </cell>
          <cell r="O1386">
            <v>-4.4477102082610802</v>
          </cell>
          <cell r="P1386">
            <v>-4.8242079045757169</v>
          </cell>
          <cell r="Q1386">
            <v>-5.1320420323348053</v>
          </cell>
          <cell r="R1386">
            <v>-5.4012645206218064</v>
          </cell>
          <cell r="S1386">
            <v>-5.6486783219872327</v>
          </cell>
          <cell r="T1386">
            <v>-5.8816330065314837</v>
          </cell>
          <cell r="U1386">
            <v>-6.1032418273382794</v>
          </cell>
          <cell r="V1386">
            <v>-6.3179706813759946</v>
          </cell>
          <cell r="W1386">
            <v>-6.5255582417176328</v>
          </cell>
          <cell r="X1386">
            <v>-6.7259490809397864</v>
          </cell>
          <cell r="Y1386">
            <v>-6.9192843678158367</v>
          </cell>
          <cell r="Z1386">
            <v>-7.1060045578883795</v>
          </cell>
          <cell r="AA1386">
            <v>-7.285921367925285</v>
          </cell>
          <cell r="AB1386">
            <v>-7.4592402715405681</v>
          </cell>
          <cell r="AC1386">
            <v>-7.6261635994088088</v>
          </cell>
          <cell r="AD1386">
            <v>-7.7868155145045082</v>
          </cell>
          <cell r="AE1386">
            <v>-7.9418430992240001</v>
          </cell>
          <cell r="AF1386">
            <v>-8.0892085663044959</v>
          </cell>
          <cell r="AG1386">
            <v>-8.229251299023888</v>
          </cell>
          <cell r="AH1386">
            <v>-8.3623220939650125</v>
          </cell>
          <cell r="AI1386">
            <v>-8.4887152249154774</v>
          </cell>
          <cell r="AJ1386">
            <v>-8.6086710795682091</v>
          </cell>
          <cell r="AK1386">
            <v>-8.7216626526682717</v>
          </cell>
          <cell r="AL1386">
            <v>-8.8281161337668497</v>
          </cell>
          <cell r="AM1386">
            <v>-8.9283894433627164</v>
          </cell>
          <cell r="AN1386">
            <v>-9.0228041929968477</v>
          </cell>
          <cell r="AO1386">
            <v>-9.1116709711011605</v>
          </cell>
          <cell r="AP1386">
            <v>-9.1889032130545338</v>
          </cell>
          <cell r="AQ1386">
            <v>-9.2568586558013486</v>
          </cell>
          <cell r="AR1386">
            <v>-9.317247006671991</v>
          </cell>
          <cell r="AS1386">
            <v>-9.3713245872670381</v>
          </cell>
          <cell r="AT1386">
            <v>-9.4200523435117205</v>
          </cell>
          <cell r="AU1386">
            <v>-9.463133269813472</v>
          </cell>
          <cell r="AV1386">
            <v>-9.5014806021747944</v>
          </cell>
          <cell r="AW1386">
            <v>-9.535825216631844</v>
          </cell>
          <cell r="AX1386">
            <v>-9.5667750312358191</v>
          </cell>
          <cell r="AY1386">
            <v>-9.594864294886186</v>
          </cell>
          <cell r="AZ1386">
            <v>-9.6170697088214236</v>
          </cell>
          <cell r="BA1386">
            <v>-9.6349292223026346</v>
          </cell>
          <cell r="BB1386">
            <v>-9.6496736867472279</v>
          </cell>
          <cell r="BC1386">
            <v>-9.6622220386631152</v>
          </cell>
          <cell r="BD1386">
            <v>-9.6732807555783396</v>
          </cell>
          <cell r="BE1386">
            <v>-2.4029598338692892E-2</v>
          </cell>
          <cell r="BF1386">
            <v>-2.9464789680022641E-3</v>
          </cell>
          <cell r="BG1386">
            <v>1.9727906363664616E-2</v>
          </cell>
          <cell r="BH1386">
            <v>4.3856441714518191E-2</v>
          </cell>
          <cell r="BI1386">
            <v>6.9296504480398369E-2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-0.49439214469993997</v>
          </cell>
          <cell r="G1387">
            <v>-0.99327665527088049</v>
          </cell>
          <cell r="H1387">
            <v>-1.4016197346349624</v>
          </cell>
          <cell r="I1387">
            <v>-1.738908888774493</v>
          </cell>
          <cell r="J1387">
            <v>-2.0346809815139699</v>
          </cell>
          <cell r="K1387">
            <v>-2.3041434782120285</v>
          </cell>
          <cell r="L1387">
            <v>-2.5535194999362076</v>
          </cell>
          <cell r="M1387">
            <v>-2.7826957396832164</v>
          </cell>
          <cell r="N1387">
            <v>-2.9909318176576161</v>
          </cell>
          <cell r="O1387">
            <v>-3.178604256196671</v>
          </cell>
          <cell r="P1387">
            <v>-3.3718348137790621</v>
          </cell>
          <cell r="Q1387">
            <v>-3.5348907194951762</v>
          </cell>
          <cell r="R1387">
            <v>-3.6628679053714586</v>
          </cell>
          <cell r="S1387">
            <v>-3.7602044381712441</v>
          </cell>
          <cell r="T1387">
            <v>-3.8318903486241007</v>
          </cell>
          <cell r="U1387">
            <v>-3.8820066729968072</v>
          </cell>
          <cell r="V1387">
            <v>-3.9159026625635973</v>
          </cell>
          <cell r="W1387">
            <v>-3.9372587231921607</v>
          </cell>
          <cell r="X1387">
            <v>-3.9492989001729595</v>
          </cell>
          <cell r="Y1387">
            <v>-3.9551334001789895</v>
          </cell>
          <cell r="Z1387">
            <v>-3.9581472821497599</v>
          </cell>
          <cell r="AA1387">
            <v>-3.9599152364121482</v>
          </cell>
          <cell r="AB1387">
            <v>-3.9629803088738424</v>
          </cell>
          <cell r="AC1387">
            <v>-3.9692220002862433</v>
          </cell>
          <cell r="AD1387">
            <v>-3.9799453152630671</v>
          </cell>
          <cell r="AE1387">
            <v>-3.9971227024092282</v>
          </cell>
          <cell r="AF1387">
            <v>-4.0183857584834222</v>
          </cell>
          <cell r="AG1387">
            <v>-4.0443502907446582</v>
          </cell>
          <cell r="AH1387">
            <v>-4.0757031938751798</v>
          </cell>
          <cell r="AI1387">
            <v>-4.1128557979173035</v>
          </cell>
          <cell r="AJ1387">
            <v>-4.1558718554945422</v>
          </cell>
          <cell r="AK1387">
            <v>-4.2041035567055633</v>
          </cell>
          <cell r="AL1387">
            <v>-4.257188017273994</v>
          </cell>
          <cell r="AM1387">
            <v>-4.3148171283514003</v>
          </cell>
          <cell r="AN1387">
            <v>-4.3766503131722363</v>
          </cell>
          <cell r="AO1387">
            <v>-4.4422926277464692</v>
          </cell>
          <cell r="AP1387">
            <v>-4.5075008385328186</v>
          </cell>
          <cell r="AQ1387">
            <v>-4.571605996656503</v>
          </cell>
          <cell r="AR1387">
            <v>-4.6354607616073684</v>
          </cell>
          <cell r="AS1387">
            <v>-4.6999622183198086</v>
          </cell>
          <cell r="AT1387">
            <v>-4.7655525998355985</v>
          </cell>
          <cell r="AU1387">
            <v>-4.8315888129453866</v>
          </cell>
          <cell r="AV1387">
            <v>-4.8978484628284358</v>
          </cell>
          <cell r="AW1387">
            <v>-4.9642452084461279</v>
          </cell>
          <cell r="AX1387">
            <v>-5.0307099064440415</v>
          </cell>
          <cell r="AY1387">
            <v>-5.0971752244095665</v>
          </cell>
          <cell r="AZ1387">
            <v>-5.1614233174060109</v>
          </cell>
          <cell r="BA1387">
            <v>-5.223680617937287</v>
          </cell>
          <cell r="BB1387">
            <v>-5.2848209850490662</v>
          </cell>
          <cell r="BC1387">
            <v>-5.3452922067487307</v>
          </cell>
          <cell r="BD1387">
            <v>-5.4052670298238459</v>
          </cell>
          <cell r="BE1387">
            <v>-0.17458533209651073</v>
          </cell>
          <cell r="BF1387">
            <v>-0.18184727266860046</v>
          </cell>
          <cell r="BG1387">
            <v>-0.18919186420462974</v>
          </cell>
          <cell r="BH1387">
            <v>-0.19676894095761455</v>
          </cell>
          <cell r="BI1387">
            <v>-0.20467680295104262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-0.15564265276163392</v>
          </cell>
          <cell r="G1388">
            <v>-0.25002886949615499</v>
          </cell>
          <cell r="H1388">
            <v>-0.30300447723794477</v>
          </cell>
          <cell r="I1388">
            <v>-0.34102521591784507</v>
          </cell>
          <cell r="J1388">
            <v>-0.37928717609906348</v>
          </cell>
          <cell r="K1388">
            <v>-0.4242133380319868</v>
          </cell>
          <cell r="L1388">
            <v>-0.47781239384405705</v>
          </cell>
          <cell r="M1388">
            <v>-0.53924257380720819</v>
          </cell>
          <cell r="N1388">
            <v>-0.60721142063787648</v>
          </cell>
          <cell r="O1388">
            <v>-0.68051271037405936</v>
          </cell>
          <cell r="P1388">
            <v>-0.76692137229050772</v>
          </cell>
          <cell r="Q1388">
            <v>-0.84631621559940751</v>
          </cell>
          <cell r="R1388">
            <v>-0.92358900985062276</v>
          </cell>
          <cell r="S1388">
            <v>-1.0012520878242448</v>
          </cell>
          <cell r="T1388">
            <v>-1.0792996826864742</v>
          </cell>
          <cell r="U1388">
            <v>-1.1566983323833435</v>
          </cell>
          <cell r="V1388">
            <v>-1.2329186625784194</v>
          </cell>
          <cell r="W1388">
            <v>-1.3067976778775581</v>
          </cell>
          <cell r="X1388">
            <v>-1.3774284402346293</v>
          </cell>
          <cell r="Y1388">
            <v>-1.4442109682585968</v>
          </cell>
          <cell r="Z1388">
            <v>-1.5070287506552593</v>
          </cell>
          <cell r="AA1388">
            <v>-1.5651250707215625</v>
          </cell>
          <cell r="AB1388">
            <v>-1.6187068884305988</v>
          </cell>
          <cell r="AC1388">
            <v>-1.6679117644049279</v>
          </cell>
          <cell r="AD1388">
            <v>-1.7128849820244874</v>
          </cell>
          <cell r="AE1388">
            <v>-1.7544697417483768</v>
          </cell>
          <cell r="AF1388">
            <v>-1.7913333426480049</v>
          </cell>
          <cell r="AG1388">
            <v>-1.8241306895457887</v>
          </cell>
          <cell r="AH1388">
            <v>-1.8534605752955846</v>
          </cell>
          <cell r="AI1388">
            <v>-1.8798565065925477</v>
          </cell>
          <cell r="AJ1388">
            <v>-1.9037889731388313</v>
          </cell>
          <cell r="AK1388">
            <v>-1.9255037566262012</v>
          </cell>
          <cell r="AL1388">
            <v>-1.9454158728476334</v>
          </cell>
          <cell r="AM1388">
            <v>-1.9639256609850997</v>
          </cell>
          <cell r="AN1388">
            <v>-1.9813926733217913</v>
          </cell>
          <cell r="AO1388">
            <v>-1.9981326809272004</v>
          </cell>
          <cell r="AP1388">
            <v>-2.0130283940035354</v>
          </cell>
          <cell r="AQ1388">
            <v>-2.0264756857427568</v>
          </cell>
          <cell r="AR1388">
            <v>-2.0391797485070695</v>
          </cell>
          <cell r="AS1388">
            <v>-2.0517375779381175</v>
          </cell>
          <cell r="AT1388">
            <v>-2.0645492981052005</v>
          </cell>
          <cell r="AU1388">
            <v>-2.0775863192696975</v>
          </cell>
          <cell r="AV1388">
            <v>-2.0910046142258443</v>
          </cell>
          <cell r="AW1388">
            <v>-2.1049185092988032</v>
          </cell>
          <cell r="AX1388">
            <v>-2.1193815868755794</v>
          </cell>
          <cell r="AY1388">
            <v>-2.1343986694092432</v>
          </cell>
          <cell r="AZ1388">
            <v>-2.1490723718957438</v>
          </cell>
          <cell r="BA1388">
            <v>-2.1635792100309303</v>
          </cell>
          <cell r="BB1388">
            <v>-2.1781931276709576</v>
          </cell>
          <cell r="BC1388">
            <v>-2.1930818558699938</v>
          </cell>
          <cell r="BD1388">
            <v>-2.2082996652802778</v>
          </cell>
          <cell r="BE1388">
            <v>-4.6237572208673861E-2</v>
          </cell>
          <cell r="BF1388">
            <v>-3.9788414709518438E-2</v>
          </cell>
          <cell r="BG1388">
            <v>-3.2910111721817792E-2</v>
          </cell>
          <cell r="BH1388">
            <v>-2.5688620004793439E-2</v>
          </cell>
          <cell r="BI1388">
            <v>-1.8194280593819556E-2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-0.81133681086925646</v>
          </cell>
          <cell r="G1389">
            <v>-1.5806422090885563</v>
          </cell>
          <cell r="H1389">
            <v>-2.2993709675628526</v>
          </cell>
          <cell r="I1389">
            <v>-2.9630161943668964</v>
          </cell>
          <cell r="J1389">
            <v>-3.568877379464841</v>
          </cell>
          <cell r="K1389">
            <v>-4.1174331060273346</v>
          </cell>
          <cell r="L1389">
            <v>-4.6138105835147991</v>
          </cell>
          <cell r="M1389">
            <v>-5.0611073263896795</v>
          </cell>
          <cell r="N1389">
            <v>-5.463893927218388</v>
          </cell>
          <cell r="O1389">
            <v>-5.8265637737807356</v>
          </cell>
          <cell r="P1389">
            <v>-6.2073142930022644</v>
          </cell>
          <cell r="Q1389">
            <v>-6.5157619232771413</v>
          </cell>
          <cell r="R1389">
            <v>-6.756241325291934</v>
          </cell>
          <cell r="S1389">
            <v>-6.9357756250974507</v>
          </cell>
          <cell r="T1389">
            <v>-7.061783127916943</v>
          </cell>
          <cell r="U1389">
            <v>-7.1418957595571486</v>
          </cell>
          <cell r="V1389">
            <v>-7.185619289107148</v>
          </cell>
          <cell r="W1389">
            <v>-7.1997310270150887</v>
          </cell>
          <cell r="X1389">
            <v>-7.1905323400100363</v>
          </cell>
          <cell r="Y1389">
            <v>-7.1637333509197436</v>
          </cell>
          <cell r="Z1389">
            <v>-7.1253084847578751</v>
          </cell>
          <cell r="AA1389">
            <v>-7.0775438347777104</v>
          </cell>
          <cell r="AB1389">
            <v>-7.0254725640486519</v>
          </cell>
          <cell r="AC1389">
            <v>-6.9723008796802599</v>
          </cell>
          <cell r="AD1389">
            <v>-6.9206974543918882</v>
          </cell>
          <cell r="AE1389">
            <v>-6.875131099467291</v>
          </cell>
          <cell r="AF1389">
            <v>-6.8320385790738181</v>
          </cell>
          <cell r="AG1389">
            <v>-6.7945761738311568</v>
          </cell>
          <cell r="AH1389">
            <v>-6.7637518055185026</v>
          </cell>
          <cell r="AI1389">
            <v>-6.740178864410062</v>
          </cell>
          <cell r="AJ1389">
            <v>-6.7241788438454853</v>
          </cell>
          <cell r="AK1389">
            <v>-6.7154002039408685</v>
          </cell>
          <cell r="AL1389">
            <v>-6.7138402878972325</v>
          </cell>
          <cell r="AM1389">
            <v>-6.7193076760617476</v>
          </cell>
          <cell r="AN1389">
            <v>-6.7314701910195733</v>
          </cell>
          <cell r="AO1389">
            <v>-6.7498987740352572</v>
          </cell>
          <cell r="AP1389">
            <v>-6.7706730159227231</v>
          </cell>
          <cell r="AQ1389">
            <v>-6.7933692311262899</v>
          </cell>
          <cell r="AR1389">
            <v>-6.8179085910616166</v>
          </cell>
          <cell r="AS1389">
            <v>-6.8440626724760367</v>
          </cell>
          <cell r="AT1389">
            <v>-6.8716028930283617</v>
          </cell>
          <cell r="AU1389">
            <v>-6.8997721599941215</v>
          </cell>
          <cell r="AV1389">
            <v>-6.9286191738896719</v>
          </cell>
          <cell r="AW1389">
            <v>-6.9582039373728861</v>
          </cell>
          <cell r="AX1389">
            <v>-6.9886057982760708</v>
          </cell>
          <cell r="AY1389">
            <v>-7.0199319928211379</v>
          </cell>
          <cell r="AZ1389">
            <v>-7.0503227354244409</v>
          </cell>
          <cell r="BA1389">
            <v>-7.0804082857556239</v>
          </cell>
          <cell r="BB1389">
            <v>-7.1105799143260988</v>
          </cell>
          <cell r="BC1389">
            <v>-7.1410984566756985</v>
          </cell>
          <cell r="BD1389">
            <v>-7.172186986102802</v>
          </cell>
          <cell r="BE1389">
            <v>0.8125431429759411</v>
          </cell>
          <cell r="BF1389">
            <v>0.84413600174433334</v>
          </cell>
          <cell r="BG1389">
            <v>0.87530829797670684</v>
          </cell>
          <cell r="BH1389">
            <v>0.90604525289521565</v>
          </cell>
          <cell r="BI1389">
            <v>0.93634214291802298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-0.68020275820835918</v>
          </cell>
          <cell r="G1390">
            <v>-1.2212617607557319</v>
          </cell>
          <cell r="H1390">
            <v>-1.6717044898100553</v>
          </cell>
          <cell r="I1390">
            <v>-2.0574491469610101</v>
          </cell>
          <cell r="J1390">
            <v>-2.3900528030316504</v>
          </cell>
          <cell r="K1390">
            <v>-2.676066806300947</v>
          </cell>
          <cell r="L1390">
            <v>-2.9230782203573225</v>
          </cell>
          <cell r="M1390">
            <v>-3.1356018505973577</v>
          </cell>
          <cell r="N1390">
            <v>-3.3194585578139142</v>
          </cell>
          <cell r="O1390">
            <v>-3.4801349282927778</v>
          </cell>
          <cell r="P1390">
            <v>-3.6627481960814783</v>
          </cell>
          <cell r="Q1390">
            <v>-3.7961013216008976</v>
          </cell>
          <cell r="R1390">
            <v>-3.891175322696161</v>
          </cell>
          <cell r="S1390">
            <v>-3.9557908529980863</v>
          </cell>
          <cell r="T1390">
            <v>-3.995661883452839</v>
          </cell>
          <cell r="U1390">
            <v>-4.0158667097691563</v>
          </cell>
          <cell r="V1390">
            <v>-4.0235280828832876</v>
          </cell>
          <cell r="W1390">
            <v>-4.0222782337828953</v>
          </cell>
          <cell r="X1390">
            <v>-4.0154725485691767</v>
          </cell>
          <cell r="Y1390">
            <v>-4.0060376561855797</v>
          </cell>
          <cell r="Z1390">
            <v>-3.9971099032948931</v>
          </cell>
          <cell r="AA1390">
            <v>-3.9886366166401173</v>
          </cell>
          <cell r="AB1390">
            <v>-3.9833281797532987</v>
          </cell>
          <cell r="AC1390">
            <v>-3.9822065619691593</v>
          </cell>
          <cell r="AD1390">
            <v>-3.9859436750142248</v>
          </cell>
          <cell r="AE1390">
            <v>-3.9967825395649248</v>
          </cell>
          <cell r="AF1390">
            <v>-4.0096784497600124</v>
          </cell>
          <cell r="AG1390">
            <v>-4.0269588572339972</v>
          </cell>
          <cell r="AH1390">
            <v>-4.0489366307463133</v>
          </cell>
          <cell r="AI1390">
            <v>-4.0756350794980518</v>
          </cell>
          <cell r="AJ1390">
            <v>-4.1069023242631069</v>
          </cell>
          <cell r="AK1390">
            <v>-4.1418927544030861</v>
          </cell>
          <cell r="AL1390">
            <v>-4.1805300442918858</v>
          </cell>
          <cell r="AM1390">
            <v>-4.2226389255050734</v>
          </cell>
          <cell r="AN1390">
            <v>-4.2679778209374302</v>
          </cell>
          <cell r="AO1390">
            <v>-4.3162744379437576</v>
          </cell>
          <cell r="AP1390">
            <v>-4.3621945110050575</v>
          </cell>
          <cell r="AQ1390">
            <v>-4.4068061676166508</v>
          </cell>
          <cell r="AR1390">
            <v>-4.4511995969185092</v>
          </cell>
          <cell r="AS1390">
            <v>-4.4959401055568176</v>
          </cell>
          <cell r="AT1390">
            <v>-4.541294685025866</v>
          </cell>
          <cell r="AU1390">
            <v>-4.5865321317298804</v>
          </cell>
          <cell r="AV1390">
            <v>-4.6320870361742266</v>
          </cell>
          <cell r="AW1390">
            <v>-4.6782732668270821</v>
          </cell>
          <cell r="AX1390">
            <v>-4.7253125049106277</v>
          </cell>
          <cell r="AY1390">
            <v>-4.7733715724099675</v>
          </cell>
          <cell r="AZ1390">
            <v>-4.8196013693908348</v>
          </cell>
          <cell r="BA1390">
            <v>-4.8653158132635266</v>
          </cell>
          <cell r="BB1390">
            <v>-4.9113402286853791</v>
          </cell>
          <cell r="BC1390">
            <v>-4.9581176013038686</v>
          </cell>
          <cell r="BD1390">
            <v>-5.0058733452914002</v>
          </cell>
          <cell r="BE1390">
            <v>4.7498446736571331E-2</v>
          </cell>
          <cell r="BF1390">
            <v>5.1407209653087094E-2</v>
          </cell>
          <cell r="BG1390">
            <v>5.5114852930970848E-2</v>
          </cell>
          <cell r="BH1390">
            <v>5.8544590700004839E-2</v>
          </cell>
          <cell r="BI1390">
            <v>6.1660941499108723E-2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-0.14417919864342377</v>
          </cell>
          <cell r="G1391">
            <v>-0.31854579813765938</v>
          </cell>
          <cell r="H1391">
            <v>-0.55692893589047721</v>
          </cell>
          <cell r="I1391">
            <v>-0.84348616393463693</v>
          </cell>
          <cell r="J1391">
            <v>-1.1551189321951982</v>
          </cell>
          <cell r="K1391">
            <v>-1.4729426033196265</v>
          </cell>
          <cell r="L1391">
            <v>-1.7847230220890631</v>
          </cell>
          <cell r="M1391">
            <v>-2.080620389792875</v>
          </cell>
          <cell r="N1391">
            <v>-2.3551317586911642</v>
          </cell>
          <cell r="O1391">
            <v>-2.6048339972645445</v>
          </cell>
          <cell r="P1391">
            <v>-2.8311302923900166</v>
          </cell>
          <cell r="Q1391">
            <v>-3.0346292117930607</v>
          </cell>
          <cell r="R1391">
            <v>-3.209066003381511</v>
          </cell>
          <cell r="S1391">
            <v>-3.3487614729714283</v>
          </cell>
          <cell r="T1391">
            <v>-3.4511842314054464</v>
          </cell>
          <cell r="U1391">
            <v>-3.5167885180750202</v>
          </cell>
          <cell r="V1391">
            <v>-3.5489205710481642</v>
          </cell>
          <cell r="W1391">
            <v>-3.5507217119576167</v>
          </cell>
          <cell r="X1391">
            <v>-3.5262826628075228</v>
          </cell>
          <cell r="Y1391">
            <v>-3.4800069533250548</v>
          </cell>
          <cell r="Z1391">
            <v>-3.4169668933280772</v>
          </cell>
          <cell r="AA1391">
            <v>-3.3396181840748658</v>
          </cell>
          <cell r="AB1391">
            <v>-3.2530945524167247</v>
          </cell>
          <cell r="AC1391">
            <v>-3.1609154878677659</v>
          </cell>
          <cell r="AD1391">
            <v>-3.0662358900528259</v>
          </cell>
          <cell r="AE1391">
            <v>-2.9735926726503381</v>
          </cell>
          <cell r="AF1391">
            <v>-2.8810621110826773</v>
          </cell>
          <cell r="AG1391">
            <v>-2.7927686797203917</v>
          </cell>
          <cell r="AH1391">
            <v>-2.710387431821859</v>
          </cell>
          <cell r="AI1391">
            <v>-2.6350414011816259</v>
          </cell>
          <cell r="AJ1391">
            <v>-2.5674801391004083</v>
          </cell>
          <cell r="AK1391">
            <v>-2.5078725680879987</v>
          </cell>
          <cell r="AL1391">
            <v>-2.4566521332934466</v>
          </cell>
          <cell r="AM1391">
            <v>-2.4139138100212403</v>
          </cell>
          <cell r="AN1391">
            <v>-2.3795282258309296</v>
          </cell>
          <cell r="AO1391">
            <v>-2.3532117351661839</v>
          </cell>
          <cell r="AP1391">
            <v>-2.3319788828435879</v>
          </cell>
          <cell r="AQ1391">
            <v>-2.316546757181615</v>
          </cell>
          <cell r="AR1391">
            <v>-2.3068791690636248</v>
          </cell>
          <cell r="AS1391">
            <v>-2.3023589716286157</v>
          </cell>
          <cell r="AT1391">
            <v>-2.3022293623573784</v>
          </cell>
          <cell r="AU1391">
            <v>-2.3053121845356017</v>
          </cell>
          <cell r="AV1391">
            <v>-2.3113853579335375</v>
          </cell>
          <cell r="AW1391">
            <v>-2.3201305847927003</v>
          </cell>
          <cell r="AX1391">
            <v>-2.331247269127168</v>
          </cell>
          <cell r="AY1391">
            <v>-2.3444971421612832</v>
          </cell>
          <cell r="AZ1391">
            <v>-2.3579242127972018</v>
          </cell>
          <cell r="BA1391">
            <v>-2.3725973614623364</v>
          </cell>
          <cell r="BB1391">
            <v>-2.3887344455501012</v>
          </cell>
          <cell r="BC1391">
            <v>-2.4062681827147996</v>
          </cell>
          <cell r="BD1391">
            <v>-2.425089620213627</v>
          </cell>
          <cell r="BE1391">
            <v>0.67226973873200091</v>
          </cell>
          <cell r="BF1391">
            <v>0.69672447596293985</v>
          </cell>
          <cell r="BG1391">
            <v>0.72048719210395795</v>
          </cell>
          <cell r="BH1391">
            <v>0.74351876459619604</v>
          </cell>
          <cell r="BI1391">
            <v>0.76583071177447337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-1.3045145982526485E-2</v>
          </cell>
          <cell r="G1392">
            <v>4.0834650195165079E-2</v>
          </cell>
          <cell r="H1392">
            <v>7.0737541862320175E-2</v>
          </cell>
          <cell r="I1392">
            <v>6.2080883471249404E-2</v>
          </cell>
          <cell r="J1392">
            <v>2.3705644237992374E-2</v>
          </cell>
          <cell r="K1392">
            <v>-3.1576303593238819E-2</v>
          </cell>
          <cell r="L1392">
            <v>-9.3990658931586424E-2</v>
          </cell>
          <cell r="M1392">
            <v>-0.15511491400055322</v>
          </cell>
          <cell r="N1392">
            <v>-0.21069638928669043</v>
          </cell>
          <cell r="O1392">
            <v>-0.25840515177658663</v>
          </cell>
          <cell r="P1392">
            <v>-0.2865641954692304</v>
          </cell>
          <cell r="Q1392">
            <v>-0.31496861011681698</v>
          </cell>
          <cell r="R1392">
            <v>-0.344000000785738</v>
          </cell>
          <cell r="S1392">
            <v>-0.36877670087206393</v>
          </cell>
          <cell r="T1392">
            <v>-0.38506298694134244</v>
          </cell>
          <cell r="U1392">
            <v>-0.39075946828702746</v>
          </cell>
          <cell r="V1392">
            <v>-0.38682936482430375</v>
          </cell>
          <cell r="W1392">
            <v>-0.37326891872542278</v>
          </cell>
          <cell r="X1392">
            <v>-0.35122287136666319</v>
          </cell>
          <cell r="Y1392">
            <v>-0.32231125859089094</v>
          </cell>
          <cell r="Z1392">
            <v>-0.28876831186509522</v>
          </cell>
          <cell r="AA1392">
            <v>-0.2507109659372726</v>
          </cell>
          <cell r="AB1392">
            <v>-0.21095016812137146</v>
          </cell>
          <cell r="AC1392">
            <v>-0.17082117015666531</v>
          </cell>
          <cell r="AD1392">
            <v>-0.13148211067516247</v>
          </cell>
          <cell r="AE1392">
            <v>-9.5244112747971954E-2</v>
          </cell>
          <cell r="AF1392">
            <v>-5.8701981768871647E-2</v>
          </cell>
          <cell r="AG1392">
            <v>-2.5151363123232073E-2</v>
          </cell>
          <cell r="AH1392">
            <v>4.4277429503303267E-3</v>
          </cell>
          <cell r="AI1392">
            <v>2.9502383730384274E-2</v>
          </cell>
          <cell r="AJ1392">
            <v>4.9796380481970548E-2</v>
          </cell>
          <cell r="AK1392">
            <v>6.5634881449783133E-2</v>
          </cell>
          <cell r="AL1392">
            <v>7.6658110311900174E-2</v>
          </cell>
          <cell r="AM1392">
            <v>8.2754940535433974E-2</v>
          </cell>
          <cell r="AN1392">
            <v>8.3964144251213568E-2</v>
          </cell>
          <cell r="AO1392">
            <v>8.0412600925316102E-2</v>
          </cell>
          <cell r="AP1392">
            <v>7.6499622074078122E-2</v>
          </cell>
          <cell r="AQ1392">
            <v>7.0016306328024136E-2</v>
          </cell>
          <cell r="AR1392">
            <v>5.9829825079482646E-2</v>
          </cell>
          <cell r="AS1392">
            <v>4.576359529060392E-2</v>
          </cell>
          <cell r="AT1392">
            <v>2.8078845645117756E-2</v>
          </cell>
          <cell r="AU1392">
            <v>7.9278437286389725E-3</v>
          </cell>
          <cell r="AV1392">
            <v>-1.4853220218091767E-2</v>
          </cell>
          <cell r="AW1392">
            <v>-4.019991424689584E-2</v>
          </cell>
          <cell r="AX1392">
            <v>-6.7953975761725349E-2</v>
          </cell>
          <cell r="AY1392">
            <v>-9.7936721750113254E-2</v>
          </cell>
          <cell r="AZ1392">
            <v>-0.12720284676359617</v>
          </cell>
          <cell r="BA1392">
            <v>-0.15750488897023907</v>
          </cell>
          <cell r="BB1392">
            <v>-0.18949475990938192</v>
          </cell>
          <cell r="BC1392">
            <v>-0.22328732734296963</v>
          </cell>
          <cell r="BD1392">
            <v>-0.25877597940222552</v>
          </cell>
          <cell r="BE1392">
            <v>-9.277495750736886E-2</v>
          </cell>
          <cell r="BF1392">
            <v>-9.6004316128306399E-2</v>
          </cell>
          <cell r="BG1392">
            <v>-9.970625294177804E-2</v>
          </cell>
          <cell r="BH1392">
            <v>-0.10398189759901477</v>
          </cell>
          <cell r="BI1392">
            <v>-0.10885048964444088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0</v>
          </cell>
          <cell r="BF1393">
            <v>0</v>
          </cell>
          <cell r="BG1393">
            <v>0</v>
          </cell>
          <cell r="BH1393">
            <v>0</v>
          </cell>
          <cell r="BI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-0.68020275820835918</v>
          </cell>
          <cell r="G1394">
            <v>-1.2212617607557319</v>
          </cell>
          <cell r="H1394">
            <v>-1.6717044898100553</v>
          </cell>
          <cell r="I1394">
            <v>-2.0574491469610101</v>
          </cell>
          <cell r="J1394">
            <v>-2.3900528030316504</v>
          </cell>
          <cell r="K1394">
            <v>-2.676066806300947</v>
          </cell>
          <cell r="L1394">
            <v>-2.9230782203573225</v>
          </cell>
          <cell r="M1394">
            <v>-3.1356018505973577</v>
          </cell>
          <cell r="N1394">
            <v>-3.3194585578139142</v>
          </cell>
          <cell r="O1394">
            <v>-3.4801349282927778</v>
          </cell>
          <cell r="P1394">
            <v>-3.6627481960814783</v>
          </cell>
          <cell r="Q1394">
            <v>-3.7961013216008976</v>
          </cell>
          <cell r="R1394">
            <v>-3.891175322696161</v>
          </cell>
          <cell r="S1394">
            <v>-3.9557908529980863</v>
          </cell>
          <cell r="T1394">
            <v>-3.995661883452839</v>
          </cell>
          <cell r="U1394">
            <v>-4.0158667097691563</v>
          </cell>
          <cell r="V1394">
            <v>-4.0235280828832876</v>
          </cell>
          <cell r="W1394">
            <v>-4.0222782337828953</v>
          </cell>
          <cell r="X1394">
            <v>-4.0154725485691767</v>
          </cell>
          <cell r="Y1394">
            <v>-4.0060376561855797</v>
          </cell>
          <cell r="Z1394">
            <v>-3.9971099032948931</v>
          </cell>
          <cell r="AA1394">
            <v>-3.9886366166401173</v>
          </cell>
          <cell r="AB1394">
            <v>-3.9833281797532987</v>
          </cell>
          <cell r="AC1394">
            <v>-3.9822065619691593</v>
          </cell>
          <cell r="AD1394">
            <v>-3.9859436750142248</v>
          </cell>
          <cell r="AE1394">
            <v>-3.9967825395649248</v>
          </cell>
          <cell r="AF1394">
            <v>-4.0096784497600124</v>
          </cell>
          <cell r="AG1394">
            <v>-4.0269588572339972</v>
          </cell>
          <cell r="AH1394">
            <v>-4.0489366307463133</v>
          </cell>
          <cell r="AI1394">
            <v>-4.0756350794980518</v>
          </cell>
          <cell r="AJ1394">
            <v>-4.1069023242631069</v>
          </cell>
          <cell r="AK1394">
            <v>-4.1418927544030861</v>
          </cell>
          <cell r="AL1394">
            <v>-4.1805300442918858</v>
          </cell>
          <cell r="AM1394">
            <v>-4.2226389255050734</v>
          </cell>
          <cell r="AN1394">
            <v>-4.2679778209374302</v>
          </cell>
          <cell r="AO1394">
            <v>-4.3162744379437576</v>
          </cell>
          <cell r="AP1394">
            <v>-4.3621945110050575</v>
          </cell>
          <cell r="AQ1394">
            <v>-4.4068061676166508</v>
          </cell>
          <cell r="AR1394">
            <v>-4.4511995969185092</v>
          </cell>
          <cell r="AS1394">
            <v>-4.4959401055568176</v>
          </cell>
          <cell r="AT1394">
            <v>-4.541294685025866</v>
          </cell>
          <cell r="AU1394">
            <v>-4.5865321317298804</v>
          </cell>
          <cell r="AV1394">
            <v>-4.6320870361742266</v>
          </cell>
          <cell r="AW1394">
            <v>-4.6782732668270821</v>
          </cell>
          <cell r="AX1394">
            <v>-4.7253125049106277</v>
          </cell>
          <cell r="AY1394">
            <v>-4.7733715724099675</v>
          </cell>
          <cell r="AZ1394">
            <v>-4.8196013693908348</v>
          </cell>
          <cell r="BA1394">
            <v>-4.8653158132635266</v>
          </cell>
          <cell r="BB1394">
            <v>-4.9113402286853791</v>
          </cell>
          <cell r="BC1394">
            <v>-4.9581176013038686</v>
          </cell>
          <cell r="BD1394">
            <v>-5.0058733452914002</v>
          </cell>
          <cell r="BE1394">
            <v>4.7498446736571331E-2</v>
          </cell>
          <cell r="BF1394">
            <v>5.1407209653087094E-2</v>
          </cell>
          <cell r="BG1394">
            <v>5.5114852930970848E-2</v>
          </cell>
          <cell r="BH1394">
            <v>5.8544590700004839E-2</v>
          </cell>
          <cell r="BI1394">
            <v>6.1660941499108723E-2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-0.17939160791615727</v>
          </cell>
          <cell r="G1395">
            <v>-0.4711556747525103</v>
          </cell>
          <cell r="H1395">
            <v>-0.80645617676167181</v>
          </cell>
          <cell r="I1395">
            <v>-1.1489157787040405</v>
          </cell>
          <cell r="J1395">
            <v>-1.4819838825660181</v>
          </cell>
          <cell r="K1395">
            <v>-1.799212603488376</v>
          </cell>
          <cell r="L1395">
            <v>-2.0985608337720008</v>
          </cell>
          <cell r="M1395">
            <v>-2.3790189545285556</v>
          </cell>
          <cell r="N1395">
            <v>-2.6396187544648897</v>
          </cell>
          <cell r="O1395">
            <v>-2.8794315579471319</v>
          </cell>
          <cell r="P1395">
            <v>-3.1152437379025399</v>
          </cell>
          <cell r="Q1395">
            <v>-3.3227845732358263</v>
          </cell>
          <cell r="R1395">
            <v>-3.4943412858987055</v>
          </cell>
          <cell r="S1395">
            <v>-3.6291620975876349</v>
          </cell>
          <cell r="T1395">
            <v>-3.7295986301064343</v>
          </cell>
          <cell r="U1395">
            <v>-3.7989863460877071</v>
          </cell>
          <cell r="V1395">
            <v>-3.8404772449604052</v>
          </cell>
          <cell r="W1395">
            <v>-3.8578918806804197</v>
          </cell>
          <cell r="X1395">
            <v>-3.8547436208244412</v>
          </cell>
          <cell r="Y1395">
            <v>-3.8343028457414108</v>
          </cell>
          <cell r="Z1395">
            <v>-3.7998562759960941</v>
          </cell>
          <cell r="AA1395">
            <v>-3.7541511231730662</v>
          </cell>
          <cell r="AB1395">
            <v>-3.6998555741356021</v>
          </cell>
          <cell r="AC1395">
            <v>-3.6394922394638596</v>
          </cell>
          <cell r="AD1395">
            <v>-3.5753680184143599</v>
          </cell>
          <cell r="AE1395">
            <v>-3.5099905121326547</v>
          </cell>
          <cell r="AF1395">
            <v>-3.445118722174445</v>
          </cell>
          <cell r="AG1395">
            <v>-3.3816541694901892</v>
          </cell>
          <cell r="AH1395">
            <v>-3.3203851575655641</v>
          </cell>
          <cell r="AI1395">
            <v>-3.2619948743741523</v>
          </cell>
          <cell r="AJ1395">
            <v>-3.2070388822277862</v>
          </cell>
          <cell r="AK1395">
            <v>-3.1560808184211031</v>
          </cell>
          <cell r="AL1395">
            <v>-3.1092114198513876</v>
          </cell>
          <cell r="AM1395">
            <v>-3.0664185423171397</v>
          </cell>
          <cell r="AN1395">
            <v>-3.0276061754816896</v>
          </cell>
          <cell r="AO1395">
            <v>-2.9926036722297544</v>
          </cell>
          <cell r="AP1395">
            <v>-2.9628964021196857</v>
          </cell>
          <cell r="AQ1395">
            <v>-2.9367477124570218</v>
          </cell>
          <cell r="AR1395">
            <v>-2.9127986449509091</v>
          </cell>
          <cell r="AS1395">
            <v>-2.8901672224326602</v>
          </cell>
          <cell r="AT1395">
            <v>-2.868345168007902</v>
          </cell>
          <cell r="AU1395">
            <v>-2.8473546708257191</v>
          </cell>
          <cell r="AV1395">
            <v>-2.8268092888138696</v>
          </cell>
          <cell r="AW1395">
            <v>-2.8064657010478666</v>
          </cell>
          <cell r="AX1395">
            <v>-2.7862023621694876</v>
          </cell>
          <cell r="AY1395">
            <v>-2.7659858058008413</v>
          </cell>
          <cell r="AZ1395">
            <v>-2.7469204267268621</v>
          </cell>
          <cell r="BA1395">
            <v>-2.7282040385207096</v>
          </cell>
          <cell r="BB1395">
            <v>-2.7093302560128318</v>
          </cell>
          <cell r="BC1395">
            <v>-2.6901057558504249</v>
          </cell>
          <cell r="BD1395">
            <v>-2.6705592765940755</v>
          </cell>
          <cell r="BE1395">
            <v>0.92349145427912394</v>
          </cell>
          <cell r="BF1395">
            <v>0.95712879840108567</v>
          </cell>
          <cell r="BG1395">
            <v>0.99049300470144264</v>
          </cell>
          <cell r="BH1395">
            <v>1.0236628073144516</v>
          </cell>
          <cell r="BI1395">
            <v>1.0566729836185118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-0.22223846991448193</v>
          </cell>
          <cell r="G1396">
            <v>-0.50876195363859233</v>
          </cell>
          <cell r="H1396">
            <v>-0.80139255065644344</v>
          </cell>
          <cell r="I1396">
            <v>-1.0811063709478486</v>
          </cell>
          <cell r="J1396">
            <v>-1.3434889282924689</v>
          </cell>
          <cell r="K1396">
            <v>-1.5890338898043477</v>
          </cell>
          <cell r="L1396">
            <v>-1.8192405561438862</v>
          </cell>
          <cell r="M1396">
            <v>-2.0346567173319619</v>
          </cell>
          <cell r="N1396">
            <v>-2.2348829238449608</v>
          </cell>
          <cell r="O1396">
            <v>-2.4191152685845818</v>
          </cell>
          <cell r="P1396">
            <v>-2.6064332206901075</v>
          </cell>
          <cell r="Q1396">
            <v>-2.7656154913330067</v>
          </cell>
          <cell r="R1396">
            <v>-2.8912204265472363</v>
          </cell>
          <cell r="S1396">
            <v>-2.9851126206628664</v>
          </cell>
          <cell r="T1396">
            <v>-3.0510664261173881</v>
          </cell>
          <cell r="U1396">
            <v>-3.0928534632792215</v>
          </cell>
          <cell r="V1396">
            <v>-3.1136798363996299</v>
          </cell>
          <cell r="W1396">
            <v>-3.1166566133620455</v>
          </cell>
          <cell r="X1396">
            <v>-3.1044817504650601</v>
          </cell>
          <cell r="Y1396">
            <v>-3.0796332867801701</v>
          </cell>
          <cell r="Z1396">
            <v>-3.0446141546265237</v>
          </cell>
          <cell r="AA1396">
            <v>-3.0015635863178569</v>
          </cell>
          <cell r="AB1396">
            <v>-2.9525135222100207</v>
          </cell>
          <cell r="AC1396">
            <v>-2.8993999053607333</v>
          </cell>
          <cell r="AD1396">
            <v>-2.8440007497851139</v>
          </cell>
          <cell r="AE1396">
            <v>-2.7882569966445669</v>
          </cell>
          <cell r="AF1396">
            <v>-2.7335137123605691</v>
          </cell>
          <cell r="AG1396">
            <v>-2.680459156005266</v>
          </cell>
          <cell r="AH1396">
            <v>-2.6296493221991901</v>
          </cell>
          <cell r="AI1396">
            <v>-2.5815434073977239</v>
          </cell>
          <cell r="AJ1396">
            <v>-2.5365023063439573</v>
          </cell>
          <cell r="AK1396">
            <v>-2.4948579035988239</v>
          </cell>
          <cell r="AL1396">
            <v>-2.4566464740481186</v>
          </cell>
          <cell r="AM1396">
            <v>-2.4218236014782346</v>
          </cell>
          <cell r="AN1396">
            <v>-2.3902754541966775</v>
          </cell>
          <cell r="AO1396">
            <v>-2.3618291220571908</v>
          </cell>
          <cell r="AP1396">
            <v>-2.3372327163983297</v>
          </cell>
          <cell r="AQ1396">
            <v>-2.3153206229867496</v>
          </cell>
          <cell r="AR1396">
            <v>-2.2951507817848049</v>
          </cell>
          <cell r="AS1396">
            <v>-2.2760584605520218</v>
          </cell>
          <cell r="AT1396">
            <v>-2.2576286639124588</v>
          </cell>
          <cell r="AU1396">
            <v>-2.239792277535857</v>
          </cell>
          <cell r="AV1396">
            <v>-2.2222596888029966</v>
          </cell>
          <cell r="AW1396">
            <v>-2.2048482914889367</v>
          </cell>
          <cell r="AX1396">
            <v>-2.1874625399722736</v>
          </cell>
          <cell r="AY1396">
            <v>-2.1700732990327265</v>
          </cell>
          <cell r="AZ1396">
            <v>-2.1533415101942399</v>
          </cell>
          <cell r="BA1396">
            <v>-2.1367554007662881</v>
          </cell>
          <cell r="BB1396">
            <v>-2.1199925550534737</v>
          </cell>
          <cell r="BC1396">
            <v>-2.1029289381513605</v>
          </cell>
          <cell r="BD1396">
            <v>-2.0855935275011728</v>
          </cell>
          <cell r="BE1396">
            <v>0.76004335846093785</v>
          </cell>
          <cell r="BF1396">
            <v>0.7871795426503958</v>
          </cell>
          <cell r="BG1396">
            <v>0.81408310092607739</v>
          </cell>
          <cell r="BH1396">
            <v>0.8408317434181356</v>
          </cell>
          <cell r="BI1396">
            <v>0.86746467176475051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0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0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-0.1847901755674175</v>
          </cell>
          <cell r="G1398">
            <v>-0.4374415743158333</v>
          </cell>
          <cell r="H1398">
            <v>-0.75259473630140405</v>
          </cell>
          <cell r="I1398">
            <v>-1.114853575822139</v>
          </cell>
          <cell r="J1398">
            <v>-1.5043716320907397</v>
          </cell>
          <cell r="K1398">
            <v>-1.9029455437168941</v>
          </cell>
          <cell r="L1398">
            <v>-2.297331868169139</v>
          </cell>
          <cell r="M1398">
            <v>-2.6782415943363058</v>
          </cell>
          <cell r="N1398">
            <v>-3.040170047988433</v>
          </cell>
          <cell r="O1398">
            <v>-3.3801944751866486</v>
          </cell>
          <cell r="P1398">
            <v>-3.7067499306873142</v>
          </cell>
          <cell r="Q1398">
            <v>-4.0102134013994206</v>
          </cell>
          <cell r="R1398">
            <v>-4.28500067970079</v>
          </cell>
          <cell r="S1398">
            <v>-4.5267712254928423</v>
          </cell>
          <cell r="T1398">
            <v>-4.7332721285740842</v>
          </cell>
          <cell r="U1398">
            <v>-4.9043946118954684</v>
          </cell>
          <cell r="V1398">
            <v>-5.0428281784667295</v>
          </cell>
          <cell r="W1398">
            <v>-5.1509975827677916</v>
          </cell>
          <cell r="X1398">
            <v>-5.2321172190478276</v>
          </cell>
          <cell r="Y1398">
            <v>-5.2897942333978705</v>
          </cell>
          <cell r="Z1398">
            <v>-5.3280191915631274</v>
          </cell>
          <cell r="AA1398">
            <v>-5.3498829785356694</v>
          </cell>
          <cell r="AB1398">
            <v>-5.3589645740458103</v>
          </cell>
          <cell r="AC1398">
            <v>-5.358504232410322</v>
          </cell>
          <cell r="AD1398">
            <v>-5.3514236089424516</v>
          </cell>
          <cell r="AE1398">
            <v>-5.3411214981198718</v>
          </cell>
          <cell r="AF1398">
            <v>-5.3282230986696932</v>
          </cell>
          <cell r="AG1398">
            <v>-5.3150029798550991</v>
          </cell>
          <cell r="AH1398">
            <v>-5.3032217637636103</v>
          </cell>
          <cell r="AI1398">
            <v>-5.2942047432633199</v>
          </cell>
          <cell r="AJ1398">
            <v>-5.2889325284711237</v>
          </cell>
          <cell r="AK1398">
            <v>-5.2877816641563431</v>
          </cell>
          <cell r="AL1398">
            <v>-5.2913447833310645</v>
          </cell>
          <cell r="AM1398">
            <v>-5.2999584634739421</v>
          </cell>
          <cell r="AN1398">
            <v>-5.3137445880901417</v>
          </cell>
          <cell r="AO1398">
            <v>-5.332659122241445</v>
          </cell>
          <cell r="AP1398">
            <v>-5.3536363401122111</v>
          </cell>
          <cell r="AQ1398">
            <v>-5.3774346090540988</v>
          </cell>
          <cell r="AR1398">
            <v>-5.4042457193210991</v>
          </cell>
          <cell r="AS1398">
            <v>-5.4338189564876016</v>
          </cell>
          <cell r="AT1398">
            <v>-5.4656954897408401</v>
          </cell>
          <cell r="AU1398">
            <v>-5.4988679817741692</v>
          </cell>
          <cell r="AV1398">
            <v>-5.5331084179315209</v>
          </cell>
          <cell r="AW1398">
            <v>-5.5681791829267251</v>
          </cell>
          <cell r="AX1398">
            <v>-5.6038607717592503</v>
          </cell>
          <cell r="AY1398">
            <v>-5.6399808392930906</v>
          </cell>
          <cell r="AZ1398">
            <v>-5.6746063100857054</v>
          </cell>
          <cell r="BA1398">
            <v>-5.7084427288789819</v>
          </cell>
          <cell r="BB1398">
            <v>-5.7418748422580883</v>
          </cell>
          <cell r="BC1398">
            <v>-5.775059769153545</v>
          </cell>
          <cell r="BD1398">
            <v>-5.808056437073672</v>
          </cell>
          <cell r="BE1398">
            <v>0.52299662863573015</v>
          </cell>
          <cell r="BF1398">
            <v>0.54651107442689195</v>
          </cell>
          <cell r="BG1398">
            <v>0.5699060909814424</v>
          </cell>
          <cell r="BH1398">
            <v>0.5931206808498013</v>
          </cell>
          <cell r="BI1398">
            <v>0.61613815686294426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-5.3726576743973187E-2</v>
          </cell>
          <cell r="G1399">
            <v>-7.8342674236919763E-2</v>
          </cell>
          <cell r="H1399">
            <v>-0.12571734417472502</v>
          </cell>
          <cell r="I1399">
            <v>-0.21119907766804502</v>
          </cell>
          <cell r="J1399">
            <v>-0.32943046291666889</v>
          </cell>
          <cell r="K1399">
            <v>-0.46832958885592024</v>
          </cell>
          <cell r="L1399">
            <v>-0.61703186240025243</v>
          </cell>
          <cell r="M1399">
            <v>-0.76751465525848328</v>
          </cell>
          <cell r="N1399">
            <v>-0.9153640694480214</v>
          </cell>
          <cell r="O1399">
            <v>-1.0586050438063488</v>
          </cell>
          <cell r="P1399">
            <v>-1.1925285099262162</v>
          </cell>
          <cell r="Q1399">
            <v>-1.3266327067783745</v>
          </cell>
          <cell r="R1399">
            <v>-1.4618166901137375</v>
          </cell>
          <cell r="S1399">
            <v>-1.5942962385236292</v>
          </cell>
          <cell r="T1399">
            <v>-1.7198846321980765</v>
          </cell>
          <cell r="U1399">
            <v>-1.835751693322718</v>
          </cell>
          <cell r="V1399">
            <v>-1.9421495111465403</v>
          </cell>
          <cell r="W1399">
            <v>-2.0383111645689622</v>
          </cell>
          <cell r="X1399">
            <v>-2.1245119523710665</v>
          </cell>
          <cell r="Y1399">
            <v>-2.2016189659664898</v>
          </cell>
          <cell r="Z1399">
            <v>-2.2708575435649858</v>
          </cell>
          <cell r="AA1399">
            <v>-2.3330412396518008</v>
          </cell>
          <cell r="AB1399">
            <v>-2.3895126135351386</v>
          </cell>
          <cell r="AC1399">
            <v>-2.4414103879822902</v>
          </cell>
          <cell r="AD1399">
            <v>-2.4897374947897011</v>
          </cell>
          <cell r="AE1399">
            <v>-2.5357609778047019</v>
          </cell>
          <cell r="AF1399">
            <v>-2.5786415194796075</v>
          </cell>
          <cell r="AG1399">
            <v>-2.6198943119109308</v>
          </cell>
          <cell r="AH1399">
            <v>-2.6606379929703272</v>
          </cell>
          <cell r="AI1399">
            <v>-2.7016475399677331</v>
          </cell>
          <cell r="AJ1399">
            <v>-2.743459941768811</v>
          </cell>
          <cell r="AK1399">
            <v>-2.7859713960375787</v>
          </cell>
          <cell r="AL1399">
            <v>-2.829720129635116</v>
          </cell>
          <cell r="AM1399">
            <v>-2.8750707047594082</v>
          </cell>
          <cell r="AN1399">
            <v>-2.9222414122337392</v>
          </cell>
          <cell r="AO1399">
            <v>-2.9713461901427873</v>
          </cell>
          <cell r="AP1399">
            <v>-3.0178419088823794</v>
          </cell>
          <cell r="AQ1399">
            <v>-3.0639957360485082</v>
          </cell>
          <cell r="AR1399">
            <v>-3.1111690427353955</v>
          </cell>
          <cell r="AS1399">
            <v>-3.159894587467571</v>
          </cell>
          <cell r="AT1399">
            <v>-3.2101947126193853</v>
          </cell>
          <cell r="AU1399">
            <v>-3.2610641958353725</v>
          </cell>
          <cell r="AV1399">
            <v>-3.312652407361949</v>
          </cell>
          <cell r="AW1399">
            <v>-3.364967437031674</v>
          </cell>
          <cell r="AX1399">
            <v>-3.4179251490648488</v>
          </cell>
          <cell r="AY1399">
            <v>-3.471407690078343</v>
          </cell>
          <cell r="AZ1399">
            <v>-3.5224612395326038</v>
          </cell>
          <cell r="BA1399">
            <v>-3.5724840823765924</v>
          </cell>
          <cell r="BB1399">
            <v>-3.6222981756280137</v>
          </cell>
          <cell r="BC1399">
            <v>-3.6722432815813</v>
          </cell>
          <cell r="BD1399">
            <v>-3.7223812490228658</v>
          </cell>
          <cell r="BE1399">
            <v>-0.24021035105309396</v>
          </cell>
          <cell r="BF1399">
            <v>-0.24428123002031565</v>
          </cell>
          <cell r="BG1399">
            <v>-0.24825121388079019</v>
          </cell>
          <cell r="BH1399">
            <v>-0.25224222680291231</v>
          </cell>
          <cell r="BI1399">
            <v>-0.25630122591391302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-0.18479017210337734</v>
          </cell>
          <cell r="G1400">
            <v>-0.43744158139276124</v>
          </cell>
          <cell r="H1400">
            <v>-0.75259475390866415</v>
          </cell>
          <cell r="I1400">
            <v>-1.1148535742414256</v>
          </cell>
          <cell r="J1400">
            <v>-1.5043716287810094</v>
          </cell>
          <cell r="K1400">
            <v>-1.902945530277389</v>
          </cell>
          <cell r="L1400">
            <v>-2.2973318548718091</v>
          </cell>
          <cell r="M1400">
            <v>-2.6782415797451775</v>
          </cell>
          <cell r="N1400">
            <v>-3.040170040664858</v>
          </cell>
          <cell r="O1400">
            <v>-3.3801944629446412</v>
          </cell>
          <cell r="P1400">
            <v>-3.7067499257335657</v>
          </cell>
          <cell r="Q1400">
            <v>-4.0102134026663077</v>
          </cell>
          <cell r="R1400">
            <v>-4.2850006770381093</v>
          </cell>
          <cell r="S1400">
            <v>-4.5267712348648459</v>
          </cell>
          <cell r="T1400">
            <v>-4.7332721242982263</v>
          </cell>
          <cell r="U1400">
            <v>-4.9043946010102974</v>
          </cell>
          <cell r="V1400">
            <v>-5.0428281757815547</v>
          </cell>
          <cell r="W1400">
            <v>-5.1509975943025417</v>
          </cell>
          <cell r="X1400">
            <v>-5.2321172214059075</v>
          </cell>
          <cell r="Y1400">
            <v>-5.2897942430796157</v>
          </cell>
          <cell r="Z1400">
            <v>-5.328019193876365</v>
          </cell>
          <cell r="AA1400">
            <v>-5.3498829882593801</v>
          </cell>
          <cell r="AB1400">
            <v>-5.3589645853821866</v>
          </cell>
          <cell r="AC1400">
            <v>-5.3585042439582615</v>
          </cell>
          <cell r="AD1400">
            <v>-5.3514236322970916</v>
          </cell>
          <cell r="AE1400">
            <v>-5.3411214770501143</v>
          </cell>
          <cell r="AF1400">
            <v>-5.3282231471095347</v>
          </cell>
          <cell r="AG1400">
            <v>-5.3150029386717756</v>
          </cell>
          <cell r="AH1400">
            <v>-5.3032218504564632</v>
          </cell>
          <cell r="AI1400">
            <v>-5.2942047756779242</v>
          </cell>
          <cell r="AJ1400">
            <v>-5.2889325281909816</v>
          </cell>
          <cell r="AK1400">
            <v>-5.2877816959153385</v>
          </cell>
          <cell r="AL1400">
            <v>-5.2913448074065066</v>
          </cell>
          <cell r="AM1400">
            <v>-5.2999584107655924</v>
          </cell>
          <cell r="AN1400">
            <v>-5.3137445905536262</v>
          </cell>
          <cell r="AO1400">
            <v>-5.3326591658360734</v>
          </cell>
          <cell r="AP1400">
            <v>-5.3536363240942357</v>
          </cell>
          <cell r="AQ1400">
            <v>-5.3774346603778111</v>
          </cell>
          <cell r="AR1400">
            <v>-5.4042457064249589</v>
          </cell>
          <cell r="AS1400">
            <v>-5.4338189837962902</v>
          </cell>
          <cell r="AT1400">
            <v>-5.465695542755844</v>
          </cell>
          <cell r="AU1400">
            <v>-5.4988679223024199</v>
          </cell>
          <cell r="AV1400">
            <v>-5.5331084318156805</v>
          </cell>
          <cell r="AW1400">
            <v>-5.5681791424152856</v>
          </cell>
          <cell r="AX1400">
            <v>-5.6038607750334313</v>
          </cell>
          <cell r="AY1400">
            <v>-5.6399808850065352</v>
          </cell>
          <cell r="AZ1400">
            <v>-5.6746062917694795</v>
          </cell>
          <cell r="BA1400">
            <v>-5.7084427172075731</v>
          </cell>
          <cell r="BB1400">
            <v>-5.7418748421894428</v>
          </cell>
          <cell r="BC1400">
            <v>-5.7750598123626258</v>
          </cell>
          <cell r="BD1400">
            <v>-5.8080564506376557</v>
          </cell>
          <cell r="BE1400">
            <v>0.52299658260768211</v>
          </cell>
          <cell r="BF1400">
            <v>0.54651106337506583</v>
          </cell>
          <cell r="BG1400">
            <v>0.5699060494213759</v>
          </cell>
          <cell r="BH1400">
            <v>0.59312071470607464</v>
          </cell>
          <cell r="BI1400">
            <v>0.61613814107257525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2.6664396902198462E-2</v>
          </cell>
          <cell r="G1401">
            <v>0.12256182373562297</v>
          </cell>
          <cell r="H1401">
            <v>0.21062087784735617</v>
          </cell>
          <cell r="I1401">
            <v>0.26070752959073129</v>
          </cell>
          <cell r="J1401">
            <v>0.27123497876890834</v>
          </cell>
          <cell r="K1401">
            <v>0.25198186940420531</v>
          </cell>
          <cell r="L1401">
            <v>0.21377735217151805</v>
          </cell>
          <cell r="M1401">
            <v>0.16492749870162804</v>
          </cell>
          <cell r="N1401">
            <v>0.11018920667438259</v>
          </cell>
          <cell r="O1401">
            <v>5.1729999884786437E-2</v>
          </cell>
          <cell r="P1401">
            <v>1.4901043659198976E-3</v>
          </cell>
          <cell r="Q1401">
            <v>-5.9661774290209468E-2</v>
          </cell>
          <cell r="R1401">
            <v>-0.13544812726158373</v>
          </cell>
          <cell r="S1401">
            <v>-0.22241371925026954</v>
          </cell>
          <cell r="T1401">
            <v>-0.31520041909565144</v>
          </cell>
          <cell r="U1401">
            <v>-0.40938838150472723</v>
          </cell>
          <cell r="V1401">
            <v>-0.50368820345352283</v>
          </cell>
          <cell r="W1401">
            <v>-0.59578375520519256</v>
          </cell>
          <cell r="X1401">
            <v>-0.68459999461415455</v>
          </cell>
          <cell r="Y1401">
            <v>-0.76982917973243969</v>
          </cell>
          <cell r="Z1401">
            <v>-0.85150150918996692</v>
          </cell>
          <cell r="AA1401">
            <v>-0.92972098265161618</v>
          </cell>
          <cell r="AB1401">
            <v>-1.004794544941201</v>
          </cell>
          <cell r="AC1401">
            <v>-1.0770840112104385</v>
          </cell>
          <cell r="AD1401">
            <v>-1.1468604659671144</v>
          </cell>
          <cell r="AE1401">
            <v>-1.2144511855000761</v>
          </cell>
          <cell r="AF1401">
            <v>-1.2788963922332308</v>
          </cell>
          <cell r="AG1401">
            <v>-1.3412174429205836</v>
          </cell>
          <cell r="AH1401">
            <v>-1.4023528806438867</v>
          </cell>
          <cell r="AI1401">
            <v>-1.4628705061914271</v>
          </cell>
          <cell r="AJ1401">
            <v>-1.5231247723996755</v>
          </cell>
          <cell r="AK1401">
            <v>-1.5828363725070571</v>
          </cell>
          <cell r="AL1401">
            <v>-1.6425142400496973</v>
          </cell>
          <cell r="AM1401">
            <v>-1.7025271022729549</v>
          </cell>
          <cell r="AN1401">
            <v>-1.7631186205476879</v>
          </cell>
          <cell r="AO1401">
            <v>-1.824447113100125</v>
          </cell>
          <cell r="AP1401">
            <v>-1.8815685960693496</v>
          </cell>
          <cell r="AQ1401">
            <v>-1.9374130027436043</v>
          </cell>
          <cell r="AR1401">
            <v>-1.9938064236252329</v>
          </cell>
          <cell r="AS1401">
            <v>-2.0515330293772505</v>
          </cell>
          <cell r="AT1401">
            <v>-2.1106986668391392</v>
          </cell>
          <cell r="AU1401">
            <v>-2.1702096268414572</v>
          </cell>
          <cell r="AV1401">
            <v>-2.2302616125449148</v>
          </cell>
          <cell r="AW1401">
            <v>-2.2908782143128747</v>
          </cell>
          <cell r="AX1401">
            <v>-2.3519596562539213</v>
          </cell>
          <cell r="AY1401">
            <v>-2.413352978056893</v>
          </cell>
          <cell r="AZ1401">
            <v>-2.4717615893467881</v>
          </cell>
          <cell r="BA1401">
            <v>-2.5288538607604938</v>
          </cell>
          <cell r="BB1401">
            <v>-2.5856376063599362</v>
          </cell>
          <cell r="BC1401">
            <v>-2.642503910882954</v>
          </cell>
          <cell r="BD1401">
            <v>-2.6994736948675602</v>
          </cell>
          <cell r="BE1401">
            <v>-0.55346485136600343</v>
          </cell>
          <cell r="BF1401">
            <v>-0.56941968367145712</v>
          </cell>
          <cell r="BG1401">
            <v>-0.58518679972733301</v>
          </cell>
          <cell r="BH1401">
            <v>-0.60091463051668015</v>
          </cell>
          <cell r="BI1401">
            <v>-0.61665616465492734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-0.6671576122258327</v>
          </cell>
          <cell r="G1402">
            <v>-1.262096410950897</v>
          </cell>
          <cell r="H1402">
            <v>-1.7424420316723754</v>
          </cell>
          <cell r="I1402">
            <v>-2.1195300304322595</v>
          </cell>
          <cell r="J1402">
            <v>-2.4137584472696427</v>
          </cell>
          <cell r="K1402">
            <v>-2.6444905027077081</v>
          </cell>
          <cell r="L1402">
            <v>-2.829087561425736</v>
          </cell>
          <cell r="M1402">
            <v>-2.9804869365968045</v>
          </cell>
          <cell r="N1402">
            <v>-3.1087621685272238</v>
          </cell>
          <cell r="O1402">
            <v>-3.2217297765161912</v>
          </cell>
          <cell r="P1402">
            <v>-3.3761840006122479</v>
          </cell>
          <cell r="Q1402">
            <v>-3.4811327114840807</v>
          </cell>
          <cell r="R1402">
            <v>-3.547175321910423</v>
          </cell>
          <cell r="S1402">
            <v>-3.5870141521260224</v>
          </cell>
          <cell r="T1402">
            <v>-3.6105988965114966</v>
          </cell>
          <cell r="U1402">
            <v>-3.6251072414821284</v>
          </cell>
          <cell r="V1402">
            <v>-3.6366987180589838</v>
          </cell>
          <cell r="W1402">
            <v>-3.6490093150574721</v>
          </cell>
          <cell r="X1402">
            <v>-3.6642496772025135</v>
          </cell>
          <cell r="Y1402">
            <v>-3.6837263975946888</v>
          </cell>
          <cell r="Z1402">
            <v>-3.7083415914297979</v>
          </cell>
          <cell r="AA1402">
            <v>-3.7379256507028447</v>
          </cell>
          <cell r="AB1402">
            <v>-3.7723780116319272</v>
          </cell>
          <cell r="AC1402">
            <v>-3.811385391812494</v>
          </cell>
          <cell r="AD1402">
            <v>-3.8544615643390623</v>
          </cell>
          <cell r="AE1402">
            <v>-3.9015384268169528</v>
          </cell>
          <cell r="AF1402">
            <v>-3.9509764679911408</v>
          </cell>
          <cell r="AG1402">
            <v>-4.0018074941107651</v>
          </cell>
          <cell r="AH1402">
            <v>-4.0533643736966436</v>
          </cell>
          <cell r="AI1402">
            <v>-4.1051374632284361</v>
          </cell>
          <cell r="AJ1402">
            <v>-4.156698704745077</v>
          </cell>
          <cell r="AK1402">
            <v>-4.2075276358528697</v>
          </cell>
          <cell r="AL1402">
            <v>-4.257188154603786</v>
          </cell>
          <cell r="AM1402">
            <v>-4.3053938660405073</v>
          </cell>
          <cell r="AN1402">
            <v>-4.3519419651886437</v>
          </cell>
          <cell r="AO1402">
            <v>-4.3966870388690733</v>
          </cell>
          <cell r="AP1402">
            <v>-4.4386941330791352</v>
          </cell>
          <cell r="AQ1402">
            <v>-4.4768224739446749</v>
          </cell>
          <cell r="AR1402">
            <v>-4.5110294219979918</v>
          </cell>
          <cell r="AS1402">
            <v>-4.541703700847421</v>
          </cell>
          <cell r="AT1402">
            <v>-4.5693735306709833</v>
          </cell>
          <cell r="AU1402">
            <v>-4.5944599754585198</v>
          </cell>
          <cell r="AV1402">
            <v>-4.6172338159561344</v>
          </cell>
          <cell r="AW1402">
            <v>-4.6380733525801858</v>
          </cell>
          <cell r="AX1402">
            <v>-4.6573585291489028</v>
          </cell>
          <cell r="AY1402">
            <v>-4.6754348506598546</v>
          </cell>
          <cell r="AZ1402">
            <v>-4.6923985226272391</v>
          </cell>
          <cell r="BA1402">
            <v>-4.7078109242932875</v>
          </cell>
          <cell r="BB1402">
            <v>-4.7218454687759976</v>
          </cell>
          <cell r="BC1402">
            <v>-4.7348302739608989</v>
          </cell>
          <cell r="BD1402">
            <v>-4.7470973658891751</v>
          </cell>
          <cell r="BE1402">
            <v>0.14027340424394019</v>
          </cell>
          <cell r="BF1402">
            <v>0.14741152578139349</v>
          </cell>
          <cell r="BG1402">
            <v>0.15482110587274889</v>
          </cell>
          <cell r="BH1402">
            <v>0.16252648829901961</v>
          </cell>
          <cell r="BI1402">
            <v>0.17051143114354961</v>
          </cell>
        </row>
        <row r="1403">
          <cell r="C1403" t="str">
            <v>Emploi en millier</v>
          </cell>
          <cell r="E1403" t="str">
            <v>F_L_2-F_L_0</v>
          </cell>
          <cell r="F1403">
            <v>-182.61336000000301</v>
          </cell>
          <cell r="G1403">
            <v>-345.83453000000009</v>
          </cell>
          <cell r="H1403">
            <v>-478.11807999999655</v>
          </cell>
          <cell r="I1403">
            <v>-582.7607199999984</v>
          </cell>
          <cell r="J1403">
            <v>-665.47910000000047</v>
          </cell>
          <cell r="K1403">
            <v>-731.59582999999839</v>
          </cell>
          <cell r="L1403">
            <v>-785.50541000000158</v>
          </cell>
          <cell r="M1403">
            <v>-830.66595999999845</v>
          </cell>
          <cell r="N1403">
            <v>-869.78188999999838</v>
          </cell>
          <cell r="O1403">
            <v>-904.95766000000003</v>
          </cell>
          <cell r="P1403">
            <v>-952.74244999999792</v>
          </cell>
          <cell r="Q1403">
            <v>-986.81294000000344</v>
          </cell>
          <cell r="R1403">
            <v>-1009.945929999998</v>
          </cell>
          <cell r="S1403">
            <v>-1025.618989999999</v>
          </cell>
          <cell r="T1403">
            <v>-1036.5978099999993</v>
          </cell>
          <cell r="U1403">
            <v>-1044.9039599999996</v>
          </cell>
          <cell r="V1403">
            <v>-1052.3016900000002</v>
          </cell>
          <cell r="W1403">
            <v>-1059.8518399999994</v>
          </cell>
          <cell r="X1403">
            <v>-1068.2159600000014</v>
          </cell>
          <cell r="Y1403">
            <v>-1077.7997899999973</v>
          </cell>
          <cell r="Z1403">
            <v>-1088.4556699999994</v>
          </cell>
          <cell r="AA1403">
            <v>-1100.6722899999986</v>
          </cell>
          <cell r="AB1403">
            <v>-1114.4598800000022</v>
          </cell>
          <cell r="AC1403">
            <v>-1129.7386200000001</v>
          </cell>
          <cell r="AD1403">
            <v>-1146.3705799999989</v>
          </cell>
          <cell r="AE1403">
            <v>-1163.0809799999988</v>
          </cell>
          <cell r="AF1403">
            <v>-1180.240310000001</v>
          </cell>
          <cell r="AG1403">
            <v>-1197.691859999999</v>
          </cell>
          <cell r="AH1403">
            <v>-1215.3188300000002</v>
          </cell>
          <cell r="AI1403">
            <v>-1233.0277700000006</v>
          </cell>
          <cell r="AJ1403">
            <v>-1250.7323299999989</v>
          </cell>
          <cell r="AK1403">
            <v>-1268.3034299999999</v>
          </cell>
          <cell r="AL1403">
            <v>-1285.6244699999988</v>
          </cell>
          <cell r="AM1403">
            <v>-1302.6136599999991</v>
          </cell>
          <cell r="AN1403">
            <v>-1319.2068399999989</v>
          </cell>
          <cell r="AO1403">
            <v>-1335.3520800000006</v>
          </cell>
          <cell r="AP1403">
            <v>-1350.4490099999966</v>
          </cell>
          <cell r="AQ1403">
            <v>-1364.183729999997</v>
          </cell>
          <cell r="AR1403">
            <v>-1376.5883900000008</v>
          </cell>
          <cell r="AS1403">
            <v>-1387.8225499999971</v>
          </cell>
          <cell r="AT1403">
            <v>-1398.0813899999994</v>
          </cell>
          <cell r="AU1403">
            <v>-1407.5200299999997</v>
          </cell>
          <cell r="AV1403">
            <v>-1416.2405199999994</v>
          </cell>
          <cell r="AW1403">
            <v>-1424.3715499999998</v>
          </cell>
          <cell r="AX1403">
            <v>-1432.0372000000025</v>
          </cell>
          <cell r="AY1403">
            <v>-1439.347099999999</v>
          </cell>
          <cell r="AZ1403">
            <v>-1446.3575400000009</v>
          </cell>
          <cell r="BA1403">
            <v>-1452.9276599999976</v>
          </cell>
          <cell r="BB1403">
            <v>-1459.1030500000015</v>
          </cell>
          <cell r="BC1403">
            <v>-1464.9767399999982</v>
          </cell>
          <cell r="BD1403">
            <v>-1470.6439400000017</v>
          </cell>
          <cell r="BE1403">
            <v>43.635760000001028</v>
          </cell>
          <cell r="BF1403">
            <v>45.909630000001926</v>
          </cell>
          <cell r="BG1403">
            <v>48.272320000000036</v>
          </cell>
          <cell r="BH1403">
            <v>50.7316000000028</v>
          </cell>
          <cell r="BI1403">
            <v>53.282609999998385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0.48742331000000139</v>
          </cell>
          <cell r="G1404">
            <v>0.88533992999999811</v>
          </cell>
          <cell r="H1404">
            <v>1.187112709999999</v>
          </cell>
          <cell r="I1404">
            <v>1.414934000000001</v>
          </cell>
          <cell r="J1404">
            <v>1.5888676999999989</v>
          </cell>
          <cell r="K1404">
            <v>1.7241186899999983</v>
          </cell>
          <cell r="L1404">
            <v>1.8334974899999996</v>
          </cell>
          <cell r="M1404">
            <v>1.9238756999999995</v>
          </cell>
          <cell r="N1404">
            <v>2.0014522799999988</v>
          </cell>
          <cell r="O1404">
            <v>2.0708839399999985</v>
          </cell>
          <cell r="P1404">
            <v>2.171409859999998</v>
          </cell>
          <cell r="Q1404">
            <v>2.2369349799999991</v>
          </cell>
          <cell r="R1404">
            <v>2.2755729400000009</v>
          </cell>
          <cell r="S1404">
            <v>2.2976373800000003</v>
          </cell>
          <cell r="T1404">
            <v>2.3101973400000002</v>
          </cell>
          <cell r="U1404">
            <v>2.3179089600000009</v>
          </cell>
          <cell r="V1404">
            <v>2.3246697499999995</v>
          </cell>
          <cell r="W1404">
            <v>2.3325693000000007</v>
          </cell>
          <cell r="X1404">
            <v>2.342802690000001</v>
          </cell>
          <cell r="Y1404">
            <v>2.3560404199999994</v>
          </cell>
          <cell r="Z1404">
            <v>2.3738527199999999</v>
          </cell>
          <cell r="AA1404">
            <v>2.3930876799999998</v>
          </cell>
          <cell r="AB1404">
            <v>2.4157544900000021</v>
          </cell>
          <cell r="AC1404">
            <v>2.4414918800000018</v>
          </cell>
          <cell r="AD1404">
            <v>2.4698950299999995</v>
          </cell>
          <cell r="AE1404">
            <v>2.5040090000000017</v>
          </cell>
          <cell r="AF1404">
            <v>2.5358518800000009</v>
          </cell>
          <cell r="AG1404">
            <v>2.5683550499999983</v>
          </cell>
          <cell r="AH1404">
            <v>2.6011497199999982</v>
          </cell>
          <cell r="AI1404">
            <v>2.633973810000001</v>
          </cell>
          <cell r="AJ1404">
            <v>2.6666052299999992</v>
          </cell>
          <cell r="AK1404">
            <v>2.6987317999999982</v>
          </cell>
          <cell r="AL1404">
            <v>2.7300920000000009</v>
          </cell>
          <cell r="AM1404">
            <v>2.7605201999999993</v>
          </cell>
          <cell r="AN1404">
            <v>2.7898950700000009</v>
          </cell>
          <cell r="AO1404">
            <v>2.8181242100000006</v>
          </cell>
          <cell r="AP1404">
            <v>2.845257779999999</v>
          </cell>
          <cell r="AQ1404">
            <v>2.8692810899999976</v>
          </cell>
          <cell r="AR1404">
            <v>2.8904338000000003</v>
          </cell>
          <cell r="AS1404">
            <v>2.9091483400000007</v>
          </cell>
          <cell r="AT1404">
            <v>2.9258763500000007</v>
          </cell>
          <cell r="AU1404">
            <v>2.9409413199999985</v>
          </cell>
          <cell r="AV1404">
            <v>2.954535620000001</v>
          </cell>
          <cell r="AW1404">
            <v>2.9669264199999992</v>
          </cell>
          <cell r="AX1404">
            <v>2.9783709700000021</v>
          </cell>
          <cell r="AY1404">
            <v>2.9890940899999996</v>
          </cell>
          <cell r="AZ1404">
            <v>2.9990730399999999</v>
          </cell>
          <cell r="BA1404">
            <v>3.0080663199999997</v>
          </cell>
          <cell r="BB1404">
            <v>3.0161985499999986</v>
          </cell>
          <cell r="BC1404">
            <v>3.0236959300000006</v>
          </cell>
          <cell r="BD1404">
            <v>3.0307749800000003</v>
          </cell>
          <cell r="BE1404">
            <v>-8.9909590000000761E-2</v>
          </cell>
          <cell r="BF1404">
            <v>-9.4422660000001435E-2</v>
          </cell>
          <cell r="BG1404">
            <v>-9.911473000000226E-2</v>
          </cell>
          <cell r="BH1404">
            <v>-0.10399653000000009</v>
          </cell>
          <cell r="BI1404">
            <v>-0.10905186999999872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-1.0076801725271785</v>
          </cell>
          <cell r="G1405">
            <v>-1.0095811946756303</v>
          </cell>
          <cell r="H1405">
            <v>-1.0460279759799513</v>
          </cell>
          <cell r="I1405">
            <v>-1.0895043257365051</v>
          </cell>
          <cell r="J1405">
            <v>-1.1361424251501244</v>
          </cell>
          <cell r="K1405">
            <v>-1.185643276568342</v>
          </cell>
          <cell r="L1405">
            <v>-1.2393382515553499</v>
          </cell>
          <cell r="M1405">
            <v>-1.2954429125401024</v>
          </cell>
          <cell r="N1405">
            <v>-1.3534325899336472</v>
          </cell>
          <cell r="O1405">
            <v>-1.4126589807283201</v>
          </cell>
          <cell r="P1405">
            <v>-1.5480334198727443</v>
          </cell>
          <cell r="Q1405">
            <v>-1.5550461705383083</v>
          </cell>
          <cell r="R1405">
            <v>-1.5687681690159643</v>
          </cell>
          <cell r="S1405">
            <v>-1.5851409583671643</v>
          </cell>
          <cell r="T1405">
            <v>-1.60384038272088</v>
          </cell>
          <cell r="U1405">
            <v>-1.6249584992262061</v>
          </cell>
          <cell r="V1405">
            <v>-1.6516531282486293</v>
          </cell>
          <cell r="W1405">
            <v>-1.6800542713150557</v>
          </cell>
          <cell r="X1405">
            <v>-1.7101076933136756</v>
          </cell>
          <cell r="Y1405">
            <v>-1.7416336992563179</v>
          </cell>
          <cell r="Z1405">
            <v>-1.7741935652802343</v>
          </cell>
          <cell r="AA1405">
            <v>-1.8082099049483515</v>
          </cell>
          <cell r="AB1405">
            <v>-1.843316349902679</v>
          </cell>
          <cell r="AC1405">
            <v>-1.8793697901783604</v>
          </cell>
          <cell r="AD1405">
            <v>-1.9162906580442867</v>
          </cell>
          <cell r="AE1405">
            <v>-1.9531042767488727</v>
          </cell>
          <cell r="AF1405">
            <v>-1.9901278141835024</v>
          </cell>
          <cell r="AG1405">
            <v>-2.0284409660065879</v>
          </cell>
          <cell r="AH1405">
            <v>-2.0677591733521421</v>
          </cell>
          <cell r="AI1405">
            <v>-2.107909914724774</v>
          </cell>
          <cell r="AJ1405">
            <v>-2.1487751003471862</v>
          </cell>
          <cell r="AK1405">
            <v>-2.1895056221013123</v>
          </cell>
          <cell r="AL1405">
            <v>-2.2308928183456165</v>
          </cell>
          <cell r="AM1405">
            <v>-2.2728046006020977</v>
          </cell>
          <cell r="AN1405">
            <v>-2.3151519782980885</v>
          </cell>
          <cell r="AO1405">
            <v>-2.3578664888933343</v>
          </cell>
          <cell r="AP1405">
            <v>-2.393906098118773</v>
          </cell>
          <cell r="AQ1405">
            <v>-2.4313646318330573</v>
          </cell>
          <cell r="AR1405">
            <v>-2.4696047337240361</v>
          </cell>
          <cell r="AS1405">
            <v>-2.5083176577261352</v>
          </cell>
          <cell r="AT1405">
            <v>-2.5473443410102274</v>
          </cell>
          <cell r="AU1405">
            <v>-2.5855346788404101</v>
          </cell>
          <cell r="AV1405">
            <v>-2.6240733052689689</v>
          </cell>
          <cell r="AW1405">
            <v>-2.6628336263545882</v>
          </cell>
          <cell r="AX1405">
            <v>-2.7017480278002539</v>
          </cell>
          <cell r="AY1405">
            <v>-2.7407735312223758</v>
          </cell>
          <cell r="AZ1405">
            <v>-2.776302664135585</v>
          </cell>
          <cell r="BA1405">
            <v>-2.8123913441345008</v>
          </cell>
          <cell r="BB1405">
            <v>-2.8486813802673066</v>
          </cell>
          <cell r="BC1405">
            <v>-2.8849989619306444</v>
          </cell>
          <cell r="BD1405">
            <v>-2.9212671485904047</v>
          </cell>
          <cell r="BE1405">
            <v>2.5088340241877227E-2</v>
          </cell>
          <cell r="BF1405">
            <v>2.3677838209086803E-2</v>
          </cell>
          <cell r="BG1405">
            <v>2.2157323216682578E-2</v>
          </cell>
          <cell r="BH1405">
            <v>2.0562063689133103E-2</v>
          </cell>
          <cell r="BI1405">
            <v>1.8911098973554932E-2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3.1824121437084608E-2</v>
          </cell>
          <cell r="G1406">
            <v>3.4982730677926566E-2</v>
          </cell>
          <cell r="H1406">
            <v>4.2391143415854843E-2</v>
          </cell>
          <cell r="I1406">
            <v>5.0112610065283607E-2</v>
          </cell>
          <cell r="J1406">
            <v>5.7675864510450293E-2</v>
          </cell>
          <cell r="K1406">
            <v>6.4871624485222767E-2</v>
          </cell>
          <cell r="L1406">
            <v>7.1716466908555362E-2</v>
          </cell>
          <cell r="M1406">
            <v>7.8154127060175299E-2</v>
          </cell>
          <cell r="N1406">
            <v>8.420484994216601E-2</v>
          </cell>
          <cell r="O1406">
            <v>8.9872087286183011E-2</v>
          </cell>
          <cell r="P1406">
            <v>9.7386767910246155E-2</v>
          </cell>
          <cell r="Q1406">
            <v>0.10075883013525214</v>
          </cell>
          <cell r="R1406">
            <v>0.10414558236397556</v>
          </cell>
          <cell r="S1406">
            <v>0.10701723507976299</v>
          </cell>
          <cell r="T1406">
            <v>0.10933574793104053</v>
          </cell>
          <cell r="U1406">
            <v>0.11114770725390542</v>
          </cell>
          <cell r="V1406">
            <v>0.11260790699512499</v>
          </cell>
          <cell r="W1406">
            <v>0.11365778399564219</v>
          </cell>
          <cell r="X1406">
            <v>0.11436458838859787</v>
          </cell>
          <cell r="Y1406">
            <v>0.11477911968874113</v>
          </cell>
          <cell r="Z1406">
            <v>0.11497642428074037</v>
          </cell>
          <cell r="AA1406">
            <v>0.11495230121003688</v>
          </cell>
          <cell r="AB1406">
            <v>0.1147725965731327</v>
          </cell>
          <cell r="AC1406">
            <v>0.11447586931220502</v>
          </cell>
          <cell r="AD1406">
            <v>0.11409930405246477</v>
          </cell>
          <cell r="AE1406">
            <v>0.11374251609302492</v>
          </cell>
          <cell r="AF1406">
            <v>0.11331816586614904</v>
          </cell>
          <cell r="AG1406">
            <v>0.11292279252441192</v>
          </cell>
          <cell r="AH1406">
            <v>0.11256379412533206</v>
          </cell>
          <cell r="AI1406">
            <v>0.11225364025476223</v>
          </cell>
          <cell r="AJ1406">
            <v>0.11200229754462845</v>
          </cell>
          <cell r="AK1406">
            <v>0.1117945065003208</v>
          </cell>
          <cell r="AL1406">
            <v>0.11165854652011015</v>
          </cell>
          <cell r="AM1406">
            <v>0.11158901833340074</v>
          </cell>
          <cell r="AN1406">
            <v>0.11158323497589689</v>
          </cell>
          <cell r="AO1406">
            <v>0.11163814229885743</v>
          </cell>
          <cell r="AP1406">
            <v>0.11157311816164719</v>
          </cell>
          <cell r="AQ1406">
            <v>0.11160541742739095</v>
          </cell>
          <cell r="AR1406">
            <v>0.11168723572921851</v>
          </cell>
          <cell r="AS1406">
            <v>0.11180279414013845</v>
          </cell>
          <cell r="AT1406">
            <v>0.11194320763086696</v>
          </cell>
          <cell r="AU1406">
            <v>0.11207244049363761</v>
          </cell>
          <cell r="AV1406">
            <v>0.11222019495503409</v>
          </cell>
          <cell r="AW1406">
            <v>0.11237492141030117</v>
          </cell>
          <cell r="AX1406">
            <v>0.11253141905146496</v>
          </cell>
          <cell r="AY1406">
            <v>0.11268797244619513</v>
          </cell>
          <cell r="AZ1406">
            <v>0.11275384609537864</v>
          </cell>
          <cell r="BA1406">
            <v>0.11285788134124085</v>
          </cell>
          <cell r="BB1406">
            <v>0.11299288542460009</v>
          </cell>
          <cell r="BC1406">
            <v>0.11312323714606307</v>
          </cell>
          <cell r="BD1406">
            <v>0.11322289908103997</v>
          </cell>
          <cell r="BE1406">
            <v>-1.4290277810535823E-2</v>
          </cell>
          <cell r="BF1406">
            <v>-1.4575120011606733E-2</v>
          </cell>
          <cell r="BG1406">
            <v>-1.4850600843896618E-2</v>
          </cell>
          <cell r="BH1406">
            <v>-1.5118730917251105E-2</v>
          </cell>
          <cell r="BI1406">
            <v>-1.5380040732979224E-2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0.52716528429231657</v>
          </cell>
          <cell r="G1407">
            <v>0.91414060532741992</v>
          </cell>
          <cell r="H1407">
            <v>1.2318023718365112</v>
          </cell>
          <cell r="I1407">
            <v>1.4925450077057087</v>
          </cell>
          <cell r="J1407">
            <v>1.7061887770888597</v>
          </cell>
          <cell r="K1407">
            <v>1.8812457967336549</v>
          </cell>
          <cell r="L1407">
            <v>2.0259081065461331</v>
          </cell>
          <cell r="M1407">
            <v>2.1471035831184979</v>
          </cell>
          <cell r="N1407">
            <v>2.2502800888624459</v>
          </cell>
          <cell r="O1407">
            <v>2.3399500394808626</v>
          </cell>
          <cell r="P1407">
            <v>2.4601651149963639</v>
          </cell>
          <cell r="Q1407">
            <v>2.5314406804917735</v>
          </cell>
          <cell r="R1407">
            <v>2.575379177762676</v>
          </cell>
          <cell r="S1407">
            <v>2.5991502740999555</v>
          </cell>
          <cell r="T1407">
            <v>2.6082854271245548</v>
          </cell>
          <cell r="U1407">
            <v>2.6072449603329262</v>
          </cell>
          <cell r="V1407">
            <v>2.6013861454045717</v>
          </cell>
          <cell r="W1407">
            <v>2.5930378913625698</v>
          </cell>
          <cell r="X1407">
            <v>2.5842662502671803</v>
          </cell>
          <cell r="Y1407">
            <v>2.5766688706091605</v>
          </cell>
          <cell r="Z1407">
            <v>2.5708974756649856</v>
          </cell>
          <cell r="AA1407">
            <v>2.5693658288999015</v>
          </cell>
          <cell r="AB1407">
            <v>2.5713227081804368</v>
          </cell>
          <cell r="AC1407">
            <v>2.577063757529491</v>
          </cell>
          <cell r="AD1407">
            <v>2.5866908310592853</v>
          </cell>
          <cell r="AE1407">
            <v>2.5985211701938518</v>
          </cell>
          <cell r="AF1407">
            <v>2.6157548243877442</v>
          </cell>
          <cell r="AG1407">
            <v>2.6362482462552768</v>
          </cell>
          <cell r="AH1407">
            <v>2.6597193926761875</v>
          </cell>
          <cell r="AI1407">
            <v>2.6858406855939525</v>
          </cell>
          <cell r="AJ1407">
            <v>2.7142708455850544</v>
          </cell>
          <cell r="AK1407">
            <v>2.744282167042154</v>
          </cell>
          <cell r="AL1407">
            <v>2.7757232868856181</v>
          </cell>
          <cell r="AM1407">
            <v>2.8083933670511056</v>
          </cell>
          <cell r="AN1407">
            <v>2.8421006309559402</v>
          </cell>
          <cell r="AO1407">
            <v>2.8766680439346559</v>
          </cell>
          <cell r="AP1407">
            <v>2.9079564109054949</v>
          </cell>
          <cell r="AQ1407">
            <v>2.9380346140080502</v>
          </cell>
          <cell r="AR1407">
            <v>2.967337200912147</v>
          </cell>
          <cell r="AS1407">
            <v>2.9961487819220278</v>
          </cell>
          <cell r="AT1407">
            <v>3.0246586985680293</v>
          </cell>
          <cell r="AU1407">
            <v>3.0524498183746021</v>
          </cell>
          <cell r="AV1407">
            <v>3.0798735696724902</v>
          </cell>
          <cell r="AW1407">
            <v>3.1071609998206564</v>
          </cell>
          <cell r="AX1407">
            <v>3.1345087250890789</v>
          </cell>
          <cell r="AY1407">
            <v>3.1620844186964736</v>
          </cell>
          <cell r="AZ1407">
            <v>3.18818284439946</v>
          </cell>
          <cell r="BA1407">
            <v>3.2136110077618718</v>
          </cell>
          <cell r="BB1407">
            <v>3.2388364980084261</v>
          </cell>
          <cell r="BC1407">
            <v>3.264194988767132</v>
          </cell>
          <cell r="BD1407">
            <v>3.2899119856378034</v>
          </cell>
          <cell r="BE1407">
            <v>-3.3322679994021893E-2</v>
          </cell>
          <cell r="BF1407">
            <v>-3.5692533237813295E-2</v>
          </cell>
          <cell r="BG1407">
            <v>-3.8023948859414007E-2</v>
          </cell>
          <cell r="BH1407">
            <v>-4.0292657603382964E-2</v>
          </cell>
          <cell r="BI1407">
            <v>-4.248222650924012E-2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0.5595130876852823</v>
          </cell>
          <cell r="G1408">
            <v>0.90705638826391355</v>
          </cell>
          <cell r="H1408">
            <v>1.1734607404627173</v>
          </cell>
          <cell r="I1408">
            <v>1.4037286013111514</v>
          </cell>
          <cell r="J1408">
            <v>1.613533481002781</v>
          </cell>
          <cell r="K1408">
            <v>1.8073859556858467</v>
          </cell>
          <cell r="L1408">
            <v>1.9875454958835834</v>
          </cell>
          <cell r="M1408">
            <v>2.155803928814473</v>
          </cell>
          <cell r="N1408">
            <v>2.314136326939042</v>
          </cell>
          <cell r="O1408">
            <v>2.4649833396541356</v>
          </cell>
          <cell r="P1408">
            <v>2.6534697122330111</v>
          </cell>
          <cell r="Q1408">
            <v>2.7864879730955412</v>
          </cell>
          <cell r="R1408">
            <v>2.9011458331159248</v>
          </cell>
          <cell r="S1408">
            <v>3.00397538542529</v>
          </cell>
          <cell r="T1408">
            <v>3.0966928697271743</v>
          </cell>
          <cell r="U1408">
            <v>3.1801486447450191</v>
          </cell>
          <cell r="V1408">
            <v>3.2572875918605728</v>
          </cell>
          <cell r="W1408">
            <v>3.3290814867384562</v>
          </cell>
          <cell r="X1408">
            <v>3.3963964545923915</v>
          </cell>
          <cell r="Y1408">
            <v>3.4603093370107536</v>
          </cell>
          <cell r="Z1408">
            <v>3.5220353212417876</v>
          </cell>
          <cell r="AA1408">
            <v>3.5821044476100421</v>
          </cell>
          <cell r="AB1408">
            <v>3.6411258496630587</v>
          </cell>
          <cell r="AC1408">
            <v>3.6998321317231908</v>
          </cell>
          <cell r="AD1408">
            <v>3.7586458373125602</v>
          </cell>
          <cell r="AE1408">
            <v>3.818667499476776</v>
          </cell>
          <cell r="AF1408">
            <v>3.8781526289513062</v>
          </cell>
          <cell r="AG1408">
            <v>3.9372941698750443</v>
          </cell>
          <cell r="AH1408">
            <v>3.9970404478895749</v>
          </cell>
          <cell r="AI1408">
            <v>4.0578168272977839</v>
          </cell>
          <cell r="AJ1408">
            <v>4.1197973246322226</v>
          </cell>
          <cell r="AK1408">
            <v>4.1826516430548839</v>
          </cell>
          <cell r="AL1408">
            <v>4.2465323194547278</v>
          </cell>
          <cell r="AM1408">
            <v>4.3117527245597902</v>
          </cell>
          <cell r="AN1408">
            <v>4.3785084893030861</v>
          </cell>
          <cell r="AO1408">
            <v>4.4469122836740826</v>
          </cell>
          <cell r="AP1408">
            <v>4.5134482975727241</v>
          </cell>
          <cell r="AQ1408">
            <v>4.5782032404596551</v>
          </cell>
          <cell r="AR1408">
            <v>4.6430554112655491</v>
          </cell>
          <cell r="AS1408">
            <v>4.7089373539293282</v>
          </cell>
          <cell r="AT1408">
            <v>4.7761583182531542</v>
          </cell>
          <cell r="AU1408">
            <v>4.8441270093214399</v>
          </cell>
          <cell r="AV1408">
            <v>4.9128031954882943</v>
          </cell>
          <cell r="AW1408">
            <v>4.9824891774663964</v>
          </cell>
          <cell r="AX1408">
            <v>5.0533340405282585</v>
          </cell>
          <cell r="AY1408">
            <v>5.1254063268901104</v>
          </cell>
          <cell r="AZ1408">
            <v>5.1966779534474039</v>
          </cell>
          <cell r="BA1408">
            <v>5.2672143046086752</v>
          </cell>
          <cell r="BB1408">
            <v>5.3383261583224035</v>
          </cell>
          <cell r="BC1408">
            <v>5.41057145297827</v>
          </cell>
          <cell r="BD1408">
            <v>5.4840707673157709</v>
          </cell>
          <cell r="BE1408">
            <v>-2.889316514713032E-2</v>
          </cell>
          <cell r="BF1408">
            <v>-3.2486357194434073E-2</v>
          </cell>
          <cell r="BG1408">
            <v>-3.6087102957965168E-2</v>
          </cell>
          <cell r="BH1408">
            <v>-3.964266266881554E-2</v>
          </cell>
          <cell r="BI1408">
            <v>-4.3128238461639587E-2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2.0465667142262389</v>
          </cell>
          <cell r="G1409">
            <v>3.5600696670087806</v>
          </cell>
          <cell r="H1409">
            <v>5.333336375313813</v>
          </cell>
          <cell r="I1409">
            <v>7.2591000222544499</v>
          </cell>
          <cell r="J1409">
            <v>9.2918996098753084</v>
          </cell>
          <cell r="K1409">
            <v>11.405964892522224</v>
          </cell>
          <cell r="L1409">
            <v>13.59451586207051</v>
          </cell>
          <cell r="M1409">
            <v>15.837806001140509</v>
          </cell>
          <cell r="N1409">
            <v>18.124617057707702</v>
          </cell>
          <cell r="O1409">
            <v>20.446586973008117</v>
          </cell>
          <cell r="P1409">
            <v>22.950236935480739</v>
          </cell>
          <cell r="Q1409">
            <v>25.31080833026126</v>
          </cell>
          <cell r="R1409">
            <v>27.639035125684831</v>
          </cell>
          <cell r="S1409">
            <v>29.922449260564822</v>
          </cell>
          <cell r="T1409">
            <v>32.158587056286834</v>
          </cell>
          <cell r="U1409">
            <v>34.347820563009279</v>
          </cell>
          <cell r="V1409">
            <v>36.499031487063796</v>
          </cell>
          <cell r="W1409">
            <v>38.612293436963853</v>
          </cell>
          <cell r="X1409">
            <v>40.692248290251463</v>
          </cell>
          <cell r="Y1409">
            <v>42.743662223442549</v>
          </cell>
          <cell r="Z1409">
            <v>44.802824267261357</v>
          </cell>
          <cell r="AA1409">
            <v>46.821853823885093</v>
          </cell>
          <cell r="AB1409">
            <v>48.825419726275598</v>
          </cell>
          <cell r="AC1409">
            <v>50.818063316637073</v>
          </cell>
          <cell r="AD1409">
            <v>52.804178086825857</v>
          </cell>
          <cell r="AE1409">
            <v>54.891023747847854</v>
          </cell>
          <cell r="AF1409">
            <v>56.954640256405774</v>
          </cell>
          <cell r="AG1409">
            <v>59.031202684607941</v>
          </cell>
          <cell r="AH1409">
            <v>61.120013477323212</v>
          </cell>
          <cell r="AI1409">
            <v>63.220989350457735</v>
          </cell>
          <cell r="AJ1409">
            <v>65.334082752782265</v>
          </cell>
          <cell r="AK1409">
            <v>67.45741267053738</v>
          </cell>
          <cell r="AL1409">
            <v>69.591492653454736</v>
          </cell>
          <cell r="AM1409">
            <v>71.735945705011503</v>
          </cell>
          <cell r="AN1409">
            <v>73.890654682789929</v>
          </cell>
          <cell r="AO1409">
            <v>76.055640702262536</v>
          </cell>
          <cell r="AP1409">
            <v>78.246073068184941</v>
          </cell>
          <cell r="AQ1409">
            <v>80.447776179882652</v>
          </cell>
          <cell r="AR1409">
            <v>82.656980296104294</v>
          </cell>
          <cell r="AS1409">
            <v>84.871899148569696</v>
          </cell>
          <cell r="AT1409">
            <v>87.091696557155345</v>
          </cell>
          <cell r="AU1409">
            <v>89.313349749488083</v>
          </cell>
          <cell r="AV1409">
            <v>91.537619370692482</v>
          </cell>
          <cell r="AW1409">
            <v>93.764054418028948</v>
          </cell>
          <cell r="AX1409">
            <v>95.992732256195723</v>
          </cell>
          <cell r="AY1409">
            <v>98.224052091275738</v>
          </cell>
          <cell r="AZ1409">
            <v>100.44649992215484</v>
          </cell>
          <cell r="BA1409">
            <v>102.66644078365795</v>
          </cell>
          <cell r="BB1409">
            <v>104.8836181877911</v>
          </cell>
          <cell r="BC1409">
            <v>107.09909619455273</v>
          </cell>
          <cell r="BD1409">
            <v>109.31438037426902</v>
          </cell>
          <cell r="BE1409">
            <v>-0.31622750646672637</v>
          </cell>
          <cell r="BF1409">
            <v>-0.35047498363949825</v>
          </cell>
          <cell r="BG1409">
            <v>-0.38649508567719648</v>
          </cell>
          <cell r="BH1409">
            <v>-0.42419383410826628</v>
          </cell>
          <cell r="BI1409">
            <v>-0.46344306992865403</v>
          </cell>
        </row>
        <row r="1410">
          <cell r="C1410" t="str">
            <v>PIB</v>
          </cell>
          <cell r="E1410" t="str">
            <v>GDP_2</v>
          </cell>
          <cell r="F1410">
            <v>2170404.8859999999</v>
          </cell>
          <cell r="G1410">
            <v>2189915.142</v>
          </cell>
          <cell r="H1410">
            <v>2212597.2910000002</v>
          </cell>
          <cell r="I1410">
            <v>2237907.2409999999</v>
          </cell>
          <cell r="J1410">
            <v>2265613.091</v>
          </cell>
          <cell r="K1410">
            <v>2295408.1329999999</v>
          </cell>
          <cell r="L1410">
            <v>2325422.1740000001</v>
          </cell>
          <cell r="M1410">
            <v>2356560.0129999998</v>
          </cell>
          <cell r="N1410">
            <v>2388687.5070000002</v>
          </cell>
          <cell r="O1410">
            <v>2421683.952</v>
          </cell>
          <cell r="P1410">
            <v>2455694.3149999999</v>
          </cell>
          <cell r="Q1410">
            <v>2491962.2650000001</v>
          </cell>
          <cell r="R1410">
            <v>2528971.0159999998</v>
          </cell>
          <cell r="S1410">
            <v>2566687.639</v>
          </cell>
          <cell r="T1410">
            <v>2605037.7050000001</v>
          </cell>
          <cell r="U1410">
            <v>2643960.0380000002</v>
          </cell>
          <cell r="V1410">
            <v>2683280.9670000002</v>
          </cell>
          <cell r="W1410">
            <v>2723066.4309999999</v>
          </cell>
          <cell r="X1410">
            <v>2763297.199</v>
          </cell>
          <cell r="Y1410">
            <v>2803964.77</v>
          </cell>
          <cell r="Z1410">
            <v>2843091.5520000001</v>
          </cell>
          <cell r="AA1410">
            <v>2884087.4580000001</v>
          </cell>
          <cell r="AB1410">
            <v>2925642.2069999999</v>
          </cell>
          <cell r="AC1410">
            <v>2967767.7439999999</v>
          </cell>
          <cell r="AD1410">
            <v>3010467.9309999999</v>
          </cell>
          <cell r="AE1410">
            <v>3048058.4959999998</v>
          </cell>
          <cell r="AF1410">
            <v>3087698.0350000001</v>
          </cell>
          <cell r="AG1410">
            <v>3127465.699</v>
          </cell>
          <cell r="AH1410">
            <v>3167501.94</v>
          </cell>
          <cell r="AI1410">
            <v>3207914.301</v>
          </cell>
          <cell r="AJ1410">
            <v>3248786.02</v>
          </cell>
          <cell r="AK1410">
            <v>3290215.9279999998</v>
          </cell>
          <cell r="AL1410">
            <v>3332214.92</v>
          </cell>
          <cell r="AM1410">
            <v>3374805.699</v>
          </cell>
          <cell r="AN1410">
            <v>3417998.7710000002</v>
          </cell>
          <cell r="AO1410">
            <v>3461797.4610000001</v>
          </cell>
          <cell r="AP1410">
            <v>3505203.8089999999</v>
          </cell>
          <cell r="AQ1410">
            <v>3548904.6839999999</v>
          </cell>
          <cell r="AR1410">
            <v>3592956.5380000002</v>
          </cell>
          <cell r="AS1410">
            <v>3637410.1430000002</v>
          </cell>
          <cell r="AT1410">
            <v>3682312.5780000002</v>
          </cell>
          <cell r="AU1410">
            <v>3727768.1290000002</v>
          </cell>
          <cell r="AV1410">
            <v>3773763.7919999999</v>
          </cell>
          <cell r="AW1410">
            <v>3820322.6009999998</v>
          </cell>
          <cell r="AX1410">
            <v>3867458.6</v>
          </cell>
          <cell r="AY1410">
            <v>3915179.9810000001</v>
          </cell>
          <cell r="AZ1410">
            <v>3963838.915</v>
          </cell>
          <cell r="BA1410">
            <v>4013181.7280000001</v>
          </cell>
          <cell r="BB1410">
            <v>4063194.0920000002</v>
          </cell>
          <cell r="BC1410">
            <v>4113858.7740000002</v>
          </cell>
          <cell r="BD1410">
            <v>4165163.0329999998</v>
          </cell>
          <cell r="BE1410">
            <v>4934052.733</v>
          </cell>
          <cell r="BF1410">
            <v>5016319.7319999998</v>
          </cell>
          <cell r="BG1410">
            <v>5099876.3890000004</v>
          </cell>
          <cell r="BH1410">
            <v>5184742.5460000001</v>
          </cell>
          <cell r="BI1410">
            <v>5270939.8990000002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-3.6723291074736153E-8</v>
          </cell>
          <cell r="X1411">
            <v>0</v>
          </cell>
          <cell r="Y1411">
            <v>-3.566379414010612E-8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0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-2.4611179760825053E-8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-1.8971946236234771E-8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1178538.5730000001</v>
          </cell>
          <cell r="G1412">
            <v>1215489.361</v>
          </cell>
          <cell r="H1412">
            <v>1253606.946</v>
          </cell>
          <cell r="I1412">
            <v>1293289.621</v>
          </cell>
          <cell r="J1412">
            <v>1335329.5360000001</v>
          </cell>
          <cell r="K1412">
            <v>1380020.047</v>
          </cell>
          <cell r="L1412">
            <v>1426037.2439999999</v>
          </cell>
          <cell r="M1412">
            <v>1474680.591</v>
          </cell>
          <cell r="N1412">
            <v>1525929.98</v>
          </cell>
          <cell r="O1412">
            <v>1579805.358</v>
          </cell>
          <cell r="P1412">
            <v>1638948.8470000001</v>
          </cell>
          <cell r="Q1412">
            <v>1698004.862</v>
          </cell>
          <cell r="R1412">
            <v>1760040.267</v>
          </cell>
          <cell r="S1412">
            <v>1825168.1839999999</v>
          </cell>
          <cell r="T1412">
            <v>1893376.83</v>
          </cell>
          <cell r="U1412">
            <v>1964620.8929999999</v>
          </cell>
          <cell r="V1412">
            <v>2038867.746</v>
          </cell>
          <cell r="W1412">
            <v>2116093.6090000002</v>
          </cell>
          <cell r="X1412">
            <v>2196266.6919999998</v>
          </cell>
          <cell r="Y1412">
            <v>2279375.5359999998</v>
          </cell>
          <cell r="Z1412">
            <v>2363079.4589999998</v>
          </cell>
          <cell r="AA1412">
            <v>2451954.6749999998</v>
          </cell>
          <cell r="AB1412">
            <v>2543773.1779999998</v>
          </cell>
          <cell r="AC1412">
            <v>2638600.9569999999</v>
          </cell>
          <cell r="AD1412">
            <v>2736490.287</v>
          </cell>
          <cell r="AE1412">
            <v>2829992.62</v>
          </cell>
          <cell r="AF1412">
            <v>2930154.4270000001</v>
          </cell>
          <cell r="AG1412">
            <v>3033163.0090000001</v>
          </cell>
          <cell r="AH1412">
            <v>3139173.9410000001</v>
          </cell>
          <cell r="AI1412">
            <v>3248310.09</v>
          </cell>
          <cell r="AJ1412">
            <v>3360693.92</v>
          </cell>
          <cell r="AK1412">
            <v>3476458.983</v>
          </cell>
          <cell r="AL1412">
            <v>3595759.3620000002</v>
          </cell>
          <cell r="AM1412">
            <v>3718783.0079999999</v>
          </cell>
          <cell r="AN1412">
            <v>3845727.2590000001</v>
          </cell>
          <cell r="AO1412">
            <v>3976796.5359999998</v>
          </cell>
          <cell r="AP1412">
            <v>4109895.4190000002</v>
          </cell>
          <cell r="AQ1412">
            <v>4247229.5209999997</v>
          </cell>
          <cell r="AR1412">
            <v>4389087.6730000004</v>
          </cell>
          <cell r="AS1412">
            <v>4535729.3020000001</v>
          </cell>
          <cell r="AT1412">
            <v>4687380.2309999997</v>
          </cell>
          <cell r="AU1412">
            <v>4844236.818</v>
          </cell>
          <cell r="AV1412">
            <v>5006489.0389999999</v>
          </cell>
          <cell r="AW1412">
            <v>5174371.6540000001</v>
          </cell>
          <cell r="AX1412">
            <v>5348116.4220000003</v>
          </cell>
          <cell r="AY1412">
            <v>5527956.0070000002</v>
          </cell>
          <cell r="AZ1412">
            <v>5714324.176</v>
          </cell>
          <cell r="BA1412">
            <v>5907170.7120000003</v>
          </cell>
          <cell r="BB1412">
            <v>6106846.2920000004</v>
          </cell>
          <cell r="BC1412">
            <v>6313647.0899999999</v>
          </cell>
          <cell r="BD1412">
            <v>6527836.0049999999</v>
          </cell>
          <cell r="BE1412">
            <v>6406006.1739999996</v>
          </cell>
          <cell r="BF1412">
            <v>6609777.1940000001</v>
          </cell>
          <cell r="BG1412">
            <v>6819700.4450000003</v>
          </cell>
          <cell r="BH1412">
            <v>7035997.3969999999</v>
          </cell>
          <cell r="BI1412">
            <v>7258896.4110000003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1000209.576</v>
          </cell>
          <cell r="G1413">
            <v>1022659.1949999999</v>
          </cell>
          <cell r="H1413">
            <v>1046735.817</v>
          </cell>
          <cell r="I1413">
            <v>1072765.456</v>
          </cell>
          <cell r="J1413">
            <v>1101148.31</v>
          </cell>
          <cell r="K1413">
            <v>1132129.7560000001</v>
          </cell>
          <cell r="L1413">
            <v>1165112.709</v>
          </cell>
          <cell r="M1413">
            <v>1200375.7180000001</v>
          </cell>
          <cell r="N1413">
            <v>1237936.8359999999</v>
          </cell>
          <cell r="O1413">
            <v>1277790.7439999999</v>
          </cell>
          <cell r="P1413">
            <v>1320186.882</v>
          </cell>
          <cell r="Q1413">
            <v>1365179.1950000001</v>
          </cell>
          <cell r="R1413">
            <v>1412949.0079999999</v>
          </cell>
          <cell r="S1413">
            <v>1463434.463</v>
          </cell>
          <cell r="T1413">
            <v>1516579.7250000001</v>
          </cell>
          <cell r="U1413">
            <v>1572327.8459999999</v>
          </cell>
          <cell r="V1413">
            <v>1630575.0660000001</v>
          </cell>
          <cell r="W1413">
            <v>1691271.193</v>
          </cell>
          <cell r="X1413">
            <v>1754363.091</v>
          </cell>
          <cell r="Y1413">
            <v>1819802.129</v>
          </cell>
          <cell r="Z1413">
            <v>1886369.416</v>
          </cell>
          <cell r="AA1413">
            <v>1955636.662</v>
          </cell>
          <cell r="AB1413">
            <v>2027241.817</v>
          </cell>
          <cell r="AC1413">
            <v>2101186.8650000002</v>
          </cell>
          <cell r="AD1413">
            <v>2177468.0380000002</v>
          </cell>
          <cell r="AE1413">
            <v>2252308.7179999999</v>
          </cell>
          <cell r="AF1413">
            <v>2329070.0359999998</v>
          </cell>
          <cell r="AG1413">
            <v>2407297.9879999999</v>
          </cell>
          <cell r="AH1413">
            <v>2487181.8429999999</v>
          </cell>
          <cell r="AI1413">
            <v>2568896.21</v>
          </cell>
          <cell r="AJ1413">
            <v>2652601.1230000001</v>
          </cell>
          <cell r="AK1413">
            <v>2738461.4619999998</v>
          </cell>
          <cell r="AL1413">
            <v>2826613.341</v>
          </cell>
          <cell r="AM1413">
            <v>2917190.4219999998</v>
          </cell>
          <cell r="AN1413">
            <v>3010324.8560000001</v>
          </cell>
          <cell r="AO1413">
            <v>3106149.5090000001</v>
          </cell>
          <cell r="AP1413">
            <v>3203848.4339999999</v>
          </cell>
          <cell r="AQ1413">
            <v>3303908.196</v>
          </cell>
          <cell r="AR1413">
            <v>3406535.04</v>
          </cell>
          <cell r="AS1413">
            <v>3511954.8059999999</v>
          </cell>
          <cell r="AT1413">
            <v>3620393.5690000001</v>
          </cell>
          <cell r="AU1413">
            <v>3732099.0260000001</v>
          </cell>
          <cell r="AV1413">
            <v>3847268.3280000002</v>
          </cell>
          <cell r="AW1413">
            <v>3966090.1919999998</v>
          </cell>
          <cell r="AX1413">
            <v>4088742.176</v>
          </cell>
          <cell r="AY1413">
            <v>4215392.8530000001</v>
          </cell>
          <cell r="AZ1413">
            <v>4346445.72</v>
          </cell>
          <cell r="BA1413">
            <v>4481995.5930000003</v>
          </cell>
          <cell r="BB1413">
            <v>4622189.0710000005</v>
          </cell>
          <cell r="BC1413">
            <v>4767172.9709999999</v>
          </cell>
          <cell r="BD1413">
            <v>4917095.4170000004</v>
          </cell>
          <cell r="BE1413">
            <v>6227547.3530000001</v>
          </cell>
          <cell r="BF1413">
            <v>6447101.7589999996</v>
          </cell>
          <cell r="BG1413">
            <v>6673897.7949999999</v>
          </cell>
          <cell r="BH1413">
            <v>6908213.1090000002</v>
          </cell>
          <cell r="BI1413">
            <v>7150343.2790000001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-76351.928740000003</v>
          </cell>
          <cell r="G1414">
            <v>-87035.501699999993</v>
          </cell>
          <cell r="H1414">
            <v>-96724.689039999997</v>
          </cell>
          <cell r="I1414">
            <v>-105541.4918</v>
          </cell>
          <cell r="J1414">
            <v>-113921.47749999999</v>
          </cell>
          <cell r="K1414">
            <v>-121934.4685</v>
          </cell>
          <cell r="L1414">
            <v>-128871.9901</v>
          </cell>
          <cell r="M1414">
            <v>-135808.72760000001</v>
          </cell>
          <cell r="N1414">
            <v>-142706.56299999999</v>
          </cell>
          <cell r="O1414">
            <v>-149592.70420000001</v>
          </cell>
          <cell r="P1414">
            <v>-158860.41959999999</v>
          </cell>
          <cell r="Q1414">
            <v>-164981.1005</v>
          </cell>
          <cell r="R1414">
            <v>-170997.63829999999</v>
          </cell>
          <cell r="S1414">
            <v>-177090.21890000001</v>
          </cell>
          <cell r="T1414">
            <v>-183299.0919</v>
          </cell>
          <cell r="U1414">
            <v>-189630.07879999999</v>
          </cell>
          <cell r="V1414">
            <v>-196148.20819999999</v>
          </cell>
          <cell r="W1414">
            <v>-202870.5338</v>
          </cell>
          <cell r="X1414">
            <v>-209808.19190000001</v>
          </cell>
          <cell r="Y1414">
            <v>-216987.5877</v>
          </cell>
          <cell r="Z1414">
            <v>-223274.8449</v>
          </cell>
          <cell r="AA1414">
            <v>-231719.07250000001</v>
          </cell>
          <cell r="AB1414">
            <v>-240346.46710000001</v>
          </cell>
          <cell r="AC1414">
            <v>-249211.87450000001</v>
          </cell>
          <cell r="AD1414">
            <v>-258359.43770000001</v>
          </cell>
          <cell r="AE1414">
            <v>-264103.11900000001</v>
          </cell>
          <cell r="AF1414">
            <v>-274298.45189999999</v>
          </cell>
          <cell r="AG1414">
            <v>-285364.1593</v>
          </cell>
          <cell r="AH1414">
            <v>-297223.0282</v>
          </cell>
          <cell r="AI1414">
            <v>-309783.65950000001</v>
          </cell>
          <cell r="AJ1414">
            <v>-322973.3934</v>
          </cell>
          <cell r="AK1414">
            <v>-336729.44770000002</v>
          </cell>
          <cell r="AL1414">
            <v>-351041.47470000002</v>
          </cell>
          <cell r="AM1414">
            <v>-365935.96649999998</v>
          </cell>
          <cell r="AN1414">
            <v>-381448.98499999999</v>
          </cell>
          <cell r="AO1414">
            <v>-397621.15950000001</v>
          </cell>
          <cell r="AP1414">
            <v>-413140.05920000002</v>
          </cell>
          <cell r="AQ1414">
            <v>-429757.39760000003</v>
          </cell>
          <cell r="AR1414">
            <v>-447500.83480000001</v>
          </cell>
          <cell r="AS1414">
            <v>-466347.65659999999</v>
          </cell>
          <cell r="AT1414">
            <v>-486242.43979999999</v>
          </cell>
          <cell r="AU1414">
            <v>-507081.4474</v>
          </cell>
          <cell r="AV1414">
            <v>-528810.29399999999</v>
          </cell>
          <cell r="AW1414">
            <v>-551430.52989999996</v>
          </cell>
          <cell r="AX1414">
            <v>-574951.78700000001</v>
          </cell>
          <cell r="AY1414">
            <v>-599393.10589999997</v>
          </cell>
          <cell r="AZ1414">
            <v>-624738.7537</v>
          </cell>
          <cell r="BA1414">
            <v>-650798.47820000001</v>
          </cell>
          <cell r="BB1414">
            <v>-677740.65659999999</v>
          </cell>
          <cell r="BC1414">
            <v>-705670.52139999997</v>
          </cell>
          <cell r="BD1414">
            <v>-734653.46459999995</v>
          </cell>
          <cell r="BE1414">
            <v>77863.230030000006</v>
          </cell>
          <cell r="BF1414">
            <v>89753.453880000001</v>
          </cell>
          <cell r="BG1414">
            <v>102138.5665</v>
          </cell>
          <cell r="BH1414">
            <v>115050</v>
          </cell>
          <cell r="BI1414">
            <v>128528.6568</v>
          </cell>
        </row>
        <row r="1415">
          <cell r="C1415" t="str">
            <v>Dette publique</v>
          </cell>
          <cell r="E1415" t="str">
            <v>DEBT_G_VAL_2</v>
          </cell>
          <cell r="F1415">
            <v>2115893.2820000001</v>
          </cell>
          <cell r="G1415">
            <v>2202928.784</v>
          </cell>
          <cell r="H1415">
            <v>2299653.4730000002</v>
          </cell>
          <cell r="I1415">
            <v>2405194.9649999999</v>
          </cell>
          <cell r="J1415">
            <v>2519116.4419999998</v>
          </cell>
          <cell r="K1415">
            <v>2641050.9109999998</v>
          </cell>
          <cell r="L1415">
            <v>2769922.9010000001</v>
          </cell>
          <cell r="M1415">
            <v>2905731.628</v>
          </cell>
          <cell r="N1415">
            <v>3048438.1910000001</v>
          </cell>
          <cell r="O1415">
            <v>3198030.8960000002</v>
          </cell>
          <cell r="P1415">
            <v>3356891.3149999999</v>
          </cell>
          <cell r="Q1415">
            <v>3521872.4160000002</v>
          </cell>
          <cell r="R1415">
            <v>3692870.054</v>
          </cell>
          <cell r="S1415">
            <v>3869960.273</v>
          </cell>
          <cell r="T1415">
            <v>4053259.3650000002</v>
          </cell>
          <cell r="U1415">
            <v>4242889.4440000001</v>
          </cell>
          <cell r="V1415">
            <v>4439037.6519999998</v>
          </cell>
          <cell r="W1415">
            <v>4641908.1859999998</v>
          </cell>
          <cell r="X1415">
            <v>4851716.3779999996</v>
          </cell>
          <cell r="Y1415">
            <v>5068703.9649999999</v>
          </cell>
          <cell r="Z1415">
            <v>5291978.8099999996</v>
          </cell>
          <cell r="AA1415">
            <v>5523697.8830000004</v>
          </cell>
          <cell r="AB1415">
            <v>5764044.3499999996</v>
          </cell>
          <cell r="AC1415">
            <v>6013256.2240000004</v>
          </cell>
          <cell r="AD1415">
            <v>6271615.6619999995</v>
          </cell>
          <cell r="AE1415">
            <v>6535718.7810000004</v>
          </cell>
          <cell r="AF1415">
            <v>6810017.233</v>
          </cell>
          <cell r="AG1415">
            <v>7095381.392</v>
          </cell>
          <cell r="AH1415">
            <v>7392604.4199999999</v>
          </cell>
          <cell r="AI1415">
            <v>7702388.0800000001</v>
          </cell>
          <cell r="AJ1415">
            <v>8025361.4730000002</v>
          </cell>
          <cell r="AK1415">
            <v>8362090.9210000001</v>
          </cell>
          <cell r="AL1415">
            <v>8713132.3959999997</v>
          </cell>
          <cell r="AM1415">
            <v>9079068.3619999997</v>
          </cell>
          <cell r="AN1415">
            <v>9460517.3469999991</v>
          </cell>
          <cell r="AO1415">
            <v>9858138.5069999993</v>
          </cell>
          <cell r="AP1415">
            <v>10271278.57</v>
          </cell>
          <cell r="AQ1415">
            <v>10701035.960000001</v>
          </cell>
          <cell r="AR1415">
            <v>11148536.800000001</v>
          </cell>
          <cell r="AS1415">
            <v>11614884.460000001</v>
          </cell>
          <cell r="AT1415">
            <v>12101126.890000001</v>
          </cell>
          <cell r="AU1415">
            <v>12608208.34</v>
          </cell>
          <cell r="AV1415">
            <v>13137018.640000001</v>
          </cell>
          <cell r="AW1415">
            <v>13688449.17</v>
          </cell>
          <cell r="AX1415">
            <v>14263400.949999999</v>
          </cell>
          <cell r="AY1415">
            <v>14862794.060000001</v>
          </cell>
          <cell r="AZ1415">
            <v>15487532.810000001</v>
          </cell>
          <cell r="BA1415">
            <v>16138331.289999999</v>
          </cell>
          <cell r="BB1415">
            <v>16816071.949999999</v>
          </cell>
          <cell r="BC1415">
            <v>17521742.469999999</v>
          </cell>
          <cell r="BD1415">
            <v>18256395.93</v>
          </cell>
          <cell r="BE1415">
            <v>5048577.7790000001</v>
          </cell>
          <cell r="BF1415">
            <v>4958824.3250000002</v>
          </cell>
          <cell r="BG1415">
            <v>4856685.7580000004</v>
          </cell>
          <cell r="BH1415">
            <v>4741635.7580000004</v>
          </cell>
          <cell r="BI1415">
            <v>4613107.102</v>
          </cell>
        </row>
        <row r="1434">
          <cell r="F1434">
            <v>27189.233509999998</v>
          </cell>
          <cell r="G1434">
            <v>27055.759119999999</v>
          </cell>
          <cell r="H1434">
            <v>26961.422020000002</v>
          </cell>
          <cell r="I1434">
            <v>26912.047640000001</v>
          </cell>
          <cell r="J1434">
            <v>26904.765169999999</v>
          </cell>
          <cell r="K1434">
            <v>26933.310860000001</v>
          </cell>
          <cell r="L1434">
            <v>26979.821499999998</v>
          </cell>
          <cell r="M1434">
            <v>27039.47666</v>
          </cell>
          <cell r="N1434">
            <v>27108.617320000001</v>
          </cell>
          <cell r="O1434">
            <v>27184.228050000002</v>
          </cell>
          <cell r="P1434">
            <v>27266.763650000001</v>
          </cell>
          <cell r="Q1434">
            <v>27360.653869999998</v>
          </cell>
          <cell r="R1434">
            <v>27461.889780000001</v>
          </cell>
          <cell r="S1434">
            <v>27566.935890000001</v>
          </cell>
          <cell r="T1434">
            <v>27673.260020000002</v>
          </cell>
          <cell r="U1434">
            <v>27779.18014</v>
          </cell>
          <cell r="V1434">
            <v>27883.328440000001</v>
          </cell>
          <cell r="W1434">
            <v>27985.06826</v>
          </cell>
          <cell r="X1434">
            <v>28084.163219999999</v>
          </cell>
          <cell r="Y1434">
            <v>28180.610680000002</v>
          </cell>
          <cell r="Z1434">
            <v>28263.092540000001</v>
          </cell>
          <cell r="AA1434">
            <v>28345.400020000001</v>
          </cell>
          <cell r="AB1434">
            <v>28428.175469999998</v>
          </cell>
          <cell r="AC1434">
            <v>28511.415550000002</v>
          </cell>
          <cell r="AD1434">
            <v>28595.02289</v>
          </cell>
          <cell r="AE1434">
            <v>28647.748820000001</v>
          </cell>
          <cell r="AF1434">
            <v>28691.876609999999</v>
          </cell>
          <cell r="AG1434">
            <v>28731.080620000001</v>
          </cell>
          <cell r="AH1434">
            <v>28767.646379999998</v>
          </cell>
          <cell r="AI1434">
            <v>28803.183710000001</v>
          </cell>
          <cell r="AJ1434">
            <v>28838.82717</v>
          </cell>
          <cell r="AK1434">
            <v>28875.37095</v>
          </cell>
          <cell r="AL1434">
            <v>28913.28672</v>
          </cell>
          <cell r="AM1434">
            <v>28952.775290000001</v>
          </cell>
          <cell r="AN1434">
            <v>28993.85456</v>
          </cell>
          <cell r="AO1434">
            <v>29036.42713</v>
          </cell>
          <cell r="AP1434">
            <v>29074.017500000002</v>
          </cell>
          <cell r="AQ1434">
            <v>29107.958910000001</v>
          </cell>
          <cell r="AR1434">
            <v>29139.470389999999</v>
          </cell>
          <cell r="AS1434">
            <v>29169.489010000001</v>
          </cell>
          <cell r="AT1434">
            <v>29198.7035</v>
          </cell>
          <cell r="AU1434">
            <v>29227.637040000001</v>
          </cell>
          <cell r="AV1434">
            <v>29256.681329999999</v>
          </cell>
          <cell r="AW1434">
            <v>29286.04292</v>
          </cell>
          <cell r="AX1434">
            <v>29315.803899999999</v>
          </cell>
          <cell r="AY1434">
            <v>29345.962630000002</v>
          </cell>
          <cell r="AZ1434">
            <v>29377.058949999999</v>
          </cell>
          <cell r="BA1434">
            <v>29409.137180000002</v>
          </cell>
          <cell r="BB1434">
            <v>29442.015159999999</v>
          </cell>
          <cell r="BC1434">
            <v>29475.451010000001</v>
          </cell>
          <cell r="BD1434">
            <v>29509.212309999999</v>
          </cell>
          <cell r="BE1434">
            <v>31151.28602</v>
          </cell>
          <cell r="BF1434">
            <v>31189.76338</v>
          </cell>
          <cell r="BG1434">
            <v>31227.690480000001</v>
          </cell>
          <cell r="BH1434">
            <v>31265.089660000001</v>
          </cell>
          <cell r="BI1434">
            <v>31301.985199999999</v>
          </cell>
        </row>
        <row r="1435">
          <cell r="F1435">
            <v>757.78187869999999</v>
          </cell>
          <cell r="G1435">
            <v>753.16943100000003</v>
          </cell>
          <cell r="H1435">
            <v>748.31211659999997</v>
          </cell>
          <cell r="I1435">
            <v>744.55526380000003</v>
          </cell>
          <cell r="J1435">
            <v>742.40161409999996</v>
          </cell>
          <cell r="K1435">
            <v>741.87394219999999</v>
          </cell>
          <cell r="L1435">
            <v>742.50877969999999</v>
          </cell>
          <cell r="M1435">
            <v>744.02852099999996</v>
          </cell>
          <cell r="N1435">
            <v>746.18841970000005</v>
          </cell>
          <cell r="O1435">
            <v>748.78366600000004</v>
          </cell>
          <cell r="P1435">
            <v>751.49137050000002</v>
          </cell>
          <cell r="Q1435">
            <v>754.92734700000005</v>
          </cell>
          <cell r="R1435">
            <v>758.78695419999997</v>
          </cell>
          <cell r="S1435">
            <v>762.85545209999998</v>
          </cell>
          <cell r="T1435">
            <v>766.99658729999999</v>
          </cell>
          <cell r="U1435">
            <v>771.12645980000002</v>
          </cell>
          <cell r="V1435">
            <v>775.2442274</v>
          </cell>
          <cell r="W1435">
            <v>779.28817149999998</v>
          </cell>
          <cell r="X1435">
            <v>783.22834250000005</v>
          </cell>
          <cell r="Y1435">
            <v>787.05466490000003</v>
          </cell>
          <cell r="Z1435">
            <v>790.48063339999999</v>
          </cell>
          <cell r="AA1435">
            <v>793.81498309999995</v>
          </cell>
          <cell r="AB1435">
            <v>797.10974920000001</v>
          </cell>
          <cell r="AC1435">
            <v>800.38596059999998</v>
          </cell>
          <cell r="AD1435">
            <v>803.65368190000004</v>
          </cell>
          <cell r="AE1435">
            <v>806.13083140000003</v>
          </cell>
          <cell r="AF1435">
            <v>808.24652509999999</v>
          </cell>
          <cell r="AG1435">
            <v>810.1481794</v>
          </cell>
          <cell r="AH1435">
            <v>811.93547690000003</v>
          </cell>
          <cell r="AI1435">
            <v>813.68068349999999</v>
          </cell>
          <cell r="AJ1435">
            <v>815.43527310000002</v>
          </cell>
          <cell r="AK1435">
            <v>817.21964660000003</v>
          </cell>
          <cell r="AL1435">
            <v>819.06427129999997</v>
          </cell>
          <cell r="AM1435">
            <v>820.98435270000004</v>
          </cell>
          <cell r="AN1435">
            <v>822.98480789999996</v>
          </cell>
          <cell r="AO1435">
            <v>825.06422629999997</v>
          </cell>
          <cell r="AP1435">
            <v>826.91925549999996</v>
          </cell>
          <cell r="AQ1435">
            <v>828.63867359999995</v>
          </cell>
          <cell r="AR1435">
            <v>830.28893719999996</v>
          </cell>
          <cell r="AS1435">
            <v>831.91424159999997</v>
          </cell>
          <cell r="AT1435">
            <v>833.54327290000003</v>
          </cell>
          <cell r="AU1435">
            <v>835.17297210000004</v>
          </cell>
          <cell r="AV1435">
            <v>836.82944280000004</v>
          </cell>
          <cell r="AW1435">
            <v>838.52623080000001</v>
          </cell>
          <cell r="AX1435">
            <v>840.26864990000001</v>
          </cell>
          <cell r="AY1435">
            <v>842.05694770000002</v>
          </cell>
          <cell r="AZ1435">
            <v>843.82707010000001</v>
          </cell>
          <cell r="BA1435">
            <v>845.6245467</v>
          </cell>
          <cell r="BB1435">
            <v>847.46641890000001</v>
          </cell>
          <cell r="BC1435">
            <v>849.35408480000001</v>
          </cell>
          <cell r="BD1435">
            <v>851.28179209999996</v>
          </cell>
          <cell r="BE1435">
            <v>820.99118099999998</v>
          </cell>
          <cell r="BF1435">
            <v>821.45874209999999</v>
          </cell>
          <cell r="BG1435">
            <v>821.93549919999998</v>
          </cell>
          <cell r="BH1435">
            <v>822.4226175</v>
          </cell>
          <cell r="BI1435">
            <v>822.92123130000004</v>
          </cell>
        </row>
        <row r="1438">
          <cell r="F1438">
            <v>4322.3580030000003</v>
          </cell>
          <cell r="G1438">
            <v>4290.6063359999998</v>
          </cell>
          <cell r="H1438">
            <v>4268.6895569999997</v>
          </cell>
          <cell r="I1438">
            <v>4256.198969</v>
          </cell>
          <cell r="J1438">
            <v>4251.7182249999996</v>
          </cell>
          <cell r="K1438">
            <v>4253.6151159999999</v>
          </cell>
          <cell r="L1438">
            <v>4258.8943859999999</v>
          </cell>
          <cell r="M1438">
            <v>4266.4042559999998</v>
          </cell>
          <cell r="N1438">
            <v>4275.3729499999999</v>
          </cell>
          <cell r="O1438">
            <v>4285.2526159999998</v>
          </cell>
          <cell r="P1438">
            <v>4294.5706980000004</v>
          </cell>
          <cell r="Q1438">
            <v>4307.0668660000001</v>
          </cell>
          <cell r="R1438">
            <v>4321.5299640000003</v>
          </cell>
          <cell r="S1438">
            <v>4337.0341209999997</v>
          </cell>
          <cell r="T1438">
            <v>4352.9644930000004</v>
          </cell>
          <cell r="U1438">
            <v>4368.9463379999997</v>
          </cell>
          <cell r="V1438">
            <v>4384.6616530000001</v>
          </cell>
          <cell r="W1438">
            <v>4400.0366309999999</v>
          </cell>
          <cell r="X1438">
            <v>4415.0710319999998</v>
          </cell>
          <cell r="Y1438">
            <v>4429.8035739999996</v>
          </cell>
          <cell r="Z1438">
            <v>4442.766877</v>
          </cell>
          <cell r="AA1438">
            <v>4455.6778809999996</v>
          </cell>
          <cell r="AB1438">
            <v>4468.7506149999999</v>
          </cell>
          <cell r="AC1438">
            <v>4482.0587770000002</v>
          </cell>
          <cell r="AD1438">
            <v>4495.6281580000004</v>
          </cell>
          <cell r="AE1438">
            <v>4505.3329720000002</v>
          </cell>
          <cell r="AF1438">
            <v>4513.7287120000001</v>
          </cell>
          <cell r="AG1438">
            <v>4521.3560420000003</v>
          </cell>
          <cell r="AH1438">
            <v>4528.5654340000001</v>
          </cell>
          <cell r="AI1438">
            <v>4535.6014359999999</v>
          </cell>
          <cell r="AJ1438">
            <v>4542.6313879999998</v>
          </cell>
          <cell r="AK1438">
            <v>4549.7833950000004</v>
          </cell>
          <cell r="AL1438">
            <v>4557.1124170000003</v>
          </cell>
          <cell r="AM1438">
            <v>4564.6327719999999</v>
          </cell>
          <cell r="AN1438">
            <v>4572.330207</v>
          </cell>
          <cell r="AO1438">
            <v>4580.1715770000001</v>
          </cell>
          <cell r="AP1438">
            <v>4587.4266829999997</v>
          </cell>
          <cell r="AQ1438">
            <v>4594.101705</v>
          </cell>
          <cell r="AR1438">
            <v>4600.2658769999998</v>
          </cell>
          <cell r="AS1438">
            <v>4605.9941909999998</v>
          </cell>
          <cell r="AT1438">
            <v>4611.3505519999999</v>
          </cell>
          <cell r="AU1438">
            <v>4616.4115439999996</v>
          </cell>
          <cell r="AV1438">
            <v>4621.2125679999999</v>
          </cell>
          <cell r="AW1438">
            <v>4625.7716060000002</v>
          </cell>
          <cell r="AX1438">
            <v>4630.094838</v>
          </cell>
          <cell r="AY1438">
            <v>4634.1805329999997</v>
          </cell>
          <cell r="AZ1438">
            <v>4638.1782030000004</v>
          </cell>
          <cell r="BA1438">
            <v>4642.0808360000001</v>
          </cell>
          <cell r="BB1438">
            <v>4645.8565749999998</v>
          </cell>
          <cell r="BC1438">
            <v>4649.4693779999998</v>
          </cell>
          <cell r="BD1438">
            <v>4652.8875939999998</v>
          </cell>
          <cell r="BE1438">
            <v>5231.1607729999996</v>
          </cell>
          <cell r="BF1438">
            <v>5242.3388690000002</v>
          </cell>
          <cell r="BG1438">
            <v>5253.0782669999999</v>
          </cell>
          <cell r="BH1438">
            <v>5263.3729199999998</v>
          </cell>
          <cell r="BI1438">
            <v>5273.218406</v>
          </cell>
        </row>
        <row r="1450">
          <cell r="F1450">
            <v>860.23438810000005</v>
          </cell>
          <cell r="G1450">
            <v>854.26643109999998</v>
          </cell>
          <cell r="H1450">
            <v>849.71880980000003</v>
          </cell>
          <cell r="I1450">
            <v>846.63319739999997</v>
          </cell>
          <cell r="J1450">
            <v>844.88007800000003</v>
          </cell>
          <cell r="K1450">
            <v>844.25312029999998</v>
          </cell>
          <cell r="L1450">
            <v>844.21349290000001</v>
          </cell>
          <cell r="M1450">
            <v>844.5959924</v>
          </cell>
          <cell r="N1450">
            <v>845.27278430000001</v>
          </cell>
          <cell r="O1450">
            <v>846.13565419999998</v>
          </cell>
          <cell r="P1450">
            <v>846.95056160000001</v>
          </cell>
          <cell r="Q1450">
            <v>848.30968310000003</v>
          </cell>
          <cell r="R1450">
            <v>849.96851790000005</v>
          </cell>
          <cell r="S1450">
            <v>851.74686320000001</v>
          </cell>
          <cell r="T1450">
            <v>853.52984979999997</v>
          </cell>
          <cell r="U1450">
            <v>855.24957489999997</v>
          </cell>
          <cell r="V1450">
            <v>856.84868949999998</v>
          </cell>
          <cell r="W1450">
            <v>858.31541010000001</v>
          </cell>
          <cell r="X1450">
            <v>859.65111539999998</v>
          </cell>
          <cell r="Y1450">
            <v>860.86420239999995</v>
          </cell>
          <cell r="Z1450">
            <v>861.64701779999996</v>
          </cell>
          <cell r="AA1450">
            <v>862.39319309999996</v>
          </cell>
          <cell r="AB1450">
            <v>863.13391469999999</v>
          </cell>
          <cell r="AC1450">
            <v>863.87466889999996</v>
          </cell>
          <cell r="AD1450">
            <v>864.61738839999998</v>
          </cell>
          <cell r="AE1450">
            <v>864.4988697</v>
          </cell>
          <cell r="AF1450">
            <v>864.14801220000004</v>
          </cell>
          <cell r="AG1450">
            <v>863.68336680000004</v>
          </cell>
          <cell r="AH1450">
            <v>863.17321719999995</v>
          </cell>
          <cell r="AI1450">
            <v>862.66462490000004</v>
          </cell>
          <cell r="AJ1450">
            <v>862.19052620000002</v>
          </cell>
          <cell r="AK1450">
            <v>861.7765809</v>
          </cell>
          <cell r="AL1450">
            <v>861.4344102</v>
          </cell>
          <cell r="AM1450">
            <v>861.16800579999995</v>
          </cell>
          <cell r="AN1450">
            <v>860.97618629999999</v>
          </cell>
          <cell r="AO1450">
            <v>860.85447050000005</v>
          </cell>
          <cell r="AP1450">
            <v>860.64930679999998</v>
          </cell>
          <cell r="AQ1450">
            <v>860.38254189999998</v>
          </cell>
          <cell r="AR1450">
            <v>860.08104749999995</v>
          </cell>
          <cell r="AS1450">
            <v>859.7667993</v>
          </cell>
          <cell r="AT1450">
            <v>859.45623839999996</v>
          </cell>
          <cell r="AU1450">
            <v>859.16614760000004</v>
          </cell>
          <cell r="AV1450">
            <v>858.90370829999995</v>
          </cell>
          <cell r="AW1450">
            <v>858.67187779999995</v>
          </cell>
          <cell r="AX1450">
            <v>858.47079310000004</v>
          </cell>
          <cell r="AY1450">
            <v>858.29865240000004</v>
          </cell>
          <cell r="AZ1450">
            <v>858.18313039999998</v>
          </cell>
          <cell r="BA1450">
            <v>858.11719730000004</v>
          </cell>
          <cell r="BB1450">
            <v>858.08999180000001</v>
          </cell>
          <cell r="BC1450">
            <v>858.09111829999995</v>
          </cell>
          <cell r="BD1450">
            <v>858.1118199</v>
          </cell>
          <cell r="BE1450">
            <v>906.05349030000002</v>
          </cell>
          <cell r="BF1450">
            <v>906.0849584</v>
          </cell>
          <cell r="BG1450">
            <v>906.13729030000002</v>
          </cell>
          <cell r="BH1450">
            <v>906.21093189999999</v>
          </cell>
          <cell r="BI1450">
            <v>906.30620550000003</v>
          </cell>
        </row>
        <row r="1455">
          <cell r="F1455">
            <v>21144.679080000002</v>
          </cell>
          <cell r="G1455">
            <v>21054.338670000001</v>
          </cell>
          <cell r="H1455">
            <v>20992.193619999998</v>
          </cell>
          <cell r="I1455">
            <v>20963.00086</v>
          </cell>
          <cell r="J1455">
            <v>20964.863430000001</v>
          </cell>
          <cell r="K1455">
            <v>20993.300230000001</v>
          </cell>
          <cell r="L1455">
            <v>21034.475109999999</v>
          </cell>
          <cell r="M1455">
            <v>21085.174660000001</v>
          </cell>
          <cell r="N1455">
            <v>21142.900949999999</v>
          </cell>
          <cell r="O1455">
            <v>21205.518240000001</v>
          </cell>
          <cell r="P1455">
            <v>21275.539049999999</v>
          </cell>
          <cell r="Q1455">
            <v>21352.399969999999</v>
          </cell>
          <cell r="R1455">
            <v>21433.87876</v>
          </cell>
          <cell r="S1455">
            <v>21517.78111</v>
          </cell>
          <cell r="T1455">
            <v>21602.45347</v>
          </cell>
          <cell r="U1455">
            <v>21686.747780000002</v>
          </cell>
          <cell r="V1455">
            <v>21769.677739999999</v>
          </cell>
          <cell r="W1455">
            <v>21850.755659999999</v>
          </cell>
          <cell r="X1455">
            <v>21929.774160000001</v>
          </cell>
          <cell r="Y1455">
            <v>22006.692920000001</v>
          </cell>
          <cell r="Z1455">
            <v>22072.286499999998</v>
          </cell>
          <cell r="AA1455">
            <v>22137.88852</v>
          </cell>
          <cell r="AB1455">
            <v>22203.83827</v>
          </cell>
          <cell r="AC1455">
            <v>22270.031480000001</v>
          </cell>
          <cell r="AD1455">
            <v>22336.33296</v>
          </cell>
          <cell r="AE1455">
            <v>22377.35122</v>
          </cell>
          <cell r="AF1455">
            <v>22411.697219999998</v>
          </cell>
          <cell r="AG1455">
            <v>22442.221710000002</v>
          </cell>
          <cell r="AH1455">
            <v>22470.683550000002</v>
          </cell>
          <cell r="AI1455">
            <v>22498.323899999999</v>
          </cell>
          <cell r="AJ1455">
            <v>22526.022519999999</v>
          </cell>
          <cell r="AK1455">
            <v>22554.39731</v>
          </cell>
          <cell r="AL1455">
            <v>22583.82185</v>
          </cell>
          <cell r="AM1455">
            <v>22614.463029999999</v>
          </cell>
          <cell r="AN1455">
            <v>22646.349310000001</v>
          </cell>
          <cell r="AO1455">
            <v>22679.422719999999</v>
          </cell>
          <cell r="AP1455">
            <v>22708.41143</v>
          </cell>
          <cell r="AQ1455">
            <v>22734.530170000002</v>
          </cell>
          <cell r="AR1455">
            <v>22758.831880000002</v>
          </cell>
          <cell r="AS1455">
            <v>22782.109520000002</v>
          </cell>
          <cell r="AT1455">
            <v>22804.940859999999</v>
          </cell>
          <cell r="AU1455">
            <v>22827.757450000001</v>
          </cell>
          <cell r="AV1455">
            <v>22850.8819</v>
          </cell>
          <cell r="AW1455">
            <v>22874.4863</v>
          </cell>
          <cell r="AX1455">
            <v>22898.641390000001</v>
          </cell>
          <cell r="AY1455">
            <v>22923.349279999999</v>
          </cell>
          <cell r="AZ1455">
            <v>22949.035039999999</v>
          </cell>
          <cell r="BA1455">
            <v>22975.712049999998</v>
          </cell>
          <cell r="BB1455">
            <v>23003.224819999999</v>
          </cell>
          <cell r="BC1455">
            <v>23031.377329999999</v>
          </cell>
          <cell r="BD1455">
            <v>23059.98403</v>
          </cell>
          <cell r="BE1455">
            <v>24105.83799</v>
          </cell>
          <cell r="BF1455">
            <v>24132.885460000001</v>
          </cell>
          <cell r="BG1455">
            <v>24159.784810000001</v>
          </cell>
          <cell r="BH1455">
            <v>24186.563109999999</v>
          </cell>
          <cell r="BI1455">
            <v>24213.247859999999</v>
          </cell>
        </row>
        <row r="1458">
          <cell r="F1458">
            <v>17.790287859999999</v>
          </cell>
          <cell r="G1458">
            <v>17.60096897</v>
          </cell>
          <cell r="H1458">
            <v>17.41661174</v>
          </cell>
          <cell r="I1458">
            <v>17.251886370000001</v>
          </cell>
          <cell r="J1458">
            <v>17.115958299999999</v>
          </cell>
          <cell r="K1458">
            <v>17.010897249999999</v>
          </cell>
          <cell r="L1458">
            <v>16.92823821</v>
          </cell>
          <cell r="M1458">
            <v>16.864214860000001</v>
          </cell>
          <cell r="N1458">
            <v>16.814606940000001</v>
          </cell>
          <cell r="O1458">
            <v>16.775369380000001</v>
          </cell>
          <cell r="P1458">
            <v>16.73610352</v>
          </cell>
          <cell r="Q1458">
            <v>16.71476135</v>
          </cell>
          <cell r="R1458">
            <v>16.704479719999998</v>
          </cell>
          <cell r="S1458">
            <v>16.700163199999999</v>
          </cell>
          <cell r="T1458">
            <v>16.69866103</v>
          </cell>
          <cell r="U1458">
            <v>16.69811086</v>
          </cell>
          <cell r="V1458">
            <v>16.696955039999999</v>
          </cell>
          <cell r="W1458">
            <v>16.69474494</v>
          </cell>
          <cell r="X1458">
            <v>16.691275099999999</v>
          </cell>
          <cell r="Y1458">
            <v>16.68646111</v>
          </cell>
          <cell r="Z1458">
            <v>16.674611639999998</v>
          </cell>
          <cell r="AA1458">
            <v>16.662739129999999</v>
          </cell>
          <cell r="AB1458">
            <v>16.650994740000002</v>
          </cell>
          <cell r="AC1458">
            <v>16.63917399</v>
          </cell>
          <cell r="AD1458">
            <v>16.627127739999999</v>
          </cell>
          <cell r="AE1458">
            <v>16.599473759999999</v>
          </cell>
          <cell r="AF1458">
            <v>16.567991230000001</v>
          </cell>
          <cell r="AG1458">
            <v>16.534441340000001</v>
          </cell>
          <cell r="AH1458">
            <v>16.49968075</v>
          </cell>
          <cell r="AI1458">
            <v>16.464299839999999</v>
          </cell>
          <cell r="AJ1458">
            <v>16.428747529999999</v>
          </cell>
          <cell r="AK1458">
            <v>16.393460470000001</v>
          </cell>
          <cell r="AL1458">
            <v>16.358645859999999</v>
          </cell>
          <cell r="AM1458">
            <v>16.32443001</v>
          </cell>
          <cell r="AN1458">
            <v>16.290883539999999</v>
          </cell>
          <cell r="AO1458">
            <v>16.25803393</v>
          </cell>
          <cell r="AP1458">
            <v>16.2235385</v>
          </cell>
          <cell r="AQ1458">
            <v>16.187841890000001</v>
          </cell>
          <cell r="AR1458">
            <v>16.151450929999999</v>
          </cell>
          <cell r="AS1458">
            <v>16.1147673</v>
          </cell>
          <cell r="AT1458">
            <v>16.078078869999999</v>
          </cell>
          <cell r="AU1458">
            <v>16.041708419999999</v>
          </cell>
          <cell r="AV1458">
            <v>16.005741929999999</v>
          </cell>
          <cell r="AW1458">
            <v>15.97021546</v>
          </cell>
          <cell r="AX1458">
            <v>15.93513607</v>
          </cell>
          <cell r="AY1458">
            <v>15.900487930000001</v>
          </cell>
          <cell r="AZ1458">
            <v>15.866903170000001</v>
          </cell>
          <cell r="BA1458">
            <v>15.834167750000001</v>
          </cell>
          <cell r="BB1458">
            <v>15.802070349999999</v>
          </cell>
          <cell r="BC1458">
            <v>15.77044916</v>
          </cell>
          <cell r="BD1458">
            <v>15.73917818</v>
          </cell>
          <cell r="BE1458">
            <v>17.10672302</v>
          </cell>
          <cell r="BF1458">
            <v>17.084953720000001</v>
          </cell>
          <cell r="BG1458">
            <v>17.063645919999999</v>
          </cell>
          <cell r="BH1458">
            <v>17.04283483</v>
          </cell>
          <cell r="BI1458">
            <v>17.022556850000001</v>
          </cell>
        </row>
        <row r="1460">
          <cell r="F1460">
            <v>6.6156617359999998</v>
          </cell>
          <cell r="G1460">
            <v>6.5428437549999998</v>
          </cell>
          <cell r="H1460">
            <v>6.4663433469999996</v>
          </cell>
          <cell r="I1460">
            <v>6.3953896979999998</v>
          </cell>
          <cell r="J1460">
            <v>6.335722455</v>
          </cell>
          <cell r="K1460">
            <v>6.2890200150000002</v>
          </cell>
          <cell r="L1460">
            <v>6.2524639369999999</v>
          </cell>
          <cell r="M1460">
            <v>6.2243856649999998</v>
          </cell>
          <cell r="N1460">
            <v>6.2028250949999997</v>
          </cell>
          <cell r="O1460">
            <v>6.185948636</v>
          </cell>
          <cell r="P1460">
            <v>6.1696551189999997</v>
          </cell>
          <cell r="Q1460">
            <v>6.1602288830000003</v>
          </cell>
          <cell r="R1460">
            <v>6.1550252109999999</v>
          </cell>
          <cell r="S1460">
            <v>6.1521749620000001</v>
          </cell>
          <cell r="T1460">
            <v>6.1505223830000002</v>
          </cell>
          <cell r="U1460">
            <v>6.1493722049999997</v>
          </cell>
          <cell r="V1460">
            <v>6.1481385040000003</v>
          </cell>
          <cell r="W1460">
            <v>6.1466276500000001</v>
          </cell>
          <cell r="X1460">
            <v>6.1447303870000001</v>
          </cell>
          <cell r="Y1460">
            <v>6.1423838780000004</v>
          </cell>
          <cell r="Z1460">
            <v>6.1376694609999998</v>
          </cell>
          <cell r="AA1460">
            <v>6.1328942849999999</v>
          </cell>
          <cell r="AB1460">
            <v>6.1280397600000001</v>
          </cell>
          <cell r="AC1460">
            <v>6.1230330950000003</v>
          </cell>
          <cell r="AD1460">
            <v>6.1178295440000001</v>
          </cell>
          <cell r="AE1460">
            <v>6.1073194519999996</v>
          </cell>
          <cell r="AF1460">
            <v>6.0954349160000003</v>
          </cell>
          <cell r="AG1460">
            <v>6.0826378769999998</v>
          </cell>
          <cell r="AH1460">
            <v>6.0691928920000002</v>
          </cell>
          <cell r="AI1460">
            <v>6.0553096819999999</v>
          </cell>
          <cell r="AJ1460">
            <v>6.0411623109999999</v>
          </cell>
          <cell r="AK1460">
            <v>6.0269246189999999</v>
          </cell>
          <cell r="AL1460">
            <v>6.0126904940000001</v>
          </cell>
          <cell r="AM1460">
            <v>5.9985256409999996</v>
          </cell>
          <cell r="AN1460">
            <v>5.984473167</v>
          </cell>
          <cell r="AO1460">
            <v>5.9705580090000003</v>
          </cell>
          <cell r="AP1460">
            <v>5.9560257649999997</v>
          </cell>
          <cell r="AQ1460">
            <v>5.941033762</v>
          </cell>
          <cell r="AR1460">
            <v>5.9257393289999998</v>
          </cell>
          <cell r="AS1460">
            <v>5.9102685749999999</v>
          </cell>
          <cell r="AT1460">
            <v>5.8947177740000001</v>
          </cell>
          <cell r="AU1460">
            <v>5.8792030459999998</v>
          </cell>
          <cell r="AV1460">
            <v>5.8637622279999997</v>
          </cell>
          <cell r="AW1460">
            <v>5.8484183859999996</v>
          </cell>
          <cell r="AX1460">
            <v>5.8331836829999997</v>
          </cell>
          <cell r="AY1460">
            <v>5.8180606490000004</v>
          </cell>
          <cell r="AZ1460">
            <v>5.8032711470000002</v>
          </cell>
          <cell r="BA1460">
            <v>5.7887439829999998</v>
          </cell>
          <cell r="BB1460">
            <v>5.7744127059999997</v>
          </cell>
          <cell r="BC1460">
            <v>5.7602245859999996</v>
          </cell>
          <cell r="BD1460">
            <v>5.7461364870000002</v>
          </cell>
          <cell r="BE1460">
            <v>6.2603257899999996</v>
          </cell>
          <cell r="BF1460">
            <v>6.2497078110000004</v>
          </cell>
          <cell r="BG1460">
            <v>6.2392568309999996</v>
          </cell>
          <cell r="BH1460">
            <v>6.2289919490000001</v>
          </cell>
          <cell r="BI1460">
            <v>6.2189324130000001</v>
          </cell>
        </row>
        <row r="1462">
          <cell r="F1462">
            <v>0.71192934880000003</v>
          </cell>
          <cell r="G1462">
            <v>0.70532113760000004</v>
          </cell>
          <cell r="H1462">
            <v>0.69969685780000002</v>
          </cell>
          <cell r="I1462">
            <v>0.69502628170000003</v>
          </cell>
          <cell r="J1462">
            <v>0.69131338129999997</v>
          </cell>
          <cell r="K1462">
            <v>0.68852943420000001</v>
          </cell>
          <cell r="L1462">
            <v>0.68631028149999995</v>
          </cell>
          <cell r="M1462">
            <v>0.68456793699999996</v>
          </cell>
          <cell r="N1462">
            <v>0.68321401530000003</v>
          </cell>
          <cell r="O1462">
            <v>0.68214835689999997</v>
          </cell>
          <cell r="P1462">
            <v>0.68106653530000005</v>
          </cell>
          <cell r="Q1462">
            <v>0.68061222659999998</v>
          </cell>
          <cell r="R1462">
            <v>0.68054938860000003</v>
          </cell>
          <cell r="S1462">
            <v>0.68068778659999996</v>
          </cell>
          <cell r="T1462">
            <v>0.68090743369999995</v>
          </cell>
          <cell r="U1462">
            <v>0.68113688539999995</v>
          </cell>
          <cell r="V1462">
            <v>0.68131815309999999</v>
          </cell>
          <cell r="W1462">
            <v>0.6814336151</v>
          </cell>
          <cell r="X1462">
            <v>0.68147676570000004</v>
          </cell>
          <cell r="Y1462">
            <v>0.6814466602</v>
          </cell>
          <cell r="Z1462">
            <v>0.68107150589999998</v>
          </cell>
          <cell r="AA1462">
            <v>0.6806831337</v>
          </cell>
          <cell r="AB1462">
            <v>0.68031070439999997</v>
          </cell>
          <cell r="AC1462">
            <v>0.67994826480000004</v>
          </cell>
          <cell r="AD1462">
            <v>0.67958866630000003</v>
          </cell>
          <cell r="AE1462">
            <v>0.67849088400000002</v>
          </cell>
          <cell r="AF1462">
            <v>0.67719268669999999</v>
          </cell>
          <cell r="AG1462">
            <v>0.675817318</v>
          </cell>
          <cell r="AH1462">
            <v>0.67441898160000002</v>
          </cell>
          <cell r="AI1462">
            <v>0.67302910010000006</v>
          </cell>
          <cell r="AJ1462">
            <v>0.67166811569999996</v>
          </cell>
          <cell r="AK1462">
            <v>0.67035284250000005</v>
          </cell>
          <cell r="AL1462">
            <v>0.66909060109999996</v>
          </cell>
          <cell r="AM1462">
            <v>0.66788453690000005</v>
          </cell>
          <cell r="AN1462">
            <v>0.66673552859999996</v>
          </cell>
          <cell r="AO1462">
            <v>0.66564283089999998</v>
          </cell>
          <cell r="AP1462">
            <v>0.66447987870000003</v>
          </cell>
          <cell r="AQ1462">
            <v>0.66326603770000003</v>
          </cell>
          <cell r="AR1462">
            <v>0.66203128619999996</v>
          </cell>
          <cell r="AS1462">
            <v>0.66079991699999996</v>
          </cell>
          <cell r="AT1462">
            <v>0.65958824770000002</v>
          </cell>
          <cell r="AU1462">
            <v>0.65840996380000005</v>
          </cell>
          <cell r="AV1462">
            <v>0.65726879360000001</v>
          </cell>
          <cell r="AW1462">
            <v>0.65616501949999995</v>
          </cell>
          <cell r="AX1462">
            <v>0.65509726150000003</v>
          </cell>
          <cell r="AY1462">
            <v>0.65406313189999998</v>
          </cell>
          <cell r="AZ1462">
            <v>0.65308480690000004</v>
          </cell>
          <cell r="BA1462">
            <v>0.65215441929999995</v>
          </cell>
          <cell r="BB1462">
            <v>0.6512626332</v>
          </cell>
          <cell r="BC1462">
            <v>0.65040226069999996</v>
          </cell>
          <cell r="BD1462">
            <v>0.64956774589999999</v>
          </cell>
          <cell r="BE1462">
            <v>0.69044872810000002</v>
          </cell>
          <cell r="BF1462">
            <v>0.68981517540000004</v>
          </cell>
          <cell r="BG1462">
            <v>0.68920305380000002</v>
          </cell>
          <cell r="BH1462">
            <v>0.68861274729999999</v>
          </cell>
          <cell r="BI1462">
            <v>0.68804478970000005</v>
          </cell>
        </row>
        <row r="1463">
          <cell r="F1463">
            <v>86.389871189999994</v>
          </cell>
          <cell r="G1463">
            <v>85.777280090000005</v>
          </cell>
          <cell r="H1463">
            <v>85.091307549999996</v>
          </cell>
          <cell r="I1463">
            <v>84.407459189999997</v>
          </cell>
          <cell r="J1463">
            <v>83.785856219999999</v>
          </cell>
          <cell r="K1463">
            <v>83.257555620000005</v>
          </cell>
          <cell r="L1463">
            <v>82.801488140000004</v>
          </cell>
          <cell r="M1463">
            <v>82.409014929999998</v>
          </cell>
          <cell r="N1463">
            <v>82.067609759999996</v>
          </cell>
          <cell r="O1463">
            <v>81.762505860000005</v>
          </cell>
          <cell r="P1463">
            <v>81.475865650000003</v>
          </cell>
          <cell r="Q1463">
            <v>81.235241740000006</v>
          </cell>
          <cell r="R1463">
            <v>81.021108290000001</v>
          </cell>
          <cell r="S1463">
            <v>80.818179990000004</v>
          </cell>
          <cell r="T1463">
            <v>80.6169498</v>
          </cell>
          <cell r="U1463">
            <v>80.41188185</v>
          </cell>
          <cell r="V1463">
            <v>80.199174020000001</v>
          </cell>
          <cell r="W1463">
            <v>79.977641349999999</v>
          </cell>
          <cell r="X1463">
            <v>79.747299440000006</v>
          </cell>
          <cell r="Y1463">
            <v>79.508849179999999</v>
          </cell>
          <cell r="Z1463">
            <v>79.236906309999995</v>
          </cell>
          <cell r="AA1463">
            <v>78.962707960000003</v>
          </cell>
          <cell r="AB1463">
            <v>78.691925929999996</v>
          </cell>
          <cell r="AC1463">
            <v>78.425490069999995</v>
          </cell>
          <cell r="AD1463">
            <v>78.163570199999995</v>
          </cell>
          <cell r="AE1463">
            <v>77.835454380000002</v>
          </cell>
          <cell r="AF1463">
            <v>77.488144300000002</v>
          </cell>
          <cell r="AG1463">
            <v>77.136887740000006</v>
          </cell>
          <cell r="AH1463">
            <v>76.789020089999994</v>
          </cell>
          <cell r="AI1463">
            <v>76.448767570000001</v>
          </cell>
          <cell r="AJ1463">
            <v>76.118721160000007</v>
          </cell>
          <cell r="AK1463">
            <v>75.800557870000006</v>
          </cell>
          <cell r="AL1463">
            <v>75.495126659999997</v>
          </cell>
          <cell r="AM1463">
            <v>75.202702729999999</v>
          </cell>
          <cell r="AN1463">
            <v>74.923165900000001</v>
          </cell>
          <cell r="AO1463">
            <v>74.656105420000003</v>
          </cell>
          <cell r="AP1463">
            <v>74.387280509999997</v>
          </cell>
          <cell r="AQ1463">
            <v>74.117978149999999</v>
          </cell>
          <cell r="AR1463">
            <v>73.851200899999995</v>
          </cell>
          <cell r="AS1463">
            <v>73.589491179999996</v>
          </cell>
          <cell r="AT1463">
            <v>73.334501680000002</v>
          </cell>
          <cell r="AU1463">
            <v>73.087210409999997</v>
          </cell>
          <cell r="AV1463">
            <v>72.847968690000002</v>
          </cell>
          <cell r="AW1463">
            <v>72.616694379999998</v>
          </cell>
          <cell r="AX1463">
            <v>72.39308844</v>
          </cell>
          <cell r="AY1463">
            <v>72.176731939999996</v>
          </cell>
          <cell r="AZ1463">
            <v>71.968611069999994</v>
          </cell>
          <cell r="BA1463">
            <v>71.768374739999999</v>
          </cell>
          <cell r="BB1463">
            <v>71.57528447</v>
          </cell>
          <cell r="BC1463">
            <v>71.388656370000007</v>
          </cell>
          <cell r="BD1463">
            <v>71.207888920000002</v>
          </cell>
          <cell r="BE1463">
            <v>70.135860050000005</v>
          </cell>
          <cell r="BF1463">
            <v>69.91039542</v>
          </cell>
          <cell r="BG1463">
            <v>69.69096304</v>
          </cell>
          <cell r="BH1463">
            <v>69.477245850000003</v>
          </cell>
          <cell r="BI1463">
            <v>69.268945419999994</v>
          </cell>
        </row>
        <row r="1473">
          <cell r="F1473">
            <v>27371.846870000001</v>
          </cell>
          <cell r="G1473">
            <v>27401.593649999999</v>
          </cell>
          <cell r="H1473">
            <v>27439.540099999998</v>
          </cell>
          <cell r="I1473">
            <v>27494.808359999999</v>
          </cell>
          <cell r="J1473">
            <v>27570.244269999999</v>
          </cell>
          <cell r="K1473">
            <v>27664.90669</v>
          </cell>
          <cell r="L1473">
            <v>27765.32691</v>
          </cell>
          <cell r="M1473">
            <v>27870.142619999999</v>
          </cell>
          <cell r="N1473">
            <v>27978.39921</v>
          </cell>
          <cell r="O1473">
            <v>28089.185710000002</v>
          </cell>
          <cell r="P1473">
            <v>28219.506099999999</v>
          </cell>
          <cell r="Q1473">
            <v>28347.466810000002</v>
          </cell>
          <cell r="R1473">
            <v>28471.835709999999</v>
          </cell>
          <cell r="S1473">
            <v>28592.55488</v>
          </cell>
          <cell r="T1473">
            <v>28709.857830000001</v>
          </cell>
          <cell r="U1473">
            <v>28824.0841</v>
          </cell>
          <cell r="V1473">
            <v>28935.630130000001</v>
          </cell>
          <cell r="W1473">
            <v>29044.920099999999</v>
          </cell>
          <cell r="X1473">
            <v>29152.37918</v>
          </cell>
          <cell r="Y1473">
            <v>29258.410469999999</v>
          </cell>
          <cell r="Z1473">
            <v>29351.548210000001</v>
          </cell>
          <cell r="AA1473">
            <v>29446.07231</v>
          </cell>
          <cell r="AB1473">
            <v>29542.63535</v>
          </cell>
          <cell r="AC1473">
            <v>29641.154170000002</v>
          </cell>
          <cell r="AD1473">
            <v>29741.393469999999</v>
          </cell>
          <cell r="AE1473">
            <v>29810.8298</v>
          </cell>
          <cell r="AF1473">
            <v>29872.11692</v>
          </cell>
          <cell r="AG1473">
            <v>29928.77248</v>
          </cell>
          <cell r="AH1473">
            <v>29982.965209999998</v>
          </cell>
          <cell r="AI1473">
            <v>30036.211480000002</v>
          </cell>
          <cell r="AJ1473">
            <v>30089.559499999999</v>
          </cell>
          <cell r="AK1473">
            <v>30143.67438</v>
          </cell>
          <cell r="AL1473">
            <v>30198.911189999999</v>
          </cell>
          <cell r="AM1473">
            <v>30255.38895</v>
          </cell>
          <cell r="AN1473">
            <v>30313.061399999999</v>
          </cell>
          <cell r="AO1473">
            <v>30371.779210000001</v>
          </cell>
          <cell r="AP1473">
            <v>30424.466509999998</v>
          </cell>
          <cell r="AQ1473">
            <v>30472.142639999998</v>
          </cell>
          <cell r="AR1473">
            <v>30516.058779999999</v>
          </cell>
          <cell r="AS1473">
            <v>30557.311559999998</v>
          </cell>
          <cell r="AT1473">
            <v>30596.784889999999</v>
          </cell>
          <cell r="AU1473">
            <v>30635.157070000001</v>
          </cell>
          <cell r="AV1473">
            <v>30672.921849999999</v>
          </cell>
          <cell r="AW1473">
            <v>30710.41447</v>
          </cell>
          <cell r="AX1473">
            <v>30747.841100000001</v>
          </cell>
          <cell r="AY1473">
            <v>30785.309730000001</v>
          </cell>
          <cell r="AZ1473">
            <v>30823.41649</v>
          </cell>
          <cell r="BA1473">
            <v>30862.064839999999</v>
          </cell>
          <cell r="BB1473">
            <v>30901.118210000001</v>
          </cell>
          <cell r="BC1473">
            <v>30940.427749999999</v>
          </cell>
          <cell r="BD1473">
            <v>30979.856250000001</v>
          </cell>
          <cell r="BE1473">
            <v>31107.650259999999</v>
          </cell>
          <cell r="BF1473">
            <v>31143.853749999998</v>
          </cell>
          <cell r="BG1473">
            <v>31179.418160000001</v>
          </cell>
          <cell r="BH1473">
            <v>31214.358059999999</v>
          </cell>
          <cell r="BI1473">
            <v>31248.702590000001</v>
          </cell>
        </row>
        <row r="1474">
          <cell r="F1474">
            <v>760.53305020000005</v>
          </cell>
          <cell r="G1474">
            <v>759.21501539999997</v>
          </cell>
          <cell r="H1474">
            <v>757.3148377</v>
          </cell>
          <cell r="I1474">
            <v>755.91675480000004</v>
          </cell>
          <cell r="J1474">
            <v>755.49152930000002</v>
          </cell>
          <cell r="K1474">
            <v>756.13115909999999</v>
          </cell>
          <cell r="L1474">
            <v>757.46432249999998</v>
          </cell>
          <cell r="M1474">
            <v>759.32508589999998</v>
          </cell>
          <cell r="N1474">
            <v>761.56709579999995</v>
          </cell>
          <cell r="O1474">
            <v>764.06698730000005</v>
          </cell>
          <cell r="P1474">
            <v>767.16900269999996</v>
          </cell>
          <cell r="Q1474">
            <v>770.32745990000001</v>
          </cell>
          <cell r="R1474">
            <v>773.43415400000004</v>
          </cell>
          <cell r="S1474">
            <v>776.44274050000001</v>
          </cell>
          <cell r="T1474">
            <v>779.33460820000005</v>
          </cell>
          <cell r="U1474">
            <v>782.10706519999997</v>
          </cell>
          <cell r="V1474">
            <v>784.76720230000001</v>
          </cell>
          <cell r="W1474">
            <v>787.32772320000004</v>
          </cell>
          <cell r="X1474">
            <v>789.8039374</v>
          </cell>
          <cell r="Y1474">
            <v>792.21168999999998</v>
          </cell>
          <cell r="Z1474">
            <v>794.27426949999995</v>
          </cell>
          <cell r="AA1474">
            <v>796.31609530000003</v>
          </cell>
          <cell r="AB1474">
            <v>798.38529259999996</v>
          </cell>
          <cell r="AC1474">
            <v>800.49781399999995</v>
          </cell>
          <cell r="AD1474">
            <v>802.65762159999997</v>
          </cell>
          <cell r="AE1474">
            <v>804.06893509999998</v>
          </cell>
          <cell r="AF1474">
            <v>805.19966429999999</v>
          </cell>
          <cell r="AG1474">
            <v>806.16685849999999</v>
          </cell>
          <cell r="AH1474">
            <v>807.05122010000002</v>
          </cell>
          <cell r="AI1474">
            <v>807.91324780000002</v>
          </cell>
          <cell r="AJ1474">
            <v>808.79660379999996</v>
          </cell>
          <cell r="AK1474">
            <v>809.73002469999994</v>
          </cell>
          <cell r="AL1474">
            <v>810.72975099999996</v>
          </cell>
          <cell r="AM1474">
            <v>811.8023657</v>
          </cell>
          <cell r="AN1474">
            <v>812.94762179999998</v>
          </cell>
          <cell r="AO1474">
            <v>814.16093520000004</v>
          </cell>
          <cell r="AP1474">
            <v>815.26672719999999</v>
          </cell>
          <cell r="AQ1474">
            <v>816.268328</v>
          </cell>
          <cell r="AR1474">
            <v>817.19005900000002</v>
          </cell>
          <cell r="AS1474">
            <v>818.06017039999995</v>
          </cell>
          <cell r="AT1474">
            <v>818.90505229999997</v>
          </cell>
          <cell r="AU1474">
            <v>819.74677220000001</v>
          </cell>
          <cell r="AV1474">
            <v>820.60211379999998</v>
          </cell>
          <cell r="AW1474">
            <v>821.48254120000001</v>
          </cell>
          <cell r="AX1474">
            <v>822.39476049999996</v>
          </cell>
          <cell r="AY1474">
            <v>823.34158409999998</v>
          </cell>
          <cell r="AZ1474">
            <v>824.336319</v>
          </cell>
          <cell r="BA1474">
            <v>825.3764923</v>
          </cell>
          <cell r="BB1474">
            <v>826.4573431</v>
          </cell>
          <cell r="BC1474">
            <v>827.57273799999996</v>
          </cell>
          <cell r="BD1474">
            <v>828.71630679999998</v>
          </cell>
          <cell r="BE1474">
            <v>821.15535560000001</v>
          </cell>
          <cell r="BF1474">
            <v>821.62769619999995</v>
          </cell>
          <cell r="BG1474">
            <v>822.10868189999997</v>
          </cell>
          <cell r="BH1474">
            <v>822.59935270000005</v>
          </cell>
          <cell r="BI1474">
            <v>823.10108200000002</v>
          </cell>
        </row>
        <row r="1477">
          <cell r="F1477">
            <v>4367.1201650000003</v>
          </cell>
          <cell r="G1477">
            <v>4371.5474240000003</v>
          </cell>
          <cell r="H1477">
            <v>4377.7143210000004</v>
          </cell>
          <cell r="I1477">
            <v>4387.0979770000004</v>
          </cell>
          <cell r="J1477">
            <v>4400.0579729999999</v>
          </cell>
          <cell r="K1477">
            <v>4416.3723090000003</v>
          </cell>
          <cell r="L1477">
            <v>4434.1015550000002</v>
          </cell>
          <cell r="M1477">
            <v>4452.8384370000003</v>
          </cell>
          <cell r="N1477">
            <v>4472.3342270000003</v>
          </cell>
          <cell r="O1477">
            <v>4492.4070590000001</v>
          </cell>
          <cell r="P1477">
            <v>4515.361774</v>
          </cell>
          <cell r="Q1477">
            <v>4538.4201700000003</v>
          </cell>
          <cell r="R1477">
            <v>4561.2697230000003</v>
          </cell>
          <cell r="S1477">
            <v>4583.8285839999999</v>
          </cell>
          <cell r="T1477">
            <v>4606.0978029999997</v>
          </cell>
          <cell r="U1477">
            <v>4628.1141669999997</v>
          </cell>
          <cell r="V1477">
            <v>4649.9314109999996</v>
          </cell>
          <cell r="W1477">
            <v>4671.6105250000001</v>
          </cell>
          <cell r="X1477">
            <v>4693.2133860000004</v>
          </cell>
          <cell r="Y1477">
            <v>4714.7981060000002</v>
          </cell>
          <cell r="Z1477">
            <v>4734.7919920000004</v>
          </cell>
          <cell r="AA1477">
            <v>4754.9928719999998</v>
          </cell>
          <cell r="AB1477">
            <v>4775.5807130000003</v>
          </cell>
          <cell r="AC1477">
            <v>4796.5866809999998</v>
          </cell>
          <cell r="AD1477">
            <v>4817.989106</v>
          </cell>
          <cell r="AE1477">
            <v>4835.31149</v>
          </cell>
          <cell r="AF1477">
            <v>4851.1993949999996</v>
          </cell>
          <cell r="AG1477">
            <v>4866.1657990000003</v>
          </cell>
          <cell r="AH1477">
            <v>4880.5376409999999</v>
          </cell>
          <cell r="AI1477">
            <v>4894.5395420000004</v>
          </cell>
          <cell r="AJ1477">
            <v>4908.3212670000003</v>
          </cell>
          <cell r="AK1477">
            <v>4921.9726780000001</v>
          </cell>
          <cell r="AL1477">
            <v>4935.5357789999998</v>
          </cell>
          <cell r="AM1477">
            <v>4949.016001</v>
          </cell>
          <cell r="AN1477">
            <v>4962.3928159999996</v>
          </cell>
          <cell r="AO1477">
            <v>4975.629269</v>
          </cell>
          <cell r="AP1477">
            <v>4987.7316879999998</v>
          </cell>
          <cell r="AQ1477">
            <v>4998.7244849999997</v>
          </cell>
          <cell r="AR1477">
            <v>5008.7239149999996</v>
          </cell>
          <cell r="AS1477">
            <v>5017.8594860000003</v>
          </cell>
          <cell r="AT1477">
            <v>5026.2494139999999</v>
          </cell>
          <cell r="AU1477">
            <v>5033.9929750000001</v>
          </cell>
          <cell r="AV1477">
            <v>5041.1692460000004</v>
          </cell>
          <cell r="AW1477">
            <v>5047.838667</v>
          </cell>
          <cell r="AX1477">
            <v>5054.0460030000004</v>
          </cell>
          <cell r="AY1477">
            <v>5059.8239819999999</v>
          </cell>
          <cell r="AZ1477">
            <v>5065.2740039999999</v>
          </cell>
          <cell r="BA1477">
            <v>5070.4102800000001</v>
          </cell>
          <cell r="BB1477">
            <v>5075.2376009999998</v>
          </cell>
          <cell r="BC1477">
            <v>5079.7579009999999</v>
          </cell>
          <cell r="BD1477">
            <v>5083.9747909999996</v>
          </cell>
          <cell r="BE1477">
            <v>5222.4697040000001</v>
          </cell>
          <cell r="BF1477">
            <v>5232.6580800000002</v>
          </cell>
          <cell r="BG1477">
            <v>5242.3468860000003</v>
          </cell>
          <cell r="BH1477">
            <v>5251.5300660000003</v>
          </cell>
          <cell r="BI1477">
            <v>5260.2061640000002</v>
          </cell>
        </row>
        <row r="1489">
          <cell r="F1489">
            <v>868.26537050000002</v>
          </cell>
          <cell r="G1489">
            <v>868.48347030000002</v>
          </cell>
          <cell r="H1489">
            <v>868.50546039999995</v>
          </cell>
          <cell r="I1489">
            <v>868.81863199999998</v>
          </cell>
          <cell r="J1489">
            <v>869.64341109999998</v>
          </cell>
          <cell r="K1489">
            <v>871.02130069999998</v>
          </cell>
          <cell r="L1489">
            <v>872.59028569999998</v>
          </cell>
          <cell r="M1489">
            <v>874.31068900000002</v>
          </cell>
          <cell r="N1489">
            <v>876.14799879999998</v>
          </cell>
          <cell r="O1489">
            <v>878.06463410000003</v>
          </cell>
          <cell r="P1489">
            <v>880.53449709999995</v>
          </cell>
          <cell r="Q1489">
            <v>882.9208509</v>
          </cell>
          <cell r="R1489">
            <v>885.1750346</v>
          </cell>
          <cell r="S1489">
            <v>887.29482069999995</v>
          </cell>
          <cell r="T1489">
            <v>889.28897129999996</v>
          </cell>
          <cell r="U1489">
            <v>891.17038049999996</v>
          </cell>
          <cell r="V1489">
            <v>892.95437400000003</v>
          </cell>
          <cell r="W1489">
            <v>894.65764179999996</v>
          </cell>
          <cell r="X1489">
            <v>896.29719299999999</v>
          </cell>
          <cell r="Y1489">
            <v>897.88943459999996</v>
          </cell>
          <cell r="Z1489">
            <v>899.11346800000001</v>
          </cell>
          <cell r="AA1489">
            <v>900.38128549999999</v>
          </cell>
          <cell r="AB1489">
            <v>901.71975139999995</v>
          </cell>
          <cell r="AC1489">
            <v>903.12793239999996</v>
          </cell>
          <cell r="AD1489">
            <v>904.60016940000003</v>
          </cell>
          <cell r="AE1489">
            <v>905.21651770000005</v>
          </cell>
          <cell r="AF1489">
            <v>905.6259</v>
          </cell>
          <cell r="AG1489">
            <v>905.94349130000001</v>
          </cell>
          <cell r="AH1489">
            <v>906.23398910000003</v>
          </cell>
          <cell r="AI1489">
            <v>906.54089169999997</v>
          </cell>
          <cell r="AJ1489">
            <v>906.89355439999997</v>
          </cell>
          <cell r="AK1489">
            <v>907.30994120000003</v>
          </cell>
          <cell r="AL1489">
            <v>907.79879249999999</v>
          </cell>
          <cell r="AM1489">
            <v>908.36181009999996</v>
          </cell>
          <cell r="AN1489">
            <v>908.99577120000004</v>
          </cell>
          <cell r="AO1489">
            <v>909.69439699999998</v>
          </cell>
          <cell r="AP1489">
            <v>910.25577280000005</v>
          </cell>
          <cell r="AQ1489">
            <v>910.70801930000005</v>
          </cell>
          <cell r="AR1489">
            <v>911.08818220000001</v>
          </cell>
          <cell r="AS1489">
            <v>911.42770419999999</v>
          </cell>
          <cell r="AT1489">
            <v>911.75090869999997</v>
          </cell>
          <cell r="AU1489">
            <v>912.07565580000005</v>
          </cell>
          <cell r="AV1489">
            <v>912.41423980000002</v>
          </cell>
          <cell r="AW1489">
            <v>912.77429219999999</v>
          </cell>
          <cell r="AX1489">
            <v>913.15970219999997</v>
          </cell>
          <cell r="AY1489">
            <v>913.57154109999999</v>
          </cell>
          <cell r="AZ1489">
            <v>914.02462709999998</v>
          </cell>
          <cell r="BA1489">
            <v>914.51409769999998</v>
          </cell>
          <cell r="BB1489">
            <v>915.03384289999997</v>
          </cell>
          <cell r="BC1489">
            <v>915.57776909999995</v>
          </cell>
          <cell r="BD1489">
            <v>916.14035479999995</v>
          </cell>
          <cell r="BE1489">
            <v>906.06296829999997</v>
          </cell>
          <cell r="BF1489">
            <v>906.10522619999995</v>
          </cell>
          <cell r="BG1489">
            <v>906.16741290000004</v>
          </cell>
          <cell r="BH1489">
            <v>906.24966629999994</v>
          </cell>
          <cell r="BI1489">
            <v>906.35235750000004</v>
          </cell>
        </row>
        <row r="1494">
          <cell r="F1494">
            <v>21270.980510000001</v>
          </cell>
          <cell r="G1494">
            <v>21297.637299999999</v>
          </cell>
          <cell r="H1494">
            <v>21331.772209999999</v>
          </cell>
          <cell r="I1494">
            <v>21379.30891</v>
          </cell>
          <cell r="J1494">
            <v>21441.94224</v>
          </cell>
          <cell r="K1494">
            <v>21518.764050000002</v>
          </cell>
          <cell r="L1494">
            <v>21598.988659999999</v>
          </cell>
          <cell r="M1494">
            <v>21681.864089999999</v>
          </cell>
          <cell r="N1494">
            <v>21766.871660000001</v>
          </cell>
          <cell r="O1494">
            <v>21853.455000000002</v>
          </cell>
          <cell r="P1494">
            <v>21955.455330000001</v>
          </cell>
          <cell r="Q1494">
            <v>22055.009829999999</v>
          </cell>
          <cell r="R1494">
            <v>22151.369979999999</v>
          </cell>
          <cell r="S1494">
            <v>22244.611550000001</v>
          </cell>
          <cell r="T1494">
            <v>22334.976930000001</v>
          </cell>
          <cell r="U1494">
            <v>22422.757699999998</v>
          </cell>
          <cell r="V1494">
            <v>22508.272639999999</v>
          </cell>
          <cell r="W1494">
            <v>22591.853940000001</v>
          </cell>
          <cell r="X1494">
            <v>22673.83078</v>
          </cell>
          <cell r="Y1494">
            <v>22754.514179999998</v>
          </cell>
          <cell r="Z1494">
            <v>22824.64068</v>
          </cell>
          <cell r="AA1494">
            <v>22895.915850000001</v>
          </cell>
          <cell r="AB1494">
            <v>22968.731899999999</v>
          </cell>
          <cell r="AC1494">
            <v>23042.959500000001</v>
          </cell>
          <cell r="AD1494">
            <v>23118.387620000001</v>
          </cell>
          <cell r="AE1494">
            <v>23168.77649</v>
          </cell>
          <cell r="AF1494">
            <v>23212.9568</v>
          </cell>
          <cell r="AG1494">
            <v>23253.684639999999</v>
          </cell>
          <cell r="AH1494">
            <v>23292.648980000002</v>
          </cell>
          <cell r="AI1494">
            <v>23331.03357</v>
          </cell>
          <cell r="AJ1494">
            <v>23369.661499999998</v>
          </cell>
          <cell r="AK1494">
            <v>23409.060010000001</v>
          </cell>
          <cell r="AL1494">
            <v>23449.516660000001</v>
          </cell>
          <cell r="AM1494">
            <v>23491.136740000002</v>
          </cell>
          <cell r="AN1494">
            <v>23533.898420000001</v>
          </cell>
          <cell r="AO1494">
            <v>23577.700819999998</v>
          </cell>
          <cell r="AP1494">
            <v>23616.858929999999</v>
          </cell>
          <cell r="AQ1494">
            <v>23652.334350000001</v>
          </cell>
          <cell r="AR1494">
            <v>23685.196609999999</v>
          </cell>
          <cell r="AS1494">
            <v>23716.34978</v>
          </cell>
          <cell r="AT1494">
            <v>23746.50649</v>
          </cell>
          <cell r="AU1494">
            <v>23776.204300000001</v>
          </cell>
          <cell r="AV1494">
            <v>23805.827870000001</v>
          </cell>
          <cell r="AW1494">
            <v>23835.632420000002</v>
          </cell>
          <cell r="AX1494">
            <v>23865.76858</v>
          </cell>
          <cell r="AY1494">
            <v>23896.307809999998</v>
          </cell>
          <cell r="AZ1494">
            <v>23927.715800000002</v>
          </cell>
          <cell r="BA1494">
            <v>23959.89143</v>
          </cell>
          <cell r="BB1494">
            <v>23992.706450000001</v>
          </cell>
          <cell r="BC1494">
            <v>24026.022389999998</v>
          </cell>
          <cell r="BD1494">
            <v>24059.709320000002</v>
          </cell>
          <cell r="BE1494">
            <v>24069.530859999999</v>
          </cell>
          <cell r="BF1494">
            <v>24095.26267</v>
          </cell>
          <cell r="BG1494">
            <v>24120.821110000001</v>
          </cell>
          <cell r="BH1494">
            <v>24146.22565</v>
          </cell>
          <cell r="BI1494">
            <v>24171.505140000001</v>
          </cell>
        </row>
        <row r="1497">
          <cell r="F1497">
            <v>17.994161080000001</v>
          </cell>
          <cell r="G1497">
            <v>17.949905300000001</v>
          </cell>
          <cell r="H1497">
            <v>17.86685567</v>
          </cell>
          <cell r="I1497">
            <v>17.77748777</v>
          </cell>
          <cell r="J1497">
            <v>17.701658089999999</v>
          </cell>
          <cell r="K1497">
            <v>17.64779085</v>
          </cell>
          <cell r="L1497">
            <v>17.611051459999999</v>
          </cell>
          <cell r="M1497">
            <v>17.589661110000002</v>
          </cell>
          <cell r="N1497">
            <v>17.580510270000001</v>
          </cell>
          <cell r="O1497">
            <v>17.580221269999999</v>
          </cell>
          <cell r="P1497">
            <v>17.595222769999999</v>
          </cell>
          <cell r="Q1497">
            <v>17.611663610000001</v>
          </cell>
          <cell r="R1497">
            <v>17.627821820000001</v>
          </cell>
          <cell r="S1497">
            <v>17.643106620000001</v>
          </cell>
          <cell r="T1497">
            <v>17.657250959999999</v>
          </cell>
          <cell r="U1497">
            <v>17.67014515</v>
          </cell>
          <cell r="V1497">
            <v>17.681783729999999</v>
          </cell>
          <cell r="W1497">
            <v>17.692233040000001</v>
          </cell>
          <cell r="X1497">
            <v>17.70160542</v>
          </cell>
          <cell r="Y1497">
            <v>17.710038789999999</v>
          </cell>
          <cell r="Z1497">
            <v>17.711501370000001</v>
          </cell>
          <cell r="AA1497">
            <v>17.713757000000001</v>
          </cell>
          <cell r="AB1497">
            <v>17.71697571</v>
          </cell>
          <cell r="AC1497">
            <v>17.720931419999999</v>
          </cell>
          <cell r="AD1497">
            <v>17.725439420000001</v>
          </cell>
          <cell r="AE1497">
            <v>17.713594260000001</v>
          </cell>
          <cell r="AF1497">
            <v>17.698174210000001</v>
          </cell>
          <cell r="AG1497">
            <v>17.681034019999998</v>
          </cell>
          <cell r="AH1497">
            <v>17.66303473</v>
          </cell>
          <cell r="AI1497">
            <v>17.644732149999999</v>
          </cell>
          <cell r="AJ1497">
            <v>17.626527750000001</v>
          </cell>
          <cell r="AK1497">
            <v>17.60870972</v>
          </cell>
          <cell r="AL1497">
            <v>17.59147123</v>
          </cell>
          <cell r="AM1497">
            <v>17.574926219999998</v>
          </cell>
          <cell r="AN1497">
            <v>17.559125649999999</v>
          </cell>
          <cell r="AO1497">
            <v>17.544073740000002</v>
          </cell>
          <cell r="AP1497">
            <v>17.526192810000001</v>
          </cell>
          <cell r="AQ1497">
            <v>17.506284440000002</v>
          </cell>
          <cell r="AR1497">
            <v>17.485142750000001</v>
          </cell>
          <cell r="AS1497">
            <v>17.463345929999999</v>
          </cell>
          <cell r="AT1497">
            <v>17.441295</v>
          </cell>
          <cell r="AU1497">
            <v>17.41926638</v>
          </cell>
          <cell r="AV1497">
            <v>17.39744834</v>
          </cell>
          <cell r="AW1497">
            <v>17.375964140000001</v>
          </cell>
          <cell r="AX1497">
            <v>17.354886919999998</v>
          </cell>
          <cell r="AY1497">
            <v>17.334248219999999</v>
          </cell>
          <cell r="AZ1497">
            <v>17.314316470000001</v>
          </cell>
          <cell r="BA1497">
            <v>17.294972380000001</v>
          </cell>
          <cell r="BB1497">
            <v>17.2760642</v>
          </cell>
          <cell r="BC1497">
            <v>17.257568930000001</v>
          </cell>
          <cell r="BD1497">
            <v>17.23951929</v>
          </cell>
          <cell r="BE1497">
            <v>17.061439549999999</v>
          </cell>
          <cell r="BF1497">
            <v>17.03713956</v>
          </cell>
          <cell r="BG1497">
            <v>17.01324752</v>
          </cell>
          <cell r="BH1497">
            <v>16.989794199999999</v>
          </cell>
          <cell r="BI1497">
            <v>16.96681293</v>
          </cell>
        </row>
        <row r="1499">
          <cell r="F1499">
            <v>6.6863688339999996</v>
          </cell>
          <cell r="G1499">
            <v>6.663688455</v>
          </cell>
          <cell r="H1499">
            <v>6.6230406139999998</v>
          </cell>
          <cell r="I1499">
            <v>6.5796770130000004</v>
          </cell>
          <cell r="J1499">
            <v>6.5429209080000001</v>
          </cell>
          <cell r="K1499">
            <v>6.5163609989999998</v>
          </cell>
          <cell r="L1499">
            <v>6.4981650660000003</v>
          </cell>
          <cell r="M1499">
            <v>6.4871787799999998</v>
          </cell>
          <cell r="N1499">
            <v>6.4817429320000004</v>
          </cell>
          <cell r="O1499">
            <v>6.4802288370000003</v>
          </cell>
          <cell r="P1499">
            <v>6.4844130560000002</v>
          </cell>
          <cell r="Q1499">
            <v>6.4894319070000002</v>
          </cell>
          <cell r="R1499">
            <v>6.494634595</v>
          </cell>
          <cell r="S1499">
            <v>6.4997009400000003</v>
          </cell>
          <cell r="T1499">
            <v>6.5044421220000004</v>
          </cell>
          <cell r="U1499">
            <v>6.5087515710000003</v>
          </cell>
          <cell r="V1499">
            <v>6.512581076</v>
          </cell>
          <cell r="W1499">
            <v>6.5159227260000003</v>
          </cell>
          <cell r="X1499">
            <v>6.5187945870000004</v>
          </cell>
          <cell r="Y1499">
            <v>6.52123001</v>
          </cell>
          <cell r="Z1499">
            <v>6.5212052409999997</v>
          </cell>
          <cell r="AA1499">
            <v>6.5213172029999997</v>
          </cell>
          <cell r="AB1499">
            <v>6.5215674220000004</v>
          </cell>
          <cell r="AC1499">
            <v>6.5218916699999996</v>
          </cell>
          <cell r="AD1499">
            <v>6.5222483139999996</v>
          </cell>
          <cell r="AE1499">
            <v>6.5169956060000001</v>
          </cell>
          <cell r="AF1499">
            <v>6.510447256</v>
          </cell>
          <cell r="AG1499">
            <v>6.5031028360000001</v>
          </cell>
          <cell r="AH1499">
            <v>6.4952354659999996</v>
          </cell>
          <cell r="AI1499">
            <v>6.4870515060000002</v>
          </cell>
          <cell r="AJ1499">
            <v>6.4787162949999999</v>
          </cell>
          <cell r="AK1499">
            <v>6.4703575750000004</v>
          </cell>
          <cell r="AL1499">
            <v>6.4620677549999996</v>
          </cell>
          <cell r="AM1499">
            <v>6.4539081559999998</v>
          </cell>
          <cell r="AN1499">
            <v>6.4459147239999997</v>
          </cell>
          <cell r="AO1499">
            <v>6.4381041679999997</v>
          </cell>
          <cell r="AP1499">
            <v>6.4292883920000001</v>
          </cell>
          <cell r="AQ1499">
            <v>6.4197541999999999</v>
          </cell>
          <cell r="AR1499">
            <v>6.4097546789999997</v>
          </cell>
          <cell r="AS1499">
            <v>6.399475303</v>
          </cell>
          <cell r="AT1499">
            <v>6.389051018</v>
          </cell>
          <cell r="AU1499">
            <v>6.3785813569999998</v>
          </cell>
          <cell r="AV1499">
            <v>6.3681394999999998</v>
          </cell>
          <cell r="AW1499">
            <v>6.3577777400000004</v>
          </cell>
          <cell r="AX1499">
            <v>6.347531354</v>
          </cell>
          <cell r="AY1499">
            <v>6.3374218490000001</v>
          </cell>
          <cell r="AZ1499">
            <v>6.3275552060000004</v>
          </cell>
          <cell r="BA1499">
            <v>6.3179103259999998</v>
          </cell>
          <cell r="BB1499">
            <v>6.3084635379999998</v>
          </cell>
          <cell r="BC1499">
            <v>6.2991946250000002</v>
          </cell>
          <cell r="BD1499">
            <v>6.2900861529999998</v>
          </cell>
          <cell r="BE1499">
            <v>6.2314564189999997</v>
          </cell>
          <cell r="BF1499">
            <v>6.21968941</v>
          </cell>
          <cell r="BG1499">
            <v>6.2080740509999996</v>
          </cell>
          <cell r="BH1499">
            <v>6.1966238159999998</v>
          </cell>
          <cell r="BI1499">
            <v>6.1853541830000003</v>
          </cell>
        </row>
        <row r="1501">
          <cell r="F1501">
            <v>0.72011375379999998</v>
          </cell>
          <cell r="G1501">
            <v>0.71952820179999999</v>
          </cell>
          <cell r="H1501">
            <v>0.71808296900000002</v>
          </cell>
          <cell r="I1501">
            <v>0.71643770819999997</v>
          </cell>
          <cell r="J1501">
            <v>0.71500132679999995</v>
          </cell>
          <cell r="K1501">
            <v>0.71402231230000002</v>
          </cell>
          <cell r="L1501">
            <v>0.71332271599999997</v>
          </cell>
          <cell r="M1501">
            <v>0.71293185660000002</v>
          </cell>
          <cell r="N1501">
            <v>0.71283224680000001</v>
          </cell>
          <cell r="O1501">
            <v>0.712967342</v>
          </cell>
          <cell r="P1501">
            <v>0.71371919149999996</v>
          </cell>
          <cell r="Q1501">
            <v>0.71448810360000004</v>
          </cell>
          <cell r="R1501">
            <v>0.71518993630000005</v>
          </cell>
          <cell r="S1501">
            <v>0.71581337810000001</v>
          </cell>
          <cell r="T1501">
            <v>0.71636218470000002</v>
          </cell>
          <cell r="U1501">
            <v>0.71684346470000004</v>
          </cell>
          <cell r="V1501">
            <v>0.71726539970000003</v>
          </cell>
          <cell r="W1501">
            <v>0.71763680200000002</v>
          </cell>
          <cell r="X1501">
            <v>0.7179669125</v>
          </cell>
          <cell r="Y1501">
            <v>0.71826516230000004</v>
          </cell>
          <cell r="Z1501">
            <v>0.71824735289999997</v>
          </cell>
          <cell r="AA1501">
            <v>0.71827279600000005</v>
          </cell>
          <cell r="AB1501">
            <v>0.71837072489999998</v>
          </cell>
          <cell r="AC1501">
            <v>0.71853226820000005</v>
          </cell>
          <cell r="AD1501">
            <v>0.71874629550000002</v>
          </cell>
          <cell r="AE1501">
            <v>0.71821127650000005</v>
          </cell>
          <cell r="AF1501">
            <v>0.71749857289999996</v>
          </cell>
          <cell r="AG1501">
            <v>0.71673278289999998</v>
          </cell>
          <cell r="AH1501">
            <v>0.7159654674</v>
          </cell>
          <cell r="AI1501">
            <v>0.71522345549999999</v>
          </cell>
          <cell r="AJ1501">
            <v>0.71452253939999999</v>
          </cell>
          <cell r="AK1501">
            <v>0.71387219000000002</v>
          </cell>
          <cell r="AL1501">
            <v>0.71327755029999995</v>
          </cell>
          <cell r="AM1501">
            <v>0.71274055359999999</v>
          </cell>
          <cell r="AN1501">
            <v>0.7122607299</v>
          </cell>
          <cell r="AO1501">
            <v>0.71183587319999997</v>
          </cell>
          <cell r="AP1501">
            <v>0.71129642420000005</v>
          </cell>
          <cell r="AQ1501">
            <v>0.71067126560000005</v>
          </cell>
          <cell r="AR1501">
            <v>0.70999985639999996</v>
          </cell>
          <cell r="AS1501">
            <v>0.70931208580000005</v>
          </cell>
          <cell r="AT1501">
            <v>0.70862796319999999</v>
          </cell>
          <cell r="AU1501">
            <v>0.70796015690000003</v>
          </cell>
          <cell r="AV1501">
            <v>0.70731625050000002</v>
          </cell>
          <cell r="AW1501">
            <v>0.70670034400000004</v>
          </cell>
          <cell r="AX1501">
            <v>0.70611408399999998</v>
          </cell>
          <cell r="AY1501">
            <v>0.70555718379999999</v>
          </cell>
          <cell r="AZ1501">
            <v>0.70504022340000005</v>
          </cell>
          <cell r="BA1501">
            <v>0.70455032510000004</v>
          </cell>
          <cell r="BB1501">
            <v>0.70406853899999999</v>
          </cell>
          <cell r="BC1501">
            <v>0.70359757040000004</v>
          </cell>
          <cell r="BD1501">
            <v>0.70314928799999998</v>
          </cell>
          <cell r="BE1501">
            <v>0.69139399580000005</v>
          </cell>
          <cell r="BF1501">
            <v>0.6906937943</v>
          </cell>
          <cell r="BG1501">
            <v>0.69001173999999998</v>
          </cell>
          <cell r="BH1501">
            <v>0.68934913139999998</v>
          </cell>
          <cell r="BI1501">
            <v>0.68870704589999998</v>
          </cell>
        </row>
        <row r="1502">
          <cell r="F1502">
            <v>86.953612710000002</v>
          </cell>
          <cell r="G1502">
            <v>86.760530610000004</v>
          </cell>
          <cell r="H1502">
            <v>86.366415599999996</v>
          </cell>
          <cell r="I1502">
            <v>85.888597630000007</v>
          </cell>
          <cell r="J1502">
            <v>85.407461479999995</v>
          </cell>
          <cell r="K1502">
            <v>84.970071590000003</v>
          </cell>
          <cell r="L1502">
            <v>84.571033610000001</v>
          </cell>
          <cell r="M1502">
            <v>84.214655570000005</v>
          </cell>
          <cell r="N1502">
            <v>83.897710959999998</v>
          </cell>
          <cell r="O1502">
            <v>83.611805239999995</v>
          </cell>
          <cell r="P1502">
            <v>83.390268849999998</v>
          </cell>
          <cell r="Q1502">
            <v>83.176826820000002</v>
          </cell>
          <cell r="R1502">
            <v>82.958994469999993</v>
          </cell>
          <cell r="S1502">
            <v>82.734078600000004</v>
          </cell>
          <cell r="T1502">
            <v>82.502258889999993</v>
          </cell>
          <cell r="U1502">
            <v>82.264650750000001</v>
          </cell>
          <cell r="V1502">
            <v>82.02271374</v>
          </cell>
          <cell r="W1502">
            <v>81.778043499999995</v>
          </cell>
          <cell r="X1502">
            <v>81.532275260000006</v>
          </cell>
          <cell r="Y1502">
            <v>81.287020049999995</v>
          </cell>
          <cell r="Z1502">
            <v>81.016300520000001</v>
          </cell>
          <cell r="AA1502">
            <v>80.752447450000005</v>
          </cell>
          <cell r="AB1502">
            <v>80.500716339999997</v>
          </cell>
          <cell r="AC1502">
            <v>80.26130895</v>
          </cell>
          <cell r="AD1502">
            <v>80.033515870000002</v>
          </cell>
          <cell r="AE1502">
            <v>79.742775620000003</v>
          </cell>
          <cell r="AF1502">
            <v>79.436979579999999</v>
          </cell>
          <cell r="AG1502">
            <v>79.130657830000004</v>
          </cell>
          <cell r="AH1502">
            <v>78.830343920000004</v>
          </cell>
          <cell r="AI1502">
            <v>78.539497040000001</v>
          </cell>
          <cell r="AJ1502">
            <v>78.260053339999999</v>
          </cell>
          <cell r="AK1502">
            <v>77.993015150000005</v>
          </cell>
          <cell r="AL1502">
            <v>77.738735969999993</v>
          </cell>
          <cell r="AM1502">
            <v>77.49709842</v>
          </cell>
          <cell r="AN1502">
            <v>77.267649449999993</v>
          </cell>
          <cell r="AO1502">
            <v>77.04971295</v>
          </cell>
          <cell r="AP1502">
            <v>76.827196830000005</v>
          </cell>
          <cell r="AQ1502">
            <v>76.601173529999997</v>
          </cell>
          <cell r="AR1502">
            <v>76.374873489999999</v>
          </cell>
          <cell r="AS1502">
            <v>76.151072290000002</v>
          </cell>
          <cell r="AT1502">
            <v>75.931728440000001</v>
          </cell>
          <cell r="AU1502">
            <v>75.718101430000004</v>
          </cell>
          <cell r="AV1502">
            <v>75.510929559999994</v>
          </cell>
          <cell r="AW1502">
            <v>75.310584199999994</v>
          </cell>
          <cell r="AX1502">
            <v>75.117170770000001</v>
          </cell>
          <cell r="AY1502">
            <v>74.930562339999994</v>
          </cell>
          <cell r="AZ1502">
            <v>74.751421960000002</v>
          </cell>
          <cell r="BA1502">
            <v>74.577560160000004</v>
          </cell>
          <cell r="BB1502">
            <v>74.406905570000006</v>
          </cell>
          <cell r="BC1502">
            <v>74.239388300000002</v>
          </cell>
          <cell r="BD1502">
            <v>74.075950340000006</v>
          </cell>
          <cell r="BE1502">
            <v>71.369933189999998</v>
          </cell>
          <cell r="BF1502">
            <v>71.162944929999995</v>
          </cell>
          <cell r="BG1502">
            <v>70.960819119999996</v>
          </cell>
          <cell r="BH1502">
            <v>70.76353349</v>
          </cell>
          <cell r="BI1502">
            <v>70.57103103</v>
          </cell>
        </row>
        <row r="1512">
          <cell r="F1512">
            <v>1941262.1780000001</v>
          </cell>
          <cell r="G1512">
            <v>1959209.1189999999</v>
          </cell>
          <cell r="H1512">
            <v>1980027.324</v>
          </cell>
          <cell r="I1512">
            <v>2003195.365</v>
          </cell>
          <cell r="J1512">
            <v>2028492.5619999999</v>
          </cell>
          <cell r="K1512">
            <v>2055622.625</v>
          </cell>
          <cell r="L1512">
            <v>2082849.1980000001</v>
          </cell>
          <cell r="M1512">
            <v>2111051.682</v>
          </cell>
          <cell r="N1512">
            <v>2140099.892</v>
          </cell>
          <cell r="O1512">
            <v>2169884.7089999998</v>
          </cell>
          <cell r="P1512">
            <v>2200525.0950000002</v>
          </cell>
          <cell r="Q1512">
            <v>2233214.6830000002</v>
          </cell>
          <cell r="R1512">
            <v>2266518.6170000001</v>
          </cell>
          <cell r="S1512">
            <v>2300416.409</v>
          </cell>
          <cell r="T1512">
            <v>2334847.2930000001</v>
          </cell>
          <cell r="U1512">
            <v>2369762.977</v>
          </cell>
          <cell r="V1512">
            <v>2405009.6749999998</v>
          </cell>
          <cell r="W1512">
            <v>2440660.1979999999</v>
          </cell>
          <cell r="X1512">
            <v>2476703.34</v>
          </cell>
          <cell r="Y1512">
            <v>2513137.2119999998</v>
          </cell>
          <cell r="Z1512">
            <v>2548139.4959999998</v>
          </cell>
          <cell r="AA1512">
            <v>2584921.6690000002</v>
          </cell>
          <cell r="AB1512">
            <v>2622204.682</v>
          </cell>
          <cell r="AC1512">
            <v>2660007.1039999998</v>
          </cell>
          <cell r="AD1512">
            <v>2698336.5380000002</v>
          </cell>
          <cell r="AE1512">
            <v>2731943.318</v>
          </cell>
          <cell r="AF1512">
            <v>2767606.7949999999</v>
          </cell>
          <cell r="AG1512">
            <v>2803421.2069999999</v>
          </cell>
          <cell r="AH1512">
            <v>2839510.71</v>
          </cell>
          <cell r="AI1512">
            <v>2875966.6469999999</v>
          </cell>
          <cell r="AJ1512">
            <v>2912859.07</v>
          </cell>
          <cell r="AK1512">
            <v>2950274.54</v>
          </cell>
          <cell r="AL1512">
            <v>2988218.25</v>
          </cell>
          <cell r="AM1512">
            <v>3026708.818</v>
          </cell>
          <cell r="AN1512">
            <v>3065754.23</v>
          </cell>
          <cell r="AO1512">
            <v>3105356.2170000002</v>
          </cell>
          <cell r="AP1512">
            <v>3144594.5980000002</v>
          </cell>
          <cell r="AQ1512">
            <v>3184130.56</v>
          </cell>
          <cell r="AR1512">
            <v>3224006.625</v>
          </cell>
          <cell r="AS1512">
            <v>3264262.5869999998</v>
          </cell>
          <cell r="AT1512">
            <v>3304935.8160000001</v>
          </cell>
          <cell r="AU1512">
            <v>3346118.1680000001</v>
          </cell>
          <cell r="AV1512">
            <v>3387791.625</v>
          </cell>
          <cell r="AW1512">
            <v>3429974.7880000002</v>
          </cell>
          <cell r="AX1512">
            <v>3472678.7969999998</v>
          </cell>
          <cell r="AY1512">
            <v>3515910.08</v>
          </cell>
          <cell r="AZ1512">
            <v>3559996.0120000001</v>
          </cell>
          <cell r="BA1512">
            <v>3604691.5430000001</v>
          </cell>
          <cell r="BB1512">
            <v>3649985.4909999999</v>
          </cell>
          <cell r="BC1512">
            <v>3695863.4029999999</v>
          </cell>
          <cell r="BD1512">
            <v>3742314.6549999998</v>
          </cell>
          <cell r="BE1512">
            <v>4435341.7680000002</v>
          </cell>
          <cell r="BF1512">
            <v>4509946.5190000003</v>
          </cell>
          <cell r="BG1512">
            <v>4585737.1710000001</v>
          </cell>
          <cell r="BH1512">
            <v>4662731.2929999996</v>
          </cell>
          <cell r="BI1512">
            <v>4740947.9249999998</v>
          </cell>
        </row>
        <row r="1513">
          <cell r="F1513">
            <v>35195.999609999999</v>
          </cell>
          <cell r="G1513">
            <v>35165.35514</v>
          </cell>
          <cell r="H1513">
            <v>35227.193240000001</v>
          </cell>
          <cell r="I1513">
            <v>35363.901530000003</v>
          </cell>
          <cell r="J1513">
            <v>35565.712050000002</v>
          </cell>
          <cell r="K1513">
            <v>35821.040459999997</v>
          </cell>
          <cell r="L1513">
            <v>36093.980340000002</v>
          </cell>
          <cell r="M1513">
            <v>36393.165789999999</v>
          </cell>
          <cell r="N1513">
            <v>36712.24914</v>
          </cell>
          <cell r="O1513">
            <v>37046.399949999999</v>
          </cell>
          <cell r="P1513">
            <v>37378.9499</v>
          </cell>
          <cell r="Q1513">
            <v>37767.729220000001</v>
          </cell>
          <cell r="R1513">
            <v>38160.101580000002</v>
          </cell>
          <cell r="S1513">
            <v>38558.650139999998</v>
          </cell>
          <cell r="T1513">
            <v>38962.407740000002</v>
          </cell>
          <cell r="U1513">
            <v>39370.068379999997</v>
          </cell>
          <cell r="V1513">
            <v>39771.581639999997</v>
          </cell>
          <cell r="W1513">
            <v>40173.328260000002</v>
          </cell>
          <cell r="X1513">
            <v>40575.367279999999</v>
          </cell>
          <cell r="Y1513">
            <v>40977.522069999999</v>
          </cell>
          <cell r="Z1513">
            <v>41351.885029999998</v>
          </cell>
          <cell r="AA1513">
            <v>41746.21643</v>
          </cell>
          <cell r="AB1513">
            <v>42142.525020000001</v>
          </cell>
          <cell r="AC1513">
            <v>42541.048150000002</v>
          </cell>
          <cell r="AD1513">
            <v>42941.836949999997</v>
          </cell>
          <cell r="AE1513">
            <v>43266.411379999998</v>
          </cell>
          <cell r="AF1513">
            <v>43616.615919999997</v>
          </cell>
          <cell r="AG1513">
            <v>43963.624049999999</v>
          </cell>
          <cell r="AH1513">
            <v>44309.580560000002</v>
          </cell>
          <cell r="AI1513">
            <v>44656.28645</v>
          </cell>
          <cell r="AJ1513">
            <v>45005.083899999998</v>
          </cell>
          <cell r="AK1513">
            <v>45359.581359999996</v>
          </cell>
          <cell r="AL1513">
            <v>45718.16949</v>
          </cell>
          <cell r="AM1513">
            <v>46080.940549999999</v>
          </cell>
          <cell r="AN1513">
            <v>46447.92742</v>
          </cell>
          <cell r="AO1513">
            <v>46819.063190000001</v>
          </cell>
          <cell r="AP1513">
            <v>47201.572419999997</v>
          </cell>
          <cell r="AQ1513">
            <v>47587.162190000003</v>
          </cell>
          <cell r="AR1513">
            <v>47974.701379999999</v>
          </cell>
          <cell r="AS1513">
            <v>48364.464540000001</v>
          </cell>
          <cell r="AT1513">
            <v>48756.913919999999</v>
          </cell>
          <cell r="AU1513">
            <v>49156.820399999997</v>
          </cell>
          <cell r="AV1513">
            <v>49561.010430000002</v>
          </cell>
          <cell r="AW1513">
            <v>49969.380770000003</v>
          </cell>
          <cell r="AX1513">
            <v>50381.939299999998</v>
          </cell>
          <cell r="AY1513">
            <v>50798.64602</v>
          </cell>
          <cell r="AZ1513">
            <v>51236.492359999997</v>
          </cell>
          <cell r="BA1513">
            <v>51681.589599999999</v>
          </cell>
          <cell r="BB1513">
            <v>52132.474739999998</v>
          </cell>
          <cell r="BC1513">
            <v>52588.490469999997</v>
          </cell>
          <cell r="BD1513">
            <v>53049.17671</v>
          </cell>
          <cell r="BE1513">
            <v>73046.369460000002</v>
          </cell>
          <cell r="BF1513">
            <v>74178.173190000001</v>
          </cell>
          <cell r="BG1513">
            <v>75329.311960000006</v>
          </cell>
          <cell r="BH1513">
            <v>76500.127600000007</v>
          </cell>
          <cell r="BI1513">
            <v>77691.000880000007</v>
          </cell>
        </row>
        <row r="1516">
          <cell r="F1516">
            <v>324346.93449999997</v>
          </cell>
          <cell r="G1516">
            <v>328118.22019999998</v>
          </cell>
          <cell r="H1516">
            <v>331829.56510000001</v>
          </cell>
          <cell r="I1516">
            <v>335800.24129999999</v>
          </cell>
          <cell r="J1516">
            <v>340043.42290000001</v>
          </cell>
          <cell r="K1516">
            <v>344514.67300000001</v>
          </cell>
          <cell r="L1516">
            <v>348927.26520000002</v>
          </cell>
          <cell r="M1516">
            <v>353462.75799999997</v>
          </cell>
          <cell r="N1516">
            <v>358096.18359999999</v>
          </cell>
          <cell r="O1516">
            <v>362817.24969999999</v>
          </cell>
          <cell r="P1516">
            <v>367380.24060000002</v>
          </cell>
          <cell r="Q1516">
            <v>372752.84789999999</v>
          </cell>
          <cell r="R1516">
            <v>378137.80550000002</v>
          </cell>
          <cell r="S1516">
            <v>383602.43089999998</v>
          </cell>
          <cell r="T1516">
            <v>389149.02370000002</v>
          </cell>
          <cell r="U1516">
            <v>394775.7377</v>
          </cell>
          <cell r="V1516">
            <v>400450.12900000002</v>
          </cell>
          <cell r="W1516">
            <v>406205.17749999999</v>
          </cell>
          <cell r="X1516">
            <v>412040.96610000002</v>
          </cell>
          <cell r="Y1516">
            <v>417960.95699999999</v>
          </cell>
          <cell r="Z1516">
            <v>423669.21710000001</v>
          </cell>
          <cell r="AA1516">
            <v>429717.27380000002</v>
          </cell>
          <cell r="AB1516">
            <v>435856.77240000002</v>
          </cell>
          <cell r="AC1516">
            <v>442105.72629999998</v>
          </cell>
          <cell r="AD1516">
            <v>448468.10460000002</v>
          </cell>
          <cell r="AE1516">
            <v>454086.36090000003</v>
          </cell>
          <cell r="AF1516">
            <v>460134.72100000002</v>
          </cell>
          <cell r="AG1516">
            <v>466208.74449999997</v>
          </cell>
          <cell r="AH1516">
            <v>472343.55300000001</v>
          </cell>
          <cell r="AI1516">
            <v>478552.27919999999</v>
          </cell>
          <cell r="AJ1516">
            <v>484842.57909999997</v>
          </cell>
          <cell r="AK1516">
            <v>491228.80979999999</v>
          </cell>
          <cell r="AL1516">
            <v>497703.91899999999</v>
          </cell>
          <cell r="AM1516">
            <v>504268.74329999997</v>
          </cell>
          <cell r="AN1516">
            <v>510921.7672</v>
          </cell>
          <cell r="AO1516">
            <v>517660.47859999997</v>
          </cell>
          <cell r="AP1516">
            <v>524369.54110000003</v>
          </cell>
          <cell r="AQ1516">
            <v>531122.8689</v>
          </cell>
          <cell r="AR1516">
            <v>537920.7254</v>
          </cell>
          <cell r="AS1516">
            <v>544764.73910000001</v>
          </cell>
          <cell r="AT1516">
            <v>551656.97129999998</v>
          </cell>
          <cell r="AU1516">
            <v>558615.37150000001</v>
          </cell>
          <cell r="AV1516">
            <v>565626.98620000004</v>
          </cell>
          <cell r="AW1516">
            <v>572694.22889999999</v>
          </cell>
          <cell r="AX1516">
            <v>579817.56200000003</v>
          </cell>
          <cell r="AY1516">
            <v>586996.95790000004</v>
          </cell>
          <cell r="AZ1516">
            <v>594307.53899999999</v>
          </cell>
          <cell r="BA1516">
            <v>601681.33039999998</v>
          </cell>
          <cell r="BB1516">
            <v>609122.18700000003</v>
          </cell>
          <cell r="BC1516">
            <v>616628.30530000001</v>
          </cell>
          <cell r="BD1516">
            <v>624198.07400000002</v>
          </cell>
          <cell r="BE1516">
            <v>779782.38390000002</v>
          </cell>
          <cell r="BF1516">
            <v>793578.7855</v>
          </cell>
          <cell r="BG1516">
            <v>807567.57739999995</v>
          </cell>
          <cell r="BH1516">
            <v>821748.6128</v>
          </cell>
          <cell r="BI1516">
            <v>836122.06779999996</v>
          </cell>
        </row>
        <row r="1528">
          <cell r="F1528">
            <v>47550.70912</v>
          </cell>
          <cell r="G1528">
            <v>48051.037020000003</v>
          </cell>
          <cell r="H1528">
            <v>48534.319660000001</v>
          </cell>
          <cell r="I1528">
            <v>49058.774850000002</v>
          </cell>
          <cell r="J1528">
            <v>49631.873370000001</v>
          </cell>
          <cell r="K1528">
            <v>50248.541519999999</v>
          </cell>
          <cell r="L1528">
            <v>50865.00172</v>
          </cell>
          <cell r="M1528">
            <v>51506.22651</v>
          </cell>
          <cell r="N1528">
            <v>52166.365899999997</v>
          </cell>
          <cell r="O1528">
            <v>52841.573049999999</v>
          </cell>
          <cell r="P1528">
            <v>53503.183709999998</v>
          </cell>
          <cell r="Q1528">
            <v>54265.40191</v>
          </cell>
          <cell r="R1528">
            <v>55028.92</v>
          </cell>
          <cell r="S1528">
            <v>55801.014640000001</v>
          </cell>
          <cell r="T1528">
            <v>56581.018750000003</v>
          </cell>
          <cell r="U1528">
            <v>57367.774940000003</v>
          </cell>
          <cell r="V1528">
            <v>58156.07604</v>
          </cell>
          <cell r="W1528">
            <v>58949.628049999999</v>
          </cell>
          <cell r="X1528">
            <v>59747.950120000001</v>
          </cell>
          <cell r="Y1528">
            <v>60551.169670000003</v>
          </cell>
          <cell r="Z1528">
            <v>61314.36939</v>
          </cell>
          <cell r="AA1528">
            <v>62121.226499999997</v>
          </cell>
          <cell r="AB1528">
            <v>62934.62629</v>
          </cell>
          <cell r="AC1528">
            <v>63757.023220000003</v>
          </cell>
          <cell r="AD1528">
            <v>64589.207470000001</v>
          </cell>
          <cell r="AE1528">
            <v>65301.760249999999</v>
          </cell>
          <cell r="AF1528">
            <v>66073.774669999999</v>
          </cell>
          <cell r="AG1528">
            <v>66846.254939999999</v>
          </cell>
          <cell r="AH1528">
            <v>67624.729049999994</v>
          </cell>
          <cell r="AI1528">
            <v>68411.973700000002</v>
          </cell>
          <cell r="AJ1528">
            <v>69209.916360000003</v>
          </cell>
          <cell r="AK1528">
            <v>70021.218680000005</v>
          </cell>
          <cell r="AL1528">
            <v>70845.532330000002</v>
          </cell>
          <cell r="AM1528">
            <v>71683.454400000002</v>
          </cell>
          <cell r="AN1528">
            <v>72535.204819999999</v>
          </cell>
          <cell r="AO1528">
            <v>73400.815690000003</v>
          </cell>
          <cell r="AP1528">
            <v>74261.566210000005</v>
          </cell>
          <cell r="AQ1528">
            <v>75130.910539999997</v>
          </cell>
          <cell r="AR1528">
            <v>76009.533290000007</v>
          </cell>
          <cell r="AS1528">
            <v>76898.256359999999</v>
          </cell>
          <cell r="AT1528">
            <v>77797.889089999997</v>
          </cell>
          <cell r="AU1528">
            <v>78711.257020000005</v>
          </cell>
          <cell r="AV1528">
            <v>79636.925570000007</v>
          </cell>
          <cell r="AW1528">
            <v>80575.401710000006</v>
          </cell>
          <cell r="AX1528">
            <v>81526.864990000002</v>
          </cell>
          <cell r="AY1528">
            <v>82491.364390000002</v>
          </cell>
          <cell r="AZ1528">
            <v>83479.270650000006</v>
          </cell>
          <cell r="BA1528">
            <v>84481.107019999996</v>
          </cell>
          <cell r="BB1528">
            <v>85497.221539999999</v>
          </cell>
          <cell r="BC1528">
            <v>86527.272270000001</v>
          </cell>
          <cell r="BD1528">
            <v>87570.931880000004</v>
          </cell>
          <cell r="BE1528">
            <v>104246.85159999999</v>
          </cell>
          <cell r="BF1528">
            <v>105947.7721</v>
          </cell>
          <cell r="BG1528">
            <v>107679.07919999999</v>
          </cell>
          <cell r="BH1528">
            <v>109441.3615</v>
          </cell>
          <cell r="BI1528">
            <v>111235.22809999999</v>
          </cell>
        </row>
        <row r="1533">
          <cell r="F1533">
            <v>1496090.3570000001</v>
          </cell>
          <cell r="G1533">
            <v>1509548.6580000001</v>
          </cell>
          <cell r="H1533">
            <v>1525921.0789999999</v>
          </cell>
          <cell r="I1533">
            <v>1544259.1070000001</v>
          </cell>
          <cell r="J1533">
            <v>1564307.388</v>
          </cell>
          <cell r="K1533">
            <v>1585826.622</v>
          </cell>
          <cell r="L1533">
            <v>1607474.3559999999</v>
          </cell>
          <cell r="M1533">
            <v>1629903.2960000001</v>
          </cell>
          <cell r="N1533">
            <v>1653025.55</v>
          </cell>
          <cell r="O1533">
            <v>1676755.993</v>
          </cell>
          <cell r="P1533">
            <v>1701513.2120000001</v>
          </cell>
          <cell r="Q1533">
            <v>1727309.9040000001</v>
          </cell>
          <cell r="R1533">
            <v>1753704.662</v>
          </cell>
          <cell r="S1533">
            <v>1780596.673</v>
          </cell>
          <cell r="T1533">
            <v>1807924.834</v>
          </cell>
          <cell r="U1533">
            <v>1835646.1259999999</v>
          </cell>
          <cell r="V1533">
            <v>1863656.976</v>
          </cell>
          <cell r="W1533">
            <v>1891985.865</v>
          </cell>
          <cell r="X1533">
            <v>1920622.28</v>
          </cell>
          <cell r="Y1533">
            <v>1949560.8389999999</v>
          </cell>
          <cell r="Z1533">
            <v>1977376.1710000001</v>
          </cell>
          <cell r="AA1533">
            <v>2006545.8659999999</v>
          </cell>
          <cell r="AB1533">
            <v>2036113.132</v>
          </cell>
          <cell r="AC1533">
            <v>2066075.746</v>
          </cell>
          <cell r="AD1533">
            <v>2096435.9720000001</v>
          </cell>
          <cell r="AE1533">
            <v>2123089.898</v>
          </cell>
          <cell r="AF1533">
            <v>2151255.9139999999</v>
          </cell>
          <cell r="AG1533">
            <v>2179547.35</v>
          </cell>
          <cell r="AH1533">
            <v>2208043.949</v>
          </cell>
          <cell r="AI1533">
            <v>2236817.7459999998</v>
          </cell>
          <cell r="AJ1533">
            <v>2265926.628</v>
          </cell>
          <cell r="AK1533">
            <v>2295435.08</v>
          </cell>
          <cell r="AL1533">
            <v>2325357.1239999998</v>
          </cell>
          <cell r="AM1533">
            <v>2355709.33</v>
          </cell>
          <cell r="AN1533">
            <v>2386500.6690000002</v>
          </cell>
          <cell r="AO1533">
            <v>2417735.324</v>
          </cell>
          <cell r="AP1533">
            <v>2448634.0109999999</v>
          </cell>
          <cell r="AQ1533">
            <v>2479769.588</v>
          </cell>
          <cell r="AR1533">
            <v>2511182.9169999999</v>
          </cell>
          <cell r="AS1533">
            <v>2542910.173</v>
          </cell>
          <cell r="AT1533">
            <v>2574984.9279999998</v>
          </cell>
          <cell r="AU1533">
            <v>2607472.463</v>
          </cell>
          <cell r="AV1533">
            <v>2640373.0520000001</v>
          </cell>
          <cell r="AW1533">
            <v>2673702.38</v>
          </cell>
          <cell r="AX1533">
            <v>2707470.969</v>
          </cell>
          <cell r="AY1533">
            <v>2741685.3620000002</v>
          </cell>
          <cell r="AZ1533">
            <v>2776565.9950000001</v>
          </cell>
          <cell r="BA1533">
            <v>2811963.3960000002</v>
          </cell>
          <cell r="BB1533">
            <v>2847863.4670000002</v>
          </cell>
          <cell r="BC1533">
            <v>2884254.628</v>
          </cell>
          <cell r="BD1533">
            <v>2921128.8029999998</v>
          </cell>
          <cell r="BE1533">
            <v>3416677.1430000002</v>
          </cell>
          <cell r="BF1533">
            <v>3473898.909</v>
          </cell>
          <cell r="BG1533">
            <v>3532050.4369999999</v>
          </cell>
          <cell r="BH1533">
            <v>3591148.4539999999</v>
          </cell>
          <cell r="BI1533">
            <v>3651210.7570000002</v>
          </cell>
        </row>
        <row r="1537">
          <cell r="F1537">
            <v>-2139.552005</v>
          </cell>
          <cell r="G1537">
            <v>-2102.872609</v>
          </cell>
          <cell r="H1537">
            <v>-2101.4837419999999</v>
          </cell>
          <cell r="I1537">
            <v>-2106.1702829999999</v>
          </cell>
          <cell r="J1537">
            <v>-2114.6367679999998</v>
          </cell>
          <cell r="K1537">
            <v>-2127.383178</v>
          </cell>
          <cell r="L1537">
            <v>-2144.5949540000001</v>
          </cell>
          <cell r="M1537">
            <v>-2162.9996620000002</v>
          </cell>
          <cell r="N1537">
            <v>-2183.1321160000002</v>
          </cell>
          <cell r="O1537">
            <v>-2204.6259359999999</v>
          </cell>
          <cell r="P1537">
            <v>-2227.7345890000001</v>
          </cell>
          <cell r="Q1537">
            <v>-2247.0049650000001</v>
          </cell>
          <cell r="R1537">
            <v>-2273.0767179999998</v>
          </cell>
          <cell r="S1537">
            <v>-2300.4678309999999</v>
          </cell>
          <cell r="T1537">
            <v>-2328.1449699999998</v>
          </cell>
          <cell r="U1537">
            <v>-2355.9395399999999</v>
          </cell>
          <cell r="V1537">
            <v>-2383.896088</v>
          </cell>
          <cell r="W1537">
            <v>-2411.6796880000002</v>
          </cell>
          <cell r="X1537">
            <v>-2439.5107659999999</v>
          </cell>
          <cell r="Y1537">
            <v>-2467.4287800000002</v>
          </cell>
          <cell r="Z1537">
            <v>-2496.044993</v>
          </cell>
          <cell r="AA1537">
            <v>-2521.8584879999999</v>
          </cell>
          <cell r="AB1537">
            <v>-2549.425338</v>
          </cell>
          <cell r="AC1537">
            <v>-2577.5319770000001</v>
          </cell>
          <cell r="AD1537">
            <v>-2605.9130460000001</v>
          </cell>
          <cell r="AE1537">
            <v>-2636.24406</v>
          </cell>
          <cell r="AF1537">
            <v>-2659.3052200000002</v>
          </cell>
          <cell r="AG1537">
            <v>-2684.3109129999998</v>
          </cell>
          <cell r="AH1537">
            <v>-2709.826176</v>
          </cell>
          <cell r="AI1537">
            <v>-2735.576192</v>
          </cell>
          <cell r="AJ1537">
            <v>-2761.558528</v>
          </cell>
          <cell r="AK1537">
            <v>-2787.7968169999999</v>
          </cell>
          <cell r="AL1537">
            <v>-2814.4299489999999</v>
          </cell>
          <cell r="AM1537">
            <v>-2841.4216270000002</v>
          </cell>
          <cell r="AN1537">
            <v>-2868.7757879999999</v>
          </cell>
          <cell r="AO1537">
            <v>-2896.4983870000001</v>
          </cell>
          <cell r="AP1537">
            <v>-2924.8084650000001</v>
          </cell>
          <cell r="AQ1537">
            <v>-2952.6829389999998</v>
          </cell>
          <cell r="AR1537">
            <v>-2980.5841140000002</v>
          </cell>
          <cell r="AS1537">
            <v>-3008.675573</v>
          </cell>
          <cell r="AT1537">
            <v>-3037.022575</v>
          </cell>
          <cell r="AU1537">
            <v>-3065.6268110000001</v>
          </cell>
          <cell r="AV1537">
            <v>-3094.6668180000001</v>
          </cell>
          <cell r="AW1537">
            <v>-3124.0515190000001</v>
          </cell>
          <cell r="AX1537">
            <v>-3153.7710360000001</v>
          </cell>
          <cell r="AY1537">
            <v>-3183.8258190000001</v>
          </cell>
          <cell r="AZ1537">
            <v>-3214.0636039999999</v>
          </cell>
          <cell r="BA1537">
            <v>-3245.2181930000002</v>
          </cell>
          <cell r="BB1537">
            <v>-3276.8155240000001</v>
          </cell>
          <cell r="BC1537">
            <v>-3308.7648210000002</v>
          </cell>
          <cell r="BD1537">
            <v>-3341.0462729999999</v>
          </cell>
          <cell r="BE1537">
            <v>-4070.1845090000002</v>
          </cell>
          <cell r="BF1537">
            <v>-4129.4091010000002</v>
          </cell>
          <cell r="BG1537">
            <v>-4189.5967199999996</v>
          </cell>
          <cell r="BH1537">
            <v>-4250.7691379999997</v>
          </cell>
          <cell r="BI1537">
            <v>-4312.9515389999997</v>
          </cell>
        </row>
        <row r="1538">
          <cell r="F1538">
            <v>-608.52839280000001</v>
          </cell>
          <cell r="G1538">
            <v>-605.61929720000001</v>
          </cell>
          <cell r="H1538">
            <v>-605.54841610000005</v>
          </cell>
          <cell r="I1538">
            <v>-606.25140780000004</v>
          </cell>
          <cell r="J1538">
            <v>-608.12789299999997</v>
          </cell>
          <cell r="K1538">
            <v>-611.30216970000004</v>
          </cell>
          <cell r="L1538">
            <v>-615.48118890000001</v>
          </cell>
          <cell r="M1538">
            <v>-620.28650479999999</v>
          </cell>
          <cell r="N1538">
            <v>-625.64708229999997</v>
          </cell>
          <cell r="O1538">
            <v>-631.42017959999998</v>
          </cell>
          <cell r="P1538">
            <v>-637.30737699999997</v>
          </cell>
          <cell r="Q1538">
            <v>-643.51506380000001</v>
          </cell>
          <cell r="R1538">
            <v>-650.65599669999995</v>
          </cell>
          <cell r="S1538">
            <v>-658.05876000000001</v>
          </cell>
          <cell r="T1538">
            <v>-665.59605669999996</v>
          </cell>
          <cell r="U1538">
            <v>-673.2340815</v>
          </cell>
          <cell r="V1538">
            <v>-680.93780589999994</v>
          </cell>
          <cell r="W1538">
            <v>-688.67770180000002</v>
          </cell>
          <cell r="X1538">
            <v>-696.46755029999997</v>
          </cell>
          <cell r="Y1538">
            <v>-704.30202789999998</v>
          </cell>
          <cell r="Z1538">
            <v>-712.02646019999997</v>
          </cell>
          <cell r="AA1538">
            <v>-719.63160559999994</v>
          </cell>
          <cell r="AB1538">
            <v>-727.45527800000002</v>
          </cell>
          <cell r="AC1538">
            <v>-735.35506429999998</v>
          </cell>
          <cell r="AD1538">
            <v>-743.30629510000006</v>
          </cell>
          <cell r="AE1538">
            <v>-750.88139079999996</v>
          </cell>
          <cell r="AF1538">
            <v>-757.8758828</v>
          </cell>
          <cell r="AG1538">
            <v>-765.06000800000004</v>
          </cell>
          <cell r="AH1538">
            <v>-772.26578900000004</v>
          </cell>
          <cell r="AI1538">
            <v>-779.48015550000002</v>
          </cell>
          <cell r="AJ1538">
            <v>-786.71685939999998</v>
          </cell>
          <cell r="AK1538">
            <v>-793.99663499999997</v>
          </cell>
          <cell r="AL1538">
            <v>-801.3368739</v>
          </cell>
          <cell r="AM1538">
            <v>-808.73959860000002</v>
          </cell>
          <cell r="AN1538">
            <v>-816.21030780000001</v>
          </cell>
          <cell r="AO1538">
            <v>-823.75317210000003</v>
          </cell>
          <cell r="AP1538">
            <v>-831.3191008</v>
          </cell>
          <cell r="AQ1538">
            <v>-838.84874669999999</v>
          </cell>
          <cell r="AR1538">
            <v>-846.39640399999996</v>
          </cell>
          <cell r="AS1538">
            <v>-853.98199869999996</v>
          </cell>
          <cell r="AT1538">
            <v>-861.61656849999997</v>
          </cell>
          <cell r="AU1538">
            <v>-869.31645219999996</v>
          </cell>
          <cell r="AV1538">
            <v>-877.09533780000004</v>
          </cell>
          <cell r="AW1538">
            <v>-884.94594459999996</v>
          </cell>
          <cell r="AX1538">
            <v>-892.86960380000005</v>
          </cell>
          <cell r="AY1538">
            <v>-900.86764679999999</v>
          </cell>
          <cell r="AZ1538">
            <v>-908.97863310000002</v>
          </cell>
          <cell r="BA1538">
            <v>-917.23746310000001</v>
          </cell>
          <cell r="BB1538">
            <v>-925.58904870000003</v>
          </cell>
          <cell r="BC1538">
            <v>-934.0228108</v>
          </cell>
          <cell r="BD1538">
            <v>-942.53466379999998</v>
          </cell>
          <cell r="BE1538">
            <v>-1146.8100690000001</v>
          </cell>
          <cell r="BF1538">
            <v>-1162.752213</v>
          </cell>
          <cell r="BG1538">
            <v>-1178.9435550000001</v>
          </cell>
          <cell r="BH1538">
            <v>-1195.3919310000001</v>
          </cell>
          <cell r="BI1538">
            <v>-1212.105595</v>
          </cell>
        </row>
        <row r="1540">
          <cell r="F1540">
            <v>485.88874900000002</v>
          </cell>
          <cell r="G1540">
            <v>488.48778270000003</v>
          </cell>
          <cell r="H1540">
            <v>491.63378290000003</v>
          </cell>
          <cell r="I1540">
            <v>495.1146761</v>
          </cell>
          <cell r="J1540">
            <v>499.03288839999999</v>
          </cell>
          <cell r="K1540">
            <v>503.41898789999999</v>
          </cell>
          <cell r="L1540">
            <v>507.901883</v>
          </cell>
          <cell r="M1540">
            <v>512.65051879999999</v>
          </cell>
          <cell r="N1540">
            <v>517.63808610000001</v>
          </cell>
          <cell r="O1540">
            <v>522.81569200000001</v>
          </cell>
          <cell r="P1540">
            <v>527.86899870000002</v>
          </cell>
          <cell r="Q1540">
            <v>533.84026689999996</v>
          </cell>
          <cell r="R1540">
            <v>539.99855290000005</v>
          </cell>
          <cell r="S1540">
            <v>546.27542579999999</v>
          </cell>
          <cell r="T1540">
            <v>552.64686510000001</v>
          </cell>
          <cell r="U1540">
            <v>559.09759899999995</v>
          </cell>
          <cell r="V1540">
            <v>565.58263999999997</v>
          </cell>
          <cell r="W1540">
            <v>572.12042129999998</v>
          </cell>
          <cell r="X1540">
            <v>578.70629550000001</v>
          </cell>
          <cell r="Y1540">
            <v>585.3362836</v>
          </cell>
          <cell r="Z1540">
            <v>591.60893239999996</v>
          </cell>
          <cell r="AA1540">
            <v>598.20090719999996</v>
          </cell>
          <cell r="AB1540">
            <v>604.89182779999999</v>
          </cell>
          <cell r="AC1540">
            <v>611.65471279999997</v>
          </cell>
          <cell r="AD1540">
            <v>618.48561310000002</v>
          </cell>
          <cell r="AE1540">
            <v>624.2484637</v>
          </cell>
          <cell r="AF1540">
            <v>630.34859849999998</v>
          </cell>
          <cell r="AG1540">
            <v>636.50851509999995</v>
          </cell>
          <cell r="AH1540">
            <v>642.71601980000003</v>
          </cell>
          <cell r="AI1540">
            <v>648.98148960000003</v>
          </cell>
          <cell r="AJ1540">
            <v>655.31740119999995</v>
          </cell>
          <cell r="AK1540">
            <v>661.74422779999998</v>
          </cell>
          <cell r="AL1540">
            <v>668.26170100000002</v>
          </cell>
          <cell r="AM1540">
            <v>674.87446</v>
          </cell>
          <cell r="AN1540">
            <v>681.58635770000001</v>
          </cell>
          <cell r="AO1540">
            <v>688.39994520000005</v>
          </cell>
          <cell r="AP1540">
            <v>695.14197609999997</v>
          </cell>
          <cell r="AQ1540">
            <v>701.91786009999998</v>
          </cell>
          <cell r="AR1540">
            <v>708.75774530000001</v>
          </cell>
          <cell r="AS1540">
            <v>715.67589680000003</v>
          </cell>
          <cell r="AT1540">
            <v>722.68040800000006</v>
          </cell>
          <cell r="AU1540">
            <v>729.79182679999997</v>
          </cell>
          <cell r="AV1540">
            <v>737.0002399</v>
          </cell>
          <cell r="AW1540">
            <v>744.30662299999995</v>
          </cell>
          <cell r="AX1540">
            <v>751.71174489999999</v>
          </cell>
          <cell r="AY1540">
            <v>759.21566429999996</v>
          </cell>
          <cell r="AZ1540">
            <v>766.89740129999996</v>
          </cell>
          <cell r="BA1540">
            <v>774.69409470000005</v>
          </cell>
          <cell r="BB1540">
            <v>782.59932909999998</v>
          </cell>
          <cell r="BC1540">
            <v>790.61091969999995</v>
          </cell>
          <cell r="BD1540">
            <v>798.72700610000004</v>
          </cell>
          <cell r="BE1540">
            <v>947.16079630000002</v>
          </cell>
          <cell r="BF1540">
            <v>961.08038239999996</v>
          </cell>
          <cell r="BG1540">
            <v>975.23425729999997</v>
          </cell>
          <cell r="BH1540">
            <v>989.62701319999996</v>
          </cell>
          <cell r="BI1540">
            <v>1004.263659</v>
          </cell>
        </row>
        <row r="1541">
          <cell r="F1541">
            <v>40134.561500000003</v>
          </cell>
          <cell r="G1541">
            <v>40338.745320000002</v>
          </cell>
          <cell r="H1541">
            <v>40522.08251</v>
          </cell>
          <cell r="I1541">
            <v>40720.677839999997</v>
          </cell>
          <cell r="J1541">
            <v>40956.258370000003</v>
          </cell>
          <cell r="K1541">
            <v>41233.510199999997</v>
          </cell>
          <cell r="L1541">
            <v>41525.369279999999</v>
          </cell>
          <cell r="M1541">
            <v>41839.459300000002</v>
          </cell>
          <cell r="N1541">
            <v>42171.158239999997</v>
          </cell>
          <cell r="O1541">
            <v>42515.00376</v>
          </cell>
          <cell r="P1541">
            <v>42862.829559999998</v>
          </cell>
          <cell r="Q1541">
            <v>43249.07589</v>
          </cell>
          <cell r="R1541">
            <v>43641.849300000002</v>
          </cell>
          <cell r="S1541">
            <v>44038.222549999999</v>
          </cell>
          <cell r="T1541">
            <v>44436.737280000001</v>
          </cell>
          <cell r="U1541">
            <v>44836.25015</v>
          </cell>
          <cell r="V1541">
            <v>45234.321960000001</v>
          </cell>
          <cell r="W1541">
            <v>45631.825100000002</v>
          </cell>
          <cell r="X1541">
            <v>46028.645830000001</v>
          </cell>
          <cell r="Y1541">
            <v>46424.906230000001</v>
          </cell>
          <cell r="Z1541">
            <v>46793.45551</v>
          </cell>
          <cell r="AA1541">
            <v>47180.710749999998</v>
          </cell>
          <cell r="AB1541">
            <v>47573.111279999997</v>
          </cell>
          <cell r="AC1541">
            <v>47969.421119999999</v>
          </cell>
          <cell r="AD1541">
            <v>48369.882019999997</v>
          </cell>
          <cell r="AE1541">
            <v>48697.081059999997</v>
          </cell>
          <cell r="AF1541">
            <v>49045.320169999999</v>
          </cell>
          <cell r="AG1541">
            <v>49398.195549999997</v>
          </cell>
          <cell r="AH1541">
            <v>49755.738429999998</v>
          </cell>
          <cell r="AI1541">
            <v>50119.242319999998</v>
          </cell>
          <cell r="AJ1541">
            <v>50489.9375</v>
          </cell>
          <cell r="AK1541">
            <v>50869.288350000003</v>
          </cell>
          <cell r="AL1541">
            <v>51257.634149999998</v>
          </cell>
          <cell r="AM1541">
            <v>51655.455300000001</v>
          </cell>
          <cell r="AN1541">
            <v>52063.032489999998</v>
          </cell>
          <cell r="AO1541">
            <v>52480.468350000003</v>
          </cell>
          <cell r="AP1541">
            <v>52894.119720000002</v>
          </cell>
          <cell r="AQ1541">
            <v>53311.99871</v>
          </cell>
          <cell r="AR1541">
            <v>53736.423779999997</v>
          </cell>
          <cell r="AS1541">
            <v>54168.45392</v>
          </cell>
          <cell r="AT1541">
            <v>54608.619339999997</v>
          </cell>
          <cell r="AU1541">
            <v>55057.938560000002</v>
          </cell>
          <cell r="AV1541">
            <v>55515.885920000001</v>
          </cell>
          <cell r="AW1541">
            <v>55982.461710000003</v>
          </cell>
          <cell r="AX1541">
            <v>56457.62414</v>
          </cell>
          <cell r="AY1541">
            <v>56941.279490000001</v>
          </cell>
          <cell r="AZ1541">
            <v>57437.653290000002</v>
          </cell>
          <cell r="BA1541">
            <v>57943.368589999998</v>
          </cell>
          <cell r="BB1541">
            <v>58458.080450000001</v>
          </cell>
          <cell r="BC1541">
            <v>58981.621180000002</v>
          </cell>
          <cell r="BD1541">
            <v>59513.819629999998</v>
          </cell>
          <cell r="BE1541">
            <v>65457.206310000001</v>
          </cell>
          <cell r="BF1541">
            <v>66266.410640000002</v>
          </cell>
          <cell r="BG1541">
            <v>67090.519190000006</v>
          </cell>
          <cell r="BH1541">
            <v>67929.616699999999</v>
          </cell>
          <cell r="BI1541">
            <v>68783.803939999998</v>
          </cell>
        </row>
        <row r="1551">
          <cell r="F1551">
            <v>1969443.8570000001</v>
          </cell>
          <cell r="G1551">
            <v>1994425.953</v>
          </cell>
          <cell r="H1551">
            <v>2022137.4</v>
          </cell>
          <cell r="I1551">
            <v>2051600.6240000001</v>
          </cell>
          <cell r="J1551">
            <v>2082683.2790000001</v>
          </cell>
          <cell r="K1551">
            <v>2115213.7659999998</v>
          </cell>
          <cell r="L1551">
            <v>2147570.3930000002</v>
          </cell>
          <cell r="M1551">
            <v>2180707.344</v>
          </cell>
          <cell r="N1551">
            <v>2214571.2039999999</v>
          </cell>
          <cell r="O1551">
            <v>2249123.054</v>
          </cell>
          <cell r="P1551">
            <v>2286889.034</v>
          </cell>
          <cell r="Q1551">
            <v>2323348.554</v>
          </cell>
          <cell r="R1551">
            <v>2360285.31</v>
          </cell>
          <cell r="S1551">
            <v>2397668.4309999999</v>
          </cell>
          <cell r="T1551">
            <v>2435493.202</v>
          </cell>
          <cell r="U1551">
            <v>2473767.162</v>
          </cell>
          <cell r="V1551">
            <v>2512506.375</v>
          </cell>
          <cell r="W1551">
            <v>2551732.33</v>
          </cell>
          <cell r="X1551">
            <v>2591469.1290000002</v>
          </cell>
          <cell r="Y1551">
            <v>2631741.3620000002</v>
          </cell>
          <cell r="Z1551">
            <v>2670666.4240000001</v>
          </cell>
          <cell r="AA1551">
            <v>2711601.949</v>
          </cell>
          <cell r="AB1551">
            <v>2753225.2340000002</v>
          </cell>
          <cell r="AC1551">
            <v>2795561.6460000002</v>
          </cell>
          <cell r="AD1551">
            <v>2838619.165</v>
          </cell>
          <cell r="AE1551">
            <v>2876883.2220000001</v>
          </cell>
          <cell r="AF1551">
            <v>2917378.7560000001</v>
          </cell>
          <cell r="AG1551">
            <v>2958149.449</v>
          </cell>
          <cell r="AH1551">
            <v>2999322.642</v>
          </cell>
          <cell r="AI1551">
            <v>3040991.0210000002</v>
          </cell>
          <cell r="AJ1551">
            <v>3083223.8769999999</v>
          </cell>
          <cell r="AK1551">
            <v>3126069.2740000002</v>
          </cell>
          <cell r="AL1551">
            <v>3169557.128</v>
          </cell>
          <cell r="AM1551">
            <v>3213703.3280000002</v>
          </cell>
          <cell r="AN1551">
            <v>3258513.9890000001</v>
          </cell>
          <cell r="AO1551">
            <v>3303989.219</v>
          </cell>
          <cell r="AP1551">
            <v>3348785.3539999998</v>
          </cell>
          <cell r="AQ1551">
            <v>3393886.6159999999</v>
          </cell>
          <cell r="AR1551">
            <v>3439346.0929999999</v>
          </cell>
          <cell r="AS1551">
            <v>3485223.4619999998</v>
          </cell>
          <cell r="AT1551">
            <v>3531574.017</v>
          </cell>
          <cell r="AU1551">
            <v>3578445.4410000001</v>
          </cell>
          <cell r="AV1551">
            <v>3625876.5780000002</v>
          </cell>
          <cell r="AW1551">
            <v>3673897.4980000001</v>
          </cell>
          <cell r="AX1551">
            <v>3722530.5559999999</v>
          </cell>
          <cell r="AY1551">
            <v>3771792.0430000001</v>
          </cell>
          <cell r="AZ1551">
            <v>3821815.9789999998</v>
          </cell>
          <cell r="BA1551">
            <v>3872521.5950000002</v>
          </cell>
          <cell r="BB1551">
            <v>3923912.3969999999</v>
          </cell>
          <cell r="BC1551">
            <v>3975989.0070000002</v>
          </cell>
          <cell r="BD1551">
            <v>4028752.8330000001</v>
          </cell>
          <cell r="BE1551">
            <v>4443934.8679999998</v>
          </cell>
          <cell r="BF1551">
            <v>4518812.6409999998</v>
          </cell>
          <cell r="BG1551">
            <v>4594869.43</v>
          </cell>
          <cell r="BH1551">
            <v>4672125.4069999997</v>
          </cell>
          <cell r="BI1551">
            <v>4750601.8959999997</v>
          </cell>
        </row>
        <row r="1552">
          <cell r="F1552">
            <v>36136.789320000003</v>
          </cell>
          <cell r="G1552">
            <v>36370.171040000001</v>
          </cell>
          <cell r="H1552">
            <v>36676.619830000003</v>
          </cell>
          <cell r="I1552">
            <v>37037.658799999997</v>
          </cell>
          <cell r="J1552">
            <v>37448.082130000003</v>
          </cell>
          <cell r="K1552">
            <v>37903.642740000003</v>
          </cell>
          <cell r="L1552">
            <v>38374.085830000004</v>
          </cell>
          <cell r="M1552">
            <v>38869.8338</v>
          </cell>
          <cell r="N1552">
            <v>39386.631560000002</v>
          </cell>
          <cell r="O1552">
            <v>39921.072690000001</v>
          </cell>
          <cell r="P1552">
            <v>40512.812420000002</v>
          </cell>
          <cell r="Q1552">
            <v>41088.014239999997</v>
          </cell>
          <cell r="R1552">
            <v>41671.936750000001</v>
          </cell>
          <cell r="S1552">
            <v>42263.200120000001</v>
          </cell>
          <cell r="T1552">
            <v>42861.130899999996</v>
          </cell>
          <cell r="U1552">
            <v>43465.496169999999</v>
          </cell>
          <cell r="V1552">
            <v>44076.359750000003</v>
          </cell>
          <cell r="W1552">
            <v>44693.977780000001</v>
          </cell>
          <cell r="X1552">
            <v>45318.718659999999</v>
          </cell>
          <cell r="Y1552">
            <v>45951.005770000003</v>
          </cell>
          <cell r="Z1552">
            <v>46560.019480000003</v>
          </cell>
          <cell r="AA1552">
            <v>47199.146549999998</v>
          </cell>
          <cell r="AB1552">
            <v>47849.032859999999</v>
          </cell>
          <cell r="AC1552">
            <v>48510.222569999998</v>
          </cell>
          <cell r="AD1552">
            <v>49182.920579999998</v>
          </cell>
          <cell r="AE1552">
            <v>49777.0504</v>
          </cell>
          <cell r="AF1552">
            <v>50402.413419999997</v>
          </cell>
          <cell r="AG1552">
            <v>51031.139439999999</v>
          </cell>
          <cell r="AH1552">
            <v>51666.10067</v>
          </cell>
          <cell r="AI1552">
            <v>52309.482669999998</v>
          </cell>
          <cell r="AJ1552">
            <v>52962.897720000001</v>
          </cell>
          <cell r="AK1552">
            <v>53627.459269999999</v>
          </cell>
          <cell r="AL1552">
            <v>54303.870199999998</v>
          </cell>
          <cell r="AM1552">
            <v>54992.521159999997</v>
          </cell>
          <cell r="AN1552">
            <v>55693.585220000001</v>
          </cell>
          <cell r="AO1552">
            <v>56407.098890000001</v>
          </cell>
          <cell r="AP1552">
            <v>57111.258560000002</v>
          </cell>
          <cell r="AQ1552">
            <v>57820.870510000001</v>
          </cell>
          <cell r="AR1552">
            <v>58537.104090000001</v>
          </cell>
          <cell r="AS1552">
            <v>59261.272149999997</v>
          </cell>
          <cell r="AT1552">
            <v>59994.601909999998</v>
          </cell>
          <cell r="AU1552">
            <v>60738.1391</v>
          </cell>
          <cell r="AV1552">
            <v>61492.713640000002</v>
          </cell>
          <cell r="AW1552">
            <v>62258.938820000003</v>
          </cell>
          <cell r="AX1552">
            <v>63037.228419999999</v>
          </cell>
          <cell r="AY1552">
            <v>63827.804250000001</v>
          </cell>
          <cell r="AZ1552">
            <v>64632.531940000001</v>
          </cell>
          <cell r="BA1552">
            <v>65450.165659999999</v>
          </cell>
          <cell r="BB1552">
            <v>66280.791070000007</v>
          </cell>
          <cell r="BC1552">
            <v>67124.418229999996</v>
          </cell>
          <cell r="BD1552">
            <v>67981.054470000003</v>
          </cell>
          <cell r="BE1552">
            <v>73673.009269999995</v>
          </cell>
          <cell r="BF1552">
            <v>74830.096340000004</v>
          </cell>
          <cell r="BG1552">
            <v>76006.871119999996</v>
          </cell>
          <cell r="BH1552">
            <v>77203.811189999993</v>
          </cell>
          <cell r="BI1552">
            <v>78421.397010000001</v>
          </cell>
        </row>
        <row r="1555">
          <cell r="F1555">
            <v>332226.51280000003</v>
          </cell>
          <cell r="G1555">
            <v>336606.99489999999</v>
          </cell>
          <cell r="H1555">
            <v>341544.85859999998</v>
          </cell>
          <cell r="I1555">
            <v>346740.18339999998</v>
          </cell>
          <cell r="J1555">
            <v>352165.58</v>
          </cell>
          <cell r="K1555">
            <v>357796.63419999997</v>
          </cell>
          <cell r="L1555">
            <v>363368.59950000001</v>
          </cell>
          <cell r="M1555">
            <v>369072.96120000002</v>
          </cell>
          <cell r="N1555">
            <v>374895.6557</v>
          </cell>
          <cell r="O1555">
            <v>380835.71769999998</v>
          </cell>
          <cell r="P1555">
            <v>387326.41119999997</v>
          </cell>
          <cell r="Q1555">
            <v>393574.64669999998</v>
          </cell>
          <cell r="R1555">
            <v>399948.45549999998</v>
          </cell>
          <cell r="S1555">
            <v>406425.71789999999</v>
          </cell>
          <cell r="T1555">
            <v>413005.64539999998</v>
          </cell>
          <cell r="U1555">
            <v>419691.25290000002</v>
          </cell>
          <cell r="V1555">
            <v>426486.68239999999</v>
          </cell>
          <cell r="W1555">
            <v>433396.538</v>
          </cell>
          <cell r="X1555">
            <v>440425.4804</v>
          </cell>
          <cell r="Y1555">
            <v>447577.91080000001</v>
          </cell>
          <cell r="Z1555">
            <v>454535.58990000002</v>
          </cell>
          <cell r="AA1555">
            <v>461889.86109999998</v>
          </cell>
          <cell r="AB1555">
            <v>469371.17389999999</v>
          </cell>
          <cell r="AC1555">
            <v>476998.03169999999</v>
          </cell>
          <cell r="AD1555">
            <v>484772.78639999998</v>
          </cell>
          <cell r="AE1555">
            <v>491762.09639999998</v>
          </cell>
          <cell r="AF1555">
            <v>499220.90980000002</v>
          </cell>
          <cell r="AG1555">
            <v>506720.10590000002</v>
          </cell>
          <cell r="AH1555">
            <v>514295.06510000001</v>
          </cell>
          <cell r="AI1555">
            <v>521958.47859999997</v>
          </cell>
          <cell r="AJ1555">
            <v>529717.30240000004</v>
          </cell>
          <cell r="AK1555">
            <v>537575.30599999998</v>
          </cell>
          <cell r="AL1555">
            <v>545533.7611</v>
          </cell>
          <cell r="AM1555">
            <v>553592.01529999997</v>
          </cell>
          <cell r="AN1555">
            <v>561748.09380000003</v>
          </cell>
          <cell r="AO1555">
            <v>569999.26410000003</v>
          </cell>
          <cell r="AP1555">
            <v>578115.05310000002</v>
          </cell>
          <cell r="AQ1555">
            <v>586276.22790000006</v>
          </cell>
          <cell r="AR1555">
            <v>594475.22320000001</v>
          </cell>
          <cell r="AS1555">
            <v>602716.46869999997</v>
          </cell>
          <cell r="AT1555">
            <v>611005.60120000003</v>
          </cell>
          <cell r="AU1555">
            <v>619347.76569999999</v>
          </cell>
          <cell r="AV1555">
            <v>627747.29590000003</v>
          </cell>
          <cell r="AW1555">
            <v>636207.68759999995</v>
          </cell>
          <cell r="AX1555">
            <v>644731.71030000004</v>
          </cell>
          <cell r="AY1555">
            <v>653321.61120000004</v>
          </cell>
          <cell r="AZ1555">
            <v>662000.13600000006</v>
          </cell>
          <cell r="BA1555">
            <v>670752.51549999998</v>
          </cell>
          <cell r="BB1555">
            <v>679581.17960000003</v>
          </cell>
          <cell r="BC1555">
            <v>688487.19259999995</v>
          </cell>
          <cell r="BD1555">
            <v>697471.93530000001</v>
          </cell>
          <cell r="BE1555">
            <v>781663.80500000005</v>
          </cell>
          <cell r="BF1555">
            <v>795467.88820000004</v>
          </cell>
          <cell r="BG1555">
            <v>809456.06830000004</v>
          </cell>
          <cell r="BH1555">
            <v>823628.62589999998</v>
          </cell>
          <cell r="BI1555">
            <v>837986.17110000004</v>
          </cell>
        </row>
        <row r="1567">
          <cell r="F1567">
            <v>48571.10615</v>
          </cell>
          <cell r="G1567">
            <v>49156.962379999997</v>
          </cell>
          <cell r="H1567">
            <v>49805.651899999997</v>
          </cell>
          <cell r="I1567">
            <v>50492.574139999997</v>
          </cell>
          <cell r="J1567">
            <v>51216.412409999997</v>
          </cell>
          <cell r="K1567">
            <v>51973.058440000001</v>
          </cell>
          <cell r="L1567">
            <v>52721.454619999997</v>
          </cell>
          <cell r="M1567">
            <v>53488.574180000003</v>
          </cell>
          <cell r="N1567">
            <v>54271.017500000002</v>
          </cell>
          <cell r="O1567">
            <v>55067.195820000001</v>
          </cell>
          <cell r="P1567">
            <v>55940.548569999999</v>
          </cell>
          <cell r="Q1567">
            <v>56771.173439999999</v>
          </cell>
          <cell r="R1567">
            <v>57612.814100000003</v>
          </cell>
          <cell r="S1567">
            <v>58462.266770000002</v>
          </cell>
          <cell r="T1567">
            <v>59319.136700000003</v>
          </cell>
          <cell r="U1567">
            <v>60183.712789999998</v>
          </cell>
          <cell r="V1567">
            <v>61056.593869999997</v>
          </cell>
          <cell r="W1567">
            <v>61938.551480000002</v>
          </cell>
          <cell r="X1567">
            <v>62830.439599999998</v>
          </cell>
          <cell r="Y1567">
            <v>63733.131329999997</v>
          </cell>
          <cell r="Z1567">
            <v>64599.400459999997</v>
          </cell>
          <cell r="AA1567">
            <v>65518.390370000001</v>
          </cell>
          <cell r="AB1567">
            <v>66450.514519999997</v>
          </cell>
          <cell r="AC1567">
            <v>67398.457559999995</v>
          </cell>
          <cell r="AD1567">
            <v>68362.920549999995</v>
          </cell>
          <cell r="AE1567">
            <v>69205.133960000006</v>
          </cell>
          <cell r="AF1567">
            <v>70114.507700000002</v>
          </cell>
          <cell r="AG1567">
            <v>71029.039059999996</v>
          </cell>
          <cell r="AH1567">
            <v>71954.308080000003</v>
          </cell>
          <cell r="AI1567">
            <v>72893.040219999995</v>
          </cell>
          <cell r="AJ1567">
            <v>73847.06482</v>
          </cell>
          <cell r="AK1567">
            <v>74817.61378</v>
          </cell>
          <cell r="AL1567">
            <v>75805.441319999998</v>
          </cell>
          <cell r="AM1567">
            <v>76810.936879999994</v>
          </cell>
          <cell r="AN1567">
            <v>77834.234450000004</v>
          </cell>
          <cell r="AO1567">
            <v>78875.307520000002</v>
          </cell>
          <cell r="AP1567">
            <v>79900.191120000003</v>
          </cell>
          <cell r="AQ1567">
            <v>80936.603130000003</v>
          </cell>
          <cell r="AR1567">
            <v>81984.286789999998</v>
          </cell>
          <cell r="AS1567">
            <v>83044.39688</v>
          </cell>
          <cell r="AT1567">
            <v>84118.169540000003</v>
          </cell>
          <cell r="AU1567">
            <v>85206.681559999997</v>
          </cell>
          <cell r="AV1567">
            <v>86310.792830000006</v>
          </cell>
          <cell r="AW1567">
            <v>87431.144029999996</v>
          </cell>
          <cell r="AX1567">
            <v>88568.183189999996</v>
          </cell>
          <cell r="AY1567">
            <v>89722.207680000007</v>
          </cell>
          <cell r="AZ1567">
            <v>90896.503979999994</v>
          </cell>
          <cell r="BA1567">
            <v>92088.679359999995</v>
          </cell>
          <cell r="BB1567">
            <v>93298.853449999995</v>
          </cell>
          <cell r="BC1567">
            <v>94526.9519</v>
          </cell>
          <cell r="BD1567">
            <v>95772.900760000004</v>
          </cell>
          <cell r="BE1567">
            <v>104551.2357</v>
          </cell>
          <cell r="BF1567">
            <v>106267.7761</v>
          </cell>
          <cell r="BG1567">
            <v>108015.0258</v>
          </cell>
          <cell r="BH1567">
            <v>109793.6344</v>
          </cell>
          <cell r="BI1567">
            <v>111604.26330000001</v>
          </cell>
        </row>
        <row r="1572">
          <cell r="F1572">
            <v>1513908.568</v>
          </cell>
          <cell r="G1572">
            <v>1533424.8459999999</v>
          </cell>
          <cell r="H1572">
            <v>1554985.311</v>
          </cell>
          <cell r="I1572">
            <v>1577934.7080000001</v>
          </cell>
          <cell r="J1572">
            <v>1602168.7050000001</v>
          </cell>
          <cell r="K1572">
            <v>1627543.085</v>
          </cell>
          <cell r="L1572">
            <v>1652794.8019999999</v>
          </cell>
          <cell r="M1572">
            <v>1678634.3419999999</v>
          </cell>
          <cell r="N1572">
            <v>1705033.0249999999</v>
          </cell>
          <cell r="O1572">
            <v>1731961.3259999999</v>
          </cell>
          <cell r="P1572">
            <v>1761370.497</v>
          </cell>
          <cell r="Q1572">
            <v>1789801.183</v>
          </cell>
          <cell r="R1572">
            <v>1818562.7949999999</v>
          </cell>
          <cell r="S1572">
            <v>1847650.8489999999</v>
          </cell>
          <cell r="T1572">
            <v>1877062.3430000001</v>
          </cell>
          <cell r="U1572">
            <v>1906801.4439999999</v>
          </cell>
          <cell r="V1572">
            <v>1936878.977</v>
          </cell>
          <cell r="W1572">
            <v>1967310.2450000001</v>
          </cell>
          <cell r="X1572">
            <v>1998112.82</v>
          </cell>
          <cell r="Y1572">
            <v>2029304.8870000001</v>
          </cell>
          <cell r="Z1572">
            <v>2059429.1640000001</v>
          </cell>
          <cell r="AA1572">
            <v>2091056.0009999999</v>
          </cell>
          <cell r="AB1572">
            <v>2123211.2420000001</v>
          </cell>
          <cell r="AC1572">
            <v>2155898.4589999998</v>
          </cell>
          <cell r="AD1572">
            <v>2189122.0630000001</v>
          </cell>
          <cell r="AE1572">
            <v>2218614.2740000002</v>
          </cell>
          <cell r="AF1572">
            <v>2249735.5299999998</v>
          </cell>
          <cell r="AG1572">
            <v>2281077.2149999999</v>
          </cell>
          <cell r="AH1572">
            <v>2312721.5490000001</v>
          </cell>
          <cell r="AI1572">
            <v>2344742.344</v>
          </cell>
          <cell r="AJ1572">
            <v>2377197.5240000002</v>
          </cell>
          <cell r="AK1572">
            <v>2410128.335</v>
          </cell>
          <cell r="AL1572">
            <v>2443561.5129999998</v>
          </cell>
          <cell r="AM1572">
            <v>2477512.5759999999</v>
          </cell>
          <cell r="AN1572">
            <v>2511989.2379999999</v>
          </cell>
          <cell r="AO1572">
            <v>2546994.3840000001</v>
          </cell>
          <cell r="AP1572">
            <v>2581490.7859999998</v>
          </cell>
          <cell r="AQ1572">
            <v>2616224.247</v>
          </cell>
          <cell r="AR1572">
            <v>2651253.4509999999</v>
          </cell>
          <cell r="AS1572">
            <v>2686630.4210000001</v>
          </cell>
          <cell r="AT1572">
            <v>2722401.736</v>
          </cell>
          <cell r="AU1572">
            <v>2758607.3330000001</v>
          </cell>
          <cell r="AV1572">
            <v>2795279.662</v>
          </cell>
          <cell r="AW1572">
            <v>2832443.7710000002</v>
          </cell>
          <cell r="AX1572">
            <v>2870118.199</v>
          </cell>
          <cell r="AY1572">
            <v>2908316.429</v>
          </cell>
          <cell r="AZ1572">
            <v>2947143.1979999999</v>
          </cell>
          <cell r="BA1572">
            <v>2986539.7450000001</v>
          </cell>
          <cell r="BB1572">
            <v>3026507.8509999998</v>
          </cell>
          <cell r="BC1572">
            <v>3067045.4619999998</v>
          </cell>
          <cell r="BD1572">
            <v>3108151.25</v>
          </cell>
          <cell r="BE1572">
            <v>3421146.1329999999</v>
          </cell>
          <cell r="BF1572">
            <v>3478549.7910000002</v>
          </cell>
          <cell r="BG1572">
            <v>3536883.7719999999</v>
          </cell>
          <cell r="BH1572">
            <v>3596166.577</v>
          </cell>
          <cell r="BI1572">
            <v>3656417.5589999999</v>
          </cell>
        </row>
        <row r="1575">
          <cell r="F1575">
            <v>-2029.2272170000001</v>
          </cell>
          <cell r="G1575">
            <v>-2061.3507410000002</v>
          </cell>
          <cell r="H1575">
            <v>-2071.5629049999998</v>
          </cell>
          <cell r="I1575">
            <v>-2078.5601919999999</v>
          </cell>
          <cell r="J1575">
            <v>-2089.2642580000002</v>
          </cell>
          <cell r="K1575">
            <v>-2105.089817</v>
          </cell>
          <cell r="L1575">
            <v>-2126.520027</v>
          </cell>
          <cell r="M1575">
            <v>-2149.6003409999998</v>
          </cell>
          <cell r="N1575">
            <v>-2174.7545660000001</v>
          </cell>
          <cell r="O1575">
            <v>-2201.4962620000001</v>
          </cell>
          <cell r="P1575">
            <v>-2227.8009579999998</v>
          </cell>
          <cell r="Q1575">
            <v>-2259.9861839999999</v>
          </cell>
          <cell r="R1575">
            <v>-2290.0864900000001</v>
          </cell>
          <cell r="S1575">
            <v>-2319.969231</v>
          </cell>
          <cell r="T1575">
            <v>-2350.0041379999998</v>
          </cell>
          <cell r="U1575">
            <v>-2380.2406689999998</v>
          </cell>
          <cell r="V1575">
            <v>-2410.6802189999999</v>
          </cell>
          <cell r="W1575">
            <v>-2441.3270699999998</v>
          </cell>
          <cell r="X1575">
            <v>-2472.193608</v>
          </cell>
          <cell r="Y1575">
            <v>-2503.2977569999998</v>
          </cell>
          <cell r="Z1575">
            <v>-2535.7777350000001</v>
          </cell>
          <cell r="AA1575">
            <v>-2564.7380779999999</v>
          </cell>
          <cell r="AB1575">
            <v>-2595.9381819999999</v>
          </cell>
          <cell r="AC1575">
            <v>-2627.9115959999999</v>
          </cell>
          <cell r="AD1575">
            <v>-2660.350011</v>
          </cell>
          <cell r="AE1575">
            <v>-2696.4174870000002</v>
          </cell>
          <cell r="AF1575">
            <v>-2723.4790790000002</v>
          </cell>
          <cell r="AG1575">
            <v>-2752.9183130000001</v>
          </cell>
          <cell r="AH1575">
            <v>-2783.0531679999999</v>
          </cell>
          <cell r="AI1575">
            <v>-2813.5538160000001</v>
          </cell>
          <cell r="AJ1575">
            <v>-2844.4019020000001</v>
          </cell>
          <cell r="AK1575">
            <v>-2875.6345040000001</v>
          </cell>
          <cell r="AL1575">
            <v>-2907.2888680000001</v>
          </cell>
          <cell r="AM1575">
            <v>-2939.391388</v>
          </cell>
          <cell r="AN1575">
            <v>-2971.957355</v>
          </cell>
          <cell r="AO1575">
            <v>-3004.9933620000002</v>
          </cell>
          <cell r="AP1575">
            <v>-3039.2719050000001</v>
          </cell>
          <cell r="AQ1575">
            <v>-3072.156704</v>
          </cell>
          <cell r="AR1575">
            <v>-3104.9850329999999</v>
          </cell>
          <cell r="AS1575">
            <v>-3138.062124</v>
          </cell>
          <cell r="AT1575">
            <v>-3171.4683709999999</v>
          </cell>
          <cell r="AU1575">
            <v>-3205.2405880000001</v>
          </cell>
          <cell r="AV1575">
            <v>-3239.4062210000002</v>
          </cell>
          <cell r="AW1575">
            <v>-3273.9879059999998</v>
          </cell>
          <cell r="AX1575">
            <v>-3309.0034639999999</v>
          </cell>
          <cell r="AY1575">
            <v>-3344.4663129999999</v>
          </cell>
          <cell r="AZ1575">
            <v>-3380.3194100000001</v>
          </cell>
          <cell r="BA1575">
            <v>-3416.8081010000001</v>
          </cell>
          <cell r="BB1575">
            <v>-3453.8371379999999</v>
          </cell>
          <cell r="BC1575">
            <v>-3491.3092000000001</v>
          </cell>
          <cell r="BD1575">
            <v>-3529.2219359999999</v>
          </cell>
          <cell r="BE1575">
            <v>-3861.2418819999998</v>
          </cell>
          <cell r="BF1575">
            <v>-3916.1006659999998</v>
          </cell>
          <cell r="BG1575">
            <v>-3971.8087999999998</v>
          </cell>
          <cell r="BH1575">
            <v>-4028.391533</v>
          </cell>
          <cell r="BI1575">
            <v>-4085.8743770000001</v>
          </cell>
        </row>
        <row r="1577">
          <cell r="F1577">
            <v>-613.16616880000004</v>
          </cell>
          <cell r="G1577">
            <v>-619.24248320000004</v>
          </cell>
          <cell r="H1577">
            <v>-622.12187400000005</v>
          </cell>
          <cell r="I1577">
            <v>-624.95296480000002</v>
          </cell>
          <cell r="J1577">
            <v>-628.9214336</v>
          </cell>
          <cell r="K1577">
            <v>-634.2149273</v>
          </cell>
          <cell r="L1577">
            <v>-640.51520589999996</v>
          </cell>
          <cell r="M1577">
            <v>-647.42360129999997</v>
          </cell>
          <cell r="N1577">
            <v>-654.86206189999996</v>
          </cell>
          <cell r="O1577">
            <v>-662.69161859999997</v>
          </cell>
          <cell r="P1577">
            <v>-671.02334729999995</v>
          </cell>
          <cell r="Q1577">
            <v>-679.79294879999998</v>
          </cell>
          <cell r="R1577">
            <v>-688.44883479999999</v>
          </cell>
          <cell r="S1577">
            <v>-697.17306889999998</v>
          </cell>
          <cell r="T1577">
            <v>-705.98297630000002</v>
          </cell>
          <cell r="U1577">
            <v>-714.87174389999996</v>
          </cell>
          <cell r="V1577">
            <v>-723.83298200000002</v>
          </cell>
          <cell r="W1577">
            <v>-732.86371729999996</v>
          </cell>
          <cell r="X1577">
            <v>-741.96377470000004</v>
          </cell>
          <cell r="Y1577">
            <v>-751.13485300000002</v>
          </cell>
          <cell r="Z1577">
            <v>-760.21649830000001</v>
          </cell>
          <cell r="AA1577">
            <v>-769.20765930000005</v>
          </cell>
          <cell r="AB1577">
            <v>-778.4871124</v>
          </cell>
          <cell r="AC1577">
            <v>-787.90036780000003</v>
          </cell>
          <cell r="AD1577">
            <v>-797.42373689999999</v>
          </cell>
          <cell r="AE1577">
            <v>-806.58448020000003</v>
          </cell>
          <cell r="AF1577">
            <v>-815.1495966</v>
          </cell>
          <cell r="AG1577">
            <v>-823.97126219999996</v>
          </cell>
          <cell r="AH1577">
            <v>-832.87020340000004</v>
          </cell>
          <cell r="AI1577">
            <v>-841.83097720000001</v>
          </cell>
          <cell r="AJ1577">
            <v>-850.86679000000004</v>
          </cell>
          <cell r="AK1577">
            <v>-859.99300879999998</v>
          </cell>
          <cell r="AL1577">
            <v>-869.22215200000005</v>
          </cell>
          <cell r="AM1577">
            <v>-878.5633517</v>
          </cell>
          <cell r="AN1577">
            <v>-888.02282990000003</v>
          </cell>
          <cell r="AO1577">
            <v>-897.6045848</v>
          </cell>
          <cell r="AP1577">
            <v>-907.19701099999997</v>
          </cell>
          <cell r="AQ1577">
            <v>-916.68407569999999</v>
          </cell>
          <cell r="AR1577">
            <v>-926.21001539999997</v>
          </cell>
          <cell r="AS1577">
            <v>-935.80826460000003</v>
          </cell>
          <cell r="AT1577">
            <v>-945.49257969999996</v>
          </cell>
          <cell r="AU1577">
            <v>-955.27313570000001</v>
          </cell>
          <cell r="AV1577">
            <v>-965.15874369999995</v>
          </cell>
          <cell r="AW1577">
            <v>-975.15683690000003</v>
          </cell>
          <cell r="AX1577">
            <v>-985.27334340000004</v>
          </cell>
          <cell r="AY1577">
            <v>-995.51273330000004</v>
          </cell>
          <cell r="AZ1577">
            <v>-1005.888477</v>
          </cell>
          <cell r="BA1577">
            <v>-1016.4132949999999</v>
          </cell>
          <cell r="BB1577">
            <v>-1027.0756940000001</v>
          </cell>
          <cell r="BC1577">
            <v>-1037.8739619999999</v>
          </cell>
          <cell r="BD1577">
            <v>-1048.8081500000001</v>
          </cell>
          <cell r="BE1577">
            <v>-1144.325685</v>
          </cell>
          <cell r="BF1577">
            <v>-1160.095908</v>
          </cell>
          <cell r="BG1577">
            <v>-1176.1073469999999</v>
          </cell>
          <cell r="BH1577">
            <v>-1192.3669970000001</v>
          </cell>
          <cell r="BI1577">
            <v>-1208.8823600000001</v>
          </cell>
        </row>
        <row r="1579">
          <cell r="F1579">
            <v>495.70005170000002</v>
          </cell>
        </row>
        <row r="1580">
          <cell r="F1580">
            <v>40630.107230000001</v>
          </cell>
          <cell r="G1580">
            <v>40928.329579999998</v>
          </cell>
          <cell r="H1580">
            <v>41196.521780000003</v>
          </cell>
          <cell r="I1580">
            <v>41474.059379999999</v>
          </cell>
          <cell r="J1580">
            <v>41773.76354</v>
          </cell>
          <cell r="K1580">
            <v>42102.435969999999</v>
          </cell>
          <cell r="L1580">
            <v>42437.970840000002</v>
          </cell>
          <cell r="M1580">
            <v>42791.233240000001</v>
          </cell>
          <cell r="N1580">
            <v>43159.62932</v>
          </cell>
          <cell r="O1580">
            <v>43539.238140000001</v>
          </cell>
          <cell r="P1580">
            <v>43966.565130000003</v>
          </cell>
          <cell r="Q1580">
            <v>44373.523159999997</v>
          </cell>
          <cell r="R1580">
            <v>44779.395369999998</v>
          </cell>
          <cell r="S1580">
            <v>45186.365510000003</v>
          </cell>
          <cell r="T1580">
            <v>45594.950649999999</v>
          </cell>
          <cell r="U1580">
            <v>46005.497360000001</v>
          </cell>
          <cell r="V1580">
            <v>46418.442260000003</v>
          </cell>
          <cell r="W1580">
            <v>46834.344299999997</v>
          </cell>
          <cell r="X1580">
            <v>47253.863389999999</v>
          </cell>
          <cell r="Y1580">
            <v>47677.725359999997</v>
          </cell>
          <cell r="Z1580">
            <v>48078.027730000002</v>
          </cell>
          <cell r="AA1580">
            <v>48503.287940000002</v>
          </cell>
          <cell r="AB1580">
            <v>48939.208960000004</v>
          </cell>
          <cell r="AC1580">
            <v>49384.386810000004</v>
          </cell>
          <cell r="AD1580">
            <v>49838.823810000002</v>
          </cell>
          <cell r="AE1580">
            <v>50221.084640000001</v>
          </cell>
          <cell r="AF1580">
            <v>50628.874179999999</v>
          </cell>
          <cell r="AG1580">
            <v>51044.86778</v>
          </cell>
          <cell r="AH1580">
            <v>51468.672729999998</v>
          </cell>
          <cell r="AI1580">
            <v>51901.228609999998</v>
          </cell>
          <cell r="AJ1580">
            <v>52343.4899</v>
          </cell>
          <cell r="AK1580">
            <v>52796.193850000003</v>
          </cell>
          <cell r="AL1580">
            <v>53259.831160000002</v>
          </cell>
          <cell r="AM1580">
            <v>53734.669300000001</v>
          </cell>
          <cell r="AN1580">
            <v>54220.794390000003</v>
          </cell>
          <cell r="AO1580">
            <v>54718.158020000003</v>
          </cell>
          <cell r="AP1580">
            <v>55207.338029999999</v>
          </cell>
          <cell r="AQ1580">
            <v>55700.825100000002</v>
          </cell>
          <cell r="AR1580">
            <v>56201.01311</v>
          </cell>
          <cell r="AS1580">
            <v>56708.965360000002</v>
          </cell>
          <cell r="AT1580">
            <v>57225.375899999999</v>
          </cell>
          <cell r="AU1580">
            <v>57750.762849999999</v>
          </cell>
          <cell r="AV1580">
            <v>58285.519890000003</v>
          </cell>
          <cell r="AW1580">
            <v>58829.945079999998</v>
          </cell>
          <cell r="AX1580">
            <v>59384.238469999997</v>
          </cell>
          <cell r="AY1580">
            <v>59948.457260000003</v>
          </cell>
          <cell r="AZ1580">
            <v>60523.928780000002</v>
          </cell>
          <cell r="BA1580">
            <v>61107.297659999997</v>
          </cell>
          <cell r="BB1580">
            <v>61697.558490000003</v>
          </cell>
          <cell r="BC1580">
            <v>62296.291599999997</v>
          </cell>
          <cell r="BD1580">
            <v>62904.913849999997</v>
          </cell>
          <cell r="BE1580">
            <v>66761.92697</v>
          </cell>
          <cell r="BF1580">
            <v>67613.189150000006</v>
          </cell>
          <cell r="BG1580">
            <v>68479.501260000005</v>
          </cell>
          <cell r="BH1580">
            <v>69361.150169999994</v>
          </cell>
          <cell r="BI1580">
            <v>70258.379430000001</v>
          </cell>
        </row>
        <row r="1600">
          <cell r="F1600">
            <v>468696.7378</v>
          </cell>
          <cell r="G1600">
            <v>471831.89760000003</v>
          </cell>
          <cell r="H1600">
            <v>476245.11</v>
          </cell>
          <cell r="I1600">
            <v>481462.34409999999</v>
          </cell>
          <cell r="J1600">
            <v>487222.79350000003</v>
          </cell>
          <cell r="K1600">
            <v>493388.08279999997</v>
          </cell>
          <cell r="L1600">
            <v>499686.7144</v>
          </cell>
          <cell r="M1600">
            <v>506131.42310000001</v>
          </cell>
          <cell r="N1600">
            <v>512738.42670000001</v>
          </cell>
          <cell r="O1600">
            <v>519516.52799999999</v>
          </cell>
          <cell r="P1600">
            <v>526441.41619999998</v>
          </cell>
          <cell r="Q1600">
            <v>533833.53330000001</v>
          </cell>
          <cell r="R1600">
            <v>541554.06550000003</v>
          </cell>
          <cell r="S1600">
            <v>549531.71920000005</v>
          </cell>
          <cell r="T1600">
            <v>557735.85100000002</v>
          </cell>
          <cell r="U1600">
            <v>566154.44090000005</v>
          </cell>
          <cell r="V1600">
            <v>574764.4804</v>
          </cell>
          <cell r="W1600">
            <v>583571.08920000005</v>
          </cell>
          <cell r="X1600">
            <v>592578.01809999999</v>
          </cell>
          <cell r="Y1600">
            <v>601787.49109999998</v>
          </cell>
          <cell r="Z1600">
            <v>610953.75199999998</v>
          </cell>
          <cell r="AA1600">
            <v>620382.35270000005</v>
          </cell>
          <cell r="AB1600">
            <v>630058.08400000003</v>
          </cell>
          <cell r="AC1600">
            <v>639965.42330000002</v>
          </cell>
          <cell r="AD1600">
            <v>650095.74829999998</v>
          </cell>
          <cell r="AE1600">
            <v>659730.005</v>
          </cell>
          <cell r="AF1600">
            <v>669413.33200000005</v>
          </cell>
          <cell r="AG1600">
            <v>679169.66890000005</v>
          </cell>
          <cell r="AH1600">
            <v>689004.81</v>
          </cell>
          <cell r="AI1600">
            <v>698926.3395</v>
          </cell>
          <cell r="AJ1600">
            <v>708941.73629999999</v>
          </cell>
          <cell r="AK1600">
            <v>719062.37569999998</v>
          </cell>
          <cell r="AL1600">
            <v>729289.39210000006</v>
          </cell>
          <cell r="AM1600">
            <v>739621.81590000005</v>
          </cell>
          <cell r="AN1600">
            <v>750056.90830000001</v>
          </cell>
          <cell r="AO1600">
            <v>760590.67680000002</v>
          </cell>
          <cell r="AP1600">
            <v>771101.71510000003</v>
          </cell>
          <cell r="AQ1600">
            <v>781606.45019999996</v>
          </cell>
          <cell r="AR1600">
            <v>792117.41720000003</v>
          </cell>
          <cell r="AS1600">
            <v>802641.74179999996</v>
          </cell>
          <cell r="AT1600">
            <v>813184.64809999999</v>
          </cell>
          <cell r="AU1600">
            <v>823760.62399999995</v>
          </cell>
          <cell r="AV1600">
            <v>834371.73259999999</v>
          </cell>
          <cell r="AW1600">
            <v>845020.42680000002</v>
          </cell>
          <cell r="AX1600">
            <v>855709.14480000001</v>
          </cell>
          <cell r="AY1600">
            <v>866440.07050000003</v>
          </cell>
          <cell r="AZ1600">
            <v>877265.37109999999</v>
          </cell>
          <cell r="BA1600">
            <v>888173.95330000005</v>
          </cell>
          <cell r="BB1600">
            <v>899158.30099999998</v>
          </cell>
          <cell r="BC1600">
            <v>910214.19180000003</v>
          </cell>
          <cell r="BD1600">
            <v>921339.78040000005</v>
          </cell>
          <cell r="BE1600">
            <v>1177882.68</v>
          </cell>
          <cell r="BF1600">
            <v>1199509.7779999999</v>
          </cell>
          <cell r="BG1600">
            <v>1221370.1200000001</v>
          </cell>
          <cell r="BH1600">
            <v>1243459.7209999999</v>
          </cell>
          <cell r="BI1600">
            <v>1265775.415</v>
          </cell>
        </row>
        <row r="1601">
          <cell r="F1601">
            <v>4391.6265780000003</v>
          </cell>
          <cell r="G1601">
            <v>4400.496521</v>
          </cell>
          <cell r="H1601">
            <v>4418.616857</v>
          </cell>
          <cell r="I1601">
            <v>4446.0729689999998</v>
          </cell>
          <cell r="J1601">
            <v>4482.0492670000003</v>
          </cell>
          <cell r="K1601">
            <v>4525.4743699999999</v>
          </cell>
          <cell r="L1601">
            <v>4573.4161569999997</v>
          </cell>
          <cell r="M1601">
            <v>4625.3644219999996</v>
          </cell>
          <cell r="N1601">
            <v>4680.8914880000002</v>
          </cell>
          <cell r="O1601">
            <v>4739.5886780000001</v>
          </cell>
          <cell r="P1601">
            <v>4799.9979229999999</v>
          </cell>
          <cell r="Q1601">
            <v>4866.8173079999997</v>
          </cell>
          <cell r="R1601">
            <v>4937.7031290000004</v>
          </cell>
          <cell r="S1601">
            <v>5011.5180609999998</v>
          </cell>
          <cell r="T1601">
            <v>5087.7656580000003</v>
          </cell>
          <cell r="U1601">
            <v>5166.1951239999999</v>
          </cell>
          <cell r="V1601">
            <v>5246.4522859999997</v>
          </cell>
          <cell r="W1601">
            <v>5328.4808890000004</v>
          </cell>
          <cell r="X1601">
            <v>5412.2115430000003</v>
          </cell>
          <cell r="Y1601">
            <v>5497.59087</v>
          </cell>
          <cell r="Z1601">
            <v>5582.2649950000005</v>
          </cell>
          <cell r="AA1601">
            <v>5668.9578670000001</v>
          </cell>
          <cell r="AB1601">
            <v>5757.6315679999998</v>
          </cell>
          <cell r="AC1601">
            <v>5848.1756320000004</v>
          </cell>
          <cell r="AD1601">
            <v>5940.5247639999998</v>
          </cell>
          <cell r="AE1601">
            <v>6027.9424040000004</v>
          </cell>
          <cell r="AF1601">
            <v>6115.2521859999997</v>
          </cell>
          <cell r="AG1601">
            <v>6202.9144050000004</v>
          </cell>
          <cell r="AH1601">
            <v>6291.1627749999998</v>
          </cell>
          <cell r="AI1601">
            <v>6380.2200510000002</v>
          </cell>
          <cell r="AJ1601">
            <v>6470.2861679999996</v>
          </cell>
          <cell r="AK1601">
            <v>6561.5812679999999</v>
          </cell>
          <cell r="AL1601">
            <v>6654.2021130000003</v>
          </cell>
          <cell r="AM1601">
            <v>6748.2135660000004</v>
          </cell>
          <cell r="AN1601">
            <v>6843.6476259999999</v>
          </cell>
          <cell r="AO1601">
            <v>6940.5145849999999</v>
          </cell>
          <cell r="AP1601">
            <v>7037.7688840000001</v>
          </cell>
          <cell r="AQ1601">
            <v>7135.5147999999999</v>
          </cell>
          <cell r="AR1601">
            <v>7233.9453329999997</v>
          </cell>
          <cell r="AS1601">
            <v>7333.1895679999998</v>
          </cell>
          <cell r="AT1601">
            <v>7433.3510649999998</v>
          </cell>
          <cell r="AU1601">
            <v>7534.6266260000002</v>
          </cell>
          <cell r="AV1601">
            <v>7637.078458</v>
          </cell>
          <cell r="AW1601">
            <v>7740.771248</v>
          </cell>
          <cell r="AX1601">
            <v>7845.7540360000003</v>
          </cell>
          <cell r="AY1601">
            <v>7952.0626119999997</v>
          </cell>
          <cell r="AZ1601">
            <v>8060.2350139999999</v>
          </cell>
          <cell r="BA1601">
            <v>8170.1667440000001</v>
          </cell>
          <cell r="BB1601">
            <v>8281.7961099999993</v>
          </cell>
          <cell r="BC1601">
            <v>8395.060657</v>
          </cell>
          <cell r="BD1601">
            <v>8509.9075529999991</v>
          </cell>
          <cell r="BE1601">
            <v>10315.183279999999</v>
          </cell>
          <cell r="BF1601">
            <v>10501.124680000001</v>
          </cell>
          <cell r="BG1601">
            <v>10690.10708</v>
          </cell>
          <cell r="BH1601">
            <v>10882.175730000001</v>
          </cell>
          <cell r="BI1601">
            <v>11077.383040000001</v>
          </cell>
        </row>
        <row r="1604">
          <cell r="F1604">
            <v>232631.8383</v>
          </cell>
          <cell r="G1604">
            <v>234179.0796</v>
          </cell>
          <cell r="H1604">
            <v>236431.61900000001</v>
          </cell>
          <cell r="I1604">
            <v>239089.06140000001</v>
          </cell>
          <cell r="J1604">
            <v>241992.16750000001</v>
          </cell>
          <cell r="K1604">
            <v>245061.17939999999</v>
          </cell>
          <cell r="L1604">
            <v>248171.83499999999</v>
          </cell>
          <cell r="M1604">
            <v>251327.3199</v>
          </cell>
          <cell r="N1604">
            <v>254539.20670000001</v>
          </cell>
          <cell r="O1604">
            <v>257818.0705</v>
          </cell>
          <cell r="P1604">
            <v>261118.4075</v>
          </cell>
          <cell r="Q1604">
            <v>264682.9927</v>
          </cell>
          <cell r="R1604">
            <v>268425.66710000002</v>
          </cell>
          <cell r="S1604">
            <v>272306.42300000001</v>
          </cell>
          <cell r="T1604">
            <v>276309.70899999997</v>
          </cell>
          <cell r="U1604">
            <v>280430.9768</v>
          </cell>
          <cell r="V1604">
            <v>284660.13040000002</v>
          </cell>
          <cell r="W1604">
            <v>289002.84830000001</v>
          </cell>
          <cell r="X1604">
            <v>293463.7377</v>
          </cell>
          <cell r="Y1604">
            <v>298046.33720000001</v>
          </cell>
          <cell r="Z1604">
            <v>302645.89789999998</v>
          </cell>
          <cell r="AA1604">
            <v>307389.38160000002</v>
          </cell>
          <cell r="AB1604">
            <v>312276.1655</v>
          </cell>
          <cell r="AC1604">
            <v>317302.12199999997</v>
          </cell>
          <cell r="AD1604">
            <v>322464.28960000002</v>
          </cell>
          <cell r="AE1604">
            <v>327450.5085</v>
          </cell>
          <cell r="AF1604">
            <v>332475.46519999998</v>
          </cell>
          <cell r="AG1604">
            <v>337551.80229999998</v>
          </cell>
          <cell r="AH1604">
            <v>342682.14250000002</v>
          </cell>
          <cell r="AI1604">
            <v>347867.94500000001</v>
          </cell>
          <cell r="AJ1604">
            <v>353109.92629999999</v>
          </cell>
          <cell r="AK1604">
            <v>358411.03340000001</v>
          </cell>
          <cell r="AL1604">
            <v>363768.9313</v>
          </cell>
          <cell r="AM1604">
            <v>369180.55719999998</v>
          </cell>
          <cell r="AN1604">
            <v>374642.12150000001</v>
          </cell>
          <cell r="AO1604">
            <v>380149.28659999999</v>
          </cell>
          <cell r="AP1604">
            <v>385652.99089999998</v>
          </cell>
          <cell r="AQ1604">
            <v>391149.6825</v>
          </cell>
          <cell r="AR1604">
            <v>396639.19400000002</v>
          </cell>
          <cell r="AS1604">
            <v>402120.8738</v>
          </cell>
          <cell r="AT1604">
            <v>407593.83669999999</v>
          </cell>
          <cell r="AU1604">
            <v>413062.64970000001</v>
          </cell>
          <cell r="AV1604">
            <v>418525.44839999999</v>
          </cell>
          <cell r="AW1604">
            <v>423981.16029999999</v>
          </cell>
          <cell r="AX1604">
            <v>429429.13449999999</v>
          </cell>
          <cell r="AY1604">
            <v>434868.95789999998</v>
          </cell>
          <cell r="AZ1604">
            <v>440326.09700000001</v>
          </cell>
          <cell r="BA1604">
            <v>445794.30680000002</v>
          </cell>
          <cell r="BB1604">
            <v>451269.58360000001</v>
          </cell>
          <cell r="BC1604">
            <v>456749.61609999998</v>
          </cell>
          <cell r="BD1604">
            <v>462233.36249999999</v>
          </cell>
          <cell r="BE1604">
            <v>617742.98450000002</v>
          </cell>
          <cell r="BF1604">
            <v>629611.85600000003</v>
          </cell>
          <cell r="BG1604">
            <v>641570.32310000004</v>
          </cell>
          <cell r="BH1604">
            <v>653612.58900000004</v>
          </cell>
          <cell r="BI1604">
            <v>665733.37950000004</v>
          </cell>
        </row>
        <row r="1616">
          <cell r="F1616">
            <v>7877.6052909999999</v>
          </cell>
          <cell r="G1616">
            <v>7910.8999839999997</v>
          </cell>
          <cell r="H1616">
            <v>7979.9137369999999</v>
          </cell>
          <cell r="I1616">
            <v>8065.32366</v>
          </cell>
          <cell r="J1616">
            <v>8159.9380019999999</v>
          </cell>
          <cell r="K1616">
            <v>8260.7180320000007</v>
          </cell>
          <cell r="L1616">
            <v>8361.8365819999999</v>
          </cell>
          <cell r="M1616">
            <v>8464.3138820000004</v>
          </cell>
          <cell r="N1616">
            <v>8568.4442579999995</v>
          </cell>
          <cell r="O1616">
            <v>8674.1666150000001</v>
          </cell>
          <cell r="P1616">
            <v>8776.1834899999994</v>
          </cell>
          <cell r="Q1616">
            <v>8890.9892610000006</v>
          </cell>
          <cell r="R1616">
            <v>9011.4881719999994</v>
          </cell>
          <cell r="S1616">
            <v>9134.8694620000006</v>
          </cell>
          <cell r="T1616">
            <v>9260.1458060000004</v>
          </cell>
          <cell r="U1616">
            <v>9386.9827729999997</v>
          </cell>
          <cell r="V1616">
            <v>9514.6621429999996</v>
          </cell>
          <cell r="W1616">
            <v>9643.5059700000002</v>
          </cell>
          <cell r="X1616">
            <v>9773.6872609999991</v>
          </cell>
          <cell r="Y1616">
            <v>9905.3196200000002</v>
          </cell>
          <cell r="Z1616">
            <v>10033.362370000001</v>
          </cell>
          <cell r="AA1616">
            <v>10165.34022</v>
          </cell>
          <cell r="AB1616">
            <v>10300.17577</v>
          </cell>
          <cell r="AC1616">
            <v>10437.400970000001</v>
          </cell>
          <cell r="AD1616">
            <v>10576.89623</v>
          </cell>
          <cell r="AE1616">
            <v>10703.909110000001</v>
          </cell>
          <cell r="AF1616">
            <v>10833.063050000001</v>
          </cell>
          <cell r="AG1616">
            <v>10963.886860000001</v>
          </cell>
          <cell r="AH1616">
            <v>11096.193939999999</v>
          </cell>
          <cell r="AI1616">
            <v>11230.085290000001</v>
          </cell>
          <cell r="AJ1616">
            <v>11365.7353</v>
          </cell>
          <cell r="AK1616">
            <v>11503.49098</v>
          </cell>
          <cell r="AL1616">
            <v>11643.37155</v>
          </cell>
          <cell r="AM1616">
            <v>11785.403270000001</v>
          </cell>
          <cell r="AN1616">
            <v>11929.59554</v>
          </cell>
          <cell r="AO1616">
            <v>12075.937739999999</v>
          </cell>
          <cell r="AP1616">
            <v>12222.665849999999</v>
          </cell>
          <cell r="AQ1616">
            <v>12370.34035</v>
          </cell>
          <cell r="AR1616">
            <v>12519.272070000001</v>
          </cell>
          <cell r="AS1616">
            <v>12669.620080000001</v>
          </cell>
          <cell r="AT1616">
            <v>12821.49113</v>
          </cell>
          <cell r="AU1616">
            <v>12975.28155</v>
          </cell>
          <cell r="AV1616">
            <v>13130.916670000001</v>
          </cell>
          <cell r="AW1616">
            <v>13288.39401</v>
          </cell>
          <cell r="AX1616">
            <v>13447.73144</v>
          </cell>
          <cell r="AY1616">
            <v>13608.94586</v>
          </cell>
          <cell r="AZ1616">
            <v>13773.469709999999</v>
          </cell>
          <cell r="BA1616">
            <v>13940.626560000001</v>
          </cell>
          <cell r="BB1616">
            <v>14110.113520000001</v>
          </cell>
          <cell r="BC1616">
            <v>14281.792460000001</v>
          </cell>
          <cell r="BD1616">
            <v>14455.593629999999</v>
          </cell>
          <cell r="BE1616">
            <v>18304.411169999999</v>
          </cell>
          <cell r="BF1616">
            <v>18627.571029999999</v>
          </cell>
          <cell r="BG1616">
            <v>18956.537619999999</v>
          </cell>
          <cell r="BH1616">
            <v>19291.396369999999</v>
          </cell>
          <cell r="BI1616">
            <v>19632.235570000001</v>
          </cell>
        </row>
        <row r="1621">
          <cell r="F1621">
            <v>217956.3389</v>
          </cell>
          <cell r="G1621">
            <v>219486.1667</v>
          </cell>
          <cell r="H1621">
            <v>221542.27530000001</v>
          </cell>
          <cell r="I1621">
            <v>223969.65909999999</v>
          </cell>
          <cell r="J1621">
            <v>226672.5129</v>
          </cell>
          <cell r="K1621">
            <v>229595.09529999999</v>
          </cell>
          <cell r="L1621">
            <v>232601.11480000001</v>
          </cell>
          <cell r="M1621">
            <v>235699.56890000001</v>
          </cell>
          <cell r="N1621">
            <v>238895.57019999999</v>
          </cell>
          <cell r="O1621">
            <v>242188.38459999999</v>
          </cell>
          <cell r="P1621">
            <v>245607.9327</v>
          </cell>
          <cell r="Q1621">
            <v>249205.4466</v>
          </cell>
          <cell r="R1621">
            <v>252940.13870000001</v>
          </cell>
          <cell r="S1621">
            <v>256785.97409999999</v>
          </cell>
          <cell r="T1621">
            <v>260729.9411</v>
          </cell>
          <cell r="U1621">
            <v>264765.47330000001</v>
          </cell>
          <cell r="V1621">
            <v>268881.14760000003</v>
          </cell>
          <cell r="W1621">
            <v>273076.19069999998</v>
          </cell>
          <cell r="X1621">
            <v>277349.6997</v>
          </cell>
          <cell r="Y1621">
            <v>281700.34869999997</v>
          </cell>
          <cell r="Z1621">
            <v>285997.20750000002</v>
          </cell>
          <cell r="AA1621">
            <v>290405.21230000001</v>
          </cell>
          <cell r="AB1621">
            <v>294910.98739999998</v>
          </cell>
          <cell r="AC1621">
            <v>299503.92109999998</v>
          </cell>
          <cell r="AD1621">
            <v>304178.61060000001</v>
          </cell>
          <cell r="AE1621">
            <v>308557.18040000001</v>
          </cell>
          <cell r="AF1621">
            <v>312944.40879999998</v>
          </cell>
          <cell r="AG1621">
            <v>317350.98509999999</v>
          </cell>
          <cell r="AH1621">
            <v>321779.89480000001</v>
          </cell>
          <cell r="AI1621">
            <v>326236.78340000001</v>
          </cell>
          <cell r="AJ1621">
            <v>330727.86499999999</v>
          </cell>
          <cell r="AK1621">
            <v>335260.77380000002</v>
          </cell>
          <cell r="AL1621">
            <v>339838.74900000001</v>
          </cell>
          <cell r="AM1621">
            <v>344463.69280000002</v>
          </cell>
          <cell r="AN1621">
            <v>349136.53289999999</v>
          </cell>
          <cell r="AO1621">
            <v>353857.55550000002</v>
          </cell>
          <cell r="AP1621">
            <v>358558.35190000001</v>
          </cell>
          <cell r="AQ1621">
            <v>363257.99489999999</v>
          </cell>
          <cell r="AR1621">
            <v>367968.39069999999</v>
          </cell>
          <cell r="AS1621">
            <v>372696.82860000001</v>
          </cell>
          <cell r="AT1621">
            <v>377449.08069999999</v>
          </cell>
          <cell r="AU1621">
            <v>382234.29379999998</v>
          </cell>
          <cell r="AV1621">
            <v>387056.39809999999</v>
          </cell>
          <cell r="AW1621">
            <v>391918.84179999999</v>
          </cell>
          <cell r="AX1621">
            <v>396824.63270000002</v>
          </cell>
          <cell r="AY1621">
            <v>401776.30719999998</v>
          </cell>
          <cell r="AZ1621">
            <v>406798.0834</v>
          </cell>
          <cell r="BA1621">
            <v>411886.09230000002</v>
          </cell>
          <cell r="BB1621">
            <v>417037.29599999997</v>
          </cell>
          <cell r="BC1621">
            <v>422250.03629999998</v>
          </cell>
          <cell r="BD1621">
            <v>427523.66499999998</v>
          </cell>
          <cell r="BE1621">
            <v>520690.10560000001</v>
          </cell>
          <cell r="BF1621">
            <v>529771.0233</v>
          </cell>
          <cell r="BG1621">
            <v>538983.70779999997</v>
          </cell>
          <cell r="BH1621">
            <v>548329.81590000005</v>
          </cell>
          <cell r="BI1621">
            <v>557811.28489999997</v>
          </cell>
        </row>
        <row r="1624">
          <cell r="F1624">
            <v>2220.325292</v>
          </cell>
          <cell r="G1624">
            <v>2221.7777430000001</v>
          </cell>
          <cell r="H1624">
            <v>2225.7885660000002</v>
          </cell>
          <cell r="I1624">
            <v>2231.8979629999999</v>
          </cell>
          <cell r="J1624">
            <v>2240.566061</v>
          </cell>
          <cell r="K1624">
            <v>2251.9697620000002</v>
          </cell>
          <cell r="L1624">
            <v>2265.0497479999999</v>
          </cell>
          <cell r="M1624">
            <v>2279.811244</v>
          </cell>
          <cell r="N1624">
            <v>2296.0925269999998</v>
          </cell>
          <cell r="O1624">
            <v>2313.6646209999999</v>
          </cell>
          <cell r="P1624">
            <v>2331.1264999999999</v>
          </cell>
          <cell r="Q1624">
            <v>2351.899034</v>
          </cell>
          <cell r="R1624">
            <v>2374.6180380000001</v>
          </cell>
          <cell r="S1624">
            <v>2398.5963230000002</v>
          </cell>
          <cell r="T1624">
            <v>2423.537112</v>
          </cell>
          <cell r="U1624">
            <v>2449.2904800000001</v>
          </cell>
          <cell r="V1624">
            <v>2475.6441519999998</v>
          </cell>
          <cell r="W1624">
            <v>2502.580919</v>
          </cell>
          <cell r="X1624">
            <v>2530.0660889999999</v>
          </cell>
          <cell r="Y1624">
            <v>2558.0590910000001</v>
          </cell>
          <cell r="Z1624">
            <v>2585.472976</v>
          </cell>
          <cell r="AA1624">
            <v>2613.6952620000002</v>
          </cell>
          <cell r="AB1624">
            <v>2642.5551810000002</v>
          </cell>
          <cell r="AC1624">
            <v>2671.9282459999999</v>
          </cell>
          <cell r="AD1624">
            <v>2701.7595820000001</v>
          </cell>
          <cell r="AE1624">
            <v>2729.025952</v>
          </cell>
          <cell r="AF1624">
            <v>2756.4005000000002</v>
          </cell>
          <cell r="AG1624">
            <v>2783.9077200000002</v>
          </cell>
          <cell r="AH1624">
            <v>2811.5141119999998</v>
          </cell>
          <cell r="AI1624">
            <v>2839.2377000000001</v>
          </cell>
          <cell r="AJ1624">
            <v>2867.1184699999999</v>
          </cell>
          <cell r="AK1624">
            <v>2895.2338100000002</v>
          </cell>
          <cell r="AL1624">
            <v>2923.6049600000001</v>
          </cell>
          <cell r="AM1624">
            <v>2952.2540800000002</v>
          </cell>
          <cell r="AN1624">
            <v>2981.201094</v>
          </cell>
          <cell r="AO1624">
            <v>3010.4615520000002</v>
          </cell>
          <cell r="AP1624">
            <v>3039.664526</v>
          </cell>
          <cell r="AQ1624">
            <v>3068.9027190000002</v>
          </cell>
          <cell r="AR1624">
            <v>3098.25747</v>
          </cell>
          <cell r="AS1624">
            <v>3127.7811470000001</v>
          </cell>
          <cell r="AT1624">
            <v>3157.50974</v>
          </cell>
          <cell r="AU1624">
            <v>3187.5258549999999</v>
          </cell>
          <cell r="AV1624">
            <v>3217.8244460000001</v>
          </cell>
          <cell r="AW1624">
            <v>3248.4103930000001</v>
          </cell>
          <cell r="AX1624">
            <v>3279.2916100000002</v>
          </cell>
          <cell r="AY1624">
            <v>3310.4744850000002</v>
          </cell>
          <cell r="AZ1624">
            <v>3342.2245579999999</v>
          </cell>
          <cell r="BA1624">
            <v>3374.4282389999998</v>
          </cell>
          <cell r="BB1624">
            <v>3407.0313879999999</v>
          </cell>
          <cell r="BC1624">
            <v>3440.0110749999999</v>
          </cell>
          <cell r="BD1624">
            <v>3473.35428</v>
          </cell>
          <cell r="BE1624">
            <v>4426.5473080000002</v>
          </cell>
          <cell r="BF1624">
            <v>4495.1861529999996</v>
          </cell>
          <cell r="BG1624">
            <v>4564.88544</v>
          </cell>
          <cell r="BH1624">
            <v>4635.66716</v>
          </cell>
          <cell r="BI1624">
            <v>4707.5559839999996</v>
          </cell>
        </row>
        <row r="1629">
          <cell r="F1629">
            <v>3619.003424</v>
          </cell>
          <cell r="G1629">
            <v>3633.477069</v>
          </cell>
          <cell r="H1629">
            <v>3646.896495</v>
          </cell>
          <cell r="I1629">
            <v>3660.3291020000001</v>
          </cell>
          <cell r="J1629">
            <v>3675.5596959999998</v>
          </cell>
          <cell r="K1629">
            <v>3693.6460029999998</v>
          </cell>
          <cell r="L1629">
            <v>3713.4622009999998</v>
          </cell>
          <cell r="M1629">
            <v>3735.0447840000002</v>
          </cell>
          <cell r="N1629">
            <v>3758.221583</v>
          </cell>
          <cell r="O1629">
            <v>3782.6529529999998</v>
          </cell>
          <cell r="P1629">
            <v>3807.7681349999998</v>
          </cell>
          <cell r="Q1629">
            <v>3835.3884269999999</v>
          </cell>
          <cell r="R1629">
            <v>3864.4502859999998</v>
          </cell>
          <cell r="S1629">
            <v>3894.3382839999999</v>
          </cell>
          <cell r="T1629">
            <v>3924.7522180000001</v>
          </cell>
          <cell r="U1629">
            <v>3955.5224210000001</v>
          </cell>
          <cell r="V1629">
            <v>3986.4438829999999</v>
          </cell>
          <cell r="W1629">
            <v>4017.4824760000001</v>
          </cell>
          <cell r="X1629">
            <v>4048.6157950000002</v>
          </cell>
          <cell r="Y1629">
            <v>4079.8355879999999</v>
          </cell>
          <cell r="Z1629">
            <v>4109.5461660000001</v>
          </cell>
          <cell r="AA1629">
            <v>4139.7654689999999</v>
          </cell>
          <cell r="AB1629">
            <v>4170.5685130000002</v>
          </cell>
          <cell r="AC1629">
            <v>4201.8753129999996</v>
          </cell>
          <cell r="AD1629">
            <v>4233.6675489999998</v>
          </cell>
          <cell r="AE1629">
            <v>4261.4385650000004</v>
          </cell>
          <cell r="AF1629">
            <v>4288.742287</v>
          </cell>
          <cell r="AG1629">
            <v>4316.1725299999998</v>
          </cell>
          <cell r="AH1629">
            <v>4343.9018820000001</v>
          </cell>
          <cell r="AI1629">
            <v>4372.0680810000003</v>
          </cell>
          <cell r="AJ1629">
            <v>4400.8050910000002</v>
          </cell>
          <cell r="AK1629">
            <v>4430.2624720000003</v>
          </cell>
          <cell r="AL1629">
            <v>4460.5331399999995</v>
          </cell>
          <cell r="AM1629">
            <v>4491.6950310000002</v>
          </cell>
          <cell r="AN1629">
            <v>4523.8095579999999</v>
          </cell>
          <cell r="AO1629">
            <v>4556.9209090000004</v>
          </cell>
          <cell r="AP1629">
            <v>4590.2729689999996</v>
          </cell>
          <cell r="AQ1629">
            <v>4624.0148870000003</v>
          </cell>
          <cell r="AR1629">
            <v>4658.3576519999997</v>
          </cell>
          <cell r="AS1629">
            <v>4693.4486390000002</v>
          </cell>
          <cell r="AT1629">
            <v>4729.378796</v>
          </cell>
          <cell r="AU1629">
            <v>4766.2464540000001</v>
          </cell>
          <cell r="AV1629">
            <v>4804.0665200000003</v>
          </cell>
          <cell r="AW1629">
            <v>4842.8490149999998</v>
          </cell>
          <cell r="AX1629">
            <v>4882.6004970000004</v>
          </cell>
          <cell r="AY1629">
            <v>4923.3223509999998</v>
          </cell>
          <cell r="AZ1629">
            <v>4965.2614530000001</v>
          </cell>
          <cell r="BA1629">
            <v>5008.3327380000001</v>
          </cell>
          <cell r="BB1629">
            <v>5052.4802749999999</v>
          </cell>
          <cell r="BC1629">
            <v>5097.6751629999999</v>
          </cell>
          <cell r="BD1629">
            <v>5143.8974280000002</v>
          </cell>
          <cell r="BE1629">
            <v>6403.448018</v>
          </cell>
          <cell r="BF1629">
            <v>6503.0164150000001</v>
          </cell>
          <cell r="BG1629">
            <v>6604.5586430000003</v>
          </cell>
          <cell r="BH1629">
            <v>6708.0768269999999</v>
          </cell>
          <cell r="BI1629">
            <v>6813.5759399999997</v>
          </cell>
        </row>
        <row r="1639">
          <cell r="F1639">
            <v>473222.20449999999</v>
          </cell>
          <cell r="G1639">
            <v>479535.71799999999</v>
          </cell>
          <cell r="H1639">
            <v>486404.21620000002</v>
          </cell>
          <cell r="I1639">
            <v>493756.32160000002</v>
          </cell>
          <cell r="J1639">
            <v>501524.69660000002</v>
          </cell>
          <cell r="K1639">
            <v>509663.84759999998</v>
          </cell>
          <cell r="L1639">
            <v>517948.18280000001</v>
          </cell>
          <cell r="M1639">
            <v>526410.65689999994</v>
          </cell>
          <cell r="N1639">
            <v>535078.52879999997</v>
          </cell>
          <cell r="O1639">
            <v>543968.31129999994</v>
          </cell>
          <cell r="P1639">
            <v>553440.23609999998</v>
          </cell>
          <cell r="Q1639">
            <v>563065.29280000005</v>
          </cell>
          <cell r="R1639">
            <v>572866.74789999996</v>
          </cell>
          <cell r="S1639">
            <v>582865.13520000002</v>
          </cell>
          <cell r="T1639">
            <v>593069.4804</v>
          </cell>
          <cell r="U1639">
            <v>603483.72750000004</v>
          </cell>
          <cell r="V1639">
            <v>614110.22360000003</v>
          </cell>
          <cell r="W1639">
            <v>624950.97450000001</v>
          </cell>
          <cell r="X1639">
            <v>636007.82849999995</v>
          </cell>
          <cell r="Y1639">
            <v>647282.27859999996</v>
          </cell>
          <cell r="Z1639">
            <v>658510.55299999996</v>
          </cell>
          <cell r="AA1639">
            <v>670018.11320000002</v>
          </cell>
          <cell r="AB1639">
            <v>681788.45440000005</v>
          </cell>
          <cell r="AC1639">
            <v>693804.71589999995</v>
          </cell>
          <cell r="AD1639">
            <v>706056.9031</v>
          </cell>
          <cell r="AE1639">
            <v>717765.83059999999</v>
          </cell>
          <cell r="AF1639">
            <v>729504.46380000003</v>
          </cell>
          <cell r="AG1639">
            <v>741298.69669999997</v>
          </cell>
          <cell r="AH1639">
            <v>753155.01020000002</v>
          </cell>
          <cell r="AI1639">
            <v>765081.60789999994</v>
          </cell>
          <cell r="AJ1639">
            <v>777086.3591</v>
          </cell>
          <cell r="AK1639">
            <v>789174.87</v>
          </cell>
          <cell r="AL1639">
            <v>801349.80110000004</v>
          </cell>
          <cell r="AM1639">
            <v>813611.05669999996</v>
          </cell>
          <cell r="AN1639">
            <v>825956.42440000002</v>
          </cell>
          <cell r="AO1639">
            <v>838382.36239999998</v>
          </cell>
          <cell r="AP1639">
            <v>850694.96979999996</v>
          </cell>
          <cell r="AQ1639">
            <v>862930.71739999996</v>
          </cell>
          <cell r="AR1639">
            <v>875116.26710000006</v>
          </cell>
          <cell r="AS1639">
            <v>887268.72759999998</v>
          </cell>
          <cell r="AT1639">
            <v>899400.95730000001</v>
          </cell>
          <cell r="AU1639">
            <v>911523.86580000003</v>
          </cell>
          <cell r="AV1639">
            <v>923647.1298</v>
          </cell>
          <cell r="AW1639">
            <v>935779.36780000001</v>
          </cell>
          <cell r="AX1639">
            <v>947928.24890000001</v>
          </cell>
          <cell r="AY1639">
            <v>960100.6888</v>
          </cell>
          <cell r="AZ1639">
            <v>972320.42850000004</v>
          </cell>
          <cell r="BA1639">
            <v>984590.03749999998</v>
          </cell>
          <cell r="BB1639">
            <v>996913.12549999997</v>
          </cell>
          <cell r="BC1639">
            <v>1009294.171</v>
          </cell>
          <cell r="BD1639">
            <v>1021738.414</v>
          </cell>
          <cell r="BE1639">
            <v>1178106.1470000001</v>
          </cell>
          <cell r="BF1639">
            <v>1199473.1200000001</v>
          </cell>
          <cell r="BG1639">
            <v>1221043.7919999999</v>
          </cell>
          <cell r="BH1639">
            <v>1242814.6680000001</v>
          </cell>
          <cell r="BI1639">
            <v>1264783.2679999999</v>
          </cell>
        </row>
        <row r="1640">
          <cell r="F1640">
            <v>4444.0176270000002</v>
          </cell>
          <cell r="G1640">
            <v>4488.0620570000001</v>
          </cell>
          <cell r="H1640">
            <v>4532.6467709999997</v>
          </cell>
          <cell r="I1640">
            <v>4582.237263</v>
          </cell>
          <cell r="J1640">
            <v>4637.9010760000001</v>
          </cell>
          <cell r="K1640">
            <v>4699.4452179999998</v>
          </cell>
          <cell r="L1640">
            <v>4764.3885300000002</v>
          </cell>
          <cell r="M1640">
            <v>4832.4695460000003</v>
          </cell>
          <cell r="N1640">
            <v>4903.4569199999996</v>
          </cell>
          <cell r="O1640">
            <v>4977.110111</v>
          </cell>
          <cell r="P1640">
            <v>5056.5187219999998</v>
          </cell>
          <cell r="Q1640">
            <v>5137.5110080000004</v>
          </cell>
          <cell r="R1640">
            <v>5219.9802669999999</v>
          </cell>
          <cell r="S1640">
            <v>5303.930257</v>
          </cell>
          <cell r="T1640">
            <v>5389.3211110000002</v>
          </cell>
          <cell r="U1640">
            <v>5476.1104580000001</v>
          </cell>
          <cell r="V1640">
            <v>5564.2748140000003</v>
          </cell>
          <cell r="W1640">
            <v>5653.8114850000002</v>
          </cell>
          <cell r="X1640">
            <v>5744.7326750000002</v>
          </cell>
          <cell r="Y1640">
            <v>5837.0585549999996</v>
          </cell>
          <cell r="Z1640">
            <v>5928.3355840000004</v>
          </cell>
          <cell r="AA1640">
            <v>6021.5515089999999</v>
          </cell>
          <cell r="AB1640">
            <v>6116.6896900000002</v>
          </cell>
          <cell r="AC1640">
            <v>6213.6633670000001</v>
          </cell>
          <cell r="AD1640">
            <v>6312.4292169999999</v>
          </cell>
          <cell r="AE1640">
            <v>6405.7649449999999</v>
          </cell>
          <cell r="AF1640">
            <v>6498.8306679999996</v>
          </cell>
          <cell r="AG1640">
            <v>6592.1205040000004</v>
          </cell>
          <cell r="AH1640">
            <v>6685.8917430000001</v>
          </cell>
          <cell r="AI1640">
            <v>6780.4005049999996</v>
          </cell>
          <cell r="AJ1640">
            <v>6875.8779510000004</v>
          </cell>
          <cell r="AK1640">
            <v>6972.5078350000003</v>
          </cell>
          <cell r="AL1640">
            <v>7070.4217200000003</v>
          </cell>
          <cell r="AM1640">
            <v>7169.7052439999998</v>
          </cell>
          <cell r="AN1640">
            <v>7270.4089169999997</v>
          </cell>
          <cell r="AO1640">
            <v>7372.5594639999999</v>
          </cell>
          <cell r="AP1640">
            <v>7474.4116610000001</v>
          </cell>
          <cell r="AQ1640">
            <v>7576.3010379999996</v>
          </cell>
          <cell r="AR1640">
            <v>7678.5395339999995</v>
          </cell>
          <cell r="AS1640">
            <v>7781.3699740000002</v>
          </cell>
          <cell r="AT1640">
            <v>7884.9984249999998</v>
          </cell>
          <cell r="AU1640">
            <v>7989.6052259999997</v>
          </cell>
          <cell r="AV1640">
            <v>8095.3451029999997</v>
          </cell>
          <cell r="AW1640">
            <v>8202.3458279999995</v>
          </cell>
          <cell r="AX1640">
            <v>8310.7088910000002</v>
          </cell>
          <cell r="AY1640">
            <v>8420.5122219999994</v>
          </cell>
          <cell r="AZ1640">
            <v>8531.9724740000001</v>
          </cell>
          <cell r="BA1640">
            <v>8645.1093600000004</v>
          </cell>
          <cell r="BB1640">
            <v>8759.9395199999999</v>
          </cell>
          <cell r="BC1640">
            <v>8876.4714619999995</v>
          </cell>
          <cell r="BD1640">
            <v>8994.7104469999995</v>
          </cell>
          <cell r="BE1640">
            <v>10203.664870000001</v>
          </cell>
          <cell r="BF1640">
            <v>10378.79773</v>
          </cell>
          <cell r="BG1640">
            <v>10556.48702</v>
          </cell>
          <cell r="BH1640">
            <v>10736.797769999999</v>
          </cell>
          <cell r="BI1640">
            <v>10919.79932</v>
          </cell>
        </row>
        <row r="1643">
          <cell r="F1643">
            <v>235100.95420000001</v>
          </cell>
          <cell r="G1643">
            <v>238344.5226</v>
          </cell>
          <cell r="H1643">
            <v>241920.59419999999</v>
          </cell>
          <cell r="I1643">
            <v>245745.02059999999</v>
          </cell>
          <cell r="J1643">
            <v>249762.5914</v>
          </cell>
          <cell r="K1643">
            <v>253946.9259</v>
          </cell>
          <cell r="L1643">
            <v>258201.81140000001</v>
          </cell>
          <cell r="M1643">
            <v>262543.01459999999</v>
          </cell>
          <cell r="N1643">
            <v>266988.00469999999</v>
          </cell>
          <cell r="O1643">
            <v>271550.33140000002</v>
          </cell>
          <cell r="P1643">
            <v>276394.68900000001</v>
          </cell>
          <cell r="Q1643">
            <v>281345.98479999998</v>
          </cell>
          <cell r="R1643">
            <v>286411.80930000002</v>
          </cell>
          <cell r="S1643">
            <v>291601.40600000002</v>
          </cell>
          <cell r="T1643">
            <v>296920.24190000002</v>
          </cell>
          <cell r="U1643">
            <v>302371.5025</v>
          </cell>
          <cell r="V1643">
            <v>307957.24550000002</v>
          </cell>
          <cell r="W1643">
            <v>313678.9595</v>
          </cell>
          <cell r="X1643">
            <v>319537.72519999999</v>
          </cell>
          <cell r="Y1643">
            <v>325534.18520000001</v>
          </cell>
          <cell r="Z1643">
            <v>331551.12560000003</v>
          </cell>
          <cell r="AA1643">
            <v>337724.21899999998</v>
          </cell>
          <cell r="AB1643">
            <v>344050.01890000002</v>
          </cell>
          <cell r="AC1643">
            <v>350521.8898</v>
          </cell>
          <cell r="AD1643">
            <v>357134.49540000001</v>
          </cell>
          <cell r="AE1643">
            <v>363540.1017</v>
          </cell>
          <cell r="AF1643">
            <v>369966.99890000001</v>
          </cell>
          <cell r="AG1643">
            <v>376427.0282</v>
          </cell>
          <cell r="AH1643">
            <v>382921.5368</v>
          </cell>
          <cell r="AI1643">
            <v>389450.804</v>
          </cell>
          <cell r="AJ1643">
            <v>396014.40879999998</v>
          </cell>
          <cell r="AK1643">
            <v>402610.96629999997</v>
          </cell>
          <cell r="AL1643">
            <v>409237.97979999997</v>
          </cell>
          <cell r="AM1643">
            <v>415891.91729999997</v>
          </cell>
          <cell r="AN1643">
            <v>422568.46039999998</v>
          </cell>
          <cell r="AO1643">
            <v>429262.83840000001</v>
          </cell>
          <cell r="AP1643">
            <v>435885.40120000002</v>
          </cell>
          <cell r="AQ1643">
            <v>442443.24699999997</v>
          </cell>
          <cell r="AR1643">
            <v>448942.93089999998</v>
          </cell>
          <cell r="AS1643">
            <v>455388.5552</v>
          </cell>
          <cell r="AT1643">
            <v>461783.05959999998</v>
          </cell>
          <cell r="AU1643">
            <v>468128.98590000003</v>
          </cell>
          <cell r="AV1643">
            <v>474428.79379999998</v>
          </cell>
          <cell r="AW1643">
            <v>480684.96189999999</v>
          </cell>
          <cell r="AX1643">
            <v>486900.03259999998</v>
          </cell>
          <cell r="AY1643">
            <v>493076.67249999999</v>
          </cell>
          <cell r="AZ1643">
            <v>499225.49550000002</v>
          </cell>
          <cell r="BA1643">
            <v>505348.59840000002</v>
          </cell>
          <cell r="BB1643">
            <v>511448.57020000002</v>
          </cell>
          <cell r="BC1643">
            <v>517528.63699999999</v>
          </cell>
          <cell r="BD1643">
            <v>523592.67509999999</v>
          </cell>
          <cell r="BE1643">
            <v>617696.26529999997</v>
          </cell>
          <cell r="BF1643">
            <v>629357.23699999996</v>
          </cell>
          <cell r="BG1643">
            <v>641083.97759999998</v>
          </cell>
          <cell r="BH1643">
            <v>652870.74470000004</v>
          </cell>
          <cell r="BI1643">
            <v>664712.53189999994</v>
          </cell>
        </row>
        <row r="1655">
          <cell r="F1655">
            <v>8024.1639029999997</v>
          </cell>
          <cell r="G1655">
            <v>8132.0422669999998</v>
          </cell>
          <cell r="H1655">
            <v>8248.5171609999998</v>
          </cell>
          <cell r="I1655">
            <v>8372.0966559999997</v>
          </cell>
          <cell r="J1655">
            <v>8501.6821049999999</v>
          </cell>
          <cell r="K1655">
            <v>8636.3994619999994</v>
          </cell>
          <cell r="L1655">
            <v>8771.289761</v>
          </cell>
          <cell r="M1655">
            <v>8907.7087539999993</v>
          </cell>
          <cell r="N1655">
            <v>9046.1770899999992</v>
          </cell>
          <cell r="O1655">
            <v>9186.8322270000008</v>
          </cell>
          <cell r="P1655">
            <v>9337.196242</v>
          </cell>
          <cell r="Q1655">
            <v>9486.3876639999999</v>
          </cell>
          <cell r="R1655">
            <v>9636.1222099999995</v>
          </cell>
          <cell r="S1655">
            <v>9787.2138720000003</v>
          </cell>
          <cell r="T1655">
            <v>9939.9767809999994</v>
          </cell>
          <cell r="U1655">
            <v>10094.56666</v>
          </cell>
          <cell r="V1655">
            <v>10251.10512</v>
          </cell>
          <cell r="W1655">
            <v>10409.71551</v>
          </cell>
          <cell r="X1655">
            <v>10570.5272</v>
          </cell>
          <cell r="Y1655">
            <v>10733.67078</v>
          </cell>
          <cell r="Z1655">
            <v>10893.636490000001</v>
          </cell>
          <cell r="AA1655">
            <v>11058.68102</v>
          </cell>
          <cell r="AB1655">
            <v>11227.617469999999</v>
          </cell>
          <cell r="AC1655">
            <v>11399.929700000001</v>
          </cell>
          <cell r="AD1655">
            <v>11575.47306</v>
          </cell>
          <cell r="AE1655">
            <v>11737.84527</v>
          </cell>
          <cell r="AF1655">
            <v>11902.896059999999</v>
          </cell>
          <cell r="AG1655">
            <v>12070.222540000001</v>
          </cell>
          <cell r="AH1655">
            <v>12239.661</v>
          </cell>
          <cell r="AI1655">
            <v>12411.33244</v>
          </cell>
          <cell r="AJ1655">
            <v>12585.427439999999</v>
          </cell>
          <cell r="AK1655">
            <v>12762.11658</v>
          </cell>
          <cell r="AL1655">
            <v>12941.522800000001</v>
          </cell>
          <cell r="AM1655">
            <v>13123.72055</v>
          </cell>
          <cell r="AN1655">
            <v>13308.745269999999</v>
          </cell>
          <cell r="AO1655">
            <v>13496.605729999999</v>
          </cell>
          <cell r="AP1655">
            <v>13683.2808</v>
          </cell>
          <cell r="AQ1655">
            <v>13870.48345</v>
          </cell>
          <cell r="AR1655">
            <v>14059.033009999999</v>
          </cell>
          <cell r="AS1655">
            <v>14249.32941</v>
          </cell>
          <cell r="AT1655">
            <v>14441.620199999999</v>
          </cell>
          <cell r="AU1655">
            <v>14636.091119999999</v>
          </cell>
          <cell r="AV1655">
            <v>14832.89234</v>
          </cell>
          <cell r="AW1655">
            <v>15032.145490000001</v>
          </cell>
          <cell r="AX1655">
            <v>15233.94686</v>
          </cell>
          <cell r="AY1655">
            <v>15438.37138</v>
          </cell>
          <cell r="AZ1655">
            <v>15645.845020000001</v>
          </cell>
          <cell r="BA1655">
            <v>15856.25864</v>
          </cell>
          <cell r="BB1655">
            <v>16069.578310000001</v>
          </cell>
          <cell r="BC1655">
            <v>16285.801589999999</v>
          </cell>
          <cell r="BD1655">
            <v>16504.938399999999</v>
          </cell>
          <cell r="BE1655">
            <v>18375.041580000001</v>
          </cell>
          <cell r="BF1655">
            <v>18700.720560000002</v>
          </cell>
          <cell r="BG1655">
            <v>19032.156940000001</v>
          </cell>
          <cell r="BH1655">
            <v>19369.446889999999</v>
          </cell>
          <cell r="BI1655">
            <v>19712.689709999999</v>
          </cell>
        </row>
        <row r="1660">
          <cell r="F1660">
            <v>219751.9693</v>
          </cell>
          <cell r="G1660">
            <v>222616.73790000001</v>
          </cell>
          <cell r="H1660">
            <v>225704.5876</v>
          </cell>
          <cell r="I1660">
            <v>229017.53779999999</v>
          </cell>
          <cell r="J1660">
            <v>232539.38320000001</v>
          </cell>
          <cell r="K1660">
            <v>236250.1574</v>
          </cell>
          <cell r="L1660">
            <v>240029.6177</v>
          </cell>
          <cell r="M1660">
            <v>243893.4762</v>
          </cell>
          <cell r="N1660">
            <v>247851.334</v>
          </cell>
          <cell r="O1660">
            <v>251906.64929999999</v>
          </cell>
          <cell r="P1660">
            <v>256240.83590000001</v>
          </cell>
          <cell r="Q1660">
            <v>260620.41329999999</v>
          </cell>
          <cell r="R1660">
            <v>265059.50229999999</v>
          </cell>
          <cell r="S1660">
            <v>269568.36979999999</v>
          </cell>
          <cell r="T1660">
            <v>274150.20860000001</v>
          </cell>
          <cell r="U1660">
            <v>278805.63020000001</v>
          </cell>
          <cell r="V1660">
            <v>283534.80050000001</v>
          </cell>
          <cell r="W1660">
            <v>288338.07860000001</v>
          </cell>
          <cell r="X1660">
            <v>293216.03649999999</v>
          </cell>
          <cell r="Y1660">
            <v>298169.30599999998</v>
          </cell>
          <cell r="Z1660">
            <v>303062.07120000001</v>
          </cell>
          <cell r="AA1660">
            <v>308069.12119999999</v>
          </cell>
          <cell r="AB1660">
            <v>313178.66519999999</v>
          </cell>
          <cell r="AC1660">
            <v>318381.2635</v>
          </cell>
          <cell r="AD1660">
            <v>323672.50180000003</v>
          </cell>
          <cell r="AE1660">
            <v>328652.71100000001</v>
          </cell>
          <cell r="AF1660">
            <v>333638.8849</v>
          </cell>
          <cell r="AG1660">
            <v>338644.32669999998</v>
          </cell>
          <cell r="AH1660">
            <v>343673.94640000002</v>
          </cell>
          <cell r="AI1660">
            <v>348735.15139999997</v>
          </cell>
          <cell r="AJ1660">
            <v>353835.6508</v>
          </cell>
          <cell r="AK1660">
            <v>358981.92969999998</v>
          </cell>
          <cell r="AL1660">
            <v>364178.7623</v>
          </cell>
          <cell r="AM1660">
            <v>369429.3248</v>
          </cell>
          <cell r="AN1660">
            <v>374735.5638</v>
          </cell>
          <cell r="AO1660">
            <v>380098.62239999999</v>
          </cell>
          <cell r="AP1660">
            <v>385421.92349999998</v>
          </cell>
          <cell r="AQ1660">
            <v>390732.23239999998</v>
          </cell>
          <cell r="AR1660">
            <v>396048.08350000001</v>
          </cell>
          <cell r="AS1660">
            <v>401381.58529999998</v>
          </cell>
          <cell r="AT1660">
            <v>406742.04149999999</v>
          </cell>
          <cell r="AU1660">
            <v>412137.33720000001</v>
          </cell>
          <cell r="AV1660">
            <v>417574.29239999998</v>
          </cell>
          <cell r="AW1660">
            <v>423058.72230000002</v>
          </cell>
          <cell r="AX1660">
            <v>428595.49570000003</v>
          </cell>
          <cell r="AY1660">
            <v>434188.66710000002</v>
          </cell>
          <cell r="AZ1660">
            <v>439850.54849999998</v>
          </cell>
          <cell r="BA1660">
            <v>445581.87439999997</v>
          </cell>
          <cell r="BB1660">
            <v>451383.82040000003</v>
          </cell>
          <cell r="BC1660">
            <v>457257.57059999998</v>
          </cell>
          <cell r="BD1660">
            <v>463204.34389999998</v>
          </cell>
          <cell r="BE1660">
            <v>521119.83889999997</v>
          </cell>
          <cell r="BF1660">
            <v>530169.70979999995</v>
          </cell>
          <cell r="BG1660">
            <v>539346.7709</v>
          </cell>
          <cell r="BH1660">
            <v>548653.06019999995</v>
          </cell>
          <cell r="BI1660">
            <v>558090.89249999996</v>
          </cell>
        </row>
        <row r="1663">
          <cell r="F1663">
            <v>2252.437441</v>
          </cell>
          <cell r="G1663">
            <v>2272.7715079999998</v>
          </cell>
          <cell r="H1663">
            <v>2289.9450120000001</v>
          </cell>
          <cell r="I1663">
            <v>2307.390758</v>
          </cell>
          <cell r="J1663">
            <v>2326.783179</v>
          </cell>
          <cell r="K1663">
            <v>2348.7159959999999</v>
          </cell>
          <cell r="L1663">
            <v>2372.2729730000001</v>
          </cell>
          <cell r="M1663">
            <v>2397.497034</v>
          </cell>
          <cell r="N1663">
            <v>2424.2398400000002</v>
          </cell>
          <cell r="O1663">
            <v>2452.285535</v>
          </cell>
          <cell r="P1663">
            <v>2483.0136819999998</v>
          </cell>
          <cell r="Q1663">
            <v>2514.1315129999998</v>
          </cell>
          <cell r="R1663">
            <v>2545.7482500000001</v>
          </cell>
          <cell r="S1663">
            <v>2577.9376149999998</v>
          </cell>
          <cell r="T1663">
            <v>2610.6974580000001</v>
          </cell>
          <cell r="U1663">
            <v>2644.0019010000001</v>
          </cell>
          <cell r="V1663">
            <v>2677.82503</v>
          </cell>
          <cell r="W1663">
            <v>2712.1478350000002</v>
          </cell>
          <cell r="X1663">
            <v>2746.9588140000001</v>
          </cell>
          <cell r="Y1663">
            <v>2782.25272</v>
          </cell>
          <cell r="Z1663">
            <v>2816.859246</v>
          </cell>
          <cell r="AA1663">
            <v>2852.3653439999998</v>
          </cell>
          <cell r="AB1663">
            <v>2888.605689</v>
          </cell>
          <cell r="AC1663">
            <v>2925.467173</v>
          </cell>
          <cell r="AD1663">
            <v>2962.910738</v>
          </cell>
          <cell r="AE1663">
            <v>2997.546531</v>
          </cell>
          <cell r="AF1663">
            <v>3032.3524750000001</v>
          </cell>
          <cell r="AG1663">
            <v>3067.3839029999999</v>
          </cell>
          <cell r="AH1663">
            <v>3102.6169890000001</v>
          </cell>
          <cell r="AI1663">
            <v>3138.076834</v>
          </cell>
          <cell r="AJ1663">
            <v>3173.8103420000002</v>
          </cell>
          <cell r="AK1663">
            <v>3209.8672729999998</v>
          </cell>
          <cell r="AL1663">
            <v>3246.2920389999999</v>
          </cell>
          <cell r="AM1663">
            <v>3283.1212180000002</v>
          </cell>
          <cell r="AN1663">
            <v>3320.3836219999998</v>
          </cell>
          <cell r="AO1663">
            <v>3358.1014140000002</v>
          </cell>
          <cell r="AP1663">
            <v>3395.4739479999998</v>
          </cell>
          <cell r="AQ1663">
            <v>3432.799223</v>
          </cell>
          <cell r="AR1663">
            <v>3470.2532339999998</v>
          </cell>
          <cell r="AS1663">
            <v>3507.9270780000002</v>
          </cell>
          <cell r="AT1663">
            <v>3545.878256</v>
          </cell>
          <cell r="AU1663">
            <v>3584.1513730000001</v>
          </cell>
          <cell r="AV1663">
            <v>3622.7845349999998</v>
          </cell>
          <cell r="AW1663">
            <v>3661.810782</v>
          </cell>
          <cell r="AX1663">
            <v>3701.2580630000002</v>
          </cell>
          <cell r="AY1663">
            <v>3741.1482470000001</v>
          </cell>
          <cell r="AZ1663">
            <v>3781.5656909999998</v>
          </cell>
          <cell r="BA1663">
            <v>3822.4931489999999</v>
          </cell>
          <cell r="BB1663">
            <v>3863.9172440000002</v>
          </cell>
          <cell r="BC1663">
            <v>3905.8592870000002</v>
          </cell>
          <cell r="BD1663">
            <v>3948.349134</v>
          </cell>
          <cell r="BE1663">
            <v>4416.6468480000003</v>
          </cell>
          <cell r="BF1663">
            <v>4483.9938819999998</v>
          </cell>
          <cell r="BG1663">
            <v>4552.3246609999997</v>
          </cell>
          <cell r="BH1663">
            <v>4621.6617919999999</v>
          </cell>
          <cell r="BI1663">
            <v>4692.0295589999996</v>
          </cell>
        </row>
        <row r="1668">
          <cell r="F1668">
            <v>3648.662045</v>
          </cell>
          <cell r="G1668">
            <v>3681.5816500000001</v>
          </cell>
          <cell r="H1668">
            <v>3707.9254270000001</v>
          </cell>
          <cell r="I1668">
            <v>3732.0385390000001</v>
          </cell>
          <cell r="J1668">
            <v>3756.3557019999998</v>
          </cell>
          <cell r="K1668">
            <v>3782.203626</v>
          </cell>
          <cell r="L1668">
            <v>3808.8024650000002</v>
          </cell>
          <cell r="M1668">
            <v>3836.4908</v>
          </cell>
          <cell r="N1668">
            <v>3865.3162649999999</v>
          </cell>
          <cell r="O1668">
            <v>3895.1027170000002</v>
          </cell>
          <cell r="P1668">
            <v>3927.9826189999999</v>
          </cell>
          <cell r="Q1668">
            <v>3960.8645139999999</v>
          </cell>
          <cell r="R1668">
            <v>3993.5854770000001</v>
          </cell>
          <cell r="S1668">
            <v>4026.2776800000001</v>
          </cell>
          <cell r="T1668">
            <v>4059.034631</v>
          </cell>
          <cell r="U1668">
            <v>4091.9157759999998</v>
          </cell>
          <cell r="V1668">
            <v>4124.9725829999998</v>
          </cell>
          <cell r="W1668">
            <v>4158.2615859999996</v>
          </cell>
          <cell r="X1668">
            <v>4191.8480719999998</v>
          </cell>
          <cell r="Y1668">
            <v>4225.8053600000003</v>
          </cell>
          <cell r="Z1668">
            <v>4258.5247829999998</v>
          </cell>
          <cell r="AA1668">
            <v>4292.175064</v>
          </cell>
          <cell r="AB1668">
            <v>4326.8575330000003</v>
          </cell>
          <cell r="AC1668">
            <v>4362.5023799999999</v>
          </cell>
          <cell r="AD1668">
            <v>4399.0929319999996</v>
          </cell>
          <cell r="AE1668">
            <v>4431.861089</v>
          </cell>
          <cell r="AF1668">
            <v>4464.500822</v>
          </cell>
          <cell r="AG1668">
            <v>4497.6148249999997</v>
          </cell>
          <cell r="AH1668">
            <v>4531.3573329999999</v>
          </cell>
          <cell r="AI1668">
            <v>4565.8427430000002</v>
          </cell>
          <cell r="AJ1668">
            <v>4601.1837420000002</v>
          </cell>
          <cell r="AK1668">
            <v>4637.4823319999996</v>
          </cell>
          <cell r="AL1668">
            <v>4674.8224049999999</v>
          </cell>
          <cell r="AM1668">
            <v>4713.267578</v>
          </cell>
          <cell r="AN1668">
            <v>4752.8623749999997</v>
          </cell>
          <cell r="AO1668">
            <v>4793.6350599999996</v>
          </cell>
          <cell r="AP1668">
            <v>4834.4787130000004</v>
          </cell>
          <cell r="AQ1668">
            <v>4875.6542929999996</v>
          </cell>
          <cell r="AR1668">
            <v>4917.4267909999999</v>
          </cell>
          <cell r="AS1668">
            <v>4959.9606510000003</v>
          </cell>
          <cell r="AT1668">
            <v>5003.3593769999998</v>
          </cell>
          <cell r="AU1668">
            <v>5047.6949750000003</v>
          </cell>
          <cell r="AV1668">
            <v>5093.021557</v>
          </cell>
          <cell r="AW1668">
            <v>5139.381429</v>
          </cell>
          <cell r="AX1668">
            <v>5186.8067769999998</v>
          </cell>
          <cell r="AY1668">
            <v>5235.317368</v>
          </cell>
          <cell r="AZ1668">
            <v>5285.0013680000002</v>
          </cell>
          <cell r="BA1668">
            <v>5335.7035320000005</v>
          </cell>
          <cell r="BB1668">
            <v>5387.2997949999999</v>
          </cell>
          <cell r="BC1668">
            <v>5439.8311320000003</v>
          </cell>
          <cell r="BD1668">
            <v>5493.3967640000001</v>
          </cell>
          <cell r="BE1668">
            <v>6294.689676</v>
          </cell>
          <cell r="BF1668">
            <v>6382.6613719999996</v>
          </cell>
          <cell r="BG1668">
            <v>6472.0753290000002</v>
          </cell>
          <cell r="BH1668">
            <v>6562.95615</v>
          </cell>
          <cell r="BI1668">
            <v>6655.3246710000003</v>
          </cell>
        </row>
        <row r="1702">
          <cell r="F1702">
            <v>1197406.331</v>
          </cell>
          <cell r="G1702">
            <v>1205989.7150000001</v>
          </cell>
          <cell r="H1702">
            <v>1215906.0009999999</v>
          </cell>
          <cell r="I1702">
            <v>1227325.733</v>
          </cell>
          <cell r="J1702">
            <v>1240238.2220000001</v>
          </cell>
          <cell r="K1702">
            <v>1254617.49</v>
          </cell>
          <cell r="L1702">
            <v>1269810.331</v>
          </cell>
          <cell r="M1702">
            <v>1285876.682</v>
          </cell>
          <cell r="N1702">
            <v>1302795.0789999999</v>
          </cell>
          <cell r="O1702">
            <v>1320500.47</v>
          </cell>
          <cell r="P1702">
            <v>1339530.638</v>
          </cell>
          <cell r="Q1702">
            <v>1359093.318</v>
          </cell>
          <cell r="R1702">
            <v>1379345.4210000001</v>
          </cell>
          <cell r="S1702">
            <v>1400257.665</v>
          </cell>
          <cell r="T1702">
            <v>1421754.9380000001</v>
          </cell>
          <cell r="U1702">
            <v>1443756.5379999999</v>
          </cell>
          <cell r="V1702">
            <v>1466161.0589999999</v>
          </cell>
          <cell r="W1702">
            <v>1488895.558</v>
          </cell>
          <cell r="X1702">
            <v>1511902.3149999999</v>
          </cell>
          <cell r="Y1702">
            <v>1535133.6780000001</v>
          </cell>
          <cell r="Z1702">
            <v>1557785.388</v>
          </cell>
          <cell r="AA1702">
            <v>1580777.9180000001</v>
          </cell>
          <cell r="AB1702">
            <v>1604040.12</v>
          </cell>
          <cell r="AC1702">
            <v>1627539.2350000001</v>
          </cell>
          <cell r="AD1702">
            <v>1651251.8759999999</v>
          </cell>
          <cell r="AE1702">
            <v>1672948.5560000001</v>
          </cell>
          <cell r="AF1702">
            <v>1694323.227</v>
          </cell>
          <cell r="AG1702">
            <v>1715469.328</v>
          </cell>
          <cell r="AH1702">
            <v>1736506.05</v>
          </cell>
          <cell r="AI1702">
            <v>1757542.077</v>
          </cell>
          <cell r="AJ1702">
            <v>1778664.4650000001</v>
          </cell>
          <cell r="AK1702">
            <v>1799945.382</v>
          </cell>
          <cell r="AL1702">
            <v>1821430.514</v>
          </cell>
          <cell r="AM1702">
            <v>1843148.7649999999</v>
          </cell>
          <cell r="AN1702">
            <v>1865119.01</v>
          </cell>
          <cell r="AO1702">
            <v>1887354.5449999999</v>
          </cell>
          <cell r="AP1702">
            <v>1909412.612</v>
          </cell>
          <cell r="AQ1702">
            <v>1931431.541</v>
          </cell>
          <cell r="AR1702">
            <v>1953496.2930000001</v>
          </cell>
          <cell r="AS1702">
            <v>1975678.723</v>
          </cell>
          <cell r="AT1702">
            <v>1998044.4</v>
          </cell>
          <cell r="AU1702">
            <v>2020663.058</v>
          </cell>
          <cell r="AV1702">
            <v>2043581.5049999999</v>
          </cell>
          <cell r="AW1702">
            <v>2066831.166</v>
          </cell>
          <cell r="AX1702">
            <v>2090432.625</v>
          </cell>
          <cell r="AY1702">
            <v>2114398.639</v>
          </cell>
          <cell r="AZ1702">
            <v>2138829.0129999998</v>
          </cell>
          <cell r="BA1702">
            <v>2163719.2230000002</v>
          </cell>
          <cell r="BB1702">
            <v>2189052.605</v>
          </cell>
          <cell r="BC1702">
            <v>2214812.233</v>
          </cell>
          <cell r="BD1702">
            <v>2240984.8259999999</v>
          </cell>
          <cell r="BE1702">
            <v>2578303.1260000002</v>
          </cell>
          <cell r="BF1702">
            <v>2616559.395</v>
          </cell>
          <cell r="BG1702">
            <v>2655344.5720000002</v>
          </cell>
          <cell r="BH1702">
            <v>2694674.9</v>
          </cell>
          <cell r="BI1702">
            <v>2734568.8939999999</v>
          </cell>
        </row>
        <row r="1731">
          <cell r="F1731">
            <v>1202984.926</v>
          </cell>
          <cell r="G1731">
            <v>1218429.125</v>
          </cell>
          <cell r="H1731">
            <v>1234998.9720000001</v>
          </cell>
          <cell r="I1731">
            <v>1252452.5930000001</v>
          </cell>
          <cell r="J1731">
            <v>1270716.763</v>
          </cell>
          <cell r="K1731">
            <v>1289816.5049999999</v>
          </cell>
          <cell r="L1731">
            <v>1309182.9140000001</v>
          </cell>
          <cell r="M1731">
            <v>1328965.3359999999</v>
          </cell>
          <cell r="N1731">
            <v>1349231.845</v>
          </cell>
          <cell r="O1731">
            <v>1370000.6510000001</v>
          </cell>
          <cell r="P1731">
            <v>1392318.794</v>
          </cell>
          <cell r="Q1731">
            <v>1414841.2560000001</v>
          </cell>
          <cell r="R1731">
            <v>1437589.7560000001</v>
          </cell>
          <cell r="S1731">
            <v>1460541.0830000001</v>
          </cell>
          <cell r="T1731">
            <v>1483671.7139999999</v>
          </cell>
          <cell r="U1731">
            <v>1506967.818</v>
          </cell>
          <cell r="V1731">
            <v>1530424.6529999999</v>
          </cell>
          <cell r="W1731">
            <v>1554043.49</v>
          </cell>
          <cell r="X1731">
            <v>1577828.804</v>
          </cell>
          <cell r="Y1731">
            <v>1601786.466</v>
          </cell>
          <cell r="Z1731">
            <v>1625133.1229999999</v>
          </cell>
          <cell r="AA1731">
            <v>1648849.0079999999</v>
          </cell>
          <cell r="AB1731">
            <v>1672897.05</v>
          </cell>
          <cell r="AC1731">
            <v>1697269.878</v>
          </cell>
          <cell r="AD1731">
            <v>1721961.953</v>
          </cell>
          <cell r="AE1731">
            <v>1744684.3259999999</v>
          </cell>
          <cell r="AF1731">
            <v>1767155.689</v>
          </cell>
          <cell r="AG1731">
            <v>1789481.3019999999</v>
          </cell>
          <cell r="AH1731">
            <v>1811794.179</v>
          </cell>
          <cell r="AI1731">
            <v>1834213.182</v>
          </cell>
          <cell r="AJ1731">
            <v>1856831.0490000001</v>
          </cell>
          <cell r="AK1731">
            <v>1879714.1880000001</v>
          </cell>
          <cell r="AL1731">
            <v>1902907.084</v>
          </cell>
          <cell r="AM1731">
            <v>1926438.023</v>
          </cell>
          <cell r="AN1731">
            <v>1950324.48</v>
          </cell>
          <cell r="AO1731">
            <v>1974577.466</v>
          </cell>
          <cell r="AP1731">
            <v>1998657.446</v>
          </cell>
          <cell r="AQ1731">
            <v>2022691.6580000001</v>
          </cell>
          <cell r="AR1731">
            <v>2046778.5889999999</v>
          </cell>
          <cell r="AS1731">
            <v>2071007.237</v>
          </cell>
          <cell r="AT1731">
            <v>2095457.1950000001</v>
          </cell>
          <cell r="AU1731">
            <v>2120195.8280000002</v>
          </cell>
          <cell r="AV1731">
            <v>2145276.804</v>
          </cell>
          <cell r="AW1731">
            <v>2170740.5219999999</v>
          </cell>
          <cell r="AX1731">
            <v>2196615.8810000001</v>
          </cell>
          <cell r="AY1731">
            <v>2222922.696</v>
          </cell>
          <cell r="AZ1731">
            <v>2249723.2620000001</v>
          </cell>
          <cell r="BA1731">
            <v>2277015.77</v>
          </cell>
          <cell r="BB1731">
            <v>2304798.35</v>
          </cell>
          <cell r="BC1731">
            <v>2333068.1290000002</v>
          </cell>
          <cell r="BD1731">
            <v>2361822.0070000002</v>
          </cell>
          <cell r="BE1731">
            <v>2577085.8969999999</v>
          </cell>
          <cell r="BF1731">
            <v>2615222.8059999999</v>
          </cell>
          <cell r="BG1731">
            <v>2653889.335</v>
          </cell>
          <cell r="BH1731">
            <v>2693104.4959999998</v>
          </cell>
          <cell r="BI1731">
            <v>2732888.68</v>
          </cell>
        </row>
        <row r="1760">
          <cell r="F1760">
            <v>0.99797290780000003</v>
          </cell>
          <cell r="G1760">
            <v>1.014330704</v>
          </cell>
          <cell r="H1760">
            <v>1.030329711</v>
          </cell>
          <cell r="I1760">
            <v>1.0465584560000001</v>
          </cell>
          <cell r="J1760">
            <v>1.0633604919999999</v>
          </cell>
          <cell r="K1760">
            <v>1.0809139240000001</v>
          </cell>
          <cell r="L1760">
            <v>1.0992726420000001</v>
          </cell>
          <cell r="M1760">
            <v>1.118461581</v>
          </cell>
          <cell r="N1760">
            <v>1.138495807</v>
          </cell>
          <cell r="O1760">
            <v>1.159384929</v>
          </cell>
          <cell r="P1760">
            <v>1.181017075</v>
          </cell>
          <cell r="Q1760">
            <v>1.2035855900000001</v>
          </cell>
          <cell r="R1760">
            <v>1.227155228</v>
          </cell>
          <cell r="S1760">
            <v>1.2517281920000001</v>
          </cell>
          <cell r="T1760">
            <v>1.2772768029999999</v>
          </cell>
          <cell r="U1760">
            <v>1.3037608919999999</v>
          </cell>
          <cell r="V1760">
            <v>1.331140824</v>
          </cell>
          <cell r="W1760">
            <v>1.3593655499999999</v>
          </cell>
          <cell r="X1760">
            <v>1.3883862250000001</v>
          </cell>
          <cell r="Y1760">
            <v>1.4181566569999999</v>
          </cell>
          <cell r="Z1760">
            <v>1.448590831</v>
          </cell>
          <cell r="AA1760">
            <v>1.479669863</v>
          </cell>
          <cell r="AB1760">
            <v>1.5113684190000001</v>
          </cell>
          <cell r="AC1760">
            <v>1.5436595529999999</v>
          </cell>
          <cell r="AD1760">
            <v>1.576518651</v>
          </cell>
          <cell r="AE1760">
            <v>1.6098000990000001</v>
          </cell>
          <cell r="AF1760">
            <v>1.6434873029999999</v>
          </cell>
          <cell r="AG1760">
            <v>1.6775777519999999</v>
          </cell>
          <cell r="AH1760">
            <v>1.7120716819999999</v>
          </cell>
          <cell r="AI1760">
            <v>1.746973632</v>
          </cell>
          <cell r="AJ1760">
            <v>1.782294257</v>
          </cell>
          <cell r="AK1760">
            <v>1.818048122</v>
          </cell>
          <cell r="AL1760">
            <v>1.8542612439999999</v>
          </cell>
          <cell r="AM1760">
            <v>1.89096419</v>
          </cell>
          <cell r="AN1760">
            <v>1.928190641</v>
          </cell>
          <cell r="AO1760">
            <v>1.9659762460000001</v>
          </cell>
          <cell r="AP1760">
            <v>2.0042934379999999</v>
          </cell>
          <cell r="AQ1760">
            <v>2.0431860940000002</v>
          </cell>
          <cell r="AR1760">
            <v>2.0827001520000001</v>
          </cell>
          <cell r="AS1760">
            <v>2.1228777650000001</v>
          </cell>
          <cell r="AT1760">
            <v>2.1637567049999999</v>
          </cell>
          <cell r="AU1760">
            <v>2.2053655719999998</v>
          </cell>
          <cell r="AV1760">
            <v>2.247741929</v>
          </cell>
          <cell r="AW1760">
            <v>2.2909215039999999</v>
          </cell>
          <cell r="AX1760">
            <v>2.3349382240000001</v>
          </cell>
          <cell r="AY1760">
            <v>2.3798243939999999</v>
          </cell>
          <cell r="AZ1760">
            <v>2.425589311</v>
          </cell>
          <cell r="BA1760">
            <v>2.4722809410000002</v>
          </cell>
          <cell r="BB1760">
            <v>2.5199408499999998</v>
          </cell>
          <cell r="BC1760">
            <v>2.5686036200000002</v>
          </cell>
          <cell r="BD1760">
            <v>2.618298201</v>
          </cell>
          <cell r="BE1760">
            <v>2.807915903</v>
          </cell>
          <cell r="BF1760">
            <v>2.8628385230000002</v>
          </cell>
          <cell r="BG1760">
            <v>2.9186834789999998</v>
          </cell>
          <cell r="BH1760">
            <v>2.9754758730000002</v>
          </cell>
          <cell r="BI1760">
            <v>3.0332420710000001</v>
          </cell>
        </row>
        <row r="1789">
          <cell r="F1789">
            <v>0.99928330850000002</v>
          </cell>
          <cell r="G1789">
            <v>1.017989158</v>
          </cell>
          <cell r="H1789">
            <v>1.036837593</v>
          </cell>
          <cell r="I1789">
            <v>1.056122352</v>
          </cell>
          <cell r="J1789">
            <v>1.0760451769999999</v>
          </cell>
          <cell r="K1789">
            <v>1.0967217010000001</v>
          </cell>
          <cell r="L1789">
            <v>1.1181780400000001</v>
          </cell>
          <cell r="M1789">
            <v>1.1404204389999999</v>
          </cell>
          <cell r="N1789">
            <v>1.163445136</v>
          </cell>
          <cell r="O1789">
            <v>1.1872427350000001</v>
          </cell>
          <cell r="P1789">
            <v>1.211853488</v>
          </cell>
          <cell r="Q1789">
            <v>1.2372341600000001</v>
          </cell>
          <cell r="R1789">
            <v>1.2633510699999999</v>
          </cell>
          <cell r="S1789">
            <v>1.290175217</v>
          </cell>
          <cell r="T1789">
            <v>1.3176784210000001</v>
          </cell>
          <cell r="U1789">
            <v>1.3458319910000001</v>
          </cell>
          <cell r="V1789">
            <v>1.3746071559999999</v>
          </cell>
          <cell r="W1789">
            <v>1.403976232</v>
          </cell>
          <cell r="X1789">
            <v>1.4339138469999999</v>
          </cell>
          <cell r="Y1789">
            <v>1.464397886</v>
          </cell>
          <cell r="Z1789">
            <v>1.495368941</v>
          </cell>
          <cell r="AA1789">
            <v>1.526832296</v>
          </cell>
          <cell r="AB1789">
            <v>1.558789032</v>
          </cell>
          <cell r="AC1789">
            <v>1.5912391029999999</v>
          </cell>
          <cell r="AD1789">
            <v>1.624184466</v>
          </cell>
          <cell r="AE1789">
            <v>1.657508985</v>
          </cell>
          <cell r="AF1789">
            <v>1.691219611</v>
          </cell>
          <cell r="AG1789">
            <v>1.7253282350000001</v>
          </cell>
          <cell r="AH1789">
            <v>1.7598483110000001</v>
          </cell>
          <cell r="AI1789">
            <v>1.794796778</v>
          </cell>
          <cell r="AJ1789">
            <v>1.8301955350000001</v>
          </cell>
          <cell r="AK1789">
            <v>1.866071614</v>
          </cell>
          <cell r="AL1789">
            <v>1.902456366</v>
          </cell>
          <cell r="AM1789">
            <v>1.9393841890000001</v>
          </cell>
          <cell r="AN1789">
            <v>1.976891205</v>
          </cell>
          <cell r="AO1789">
            <v>2.01501412</v>
          </cell>
          <cell r="AP1789">
            <v>2.0537577520000001</v>
          </cell>
          <cell r="AQ1789">
            <v>2.0931402050000001</v>
          </cell>
          <cell r="AR1789">
            <v>2.1331864679999999</v>
          </cell>
          <cell r="AS1789">
            <v>2.1739241690000002</v>
          </cell>
          <cell r="AT1789">
            <v>2.2153819320000001</v>
          </cell>
          <cell r="AU1789">
            <v>2.2575890250000001</v>
          </cell>
          <cell r="AV1789">
            <v>2.3005753819999999</v>
          </cell>
          <cell r="AW1789">
            <v>2.34437155</v>
          </cell>
          <cell r="AX1789">
            <v>2.389008493</v>
          </cell>
          <cell r="AY1789">
            <v>2.4345172960000001</v>
          </cell>
          <cell r="AZ1789">
            <v>2.4809319909999998</v>
          </cell>
          <cell r="BA1789">
            <v>2.528284787</v>
          </cell>
          <cell r="BB1789">
            <v>2.5766066049999998</v>
          </cell>
          <cell r="BC1789">
            <v>2.6259271059999998</v>
          </cell>
          <cell r="BD1789">
            <v>2.676274705</v>
          </cell>
          <cell r="BE1789">
            <v>2.7865971890000001</v>
          </cell>
          <cell r="BF1789">
            <v>2.8403224690000002</v>
          </cell>
          <cell r="BG1789">
            <v>2.894939376</v>
          </cell>
          <cell r="BH1789">
            <v>2.950470615</v>
          </cell>
          <cell r="BI1789">
            <v>3.0069409239999998</v>
          </cell>
        </row>
      </sheetData>
      <sheetData sheetId="7"/>
      <sheetData sheetId="8">
        <row r="820">
          <cell r="B820">
            <v>350.5914343</v>
          </cell>
          <cell r="C820">
            <v>352.95918829999999</v>
          </cell>
          <cell r="D820">
            <v>355.1013524</v>
          </cell>
          <cell r="E820">
            <v>357.50077909999999</v>
          </cell>
          <cell r="F820">
            <v>360.28418240000002</v>
          </cell>
          <cell r="G820">
            <v>363.50913209999999</v>
          </cell>
          <cell r="H820">
            <v>366.97360429999998</v>
          </cell>
          <cell r="I820">
            <v>370.70665630000002</v>
          </cell>
          <cell r="J820">
            <v>374.66677670000001</v>
          </cell>
          <cell r="K820">
            <v>378.80649949999997</v>
          </cell>
          <cell r="L820">
            <v>383.39145610000003</v>
          </cell>
          <cell r="M820">
            <v>387.92491519999999</v>
          </cell>
          <cell r="N820">
            <v>392.50193350000001</v>
          </cell>
          <cell r="O820">
            <v>397.13402430000002</v>
          </cell>
          <cell r="P820">
            <v>401.81830120000001</v>
          </cell>
          <cell r="Q820">
            <v>406.5509735</v>
          </cell>
          <cell r="R820">
            <v>411.32977260000001</v>
          </cell>
          <cell r="S820">
            <v>416.15408650000001</v>
          </cell>
          <cell r="T820">
            <v>421.02463849999998</v>
          </cell>
          <cell r="U820">
            <v>425.94312509999997</v>
          </cell>
          <cell r="V820">
            <v>430.68878219999999</v>
          </cell>
          <cell r="W820">
            <v>435.60816010000002</v>
          </cell>
          <cell r="X820">
            <v>440.61967629999998</v>
          </cell>
          <cell r="Y820">
            <v>445.7078927</v>
          </cell>
          <cell r="Z820">
            <v>450.87080850000001</v>
          </cell>
          <cell r="AA820">
            <v>455.46838910000002</v>
          </cell>
          <cell r="AB820">
            <v>460.18464979999999</v>
          </cell>
          <cell r="AC820">
            <v>464.93809169999997</v>
          </cell>
          <cell r="AD820">
            <v>469.72401289999999</v>
          </cell>
          <cell r="AE820">
            <v>474.55095160000002</v>
          </cell>
          <cell r="AF820">
            <v>479.42876680000001</v>
          </cell>
          <cell r="AG820">
            <v>484.36595720000003</v>
          </cell>
          <cell r="AH820">
            <v>489.36906770000002</v>
          </cell>
          <cell r="AI820">
            <v>494.44276280000003</v>
          </cell>
          <cell r="AJ820">
            <v>499.59011679999998</v>
          </cell>
          <cell r="AK820">
            <v>504.81296250000003</v>
          </cell>
          <cell r="AL820">
            <v>509.9592131</v>
          </cell>
          <cell r="AM820">
            <v>515.11030570000003</v>
          </cell>
          <cell r="AN820">
            <v>520.28988389999995</v>
          </cell>
          <cell r="AO820">
            <v>525.50918590000003</v>
          </cell>
          <cell r="AP820">
            <v>530.77613729999996</v>
          </cell>
          <cell r="AQ820">
            <v>536.09717899999998</v>
          </cell>
          <cell r="AR820">
            <v>541.47760210000001</v>
          </cell>
          <cell r="AS820">
            <v>546.92157980000002</v>
          </cell>
          <cell r="AT820">
            <v>552.43208719999996</v>
          </cell>
          <cell r="AU820">
            <v>558.01046210000004</v>
          </cell>
          <cell r="AV820">
            <v>563.66744849999998</v>
          </cell>
          <cell r="AW820">
            <v>569.39278000000002</v>
          </cell>
          <cell r="AX820">
            <v>575.17944</v>
          </cell>
          <cell r="AY820">
            <v>581.03923310000005</v>
          </cell>
          <cell r="AZ820">
            <v>586.98229490000006</v>
          </cell>
          <cell r="BA820">
            <v>639.6781585</v>
          </cell>
          <cell r="BB820">
            <v>648.44547050000006</v>
          </cell>
          <cell r="BC820">
            <v>657.34065229999999</v>
          </cell>
          <cell r="BD820">
            <v>666.36737129999995</v>
          </cell>
          <cell r="BE820">
            <v>675.52932920000001</v>
          </cell>
        </row>
        <row r="821">
          <cell r="B821">
            <v>215.82068699999999</v>
          </cell>
          <cell r="C821">
            <v>218.20709239999999</v>
          </cell>
          <cell r="D821">
            <v>220.73455340000001</v>
          </cell>
          <cell r="E821">
            <v>223.4761981</v>
          </cell>
          <cell r="F821">
            <v>226.4608604</v>
          </cell>
          <cell r="G821">
            <v>229.6802797</v>
          </cell>
          <cell r="H821">
            <v>232.97611309999999</v>
          </cell>
          <cell r="I821">
            <v>236.39875280000001</v>
          </cell>
          <cell r="J821">
            <v>239.94219290000001</v>
          </cell>
          <cell r="K821">
            <v>243.59069729999999</v>
          </cell>
          <cell r="L821">
            <v>247.57081840000001</v>
          </cell>
          <cell r="M821">
            <v>251.49256969999999</v>
          </cell>
          <cell r="N821">
            <v>255.4435742</v>
          </cell>
          <cell r="O821">
            <v>259.43598709999998</v>
          </cell>
          <cell r="P821">
            <v>263.46891720000002</v>
          </cell>
          <cell r="Q821">
            <v>267.54049379999998</v>
          </cell>
          <cell r="R821">
            <v>271.6499872</v>
          </cell>
          <cell r="S821">
            <v>275.79793419999999</v>
          </cell>
          <cell r="T821">
            <v>279.98588940000002</v>
          </cell>
          <cell r="U821">
            <v>284.21614190000003</v>
          </cell>
          <cell r="V821">
            <v>288.31110210000003</v>
          </cell>
          <cell r="W821">
            <v>292.55461910000002</v>
          </cell>
          <cell r="X821">
            <v>296.87729560000002</v>
          </cell>
          <cell r="Y821">
            <v>301.26773639999999</v>
          </cell>
          <cell r="Z821">
            <v>305.72553870000002</v>
          </cell>
          <cell r="AA821">
            <v>309.73055269999998</v>
          </cell>
          <cell r="AB821">
            <v>313.84786489999999</v>
          </cell>
          <cell r="AC821">
            <v>318.00346380000002</v>
          </cell>
          <cell r="AD821">
            <v>322.19305939999998</v>
          </cell>
          <cell r="AE821">
            <v>326.42455890000002</v>
          </cell>
          <cell r="AF821">
            <v>330.70665550000001</v>
          </cell>
          <cell r="AG821">
            <v>335.04653589999998</v>
          </cell>
          <cell r="AH821">
            <v>339.44955870000001</v>
          </cell>
          <cell r="AI821">
            <v>343.91941480000003</v>
          </cell>
          <cell r="AJ821">
            <v>348.45841810000002</v>
          </cell>
          <cell r="AK821">
            <v>353.06781740000002</v>
          </cell>
          <cell r="AL821">
            <v>357.62179800000001</v>
          </cell>
          <cell r="AM821">
            <v>362.18903840000002</v>
          </cell>
          <cell r="AN821">
            <v>366.78795409999998</v>
          </cell>
          <cell r="AO821">
            <v>371.42693759999997</v>
          </cell>
          <cell r="AP821">
            <v>376.1120234</v>
          </cell>
          <cell r="AQ821">
            <v>380.84824429999998</v>
          </cell>
          <cell r="AR821">
            <v>385.63982440000001</v>
          </cell>
          <cell r="AS821">
            <v>390.49022960000002</v>
          </cell>
          <cell r="AT821">
            <v>395.40224920000003</v>
          </cell>
          <cell r="AU821">
            <v>400.37813569999997</v>
          </cell>
          <cell r="AV821">
            <v>405.43125179999998</v>
          </cell>
          <cell r="AW821">
            <v>410.55334010000001</v>
          </cell>
          <cell r="AX821">
            <v>415.74273349999999</v>
          </cell>
          <cell r="AY821">
            <v>421.00052579999999</v>
          </cell>
          <cell r="AZ821">
            <v>426.32828790000002</v>
          </cell>
          <cell r="BA821">
            <v>474.56909780000001</v>
          </cell>
          <cell r="BB821">
            <v>482.29074939999998</v>
          </cell>
          <cell r="BC821">
            <v>490.12448920000003</v>
          </cell>
          <cell r="BD821">
            <v>498.07311490000001</v>
          </cell>
          <cell r="BE821">
            <v>506.13955979999997</v>
          </cell>
        </row>
        <row r="822">
          <cell r="B822">
            <v>2.7572479300000001E-2</v>
          </cell>
          <cell r="C822">
            <v>2.7809588999999999E-2</v>
          </cell>
          <cell r="D822">
            <v>2.8093171900000002E-2</v>
          </cell>
          <cell r="E822">
            <v>2.84252342E-2</v>
          </cell>
          <cell r="F822">
            <v>2.8802333199999999E-2</v>
          </cell>
          <cell r="G822">
            <v>2.92177624E-2</v>
          </cell>
          <cell r="H822">
            <v>2.9647495199999999E-2</v>
          </cell>
          <cell r="I822">
            <v>3.0095369899999998E-2</v>
          </cell>
          <cell r="J822">
            <v>3.05588431E-2</v>
          </cell>
          <cell r="K822">
            <v>3.1035655400000001E-2</v>
          </cell>
          <cell r="L822">
            <v>3.1554350100000003E-2</v>
          </cell>
          <cell r="M822">
            <v>3.2066256500000001E-2</v>
          </cell>
          <cell r="N822">
            <v>3.2583339599999997E-2</v>
          </cell>
          <cell r="O822">
            <v>3.3105612600000001E-2</v>
          </cell>
          <cell r="P822">
            <v>3.3632771800000003E-2</v>
          </cell>
          <cell r="Q822">
            <v>3.4164703900000003E-2</v>
          </cell>
          <cell r="R822">
            <v>3.4701521200000002E-2</v>
          </cell>
          <cell r="S822">
            <v>3.5243499999999997E-2</v>
          </cell>
          <cell r="T822">
            <v>3.5791012499999997E-2</v>
          </cell>
          <cell r="U822">
            <v>3.6344476399999999E-2</v>
          </cell>
          <cell r="V822">
            <v>3.6881732899999999E-2</v>
          </cell>
          <cell r="W822">
            <v>3.7438228599999998E-2</v>
          </cell>
          <cell r="X822">
            <v>3.8004683599999999E-2</v>
          </cell>
          <cell r="Y822">
            <v>3.8580796700000003E-2</v>
          </cell>
          <cell r="Z822">
            <v>3.9166629100000003E-2</v>
          </cell>
          <cell r="AA822">
            <v>3.9696930900000003E-2</v>
          </cell>
          <cell r="AB822">
            <v>4.0241883399999998E-2</v>
          </cell>
          <cell r="AC822">
            <v>4.0790200800000002E-2</v>
          </cell>
          <cell r="AD822">
            <v>4.1343509799999997E-2</v>
          </cell>
          <cell r="AE822">
            <v>4.1903663600000002E-2</v>
          </cell>
          <cell r="AF822">
            <v>4.2472173699999997E-2</v>
          </cell>
          <cell r="AG822">
            <v>4.3050117999999998E-2</v>
          </cell>
          <cell r="AH822">
            <v>4.3638188100000003E-2</v>
          </cell>
          <cell r="AI822">
            <v>4.4236773899999998E-2</v>
          </cell>
          <cell r="AJ822">
            <v>4.4846051999999997E-2</v>
          </cell>
          <cell r="AK822">
            <v>4.5466062600000003E-2</v>
          </cell>
          <cell r="AL822">
            <v>4.6080918899999997E-2</v>
          </cell>
          <cell r="AM822">
            <v>4.66990979E-2</v>
          </cell>
          <cell r="AN822">
            <v>4.73223859E-2</v>
          </cell>
          <cell r="AO822">
            <v>4.7952115599999998E-2</v>
          </cell>
          <cell r="AP822">
            <v>4.8589435399999999E-2</v>
          </cell>
          <cell r="AQ822">
            <v>4.9235315199999997E-2</v>
          </cell>
          <cell r="AR822">
            <v>4.9890527699999999E-2</v>
          </cell>
          <cell r="AS822">
            <v>5.05556494E-2</v>
          </cell>
          <cell r="AT822">
            <v>5.1231084199999999E-2</v>
          </cell>
          <cell r="AU822">
            <v>5.1917100200000003E-2</v>
          </cell>
          <cell r="AV822">
            <v>5.26153273E-2</v>
          </cell>
          <cell r="AW822">
            <v>5.3325138199999997E-2</v>
          </cell>
          <cell r="AX822">
            <v>5.4046461099999998E-2</v>
          </cell>
          <cell r="AY822">
            <v>5.4779132000000001E-2</v>
          </cell>
          <cell r="AZ822">
            <v>5.5522994999999999E-2</v>
          </cell>
          <cell r="BA822">
            <v>6.0566186100000002E-2</v>
          </cell>
          <cell r="BB822">
            <v>6.1565169099999997E-2</v>
          </cell>
          <cell r="BC822">
            <v>6.25808957E-2</v>
          </cell>
          <cell r="BD822">
            <v>6.3613768000000001E-2</v>
          </cell>
          <cell r="BE822">
            <v>6.4664205099999997E-2</v>
          </cell>
        </row>
        <row r="823">
          <cell r="B823">
            <v>15.25268883</v>
          </cell>
          <cell r="C823">
            <v>15.454644330000001</v>
          </cell>
          <cell r="D823">
            <v>15.675064730000001</v>
          </cell>
          <cell r="E823">
            <v>15.9100652</v>
          </cell>
          <cell r="F823">
            <v>16.1579342</v>
          </cell>
          <cell r="G823">
            <v>16.417116419999999</v>
          </cell>
          <cell r="H823">
            <v>16.676856900000001</v>
          </cell>
          <cell r="I823">
            <v>16.94149316</v>
          </cell>
          <cell r="J823">
            <v>17.211566120000001</v>
          </cell>
          <cell r="K823">
            <v>17.48707194</v>
          </cell>
          <cell r="L823">
            <v>17.784381929999999</v>
          </cell>
          <cell r="M823">
            <v>18.077374720000002</v>
          </cell>
          <cell r="N823">
            <v>18.37322627</v>
          </cell>
          <cell r="O823">
            <v>18.673209629999999</v>
          </cell>
          <cell r="P823">
            <v>18.97766871</v>
          </cell>
          <cell r="Q823">
            <v>19.286804249999999</v>
          </cell>
          <cell r="R823">
            <v>19.600809850000001</v>
          </cell>
          <cell r="S823">
            <v>19.919890710000001</v>
          </cell>
          <cell r="T823">
            <v>20.244256839999998</v>
          </cell>
          <cell r="U823">
            <v>20.574111680000001</v>
          </cell>
          <cell r="V823">
            <v>20.897386560000001</v>
          </cell>
          <cell r="W823">
            <v>21.23362461</v>
          </cell>
          <cell r="X823">
            <v>21.577612469999998</v>
          </cell>
          <cell r="Y823">
            <v>21.928512430000001</v>
          </cell>
          <cell r="Z823">
            <v>22.28616315</v>
          </cell>
          <cell r="AA823">
            <v>22.614994289999999</v>
          </cell>
          <cell r="AB823">
            <v>22.95414104</v>
          </cell>
          <cell r="AC823">
            <v>23.297610670000001</v>
          </cell>
          <cell r="AD823">
            <v>23.644914910000001</v>
          </cell>
          <cell r="AE823">
            <v>23.99631522</v>
          </cell>
          <cell r="AF823">
            <v>24.352098850000001</v>
          </cell>
          <cell r="AG823">
            <v>24.712459939999999</v>
          </cell>
          <cell r="AH823">
            <v>25.0774881</v>
          </cell>
          <cell r="AI823">
            <v>25.447183639999999</v>
          </cell>
          <cell r="AJ823">
            <v>25.821481070000001</v>
          </cell>
          <cell r="AK823">
            <v>26.200273589999998</v>
          </cell>
          <cell r="AL823">
            <v>26.574777990000001</v>
          </cell>
          <cell r="AM823">
            <v>26.949753439999999</v>
          </cell>
          <cell r="AN823">
            <v>27.326279509999999</v>
          </cell>
          <cell r="AO823">
            <v>27.70480779</v>
          </cell>
          <cell r="AP823">
            <v>28.085646669999999</v>
          </cell>
          <cell r="AQ823">
            <v>28.469045220000002</v>
          </cell>
          <cell r="AR823">
            <v>28.85520846</v>
          </cell>
          <cell r="AS823">
            <v>29.244301979999999</v>
          </cell>
          <cell r="AT823">
            <v>29.636457530000001</v>
          </cell>
          <cell r="AU823">
            <v>30.031781339999998</v>
          </cell>
          <cell r="AV823">
            <v>30.43115375</v>
          </cell>
          <cell r="AW823">
            <v>30.834215950000001</v>
          </cell>
          <cell r="AX823">
            <v>31.240946359999999</v>
          </cell>
          <cell r="AY823">
            <v>31.6513785</v>
          </cell>
          <cell r="AZ823">
            <v>32.065570880000003</v>
          </cell>
          <cell r="BA823">
            <v>35.991009220000002</v>
          </cell>
          <cell r="BB823">
            <v>36.627511069999997</v>
          </cell>
          <cell r="BC823">
            <v>37.272521689999998</v>
          </cell>
          <cell r="BD823">
            <v>37.926061699999998</v>
          </cell>
          <cell r="BE823">
            <v>38.588168609999997</v>
          </cell>
        </row>
        <row r="824">
          <cell r="B824">
            <v>119.490486</v>
          </cell>
          <cell r="C824">
            <v>119.269642</v>
          </cell>
          <cell r="D824">
            <v>118.66364110000001</v>
          </cell>
          <cell r="E824">
            <v>118.0860905</v>
          </cell>
          <cell r="F824">
            <v>117.6365855</v>
          </cell>
          <cell r="G824">
            <v>117.3825183</v>
          </cell>
          <cell r="H824">
            <v>117.2909867</v>
          </cell>
          <cell r="I824">
            <v>117.336315</v>
          </cell>
          <cell r="J824">
            <v>117.4824588</v>
          </cell>
          <cell r="K824">
            <v>117.69769460000001</v>
          </cell>
          <cell r="L824">
            <v>118.0047014</v>
          </cell>
          <cell r="M824">
            <v>118.32290450000001</v>
          </cell>
          <cell r="N824">
            <v>118.65254969999999</v>
          </cell>
          <cell r="O824">
            <v>118.991722</v>
          </cell>
          <cell r="P824">
            <v>119.33808260000001</v>
          </cell>
          <cell r="Q824">
            <v>119.6895107</v>
          </cell>
          <cell r="R824">
            <v>120.044274</v>
          </cell>
          <cell r="S824">
            <v>120.4010181</v>
          </cell>
          <cell r="T824">
            <v>120.7587013</v>
          </cell>
          <cell r="U824">
            <v>121.116527</v>
          </cell>
          <cell r="V824">
            <v>121.44341180000001</v>
          </cell>
          <cell r="W824">
            <v>121.7824782</v>
          </cell>
          <cell r="X824">
            <v>122.1267635</v>
          </cell>
          <cell r="Y824">
            <v>122.4730631</v>
          </cell>
          <cell r="Z824">
            <v>122.81994</v>
          </cell>
          <cell r="AA824">
            <v>123.0831452</v>
          </cell>
          <cell r="AB824">
            <v>123.34240200000001</v>
          </cell>
          <cell r="AC824">
            <v>123.59622709999999</v>
          </cell>
          <cell r="AD824">
            <v>123.844695</v>
          </cell>
          <cell r="AE824">
            <v>124.08817380000001</v>
          </cell>
          <cell r="AF824">
            <v>124.3275404</v>
          </cell>
          <cell r="AG824">
            <v>124.56391120000001</v>
          </cell>
          <cell r="AH824">
            <v>124.7983827</v>
          </cell>
          <cell r="AI824">
            <v>125.0319276</v>
          </cell>
          <cell r="AJ824">
            <v>125.26537159999999</v>
          </cell>
          <cell r="AK824">
            <v>125.4994054</v>
          </cell>
          <cell r="AL824">
            <v>125.7165562</v>
          </cell>
          <cell r="AM824">
            <v>125.9248147</v>
          </cell>
          <cell r="AN824">
            <v>126.1283279</v>
          </cell>
          <cell r="AO824">
            <v>126.3294884</v>
          </cell>
          <cell r="AP824">
            <v>126.52987779999999</v>
          </cell>
          <cell r="AQ824">
            <v>126.7306542</v>
          </cell>
          <cell r="AR824">
            <v>126.9326787</v>
          </cell>
          <cell r="AS824">
            <v>127.1364925</v>
          </cell>
          <cell r="AT824">
            <v>127.3421494</v>
          </cell>
          <cell r="AU824">
            <v>127.5486279</v>
          </cell>
          <cell r="AV824">
            <v>127.7524276</v>
          </cell>
          <cell r="AW824">
            <v>127.9518988</v>
          </cell>
          <cell r="AX824">
            <v>128.1417137</v>
          </cell>
          <cell r="AY824">
            <v>128.33254959999999</v>
          </cell>
          <cell r="AZ824">
            <v>128.5329131</v>
          </cell>
          <cell r="BA824">
            <v>129.0574852</v>
          </cell>
          <cell r="BB824">
            <v>129.4656449</v>
          </cell>
          <cell r="BC824">
            <v>129.88106049999999</v>
          </cell>
          <cell r="BD824">
            <v>130.30458100000001</v>
          </cell>
          <cell r="BE824">
            <v>130.73693650000001</v>
          </cell>
        </row>
        <row r="825">
          <cell r="B825">
            <v>346.73621079999998</v>
          </cell>
          <cell r="C825">
            <v>347.48370260000002</v>
          </cell>
          <cell r="D825">
            <v>348.39930509999999</v>
          </cell>
          <cell r="E825">
            <v>349.70475679999998</v>
          </cell>
          <cell r="F825">
            <v>351.518822</v>
          </cell>
          <cell r="G825">
            <v>353.83944819999999</v>
          </cell>
          <cell r="H825">
            <v>356.4311907</v>
          </cell>
          <cell r="I825">
            <v>359.30919549999999</v>
          </cell>
          <cell r="J825">
            <v>362.42407420000001</v>
          </cell>
          <cell r="K825">
            <v>365.72385150000002</v>
          </cell>
          <cell r="L825">
            <v>369.12203979999998</v>
          </cell>
          <cell r="M825">
            <v>372.90317049999999</v>
          </cell>
          <cell r="N825">
            <v>376.84396709999999</v>
          </cell>
          <cell r="O825">
            <v>380.89795400000003</v>
          </cell>
          <cell r="P825">
            <v>385.04441960000003</v>
          </cell>
          <cell r="Q825">
            <v>389.26791609999998</v>
          </cell>
          <cell r="R825">
            <v>393.5424107</v>
          </cell>
          <cell r="S825">
            <v>397.8655589</v>
          </cell>
          <cell r="T825">
            <v>402.23048940000001</v>
          </cell>
          <cell r="U825">
            <v>406.6313925</v>
          </cell>
          <cell r="V825">
            <v>410.85341080000001</v>
          </cell>
          <cell r="W825">
            <v>415.21916069999997</v>
          </cell>
          <cell r="X825">
            <v>419.6489067</v>
          </cell>
          <cell r="Y825">
            <v>424.12550470000002</v>
          </cell>
          <cell r="Z825">
            <v>428.64554399999997</v>
          </cell>
          <cell r="AA825">
            <v>432.60735210000001</v>
          </cell>
          <cell r="AB825">
            <v>436.6594174</v>
          </cell>
          <cell r="AC825">
            <v>440.72460239999998</v>
          </cell>
          <cell r="AD825">
            <v>444.79960210000002</v>
          </cell>
          <cell r="AE825">
            <v>448.89430590000001</v>
          </cell>
          <cell r="AF825">
            <v>453.0196004</v>
          </cell>
          <cell r="AG825">
            <v>457.18863709999999</v>
          </cell>
          <cell r="AH825">
            <v>461.40619950000001</v>
          </cell>
          <cell r="AI825">
            <v>465.67691880000001</v>
          </cell>
          <cell r="AJ825">
            <v>470.00440900000001</v>
          </cell>
          <cell r="AK825">
            <v>474.39111580000002</v>
          </cell>
          <cell r="AL825">
            <v>478.73292249999997</v>
          </cell>
          <cell r="AM825">
            <v>483.08265360000001</v>
          </cell>
          <cell r="AN825">
            <v>487.45962859999997</v>
          </cell>
          <cell r="AO825">
            <v>491.8738184</v>
          </cell>
          <cell r="AP825">
            <v>496.33156200000002</v>
          </cell>
          <cell r="AQ825">
            <v>500.8433071</v>
          </cell>
          <cell r="AR825">
            <v>505.40831739999999</v>
          </cell>
          <cell r="AS825">
            <v>510.0280229</v>
          </cell>
          <cell r="AT825">
            <v>514.70343509999998</v>
          </cell>
          <cell r="AU825">
            <v>519.43488609999997</v>
          </cell>
          <cell r="AV825">
            <v>524.25638930000002</v>
          </cell>
          <cell r="AW825">
            <v>529.14740759999995</v>
          </cell>
          <cell r="AX825">
            <v>534.10332359999995</v>
          </cell>
          <cell r="AY825">
            <v>539.12194520000003</v>
          </cell>
          <cell r="AZ825">
            <v>544.20130229999995</v>
          </cell>
          <cell r="BA825">
            <v>638.12864630000001</v>
          </cell>
          <cell r="BB825">
            <v>646.94552759999999</v>
          </cell>
          <cell r="BC825">
            <v>655.8961663</v>
          </cell>
          <cell r="BD825">
            <v>664.98381870000003</v>
          </cell>
          <cell r="BE825">
            <v>674.21214689999999</v>
          </cell>
        </row>
        <row r="826">
          <cell r="B826">
            <v>212.14033860000001</v>
          </cell>
          <cell r="C826">
            <v>213.010212</v>
          </cell>
          <cell r="D826">
            <v>214.38796869999999</v>
          </cell>
          <cell r="E826">
            <v>216.0882426</v>
          </cell>
          <cell r="F826">
            <v>218.1135237</v>
          </cell>
          <cell r="G826">
            <v>220.4533811</v>
          </cell>
          <cell r="H826">
            <v>222.93699470000001</v>
          </cell>
          <cell r="I826">
            <v>225.59844989999999</v>
          </cell>
          <cell r="J826">
            <v>228.41570590000001</v>
          </cell>
          <cell r="K826">
            <v>231.35909839999999</v>
          </cell>
          <cell r="L826">
            <v>234.31513799999999</v>
          </cell>
          <cell r="M826">
            <v>237.6329781</v>
          </cell>
          <cell r="N826">
            <v>241.08687810000001</v>
          </cell>
          <cell r="O826">
            <v>244.6280955</v>
          </cell>
          <cell r="P826">
            <v>248.23662759999999</v>
          </cell>
          <cell r="Q826">
            <v>251.89824540000001</v>
          </cell>
          <cell r="R826">
            <v>255.5893035</v>
          </cell>
          <cell r="S826">
            <v>259.30911099999997</v>
          </cell>
          <cell r="T826">
            <v>263.05305829999998</v>
          </cell>
          <cell r="U826">
            <v>266.81784340000002</v>
          </cell>
          <cell r="V826">
            <v>270.43326239999999</v>
          </cell>
          <cell r="W826">
            <v>274.16218939999999</v>
          </cell>
          <cell r="X826">
            <v>277.93883160000001</v>
          </cell>
          <cell r="Y826">
            <v>281.75173100000001</v>
          </cell>
          <cell r="Z826">
            <v>285.6004418</v>
          </cell>
          <cell r="AA826">
            <v>289.00224429999997</v>
          </cell>
          <cell r="AB826">
            <v>292.48890710000001</v>
          </cell>
          <cell r="AC826">
            <v>295.99135639999997</v>
          </cell>
          <cell r="AD826">
            <v>299.50722969999998</v>
          </cell>
          <cell r="AE826">
            <v>303.04573499999998</v>
          </cell>
          <cell r="AF826">
            <v>306.61665679999999</v>
          </cell>
          <cell r="AG826">
            <v>310.23179219999997</v>
          </cell>
          <cell r="AH826">
            <v>313.8952084</v>
          </cell>
          <cell r="AI826">
            <v>317.61118699999997</v>
          </cell>
          <cell r="AJ826">
            <v>321.38284950000002</v>
          </cell>
          <cell r="AK826">
            <v>325.21216820000001</v>
          </cell>
          <cell r="AL826">
            <v>329.01865770000001</v>
          </cell>
          <cell r="AM826">
            <v>332.84338639999999</v>
          </cell>
          <cell r="AN826">
            <v>336.70055580000002</v>
          </cell>
          <cell r="AO826">
            <v>340.59743179999998</v>
          </cell>
          <cell r="AP826">
            <v>344.53869589999999</v>
          </cell>
          <cell r="AQ826">
            <v>348.53329719999999</v>
          </cell>
          <cell r="AR826">
            <v>352.57978960000003</v>
          </cell>
          <cell r="AS826">
            <v>356.67899999999997</v>
          </cell>
          <cell r="AT826">
            <v>360.83154009999998</v>
          </cell>
          <cell r="AU826">
            <v>365.03753169999999</v>
          </cell>
          <cell r="AV826">
            <v>369.32747949999998</v>
          </cell>
          <cell r="AW826">
            <v>373.68240850000001</v>
          </cell>
          <cell r="AX826">
            <v>378.09829209999998</v>
          </cell>
          <cell r="AY826">
            <v>382.57342310000001</v>
          </cell>
          <cell r="AZ826">
            <v>387.10633890000003</v>
          </cell>
          <cell r="BA826">
            <v>475.66387520000001</v>
          </cell>
          <cell r="BB826">
            <v>483.47314180000001</v>
          </cell>
          <cell r="BC826">
            <v>491.39786800000002</v>
          </cell>
          <cell r="BD826">
            <v>499.44100100000003</v>
          </cell>
          <cell r="BE826">
            <v>507.60555479999999</v>
          </cell>
        </row>
        <row r="827">
          <cell r="B827">
            <v>2.7083075099999999E-2</v>
          </cell>
          <cell r="C827">
            <v>2.7146355300000001E-2</v>
          </cell>
          <cell r="D827">
            <v>2.7283454200000001E-2</v>
          </cell>
          <cell r="E827">
            <v>2.7485447900000001E-2</v>
          </cell>
          <cell r="F827">
            <v>2.7745162199999999E-2</v>
          </cell>
          <cell r="G827">
            <v>2.8053501599999999E-2</v>
          </cell>
          <cell r="H827">
            <v>2.8384223600000001E-2</v>
          </cell>
          <cell r="I827">
            <v>2.87391548E-2</v>
          </cell>
          <cell r="J827">
            <v>2.9113834299999999E-2</v>
          </cell>
          <cell r="K827">
            <v>2.9504267000000001E-2</v>
          </cell>
          <cell r="L827">
            <v>2.9895932399999998E-2</v>
          </cell>
          <cell r="M827">
            <v>3.0337779400000001E-2</v>
          </cell>
          <cell r="N827">
            <v>3.07924238E-2</v>
          </cell>
          <cell r="O827">
            <v>3.12562786E-2</v>
          </cell>
          <cell r="P827">
            <v>3.1727409499999998E-2</v>
          </cell>
          <cell r="Q827">
            <v>3.22044108E-2</v>
          </cell>
          <cell r="R827">
            <v>3.2684499700000001E-2</v>
          </cell>
          <cell r="S827">
            <v>3.3167797999999998E-2</v>
          </cell>
          <cell r="T827">
            <v>3.3653886299999998E-2</v>
          </cell>
          <cell r="U827">
            <v>3.4142595099999999E-2</v>
          </cell>
          <cell r="V827">
            <v>3.46128562E-2</v>
          </cell>
          <cell r="W827">
            <v>3.5097333600000002E-2</v>
          </cell>
          <cell r="X827">
            <v>3.5587450200000002E-2</v>
          </cell>
          <cell r="Y827">
            <v>3.6082806000000002E-2</v>
          </cell>
          <cell r="Z827">
            <v>3.65834279E-2</v>
          </cell>
          <cell r="AA827">
            <v>3.7029085099999998E-2</v>
          </cell>
          <cell r="AB827">
            <v>3.7485071100000003E-2</v>
          </cell>
          <cell r="AC827">
            <v>3.7941279100000003E-2</v>
          </cell>
          <cell r="AD827">
            <v>3.8399325300000002E-2</v>
          </cell>
          <cell r="AE827">
            <v>3.8860991499999997E-2</v>
          </cell>
          <cell r="AF827">
            <v>3.9327748099999997E-2</v>
          </cell>
          <cell r="AG827">
            <v>3.9801180200000001E-2</v>
          </cell>
          <cell r="AH827">
            <v>4.0281758600000002E-2</v>
          </cell>
          <cell r="AI827">
            <v>4.07698887E-2</v>
          </cell>
          <cell r="AJ827">
            <v>4.1265754000000002E-2</v>
          </cell>
          <cell r="AK827">
            <v>4.1769404900000001E-2</v>
          </cell>
          <cell r="AL827">
            <v>4.2271278900000001E-2</v>
          </cell>
          <cell r="AM827">
            <v>4.2776427399999997E-2</v>
          </cell>
          <cell r="AN827">
            <v>4.3286190400000001E-2</v>
          </cell>
          <cell r="AO827">
            <v>4.3801327700000003E-2</v>
          </cell>
          <cell r="AP827">
            <v>4.4322456199999999E-2</v>
          </cell>
          <cell r="AQ827">
            <v>4.4850926399999998E-2</v>
          </cell>
          <cell r="AR827">
            <v>4.5386779500000002E-2</v>
          </cell>
          <cell r="AS827">
            <v>4.5930279900000003E-2</v>
          </cell>
          <cell r="AT827">
            <v>4.6481555000000001E-2</v>
          </cell>
          <cell r="AU827">
            <v>4.7040643799999997E-2</v>
          </cell>
          <cell r="AV827">
            <v>4.7611710199999997E-2</v>
          </cell>
          <cell r="AW827">
            <v>4.81926035E-2</v>
          </cell>
          <cell r="AX827">
            <v>4.8782867600000002E-2</v>
          </cell>
          <cell r="AY827">
            <v>4.9382013099999997E-2</v>
          </cell>
          <cell r="AZ827">
            <v>4.9989622300000001E-2</v>
          </cell>
          <cell r="BA827">
            <v>6.0330790299999999E-2</v>
          </cell>
          <cell r="BB827">
            <v>6.1318025399999997E-2</v>
          </cell>
          <cell r="BC827">
            <v>6.2321753899999999E-2</v>
          </cell>
          <cell r="BD827">
            <v>6.3342322300000004E-2</v>
          </cell>
          <cell r="BE827">
            <v>6.4380092700000002E-2</v>
          </cell>
        </row>
        <row r="828">
          <cell r="B828">
            <v>15.078303119999999</v>
          </cell>
          <cell r="C828">
            <v>15.20230887</v>
          </cell>
          <cell r="D828">
            <v>15.36851044</v>
          </cell>
          <cell r="E828">
            <v>15.558061459999999</v>
          </cell>
          <cell r="F828">
            <v>15.764723249999999</v>
          </cell>
          <cell r="G828">
            <v>15.98484837</v>
          </cell>
          <cell r="H828">
            <v>16.206409789999999</v>
          </cell>
          <cell r="I828">
            <v>16.43303105</v>
          </cell>
          <cell r="J828">
            <v>16.664725189999999</v>
          </cell>
          <cell r="K828">
            <v>16.901064949999999</v>
          </cell>
          <cell r="L828">
            <v>17.143344920000001</v>
          </cell>
          <cell r="M828">
            <v>17.39843346</v>
          </cell>
          <cell r="N828">
            <v>17.66035771</v>
          </cell>
          <cell r="O828">
            <v>17.92724059</v>
          </cell>
          <cell r="P828">
            <v>18.198369329999998</v>
          </cell>
          <cell r="Q828">
            <v>18.473460899999999</v>
          </cell>
          <cell r="R828">
            <v>18.751727259999999</v>
          </cell>
          <cell r="S828">
            <v>19.033625189999999</v>
          </cell>
          <cell r="T828">
            <v>19.319363150000001</v>
          </cell>
          <cell r="U828">
            <v>19.609125649999999</v>
          </cell>
          <cell r="V828">
            <v>19.891329949999999</v>
          </cell>
          <cell r="W828">
            <v>20.184869079999999</v>
          </cell>
          <cell r="X828">
            <v>20.484734790000001</v>
          </cell>
          <cell r="Y828">
            <v>20.79017919</v>
          </cell>
          <cell r="Z828">
            <v>21.101130569999999</v>
          </cell>
          <cell r="AA828">
            <v>21.38372541</v>
          </cell>
          <cell r="AB828">
            <v>21.676078929999999</v>
          </cell>
          <cell r="AC828">
            <v>21.972313410000002</v>
          </cell>
          <cell r="AD828">
            <v>22.27200208</v>
          </cell>
          <cell r="AE828">
            <v>22.575454189999999</v>
          </cell>
          <cell r="AF828">
            <v>22.883004499999998</v>
          </cell>
          <cell r="AG828">
            <v>23.19511142</v>
          </cell>
          <cell r="AH828">
            <v>23.511794099999999</v>
          </cell>
          <cell r="AI828">
            <v>23.833068749999999</v>
          </cell>
          <cell r="AJ828">
            <v>24.158895439999998</v>
          </cell>
          <cell r="AK828">
            <v>24.48918922</v>
          </cell>
          <cell r="AL828">
            <v>24.817711410000001</v>
          </cell>
          <cell r="AM828">
            <v>25.147855</v>
          </cell>
          <cell r="AN828">
            <v>25.480336019999999</v>
          </cell>
          <cell r="AO828">
            <v>25.815405330000001</v>
          </cell>
          <cell r="AP828">
            <v>26.153212119999999</v>
          </cell>
          <cell r="AQ828">
            <v>26.494222480000001</v>
          </cell>
          <cell r="AR828">
            <v>26.83833864</v>
          </cell>
          <cell r="AS828">
            <v>27.185580229999999</v>
          </cell>
          <cell r="AT828">
            <v>27.535967119999999</v>
          </cell>
          <cell r="AU828">
            <v>27.88950629</v>
          </cell>
          <cell r="AV828">
            <v>28.248187900000001</v>
          </cell>
          <cell r="AW828">
            <v>28.610893269999998</v>
          </cell>
          <cell r="AX828">
            <v>28.977327729999999</v>
          </cell>
          <cell r="AY828">
            <v>29.347350339999998</v>
          </cell>
          <cell r="AZ828">
            <v>29.720879870000001</v>
          </cell>
          <cell r="BA828">
            <v>35.928563740000001</v>
          </cell>
          <cell r="BB828">
            <v>36.565780830000001</v>
          </cell>
          <cell r="BC828">
            <v>37.211903579999998</v>
          </cell>
          <cell r="BD828">
            <v>37.866942590000001</v>
          </cell>
          <cell r="BE828">
            <v>38.530919849999997</v>
          </cell>
        </row>
        <row r="829">
          <cell r="B829">
            <v>119.490486</v>
          </cell>
          <cell r="C829">
            <v>119.2440354</v>
          </cell>
          <cell r="D829">
            <v>118.6155425</v>
          </cell>
          <cell r="E829">
            <v>118.0309673</v>
          </cell>
          <cell r="F829">
            <v>117.61282989999999</v>
          </cell>
          <cell r="G829">
            <v>117.3731652</v>
          </cell>
          <cell r="H829">
            <v>117.25940199999999</v>
          </cell>
          <cell r="I829">
            <v>117.24897540000001</v>
          </cell>
          <cell r="J829">
            <v>117.3145293</v>
          </cell>
          <cell r="K829">
            <v>117.43418389999999</v>
          </cell>
          <cell r="L829">
            <v>117.6336609</v>
          </cell>
          <cell r="M829">
            <v>117.8414212</v>
          </cell>
          <cell r="N829">
            <v>118.0659388</v>
          </cell>
          <cell r="O829">
            <v>118.3113616</v>
          </cell>
          <cell r="P829">
            <v>118.5776953</v>
          </cell>
          <cell r="Q829">
            <v>118.8640054</v>
          </cell>
          <cell r="R829">
            <v>119.1686955</v>
          </cell>
          <cell r="S829">
            <v>119.48965490000001</v>
          </cell>
          <cell r="T829">
            <v>119.8244141</v>
          </cell>
          <cell r="U829">
            <v>120.17028089999999</v>
          </cell>
          <cell r="V829">
            <v>120.49420569999999</v>
          </cell>
          <cell r="W829">
            <v>120.8370049</v>
          </cell>
          <cell r="X829">
            <v>121.1897529</v>
          </cell>
          <cell r="Y829">
            <v>121.5475117</v>
          </cell>
          <cell r="Z829">
            <v>121.9073882</v>
          </cell>
          <cell r="AA829">
            <v>122.1843533</v>
          </cell>
          <cell r="AB829">
            <v>122.4569463</v>
          </cell>
          <cell r="AC829">
            <v>122.7229913</v>
          </cell>
          <cell r="AD829">
            <v>122.981971</v>
          </cell>
          <cell r="AE829">
            <v>123.2342558</v>
          </cell>
          <cell r="AF829">
            <v>123.48061130000001</v>
          </cell>
          <cell r="AG829">
            <v>123.72193230000001</v>
          </cell>
          <cell r="AH829">
            <v>123.95891520000001</v>
          </cell>
          <cell r="AI829">
            <v>124.1918932</v>
          </cell>
          <cell r="AJ829">
            <v>124.42139830000001</v>
          </cell>
          <cell r="AK829">
            <v>124.647989</v>
          </cell>
          <cell r="AL829">
            <v>124.8542822</v>
          </cell>
          <cell r="AM829">
            <v>125.0486358</v>
          </cell>
          <cell r="AN829">
            <v>125.23545059999999</v>
          </cell>
          <cell r="AO829">
            <v>125.41718</v>
          </cell>
          <cell r="AP829">
            <v>125.5953315</v>
          </cell>
          <cell r="AQ829">
            <v>125.7709365</v>
          </cell>
          <cell r="AR829">
            <v>125.94480230000001</v>
          </cell>
          <cell r="AS829">
            <v>126.1175124</v>
          </cell>
          <cell r="AT829">
            <v>126.2894464</v>
          </cell>
          <cell r="AU829">
            <v>126.4608075</v>
          </cell>
          <cell r="AV829">
            <v>126.6331102</v>
          </cell>
          <cell r="AW829">
            <v>126.80591320000001</v>
          </cell>
          <cell r="AX829">
            <v>126.978921</v>
          </cell>
          <cell r="AY829">
            <v>127.1517898</v>
          </cell>
          <cell r="AZ829">
            <v>127.324094</v>
          </cell>
          <cell r="BA829">
            <v>126.47587660000001</v>
          </cell>
          <cell r="BB829">
            <v>126.845287</v>
          </cell>
          <cell r="BC829">
            <v>127.2240729</v>
          </cell>
          <cell r="BD829">
            <v>127.6125328</v>
          </cell>
          <cell r="BE829">
            <v>128.01129209999999</v>
          </cell>
        </row>
        <row r="830">
          <cell r="A830" t="str">
            <v>ems_ci_co2_sagr_2</v>
          </cell>
          <cell r="B830">
            <v>14.080545669999999</v>
          </cell>
          <cell r="C830">
            <v>14.10532697</v>
          </cell>
          <cell r="D830">
            <v>14.163872749999999</v>
          </cell>
          <cell r="E830">
            <v>14.257096969999999</v>
          </cell>
          <cell r="F830">
            <v>14.384474689999999</v>
          </cell>
          <cell r="G830">
            <v>14.542894410000001</v>
          </cell>
          <cell r="H830">
            <v>14.719989780000001</v>
          </cell>
          <cell r="I830">
            <v>14.91458587</v>
          </cell>
          <cell r="J830">
            <v>15.12392341</v>
          </cell>
          <cell r="K830">
            <v>15.345283739999999</v>
          </cell>
          <cell r="L830">
            <v>15.57043107</v>
          </cell>
          <cell r="M830">
            <v>15.823832449999999</v>
          </cell>
          <cell r="N830">
            <v>16.089018979999999</v>
          </cell>
          <cell r="O830">
            <v>16.362337530000001</v>
          </cell>
          <cell r="P830">
            <v>16.64220057</v>
          </cell>
          <cell r="Q830">
            <v>16.927419279999999</v>
          </cell>
          <cell r="R830">
            <v>17.217898009999999</v>
          </cell>
          <cell r="S830">
            <v>17.51170634</v>
          </cell>
          <cell r="T830">
            <v>17.808151290000001</v>
          </cell>
          <cell r="U830">
            <v>18.10686273</v>
          </cell>
          <cell r="V830">
            <v>18.39719303</v>
          </cell>
          <cell r="W830">
            <v>18.693756059999998</v>
          </cell>
          <cell r="X830">
            <v>18.994050699999999</v>
          </cell>
          <cell r="Y830">
            <v>19.29757502</v>
          </cell>
          <cell r="Z830">
            <v>19.604283349999999</v>
          </cell>
          <cell r="AA830">
            <v>19.88400708</v>
          </cell>
          <cell r="AB830">
            <v>20.164450519999999</v>
          </cell>
          <cell r="AC830">
            <v>20.444808989999999</v>
          </cell>
          <cell r="AD830">
            <v>20.725846229999998</v>
          </cell>
          <cell r="AE830">
            <v>21.008618859999999</v>
          </cell>
          <cell r="AF830">
            <v>21.294075469999999</v>
          </cell>
          <cell r="AG830">
            <v>21.5826861</v>
          </cell>
          <cell r="AH830">
            <v>21.87537648</v>
          </cell>
          <cell r="AI830">
            <v>22.17258378</v>
          </cell>
          <cell r="AJ830">
            <v>22.474574140000001</v>
          </cell>
          <cell r="AK830">
            <v>22.781517050000001</v>
          </cell>
          <cell r="AL830">
            <v>23.083532479999999</v>
          </cell>
          <cell r="AM830">
            <v>23.387011820000001</v>
          </cell>
          <cell r="AN830">
            <v>23.693473050000001</v>
          </cell>
          <cell r="AO830">
            <v>24.003558170000002</v>
          </cell>
          <cell r="AP830">
            <v>24.317705879999998</v>
          </cell>
          <cell r="AQ830">
            <v>24.635804069999999</v>
          </cell>
          <cell r="AR830">
            <v>24.958723979999998</v>
          </cell>
          <cell r="AS830">
            <v>25.286725489999998</v>
          </cell>
          <cell r="AT830">
            <v>25.619924189999999</v>
          </cell>
          <cell r="AU830">
            <v>25.95837028</v>
          </cell>
          <cell r="AV830">
            <v>26.301062850000001</v>
          </cell>
          <cell r="AW830">
            <v>26.649864090000001</v>
          </cell>
          <cell r="AX830">
            <v>27.00483341</v>
          </cell>
          <cell r="AY830">
            <v>27.36578068</v>
          </cell>
          <cell r="AZ830">
            <v>27.732495249999999</v>
          </cell>
          <cell r="BA830">
            <v>32.314755179999999</v>
          </cell>
          <cell r="BB830">
            <v>32.851295200000003</v>
          </cell>
          <cell r="BC830">
            <v>33.39604851</v>
          </cell>
          <cell r="BD830">
            <v>33.949292190000001</v>
          </cell>
          <cell r="BE830">
            <v>34.511300030000001</v>
          </cell>
        </row>
        <row r="832">
          <cell r="A832" t="str">
            <v>ems_ci_co2_sfor_2</v>
          </cell>
          <cell r="B832">
            <v>0.57958493629999996</v>
          </cell>
          <cell r="C832">
            <v>0.58025467779999995</v>
          </cell>
          <cell r="D832">
            <v>0.57652570039999995</v>
          </cell>
          <cell r="E832">
            <v>0.57364964630000004</v>
          </cell>
          <cell r="F832">
            <v>0.57220251150000001</v>
          </cell>
          <cell r="G832">
            <v>0.57206762369999997</v>
          </cell>
          <cell r="H832">
            <v>0.57282331639999995</v>
          </cell>
          <cell r="I832">
            <v>0.57429109040000004</v>
          </cell>
          <cell r="J832">
            <v>0.57627685579999999</v>
          </cell>
          <cell r="K832">
            <v>0.57863643360000006</v>
          </cell>
          <cell r="L832">
            <v>0.58133082280000004</v>
          </cell>
          <cell r="M832">
            <v>0.58466352060000004</v>
          </cell>
          <cell r="N832">
            <v>0.58821517599999995</v>
          </cell>
          <cell r="O832">
            <v>0.59194762580000004</v>
          </cell>
          <cell r="P832">
            <v>0.59585574539999997</v>
          </cell>
          <cell r="Q832">
            <v>0.59992830480000003</v>
          </cell>
          <cell r="R832">
            <v>0.60435564890000004</v>
          </cell>
          <cell r="S832">
            <v>0.6089259574</v>
          </cell>
          <cell r="T832">
            <v>0.61360576379999998</v>
          </cell>
          <cell r="U832">
            <v>0.61838533490000003</v>
          </cell>
          <cell r="V832">
            <v>0.62297587350000005</v>
          </cell>
          <cell r="W832">
            <v>0.62779358760000004</v>
          </cell>
          <cell r="X832">
            <v>0.63276679219999998</v>
          </cell>
          <cell r="Y832">
            <v>0.63785810620000005</v>
          </cell>
          <cell r="Z832">
            <v>0.64305282019999999</v>
          </cell>
          <cell r="AA832">
            <v>0.64753517679999995</v>
          </cell>
          <cell r="AB832">
            <v>0.6520308226</v>
          </cell>
          <cell r="AC832">
            <v>0.65662792810000004</v>
          </cell>
          <cell r="AD832">
            <v>0.6613237475</v>
          </cell>
          <cell r="AE832">
            <v>0.66611590190000003</v>
          </cell>
          <cell r="AF832">
            <v>0.67100704799999999</v>
          </cell>
          <cell r="AG832">
            <v>0.67594151120000001</v>
          </cell>
          <cell r="AH832">
            <v>0.6809833877</v>
          </cell>
          <cell r="AI832">
            <v>0.68614481770000002</v>
          </cell>
          <cell r="AJ832">
            <v>0.69143105709999997</v>
          </cell>
          <cell r="AK832">
            <v>0.69684598149999999</v>
          </cell>
          <cell r="AL832">
            <v>0.70162178630000005</v>
          </cell>
          <cell r="AM832">
            <v>0.70640634970000005</v>
          </cell>
          <cell r="AN832">
            <v>0.71130062660000004</v>
          </cell>
          <cell r="AO832">
            <v>0.71632020669999996</v>
          </cell>
          <cell r="AP832">
            <v>0.72146485739999999</v>
          </cell>
          <cell r="AQ832">
            <v>0.72663369899999997</v>
          </cell>
          <cell r="AR832">
            <v>0.73191717599999995</v>
          </cell>
          <cell r="AS832">
            <v>0.73732340709999999</v>
          </cell>
          <cell r="AT832">
            <v>0.7428511471</v>
          </cell>
          <cell r="AU832">
            <v>0.74849874900000002</v>
          </cell>
          <cell r="AV832">
            <v>0.75393116930000004</v>
          </cell>
          <cell r="AW832">
            <v>0.75947034000000002</v>
          </cell>
          <cell r="AX832">
            <v>0.76514598290000002</v>
          </cell>
          <cell r="AY832">
            <v>0.77095391120000001</v>
          </cell>
          <cell r="AZ832">
            <v>0.77688780290000004</v>
          </cell>
          <cell r="BA832">
            <v>0.66328333900000003</v>
          </cell>
          <cell r="BB832">
            <v>0.66823135369999997</v>
          </cell>
          <cell r="BC832">
            <v>0.67327790379999997</v>
          </cell>
          <cell r="BD832">
            <v>0.67842593929999995</v>
          </cell>
          <cell r="BE832">
            <v>0.68367935170000005</v>
          </cell>
        </row>
        <row r="834">
          <cell r="A834" t="str">
            <v>ems_ci_co2_sfoo_2</v>
          </cell>
          <cell r="B834">
            <v>8.6334359149999997</v>
          </cell>
          <cell r="C834">
            <v>8.6429747320000008</v>
          </cell>
          <cell r="D834">
            <v>8.6690369260000004</v>
          </cell>
          <cell r="E834">
            <v>8.7141431639999993</v>
          </cell>
          <cell r="F834">
            <v>8.7801763279999996</v>
          </cell>
          <cell r="G834">
            <v>8.8663526430000008</v>
          </cell>
          <cell r="H834">
            <v>8.9653582420000006</v>
          </cell>
          <cell r="I834">
            <v>9.0763106199999992</v>
          </cell>
          <cell r="J834">
            <v>9.1972282199999995</v>
          </cell>
          <cell r="K834">
            <v>9.3261694639999995</v>
          </cell>
          <cell r="L834">
            <v>9.459640469</v>
          </cell>
          <cell r="M834">
            <v>9.6066678509999992</v>
          </cell>
          <cell r="N834">
            <v>9.7606152359999996</v>
          </cell>
          <cell r="O834">
            <v>9.9199397050000009</v>
          </cell>
          <cell r="P834">
            <v>10.08360384</v>
          </cell>
          <cell r="Q834">
            <v>10.250642770000001</v>
          </cell>
          <cell r="R834">
            <v>10.41974248</v>
          </cell>
          <cell r="S834">
            <v>10.59041199</v>
          </cell>
          <cell r="T834">
            <v>10.76213398</v>
          </cell>
          <cell r="U834">
            <v>10.934527579999999</v>
          </cell>
          <cell r="V834">
            <v>11.10112341</v>
          </cell>
          <cell r="W834">
            <v>11.270269519999999</v>
          </cell>
          <cell r="X834">
            <v>11.4405941</v>
          </cell>
          <cell r="Y834">
            <v>11.61184615</v>
          </cell>
          <cell r="Z834">
            <v>11.784007600000001</v>
          </cell>
          <cell r="AA834">
            <v>11.939197869999999</v>
          </cell>
          <cell r="AB834">
            <v>12.093611040000001</v>
          </cell>
          <cell r="AC834">
            <v>12.24645754</v>
          </cell>
          <cell r="AD834">
            <v>12.398325359999999</v>
          </cell>
          <cell r="AE834">
            <v>12.54999422</v>
          </cell>
          <cell r="AF834">
            <v>12.70215911</v>
          </cell>
          <cell r="AG834">
            <v>12.855513240000001</v>
          </cell>
          <cell r="AH834">
            <v>13.01042672</v>
          </cell>
          <cell r="AI834">
            <v>13.16721746</v>
          </cell>
          <cell r="AJ834">
            <v>13.32611915</v>
          </cell>
          <cell r="AK834">
            <v>13.487296819999999</v>
          </cell>
          <cell r="AL834">
            <v>13.647849430000001</v>
          </cell>
          <cell r="AM834">
            <v>13.808761260000001</v>
          </cell>
          <cell r="AN834">
            <v>13.970655150000001</v>
          </cell>
          <cell r="AO834">
            <v>14.133976629999999</v>
          </cell>
          <cell r="AP834">
            <v>14.299077130000001</v>
          </cell>
          <cell r="AQ834">
            <v>14.46644442</v>
          </cell>
          <cell r="AR834">
            <v>14.636190429999999</v>
          </cell>
          <cell r="AS834">
            <v>14.80845551</v>
          </cell>
          <cell r="AT834">
            <v>14.983331529999999</v>
          </cell>
          <cell r="AU834">
            <v>15.16086522</v>
          </cell>
          <cell r="AV834">
            <v>15.34219702</v>
          </cell>
          <cell r="AW834">
            <v>15.52683305</v>
          </cell>
          <cell r="AX834">
            <v>15.71466023</v>
          </cell>
          <cell r="AY834">
            <v>15.90558386</v>
          </cell>
          <cell r="AZ834">
            <v>16.09949773</v>
          </cell>
          <cell r="BA834">
            <v>19.880422360000001</v>
          </cell>
          <cell r="BB834">
            <v>20.200756160000001</v>
          </cell>
          <cell r="BC834">
            <v>20.52564692</v>
          </cell>
          <cell r="BD834">
            <v>20.855267479999998</v>
          </cell>
          <cell r="BE834">
            <v>21.189792629999999</v>
          </cell>
        </row>
        <row r="836">
          <cell r="A836" t="str">
            <v>ems_ci_co2_sveh_2</v>
          </cell>
          <cell r="B836">
            <v>1.085958379</v>
          </cell>
          <cell r="C836">
            <v>1.081065462</v>
          </cell>
          <cell r="D836">
            <v>1.0806846409999999</v>
          </cell>
          <cell r="E836">
            <v>1.0835662239999999</v>
          </cell>
          <cell r="F836">
            <v>1.091286931</v>
          </cell>
          <cell r="G836">
            <v>1.1045115400000001</v>
          </cell>
          <cell r="H836">
            <v>1.1218064889999999</v>
          </cell>
          <cell r="I836">
            <v>1.1429412699999999</v>
          </cell>
          <cell r="J836">
            <v>1.1669648420000001</v>
          </cell>
          <cell r="K836">
            <v>1.1929217809999999</v>
          </cell>
          <cell r="L836">
            <v>1.217804549</v>
          </cell>
          <cell r="M836">
            <v>1.246981463</v>
          </cell>
          <cell r="N836">
            <v>1.2773697639999999</v>
          </cell>
          <cell r="O836">
            <v>1.308237195</v>
          </cell>
          <cell r="P836">
            <v>1.339002045</v>
          </cell>
          <cell r="Q836">
            <v>1.3690960649999999</v>
          </cell>
          <cell r="R836">
            <v>1.397876275</v>
          </cell>
          <cell r="S836">
            <v>1.4251066219999999</v>
          </cell>
          <cell r="T836">
            <v>1.4505584760000001</v>
          </cell>
          <cell r="U836">
            <v>1.4741169169999999</v>
          </cell>
          <cell r="V836">
            <v>1.49434585</v>
          </cell>
          <cell r="W836">
            <v>1.5136644589999999</v>
          </cell>
          <cell r="X836">
            <v>1.5314763629999999</v>
          </cell>
          <cell r="Y836">
            <v>1.5478940109999999</v>
          </cell>
          <cell r="Z836">
            <v>1.5631301520000001</v>
          </cell>
          <cell r="AA836">
            <v>1.5733643509999999</v>
          </cell>
          <cell r="AB836">
            <v>1.583641385</v>
          </cell>
          <cell r="AC836">
            <v>1.5932079159999999</v>
          </cell>
          <cell r="AD836">
            <v>1.6022874739999999</v>
          </cell>
          <cell r="AE836">
            <v>1.611196882</v>
          </cell>
          <cell r="AF836">
            <v>1.6202211639999999</v>
          </cell>
          <cell r="AG836">
            <v>1.62964248</v>
          </cell>
          <cell r="AH836">
            <v>1.639620912</v>
          </cell>
          <cell r="AI836">
            <v>1.6503158309999999</v>
          </cell>
          <cell r="AJ836">
            <v>1.6618493999999999</v>
          </cell>
          <cell r="AK836">
            <v>1.674303576</v>
          </cell>
          <cell r="AL836">
            <v>1.687196986</v>
          </cell>
          <cell r="AM836">
            <v>1.7007801890000001</v>
          </cell>
          <cell r="AN836">
            <v>1.715179719</v>
          </cell>
          <cell r="AO836">
            <v>1.7304683620000001</v>
          </cell>
          <cell r="AP836">
            <v>1.746667325</v>
          </cell>
          <cell r="AQ836">
            <v>1.7638198700000001</v>
          </cell>
          <cell r="AR836">
            <v>1.781825451</v>
          </cell>
          <cell r="AS836">
            <v>1.8006354469999999</v>
          </cell>
          <cell r="AT836">
            <v>1.820199908</v>
          </cell>
          <cell r="AU836">
            <v>1.8404624999999999</v>
          </cell>
          <cell r="AV836">
            <v>1.8616614810000001</v>
          </cell>
          <cell r="AW836">
            <v>1.883484001</v>
          </cell>
          <cell r="AX836">
            <v>1.9058876709999999</v>
          </cell>
          <cell r="AY836">
            <v>1.9288440200000001</v>
          </cell>
          <cell r="AZ836">
            <v>1.9523037640000001</v>
          </cell>
          <cell r="BA836">
            <v>2.502649833</v>
          </cell>
          <cell r="BB836">
            <v>2.5424036750000001</v>
          </cell>
          <cell r="BC836">
            <v>2.5831347830000002</v>
          </cell>
          <cell r="BD836">
            <v>2.6249114059999998</v>
          </cell>
          <cell r="BE836">
            <v>2.6677897210000001</v>
          </cell>
        </row>
        <row r="838">
          <cell r="A838" t="str">
            <v>ems_ci_co2_sgla_2</v>
          </cell>
          <cell r="B838">
            <v>7.7156527239999999</v>
          </cell>
          <cell r="C838">
            <v>7.7550463089999999</v>
          </cell>
          <cell r="D838">
            <v>7.8171237309999997</v>
          </cell>
          <cell r="E838">
            <v>7.8931630650000004</v>
          </cell>
          <cell r="F838">
            <v>7.9806085720000004</v>
          </cell>
          <cell r="G838">
            <v>8.0777637949999992</v>
          </cell>
          <cell r="H838">
            <v>8.1790371099999994</v>
          </cell>
          <cell r="I838">
            <v>8.2848839200000004</v>
          </cell>
          <cell r="J838">
            <v>8.3948682049999999</v>
          </cell>
          <cell r="K838">
            <v>8.5084488500000006</v>
          </cell>
          <cell r="L838">
            <v>8.6221272249999998</v>
          </cell>
          <cell r="M838">
            <v>8.7478985290000004</v>
          </cell>
          <cell r="N838">
            <v>8.8788625339999996</v>
          </cell>
          <cell r="O838">
            <v>9.0133839509999998</v>
          </cell>
          <cell r="P838">
            <v>9.1508212029999996</v>
          </cell>
          <cell r="Q838">
            <v>9.2908127670000002</v>
          </cell>
          <cell r="R838">
            <v>9.4326693160000001</v>
          </cell>
          <cell r="S838">
            <v>9.5765368209999995</v>
          </cell>
          <cell r="T838">
            <v>9.7224131380000003</v>
          </cell>
          <cell r="U838">
            <v>9.8703069550000002</v>
          </cell>
          <cell r="V838">
            <v>10.015268109999999</v>
          </cell>
          <cell r="W838">
            <v>10.16443136</v>
          </cell>
          <cell r="X838">
            <v>10.316572389999999</v>
          </cell>
          <cell r="Y838">
            <v>10.47143616</v>
          </cell>
          <cell r="Z838">
            <v>10.62899</v>
          </cell>
          <cell r="AA838">
            <v>10.774927229999999</v>
          </cell>
          <cell r="AB838">
            <v>10.92298304</v>
          </cell>
          <cell r="AC838">
            <v>11.07209898</v>
          </cell>
          <cell r="AD838">
            <v>11.22234149</v>
          </cell>
          <cell r="AE838">
            <v>11.37396556</v>
          </cell>
          <cell r="AF838">
            <v>11.52721373</v>
          </cell>
          <cell r="AG838">
            <v>11.68241173</v>
          </cell>
          <cell r="AH838">
            <v>11.839605069999999</v>
          </cell>
          <cell r="AI838">
            <v>11.99884449</v>
          </cell>
          <cell r="AJ838">
            <v>12.16014219</v>
          </cell>
          <cell r="AK838">
            <v>12.32347508</v>
          </cell>
          <cell r="AL838">
            <v>12.48668011</v>
          </cell>
          <cell r="AM838">
            <v>12.650296839999999</v>
          </cell>
          <cell r="AN838">
            <v>12.81461129</v>
          </cell>
          <cell r="AO838">
            <v>12.97977947</v>
          </cell>
          <cell r="AP838">
            <v>13.14589864</v>
          </cell>
          <cell r="AQ838">
            <v>13.31326048</v>
          </cell>
          <cell r="AR838">
            <v>13.481788160000001</v>
          </cell>
          <cell r="AS838">
            <v>13.65148885</v>
          </cell>
          <cell r="AT838">
            <v>13.82237014</v>
          </cell>
          <cell r="AU838">
            <v>13.994430189999999</v>
          </cell>
          <cell r="AV838">
            <v>14.1687694</v>
          </cell>
          <cell r="AW838">
            <v>14.34480398</v>
          </cell>
          <cell r="AX838">
            <v>14.52238135</v>
          </cell>
          <cell r="AY838">
            <v>14.70142426</v>
          </cell>
          <cell r="AZ838">
            <v>14.881878390000001</v>
          </cell>
          <cell r="BA838">
            <v>18.902690150000002</v>
          </cell>
          <cell r="BB838">
            <v>19.241249150000002</v>
          </cell>
          <cell r="BC838">
            <v>19.583814780000001</v>
          </cell>
          <cell r="BD838">
            <v>19.930375250000001</v>
          </cell>
          <cell r="BE838">
            <v>20.28092526</v>
          </cell>
        </row>
        <row r="840">
          <cell r="A840" t="str">
            <v>ems_ci_co2_spap_2</v>
          </cell>
          <cell r="B840">
            <v>2.4998204589999999</v>
          </cell>
          <cell r="C840">
            <v>2.506589746</v>
          </cell>
          <cell r="D840">
            <v>2.523787687</v>
          </cell>
          <cell r="E840">
            <v>2.5464520660000001</v>
          </cell>
          <cell r="F840">
            <v>2.5733449479999999</v>
          </cell>
          <cell r="G840">
            <v>2.6037134530000001</v>
          </cell>
          <cell r="H840">
            <v>2.6351414260000001</v>
          </cell>
          <cell r="I840">
            <v>2.6681278019999999</v>
          </cell>
          <cell r="J840">
            <v>2.7024645610000002</v>
          </cell>
          <cell r="K840">
            <v>2.7378648289999998</v>
          </cell>
          <cell r="L840">
            <v>2.772133084</v>
          </cell>
          <cell r="M840">
            <v>2.8119004159999998</v>
          </cell>
          <cell r="N840">
            <v>2.853127969</v>
          </cell>
          <cell r="O840">
            <v>2.8950617429999999</v>
          </cell>
          <cell r="P840">
            <v>2.937488321</v>
          </cell>
          <cell r="Q840">
            <v>2.9803033270000001</v>
          </cell>
          <cell r="R840">
            <v>3.023191792</v>
          </cell>
          <cell r="S840">
            <v>3.0662773780000001</v>
          </cell>
          <cell r="T840">
            <v>3.1095691900000002</v>
          </cell>
          <cell r="U840">
            <v>3.1530720680000002</v>
          </cell>
          <cell r="V840">
            <v>3.1947039529999999</v>
          </cell>
          <cell r="W840">
            <v>3.2378663040000002</v>
          </cell>
          <cell r="X840">
            <v>3.2816518299999999</v>
          </cell>
          <cell r="Y840">
            <v>3.3259067249999998</v>
          </cell>
          <cell r="Z840">
            <v>3.37062543</v>
          </cell>
          <cell r="AA840">
            <v>3.4098314869999999</v>
          </cell>
          <cell r="AB840">
            <v>3.450474754</v>
          </cell>
          <cell r="AC840">
            <v>3.491514236</v>
          </cell>
          <cell r="AD840">
            <v>3.5328632990000002</v>
          </cell>
          <cell r="AE840">
            <v>3.5746049200000001</v>
          </cell>
          <cell r="AF840">
            <v>3.616835123</v>
          </cell>
          <cell r="AG840">
            <v>3.659705459</v>
          </cell>
          <cell r="AH840">
            <v>3.7032225730000001</v>
          </cell>
          <cell r="AI840">
            <v>3.7474121560000002</v>
          </cell>
          <cell r="AJ840">
            <v>3.7922896270000002</v>
          </cell>
          <cell r="AK840">
            <v>3.8378597120000002</v>
          </cell>
          <cell r="AL840">
            <v>3.8833952950000001</v>
          </cell>
          <cell r="AM840">
            <v>3.9292682710000002</v>
          </cell>
          <cell r="AN840">
            <v>3.9756017940000001</v>
          </cell>
          <cell r="AO840">
            <v>4.0224473209999996</v>
          </cell>
          <cell r="AP840">
            <v>4.069837251</v>
          </cell>
          <cell r="AQ840">
            <v>4.1179159900000002</v>
          </cell>
          <cell r="AR840">
            <v>4.1666259270000001</v>
          </cell>
          <cell r="AS840">
            <v>4.2159657770000001</v>
          </cell>
          <cell r="AT840">
            <v>4.2659372480000002</v>
          </cell>
          <cell r="AU840">
            <v>4.3165384690000002</v>
          </cell>
          <cell r="AV840">
            <v>4.3683171139999999</v>
          </cell>
          <cell r="AW840">
            <v>4.4209131599999996</v>
          </cell>
          <cell r="AX840">
            <v>4.474243178</v>
          </cell>
          <cell r="AY840">
            <v>4.5282680529999997</v>
          </cell>
          <cell r="AZ840">
            <v>4.5829595010000004</v>
          </cell>
          <cell r="BA840">
            <v>5.7686918350000003</v>
          </cell>
          <cell r="BB840">
            <v>5.8662594649999997</v>
          </cell>
          <cell r="BC840">
            <v>5.9654531390000001</v>
          </cell>
          <cell r="BD840">
            <v>6.0663068249999998</v>
          </cell>
          <cell r="BE840">
            <v>6.1688547480000002</v>
          </cell>
        </row>
        <row r="842">
          <cell r="A842" t="str">
            <v>ems_ci_co2_sche_2</v>
          </cell>
          <cell r="B842">
            <v>13.233732570000001</v>
          </cell>
          <cell r="C842">
            <v>13.295133979999999</v>
          </cell>
          <cell r="D842">
            <v>13.42072857</v>
          </cell>
          <cell r="E842">
            <v>13.57008368</v>
          </cell>
          <cell r="F842">
            <v>13.735498939999999</v>
          </cell>
          <cell r="G842">
            <v>13.913683170000001</v>
          </cell>
          <cell r="H842">
            <v>14.09118292</v>
          </cell>
          <cell r="I842">
            <v>14.27375477</v>
          </cell>
          <cell r="J842">
            <v>14.46087605</v>
          </cell>
          <cell r="K842">
            <v>14.65131543</v>
          </cell>
          <cell r="L842">
            <v>14.827654409999999</v>
          </cell>
          <cell r="M842">
            <v>15.04181395</v>
          </cell>
          <cell r="N842">
            <v>15.262643969999999</v>
          </cell>
          <cell r="O842">
            <v>15.485194999999999</v>
          </cell>
          <cell r="P842">
            <v>15.708451480000001</v>
          </cell>
          <cell r="Q842">
            <v>15.93211282</v>
          </cell>
          <cell r="R842">
            <v>16.154480889999999</v>
          </cell>
          <cell r="S842">
            <v>16.37688872</v>
          </cell>
          <cell r="T842">
            <v>16.599660440000001</v>
          </cell>
          <cell r="U842">
            <v>16.82304452</v>
          </cell>
          <cell r="V842">
            <v>17.034471150000002</v>
          </cell>
          <cell r="W842">
            <v>17.256747699999998</v>
          </cell>
          <cell r="X842">
            <v>17.482365300000001</v>
          </cell>
          <cell r="Y842">
            <v>17.71046926</v>
          </cell>
          <cell r="Z842">
            <v>17.941192690000001</v>
          </cell>
          <cell r="AA842">
            <v>18.138075019999999</v>
          </cell>
          <cell r="AB842">
            <v>18.348914189999999</v>
          </cell>
          <cell r="AC842">
            <v>18.56367316</v>
          </cell>
          <cell r="AD842">
            <v>18.781369909999999</v>
          </cell>
          <cell r="AE842">
            <v>19.00229436</v>
          </cell>
          <cell r="AF842">
            <v>19.22683803</v>
          </cell>
          <cell r="AG842">
            <v>19.455786530000001</v>
          </cell>
          <cell r="AH842">
            <v>19.688961689999999</v>
          </cell>
          <cell r="AI842">
            <v>19.926414600000001</v>
          </cell>
          <cell r="AJ842">
            <v>20.168162639999998</v>
          </cell>
          <cell r="AK842">
            <v>20.414172659999998</v>
          </cell>
          <cell r="AL842">
            <v>20.66019198</v>
          </cell>
          <cell r="AM842">
            <v>20.90888936</v>
          </cell>
          <cell r="AN842">
            <v>21.160816130000001</v>
          </cell>
          <cell r="AO842">
            <v>21.416129399999999</v>
          </cell>
          <cell r="AP842">
            <v>21.674902769999999</v>
          </cell>
          <cell r="AQ842">
            <v>21.937952200000002</v>
          </cell>
          <cell r="AR842">
            <v>22.204692139999999</v>
          </cell>
          <cell r="AS842">
            <v>22.475035699999999</v>
          </cell>
          <cell r="AT842">
            <v>22.74894368</v>
          </cell>
          <cell r="AU842">
            <v>23.026369979999998</v>
          </cell>
          <cell r="AV842">
            <v>23.31080506</v>
          </cell>
          <cell r="AW842">
            <v>23.59944307</v>
          </cell>
          <cell r="AX842">
            <v>23.891807719999999</v>
          </cell>
          <cell r="AY842">
            <v>24.187745360000001</v>
          </cell>
          <cell r="AZ842">
            <v>24.48715949</v>
          </cell>
          <cell r="BA842">
            <v>30.561713749999999</v>
          </cell>
          <cell r="BB842">
            <v>31.087305239999999</v>
          </cell>
          <cell r="BC842">
            <v>31.622493739999999</v>
          </cell>
          <cell r="BD842">
            <v>32.167449670000003</v>
          </cell>
          <cell r="BE842">
            <v>32.722338440000001</v>
          </cell>
        </row>
        <row r="844">
          <cell r="A844" t="str">
            <v>ems_ci_co2_spla_2</v>
          </cell>
          <cell r="B844">
            <v>1.4662745349999999</v>
          </cell>
          <cell r="C844">
            <v>1.4707359790000001</v>
          </cell>
          <cell r="D844">
            <v>1.4819657049999999</v>
          </cell>
          <cell r="E844">
            <v>1.4960549139999999</v>
          </cell>
          <cell r="F844">
            <v>1.512349819</v>
          </cell>
          <cell r="G844">
            <v>1.5305915539999999</v>
          </cell>
          <cell r="H844">
            <v>1.5494180259999999</v>
          </cell>
          <cell r="I844">
            <v>1.5692300079999999</v>
          </cell>
          <cell r="J844">
            <v>1.5898885330000001</v>
          </cell>
          <cell r="K844">
            <v>1.6111807869999999</v>
          </cell>
          <cell r="L844">
            <v>1.631238274</v>
          </cell>
          <cell r="M844">
            <v>1.6552115789999999</v>
          </cell>
          <cell r="N844">
            <v>1.680129362</v>
          </cell>
          <cell r="O844">
            <v>1.705408018</v>
          </cell>
          <cell r="P844">
            <v>1.730876165</v>
          </cell>
          <cell r="Q844">
            <v>1.756446766</v>
          </cell>
          <cell r="R844">
            <v>1.7819004869999999</v>
          </cell>
          <cell r="S844">
            <v>1.8073292910000001</v>
          </cell>
          <cell r="T844">
            <v>1.8327424430000001</v>
          </cell>
          <cell r="U844">
            <v>1.8581496989999999</v>
          </cell>
          <cell r="V844">
            <v>1.8822821000000001</v>
          </cell>
          <cell r="W844">
            <v>1.90730697</v>
          </cell>
          <cell r="X844">
            <v>1.9326153829999999</v>
          </cell>
          <cell r="Y844">
            <v>1.958127441</v>
          </cell>
          <cell r="Z844">
            <v>1.983862464</v>
          </cell>
          <cell r="AA844">
            <v>2.0061713480000001</v>
          </cell>
          <cell r="AB844">
            <v>2.0295184420000001</v>
          </cell>
          <cell r="AC844">
            <v>2.0531496630000001</v>
          </cell>
          <cell r="AD844">
            <v>2.0769980060000002</v>
          </cell>
          <cell r="AE844">
            <v>2.1011152609999999</v>
          </cell>
          <cell r="AF844">
            <v>2.12556382</v>
          </cell>
          <cell r="AG844">
            <v>2.150444389</v>
          </cell>
          <cell r="AH844">
            <v>2.175759432</v>
          </cell>
          <cell r="AI844">
            <v>2.2015287460000001</v>
          </cell>
          <cell r="AJ844">
            <v>2.2277652809999999</v>
          </cell>
          <cell r="AK844">
            <v>2.2544730710000001</v>
          </cell>
          <cell r="AL844">
            <v>2.2812354579999998</v>
          </cell>
          <cell r="AM844">
            <v>2.3082565349999999</v>
          </cell>
          <cell r="AN844">
            <v>2.3356013999999998</v>
          </cell>
          <cell r="AO844">
            <v>2.3632955679999998</v>
          </cell>
          <cell r="AP844">
            <v>2.3913502210000002</v>
          </cell>
          <cell r="AQ844">
            <v>2.4198473279999999</v>
          </cell>
          <cell r="AR844">
            <v>2.4487293170000002</v>
          </cell>
          <cell r="AS844">
            <v>2.4779844450000001</v>
          </cell>
          <cell r="AT844">
            <v>2.5076058680000002</v>
          </cell>
          <cell r="AU844">
            <v>2.5375855760000001</v>
          </cell>
          <cell r="AV844">
            <v>2.5682701890000001</v>
          </cell>
          <cell r="AW844">
            <v>2.599394658</v>
          </cell>
          <cell r="AX844">
            <v>2.6309066560000001</v>
          </cell>
          <cell r="AY844">
            <v>2.6627873809999998</v>
          </cell>
          <cell r="AZ844">
            <v>2.6950225489999999</v>
          </cell>
          <cell r="BA844">
            <v>3.4308599389999999</v>
          </cell>
          <cell r="BB844">
            <v>3.489882326</v>
          </cell>
          <cell r="BC844">
            <v>3.5498856779999999</v>
          </cell>
          <cell r="BD844">
            <v>3.6108895250000002</v>
          </cell>
          <cell r="BE844">
            <v>3.6729123210000001</v>
          </cell>
        </row>
        <row r="846">
          <cell r="A846" t="str">
            <v>ems_ci_co2_smet_2</v>
          </cell>
          <cell r="B846">
            <v>19.221160009999998</v>
          </cell>
          <cell r="C846">
            <v>19.297960639999999</v>
          </cell>
          <cell r="D846">
            <v>19.47360819</v>
          </cell>
          <cell r="E846">
            <v>19.68394215</v>
          </cell>
          <cell r="F846">
            <v>19.91318094</v>
          </cell>
          <cell r="G846">
            <v>20.15606584</v>
          </cell>
          <cell r="H846">
            <v>20.39632714</v>
          </cell>
          <cell r="I846">
            <v>20.641482580000002</v>
          </cell>
          <cell r="J846">
            <v>20.892376630000001</v>
          </cell>
          <cell r="K846">
            <v>21.148464480000001</v>
          </cell>
          <cell r="L846">
            <v>21.38720782</v>
          </cell>
          <cell r="M846">
            <v>21.676515370000001</v>
          </cell>
          <cell r="N846">
            <v>21.978806779999999</v>
          </cell>
          <cell r="O846">
            <v>22.286357370000001</v>
          </cell>
          <cell r="P846">
            <v>22.597384810000001</v>
          </cell>
          <cell r="Q846">
            <v>22.911438480000001</v>
          </cell>
          <cell r="R846">
            <v>23.226310210000001</v>
          </cell>
          <cell r="S846">
            <v>23.543714900000001</v>
          </cell>
          <cell r="T846">
            <v>23.864155719999999</v>
          </cell>
          <cell r="U846">
            <v>24.187937949999998</v>
          </cell>
          <cell r="V846">
            <v>24.499195499999999</v>
          </cell>
          <cell r="W846">
            <v>24.825225929999998</v>
          </cell>
          <cell r="X846">
            <v>25.158137669999999</v>
          </cell>
          <cell r="Y846">
            <v>25.496477609999999</v>
          </cell>
          <cell r="Z846">
            <v>25.840137080000002</v>
          </cell>
          <cell r="AA846">
            <v>26.1430896</v>
          </cell>
          <cell r="AB846">
            <v>26.461718179999998</v>
          </cell>
          <cell r="AC846">
            <v>26.786336500000001</v>
          </cell>
          <cell r="AD846">
            <v>27.115375090000001</v>
          </cell>
          <cell r="AE846">
            <v>27.448873620000001</v>
          </cell>
          <cell r="AF846">
            <v>27.787120789999999</v>
          </cell>
          <cell r="AG846">
            <v>28.131011010000002</v>
          </cell>
          <cell r="AH846">
            <v>28.480235359999998</v>
          </cell>
          <cell r="AI846">
            <v>28.834769059999999</v>
          </cell>
          <cell r="AJ846">
            <v>29.194573999999999</v>
          </cell>
          <cell r="AK846">
            <v>29.559561609999999</v>
          </cell>
          <cell r="AL846">
            <v>29.92468285</v>
          </cell>
          <cell r="AM846">
            <v>30.292422899999998</v>
          </cell>
          <cell r="AN846">
            <v>30.663480409999998</v>
          </cell>
          <cell r="AO846">
            <v>31.038060829999999</v>
          </cell>
          <cell r="AP846">
            <v>31.416234429999999</v>
          </cell>
          <cell r="AQ846">
            <v>31.79906343</v>
          </cell>
          <cell r="AR846">
            <v>32.185808420000001</v>
          </cell>
          <cell r="AS846">
            <v>32.576327759999998</v>
          </cell>
          <cell r="AT846">
            <v>32.970576710000003</v>
          </cell>
          <cell r="AU846">
            <v>33.36851798</v>
          </cell>
          <cell r="AV846">
            <v>33.77478069</v>
          </cell>
          <cell r="AW846">
            <v>34.18597604</v>
          </cell>
          <cell r="AX846">
            <v>34.601384469999999</v>
          </cell>
          <cell r="AY846">
            <v>35.020796920000002</v>
          </cell>
          <cell r="AZ846">
            <v>35.444117589999998</v>
          </cell>
          <cell r="BA846">
            <v>45.68449012</v>
          </cell>
          <cell r="BB846">
            <v>46.492077760000001</v>
          </cell>
          <cell r="BC846">
            <v>47.312222509999998</v>
          </cell>
          <cell r="BD846">
            <v>48.1450423</v>
          </cell>
          <cell r="BE846">
            <v>48.99065882</v>
          </cell>
        </row>
        <row r="848">
          <cell r="A848" t="str">
            <v>ems_ci_co2_sigo_2</v>
          </cell>
          <cell r="B848">
            <v>1.1829070429999999</v>
          </cell>
          <cell r="C848">
            <v>1.1873392149999999</v>
          </cell>
          <cell r="D848">
            <v>1.1971815859999999</v>
          </cell>
          <cell r="E848">
            <v>1.2086517269999999</v>
          </cell>
          <cell r="F848">
            <v>1.2216742039999999</v>
          </cell>
          <cell r="G848">
            <v>1.23631267</v>
          </cell>
          <cell r="H848">
            <v>1.251367624</v>
          </cell>
          <cell r="I848">
            <v>1.267414423</v>
          </cell>
          <cell r="J848">
            <v>1.2842849750000001</v>
          </cell>
          <cell r="K848">
            <v>1.3017406330000001</v>
          </cell>
          <cell r="L848">
            <v>1.317422436</v>
          </cell>
          <cell r="M848">
            <v>1.3375520780000001</v>
          </cell>
          <cell r="N848">
            <v>1.358503343</v>
          </cell>
          <cell r="O848">
            <v>1.3797309090000001</v>
          </cell>
          <cell r="P848">
            <v>1.4010683719999999</v>
          </cell>
          <cell r="Q848">
            <v>1.4224075439999999</v>
          </cell>
          <cell r="R848">
            <v>1.443486099</v>
          </cell>
          <cell r="S848">
            <v>1.464402499</v>
          </cell>
          <cell r="T848">
            <v>1.4851438610000001</v>
          </cell>
          <cell r="U848">
            <v>1.50570355</v>
          </cell>
          <cell r="V848">
            <v>1.524828187</v>
          </cell>
          <cell r="W848">
            <v>1.5447984960000001</v>
          </cell>
          <cell r="X848">
            <v>1.564802507</v>
          </cell>
          <cell r="Y848">
            <v>1.584780133</v>
          </cell>
          <cell r="Z848">
            <v>1.6047695120000001</v>
          </cell>
          <cell r="AA848">
            <v>1.6212117479999999</v>
          </cell>
          <cell r="AB848">
            <v>1.6389700060000001</v>
          </cell>
          <cell r="AC848">
            <v>1.656903995</v>
          </cell>
          <cell r="AD848">
            <v>1.6749386310000001</v>
          </cell>
          <cell r="AE848">
            <v>1.693130783</v>
          </cell>
          <cell r="AF848">
            <v>1.711546325</v>
          </cell>
          <cell r="AG848">
            <v>1.730296064</v>
          </cell>
          <cell r="AH848">
            <v>1.749381839</v>
          </cell>
          <cell r="AI848">
            <v>1.7688359300000001</v>
          </cell>
          <cell r="AJ848">
            <v>1.788684852</v>
          </cell>
          <cell r="AK848">
            <v>1.8089454819999999</v>
          </cell>
          <cell r="AL848">
            <v>1.8292766739999999</v>
          </cell>
          <cell r="AM848">
            <v>1.8499027640000001</v>
          </cell>
          <cell r="AN848">
            <v>1.8708740580000001</v>
          </cell>
          <cell r="AO848">
            <v>1.8922099750000001</v>
          </cell>
          <cell r="AP848">
            <v>1.913916875</v>
          </cell>
          <cell r="AQ848">
            <v>1.9360770869999999</v>
          </cell>
          <cell r="AR848">
            <v>1.9586112950000001</v>
          </cell>
          <cell r="AS848">
            <v>1.981503566</v>
          </cell>
          <cell r="AT848">
            <v>2.0047437370000001</v>
          </cell>
          <cell r="AU848">
            <v>2.0283205249999998</v>
          </cell>
          <cell r="AV848">
            <v>2.0525982759999999</v>
          </cell>
          <cell r="AW848">
            <v>2.0772488650000001</v>
          </cell>
          <cell r="AX848">
            <v>2.1022307960000002</v>
          </cell>
          <cell r="AY848">
            <v>2.1275344399999998</v>
          </cell>
          <cell r="AZ848">
            <v>2.1531495070000002</v>
          </cell>
          <cell r="BA848">
            <v>2.8515174139999999</v>
          </cell>
          <cell r="BB848">
            <v>2.9011489689999999</v>
          </cell>
          <cell r="BC848">
            <v>2.9516550380000002</v>
          </cell>
          <cell r="BD848">
            <v>3.0030616079999999</v>
          </cell>
          <cell r="BE848">
            <v>3.0553923369999998</v>
          </cell>
        </row>
        <row r="850">
          <cell r="A850" t="str">
            <v>ems_ci_co2_scgo_2</v>
          </cell>
          <cell r="B850">
            <v>2.2464112900000002</v>
          </cell>
          <cell r="C850">
            <v>2.2449216019999998</v>
          </cell>
          <cell r="D850">
            <v>2.2522195090000001</v>
          </cell>
          <cell r="E850">
            <v>2.2660110379999998</v>
          </cell>
          <cell r="F850">
            <v>2.2856353920000001</v>
          </cell>
          <cell r="G850">
            <v>2.3103363670000001</v>
          </cell>
          <cell r="H850">
            <v>2.3377712929999999</v>
          </cell>
          <cell r="I850">
            <v>2.3677831660000002</v>
          </cell>
          <cell r="J850">
            <v>2.3998275200000001</v>
          </cell>
          <cell r="K850">
            <v>2.43338294</v>
          </cell>
          <cell r="L850">
            <v>2.4666064780000001</v>
          </cell>
          <cell r="M850">
            <v>2.5041424650000002</v>
          </cell>
          <cell r="N850">
            <v>2.5433011209999998</v>
          </cell>
          <cell r="O850">
            <v>2.5834012030000002</v>
          </cell>
          <cell r="P850">
            <v>2.6241167920000001</v>
          </cell>
          <cell r="Q850">
            <v>2.6652118840000001</v>
          </cell>
          <cell r="R850">
            <v>2.7063162059999999</v>
          </cell>
          <cell r="S850">
            <v>2.7474009480000001</v>
          </cell>
          <cell r="T850">
            <v>2.7884064</v>
          </cell>
          <cell r="U850">
            <v>2.8293020580000001</v>
          </cell>
          <cell r="V850">
            <v>2.8683347260000001</v>
          </cell>
          <cell r="W850">
            <v>2.9081671099999999</v>
          </cell>
          <cell r="X850">
            <v>2.9482469560000002</v>
          </cell>
          <cell r="Y850">
            <v>2.9884923969999999</v>
          </cell>
          <cell r="Z850">
            <v>3.0289301000000002</v>
          </cell>
          <cell r="AA850">
            <v>3.064594391</v>
          </cell>
          <cell r="AB850">
            <v>3.1007916619999998</v>
          </cell>
          <cell r="AC850">
            <v>3.1369966570000001</v>
          </cell>
          <cell r="AD850">
            <v>3.1732393719999998</v>
          </cell>
          <cell r="AE850">
            <v>3.209656598</v>
          </cell>
          <cell r="AF850">
            <v>3.246386464</v>
          </cell>
          <cell r="AG850">
            <v>3.2836011319999998</v>
          </cell>
          <cell r="AH850">
            <v>3.3213629550000001</v>
          </cell>
          <cell r="AI850">
            <v>3.3597328819999999</v>
          </cell>
          <cell r="AJ850">
            <v>3.3987529539999999</v>
          </cell>
          <cell r="AK850">
            <v>3.4384469219999998</v>
          </cell>
          <cell r="AL850">
            <v>3.4781648710000002</v>
          </cell>
          <cell r="AM850">
            <v>3.5182091830000002</v>
          </cell>
          <cell r="AN850">
            <v>3.558701213</v>
          </cell>
          <cell r="AO850">
            <v>3.599691338</v>
          </cell>
          <cell r="AP850">
            <v>3.6412021800000001</v>
          </cell>
          <cell r="AQ850">
            <v>3.683332869</v>
          </cell>
          <cell r="AR850">
            <v>3.7260420170000002</v>
          </cell>
          <cell r="AS850">
            <v>3.7693197039999999</v>
          </cell>
          <cell r="AT850">
            <v>3.8131560059999998</v>
          </cell>
          <cell r="AU850">
            <v>3.857537373</v>
          </cell>
          <cell r="AV850">
            <v>3.9028705499999998</v>
          </cell>
          <cell r="AW850">
            <v>3.9489270849999998</v>
          </cell>
          <cell r="AX850">
            <v>3.9956406719999999</v>
          </cell>
          <cell r="AY850">
            <v>4.0429668019999996</v>
          </cell>
          <cell r="AZ850">
            <v>4.0908637040000002</v>
          </cell>
          <cell r="BA850">
            <v>5.2745794760000004</v>
          </cell>
          <cell r="BB850">
            <v>5.3645123290000001</v>
          </cell>
          <cell r="BC850">
            <v>5.4558339399999998</v>
          </cell>
          <cell r="BD850">
            <v>5.5485816579999998</v>
          </cell>
          <cell r="BE850">
            <v>5.642790593</v>
          </cell>
        </row>
        <row r="852">
          <cell r="A852" t="str">
            <v>ems_ci_co2_scon_2</v>
          </cell>
          <cell r="B852">
            <v>7.6727582669999999</v>
          </cell>
          <cell r="C852">
            <v>7.6366814160000001</v>
          </cell>
          <cell r="D852">
            <v>7.5903128090000003</v>
          </cell>
          <cell r="E852">
            <v>7.5595654190000001</v>
          </cell>
          <cell r="F852">
            <v>7.5589706579999998</v>
          </cell>
          <cell r="G852">
            <v>7.5930600159999999</v>
          </cell>
          <cell r="H852">
            <v>7.6571262390000001</v>
          </cell>
          <cell r="I852">
            <v>7.746618357</v>
          </cell>
          <cell r="J852">
            <v>7.8569140019999999</v>
          </cell>
          <cell r="K852">
            <v>7.9839152479999997</v>
          </cell>
          <cell r="L852">
            <v>8.1229960420000005</v>
          </cell>
          <cell r="M852">
            <v>8.2756496340000005</v>
          </cell>
          <cell r="N852">
            <v>8.4422126679999998</v>
          </cell>
          <cell r="O852">
            <v>8.6214833560000006</v>
          </cell>
          <cell r="P852">
            <v>8.8113036480000009</v>
          </cell>
          <cell r="Q852">
            <v>9.0092465900000001</v>
          </cell>
          <cell r="R852">
            <v>9.2130000380000006</v>
          </cell>
          <cell r="S852">
            <v>9.4206167430000001</v>
          </cell>
          <cell r="T852">
            <v>9.6305527340000001</v>
          </cell>
          <cell r="U852">
            <v>9.8416809959999991</v>
          </cell>
          <cell r="V852">
            <v>10.048975889999999</v>
          </cell>
          <cell r="W852">
            <v>10.25562377</v>
          </cell>
          <cell r="X852">
            <v>10.462050899999999</v>
          </cell>
          <cell r="Y852">
            <v>10.668414459999999</v>
          </cell>
          <cell r="Z852">
            <v>10.874881350000001</v>
          </cell>
          <cell r="AA852">
            <v>11.06912507</v>
          </cell>
          <cell r="AB852">
            <v>11.256223260000001</v>
          </cell>
          <cell r="AC852">
            <v>11.43759036</v>
          </cell>
          <cell r="AD852">
            <v>11.61431939</v>
          </cell>
          <cell r="AE852">
            <v>11.78743291</v>
          </cell>
          <cell r="AF852">
            <v>11.95786844</v>
          </cell>
          <cell r="AG852">
            <v>12.1264761</v>
          </cell>
          <cell r="AH852">
            <v>12.29405315</v>
          </cell>
          <cell r="AI852">
            <v>12.46131557</v>
          </cell>
          <cell r="AJ852">
            <v>12.62885322</v>
          </cell>
          <cell r="AK852">
            <v>12.797111559999999</v>
          </cell>
          <cell r="AL852">
            <v>12.963255910000001</v>
          </cell>
          <cell r="AM852">
            <v>13.1273117</v>
          </cell>
          <cell r="AN852">
            <v>13.289854419999999</v>
          </cell>
          <cell r="AO852">
            <v>13.45139449</v>
          </cell>
          <cell r="AP852">
            <v>13.61222678</v>
          </cell>
          <cell r="AQ852">
            <v>13.7724277</v>
          </cell>
          <cell r="AR852">
            <v>13.932034809999999</v>
          </cell>
          <cell r="AS852">
            <v>14.091065049999999</v>
          </cell>
          <cell r="AT852">
            <v>14.24949535</v>
          </cell>
          <cell r="AU852">
            <v>14.40726673</v>
          </cell>
          <cell r="AV852">
            <v>14.56444245</v>
          </cell>
          <cell r="AW852">
            <v>14.721169270000001</v>
          </cell>
          <cell r="AX852">
            <v>14.87768621</v>
          </cell>
          <cell r="AY852">
            <v>15.03413578</v>
          </cell>
          <cell r="AZ852">
            <v>15.190525839999999</v>
          </cell>
          <cell r="BA852">
            <v>23.246582029999999</v>
          </cell>
          <cell r="BB852">
            <v>23.652213870000001</v>
          </cell>
          <cell r="BC852">
            <v>24.054386350000001</v>
          </cell>
          <cell r="BD852">
            <v>24.453275439999999</v>
          </cell>
          <cell r="BE852">
            <v>24.84906221</v>
          </cell>
        </row>
        <row r="854">
          <cell r="A854" t="str">
            <v>ems_ci_co2_srai_2</v>
          </cell>
          <cell r="B854">
            <v>1.71433659</v>
          </cell>
          <cell r="C854">
            <v>1.723546875</v>
          </cell>
          <cell r="D854">
            <v>1.73661004</v>
          </cell>
          <cell r="E854">
            <v>1.752056826</v>
          </cell>
          <cell r="F854">
            <v>1.769610693</v>
          </cell>
          <cell r="G854">
            <v>1.789060031</v>
          </cell>
          <cell r="H854">
            <v>1.809178113</v>
          </cell>
          <cell r="I854">
            <v>1.8302287909999999</v>
          </cell>
          <cell r="J854">
            <v>1.8521273739999999</v>
          </cell>
          <cell r="K854">
            <v>1.8747234800000001</v>
          </cell>
          <cell r="L854">
            <v>1.8974887330000001</v>
          </cell>
          <cell r="M854">
            <v>1.9224040170000001</v>
          </cell>
          <cell r="N854">
            <v>1.948113875</v>
          </cell>
          <cell r="O854">
            <v>1.974288176</v>
          </cell>
          <cell r="P854">
            <v>2.0007979630000001</v>
          </cell>
          <cell r="Q854">
            <v>2.0275667550000001</v>
          </cell>
          <cell r="R854">
            <v>2.0544445570000001</v>
          </cell>
          <cell r="S854">
            <v>2.081458053</v>
          </cell>
          <cell r="T854">
            <v>2.1086003610000001</v>
          </cell>
          <cell r="U854">
            <v>2.1358674020000001</v>
          </cell>
          <cell r="V854">
            <v>2.1620757629999998</v>
          </cell>
          <cell r="W854">
            <v>2.1890750649999999</v>
          </cell>
          <cell r="X854">
            <v>2.2164435089999999</v>
          </cell>
          <cell r="Y854">
            <v>2.24409532</v>
          </cell>
          <cell r="Z854">
            <v>2.2720242420000001</v>
          </cell>
          <cell r="AA854">
            <v>2.2968402729999999</v>
          </cell>
          <cell r="AB854">
            <v>2.3222559810000001</v>
          </cell>
          <cell r="AC854">
            <v>2.3478610620000002</v>
          </cell>
          <cell r="AD854">
            <v>2.3736356650000001</v>
          </cell>
          <cell r="AE854">
            <v>2.3996413940000001</v>
          </cell>
          <cell r="AF854">
            <v>2.4259433260000001</v>
          </cell>
          <cell r="AG854">
            <v>2.452621808</v>
          </cell>
          <cell r="AH854">
            <v>2.4796946439999998</v>
          </cell>
          <cell r="AI854">
            <v>2.5071804360000001</v>
          </cell>
          <cell r="AJ854">
            <v>2.5350902519999998</v>
          </cell>
          <cell r="AK854">
            <v>2.5634285619999999</v>
          </cell>
          <cell r="AL854">
            <v>2.5916605029999999</v>
          </cell>
          <cell r="AM854">
            <v>2.6200425049999998</v>
          </cell>
          <cell r="AN854">
            <v>2.6486695870000001</v>
          </cell>
          <cell r="AO854">
            <v>2.6775895830000001</v>
          </cell>
          <cell r="AP854">
            <v>2.7068357820000002</v>
          </cell>
          <cell r="AQ854">
            <v>2.7364804220000001</v>
          </cell>
          <cell r="AR854">
            <v>2.7665132529999998</v>
          </cell>
          <cell r="AS854">
            <v>2.796940067</v>
          </cell>
          <cell r="AT854">
            <v>2.8277651779999999</v>
          </cell>
          <cell r="AU854">
            <v>2.8589894249999999</v>
          </cell>
          <cell r="AV854">
            <v>2.8908498580000002</v>
          </cell>
          <cell r="AW854">
            <v>2.9231989459999999</v>
          </cell>
          <cell r="AX854">
            <v>2.9559951519999998</v>
          </cell>
          <cell r="AY854">
            <v>2.9892186719999998</v>
          </cell>
          <cell r="AZ854">
            <v>3.022856038</v>
          </cell>
          <cell r="BA854">
            <v>3.575424505</v>
          </cell>
          <cell r="BB854">
            <v>3.6299902319999999</v>
          </cell>
          <cell r="BC854">
            <v>3.6854330360000001</v>
          </cell>
          <cell r="BD854">
            <v>3.7417713899999998</v>
          </cell>
          <cell r="BE854">
            <v>3.7990240829999999</v>
          </cell>
        </row>
        <row r="856">
          <cell r="A856" t="str">
            <v>ems_ci_co2_sroa_2</v>
          </cell>
          <cell r="B856">
            <v>17.116117030000002</v>
          </cell>
          <cell r="C856">
            <v>17.210134029999999</v>
          </cell>
          <cell r="D856">
            <v>17.343087520000001</v>
          </cell>
          <cell r="E856">
            <v>17.49969514</v>
          </cell>
          <cell r="F856">
            <v>17.676818749999999</v>
          </cell>
          <cell r="G856">
            <v>17.87220984</v>
          </cell>
          <cell r="H856">
            <v>18.07365506</v>
          </cell>
          <cell r="I856">
            <v>18.283907079999999</v>
          </cell>
          <cell r="J856">
            <v>18.502250289999999</v>
          </cell>
          <cell r="K856">
            <v>18.72729841</v>
          </cell>
          <cell r="L856">
            <v>18.953921319999999</v>
          </cell>
          <cell r="M856">
            <v>19.201902839999999</v>
          </cell>
          <cell r="N856">
            <v>19.457692529999999</v>
          </cell>
          <cell r="O856">
            <v>19.718015909999998</v>
          </cell>
          <cell r="P856">
            <v>19.981632470000001</v>
          </cell>
          <cell r="Q856">
            <v>20.247832590000002</v>
          </cell>
          <cell r="R856">
            <v>20.51516479</v>
          </cell>
          <cell r="S856">
            <v>20.783935199999998</v>
          </cell>
          <cell r="T856">
            <v>21.05410358</v>
          </cell>
          <cell r="U856">
            <v>21.325646240000001</v>
          </cell>
          <cell r="V856">
            <v>21.58677372</v>
          </cell>
          <cell r="W856">
            <v>21.85595017</v>
          </cell>
          <cell r="X856">
            <v>22.12894958</v>
          </cell>
          <cell r="Y856">
            <v>22.404899759999999</v>
          </cell>
          <cell r="Z856">
            <v>22.683723350000001</v>
          </cell>
          <cell r="AA856">
            <v>22.93161272</v>
          </cell>
          <cell r="AB856">
            <v>23.185636519999999</v>
          </cell>
          <cell r="AC856">
            <v>23.441677049999999</v>
          </cell>
          <cell r="AD856">
            <v>23.699508219999998</v>
          </cell>
          <cell r="AE856">
            <v>23.959718259999999</v>
          </cell>
          <cell r="AF856">
            <v>24.222933050000002</v>
          </cell>
          <cell r="AG856">
            <v>24.489935039999999</v>
          </cell>
          <cell r="AH856">
            <v>24.76088309</v>
          </cell>
          <cell r="AI856">
            <v>25.035946169999999</v>
          </cell>
          <cell r="AJ856">
            <v>25.315221149999999</v>
          </cell>
          <cell r="AK856">
            <v>25.598742380000001</v>
          </cell>
          <cell r="AL856">
            <v>25.881185989999999</v>
          </cell>
          <cell r="AM856">
            <v>26.165112650000001</v>
          </cell>
          <cell r="AN856">
            <v>26.451462830000001</v>
          </cell>
          <cell r="AO856">
            <v>26.740706169999999</v>
          </cell>
          <cell r="AP856">
            <v>27.03317096</v>
          </cell>
          <cell r="AQ856">
            <v>27.329580589999999</v>
          </cell>
          <cell r="AR856">
            <v>27.629833869999999</v>
          </cell>
          <cell r="AS856">
            <v>27.933990000000001</v>
          </cell>
          <cell r="AT856">
            <v>28.24209432</v>
          </cell>
          <cell r="AU856">
            <v>28.554158220000001</v>
          </cell>
          <cell r="AV856">
            <v>28.872560459999999</v>
          </cell>
          <cell r="AW856">
            <v>29.195826790000002</v>
          </cell>
          <cell r="AX856">
            <v>29.523538640000002</v>
          </cell>
          <cell r="AY856">
            <v>29.855496760000001</v>
          </cell>
          <cell r="AZ856">
            <v>30.191568570000001</v>
          </cell>
          <cell r="BA856">
            <v>35.672975299999997</v>
          </cell>
          <cell r="BB856">
            <v>36.217518470000002</v>
          </cell>
          <cell r="BC856">
            <v>36.770833889999999</v>
          </cell>
          <cell r="BD856">
            <v>37.33310058</v>
          </cell>
          <cell r="BE856">
            <v>37.904501580000002</v>
          </cell>
        </row>
        <row r="858">
          <cell r="A858" t="str">
            <v>ems_ci_co2_swat_2</v>
          </cell>
          <cell r="B858">
            <v>3.670526271</v>
          </cell>
          <cell r="C858">
            <v>3.6974612050000002</v>
          </cell>
          <cell r="D858">
            <v>3.7456713540000002</v>
          </cell>
          <cell r="E858">
            <v>3.7979504899999998</v>
          </cell>
          <cell r="F858">
            <v>3.8520011009999999</v>
          </cell>
          <cell r="G858">
            <v>3.9071013200000002</v>
          </cell>
          <cell r="H858">
            <v>3.9589988209999998</v>
          </cell>
          <cell r="I858">
            <v>4.0105300049999997</v>
          </cell>
          <cell r="J858">
            <v>4.0617726850000002</v>
          </cell>
          <cell r="K858">
            <v>4.1125756410000003</v>
          </cell>
          <cell r="L858">
            <v>4.1546661189999998</v>
          </cell>
          <cell r="M858">
            <v>4.212398737</v>
          </cell>
          <cell r="N858">
            <v>4.2714547510000003</v>
          </cell>
          <cell r="O858">
            <v>4.3301283850000001</v>
          </cell>
          <cell r="P858">
            <v>4.3882259570000004</v>
          </cell>
          <cell r="Q858">
            <v>4.4457724389999997</v>
          </cell>
          <cell r="R858">
            <v>4.5021584460000001</v>
          </cell>
          <cell r="S858">
            <v>4.5581111290000003</v>
          </cell>
          <cell r="T858">
            <v>4.6138346009999998</v>
          </cell>
          <cell r="U858">
            <v>4.6694801909999999</v>
          </cell>
          <cell r="V858">
            <v>4.7209209459999997</v>
          </cell>
          <cell r="W858">
            <v>4.7764453339999999</v>
          </cell>
          <cell r="X858">
            <v>4.8327867549999999</v>
          </cell>
          <cell r="Y858">
            <v>4.8896793609999998</v>
          </cell>
          <cell r="Z858">
            <v>4.9471985009999999</v>
          </cell>
          <cell r="AA858">
            <v>4.9932849570000002</v>
          </cell>
          <cell r="AB858">
            <v>5.0457697440000002</v>
          </cell>
          <cell r="AC858">
            <v>5.0998580889999996</v>
          </cell>
          <cell r="AD858">
            <v>5.1550635470000001</v>
          </cell>
          <cell r="AE858">
            <v>5.2113858769999997</v>
          </cell>
          <cell r="AF858">
            <v>5.2688648599999999</v>
          </cell>
          <cell r="AG858">
            <v>5.3277343899999998</v>
          </cell>
          <cell r="AH858">
            <v>5.3878283659999999</v>
          </cell>
          <cell r="AI858">
            <v>5.4491265980000003</v>
          </cell>
          <cell r="AJ858">
            <v>5.511614593</v>
          </cell>
          <cell r="AK858">
            <v>5.5752695259999996</v>
          </cell>
          <cell r="AL858">
            <v>5.6391317729999999</v>
          </cell>
          <cell r="AM858">
            <v>5.7040068880000003</v>
          </cell>
          <cell r="AN858">
            <v>5.7699743010000004</v>
          </cell>
          <cell r="AO858">
            <v>5.837019358</v>
          </cell>
          <cell r="AP858">
            <v>5.9051102909999997</v>
          </cell>
          <cell r="AQ858">
            <v>5.974541415</v>
          </cell>
          <cell r="AR858">
            <v>6.0449886309999998</v>
          </cell>
          <cell r="AS858">
            <v>6.1163875350000003</v>
          </cell>
          <cell r="AT858">
            <v>6.1887049760000004</v>
          </cell>
          <cell r="AU858">
            <v>6.2619127700000004</v>
          </cell>
          <cell r="AV858">
            <v>6.3374249589999998</v>
          </cell>
          <cell r="AW858">
            <v>6.4139576780000001</v>
          </cell>
          <cell r="AX858">
            <v>6.4913524540000003</v>
          </cell>
          <cell r="AY858">
            <v>6.569579514</v>
          </cell>
          <cell r="AZ858">
            <v>6.6486233520000004</v>
          </cell>
          <cell r="BA858">
            <v>8.6662657089999993</v>
          </cell>
          <cell r="BB858">
            <v>8.818578381</v>
          </cell>
          <cell r="BC858">
            <v>8.9739205159999997</v>
          </cell>
          <cell r="BD858">
            <v>9.1323441750000001</v>
          </cell>
          <cell r="BE858">
            <v>9.2938972399999997</v>
          </cell>
        </row>
        <row r="860">
          <cell r="A860" t="str">
            <v>ems_ci_co2_sair_2</v>
          </cell>
          <cell r="B860">
            <v>18.831922970000001</v>
          </cell>
          <cell r="C860">
            <v>18.98549482</v>
          </cell>
          <cell r="D860">
            <v>19.214108270000001</v>
          </cell>
          <cell r="E860">
            <v>19.471468810000001</v>
          </cell>
          <cell r="F860">
            <v>19.75153984</v>
          </cell>
          <cell r="G860">
            <v>20.052741309999998</v>
          </cell>
          <cell r="H860">
            <v>20.35761707</v>
          </cell>
          <cell r="I860">
            <v>20.673177030000002</v>
          </cell>
          <cell r="J860">
            <v>20.998971820000001</v>
          </cell>
          <cell r="K860">
            <v>21.333362810000001</v>
          </cell>
          <cell r="L860">
            <v>21.658724710000001</v>
          </cell>
          <cell r="M860">
            <v>22.032637579999999</v>
          </cell>
          <cell r="N860">
            <v>22.41835163</v>
          </cell>
          <cell r="O860">
            <v>22.810502339999999</v>
          </cell>
          <cell r="P860">
            <v>23.207711209999999</v>
          </cell>
          <cell r="Q860">
            <v>23.609217409999999</v>
          </cell>
          <cell r="R860">
            <v>24.012371730000002</v>
          </cell>
          <cell r="S860">
            <v>24.418334560000002</v>
          </cell>
          <cell r="T860">
            <v>24.8271126</v>
          </cell>
          <cell r="U860">
            <v>25.238697169999998</v>
          </cell>
          <cell r="V860">
            <v>25.633801200000001</v>
          </cell>
          <cell r="W860">
            <v>26.043346419999999</v>
          </cell>
          <cell r="X860">
            <v>26.459255429999999</v>
          </cell>
          <cell r="Y860">
            <v>26.88053128</v>
          </cell>
          <cell r="Z860">
            <v>27.307258319999999</v>
          </cell>
          <cell r="AA860">
            <v>27.683521240000001</v>
          </cell>
          <cell r="AB860">
            <v>28.072414479999999</v>
          </cell>
          <cell r="AC860">
            <v>28.464534109999999</v>
          </cell>
          <cell r="AD860">
            <v>28.859965620000001</v>
          </cell>
          <cell r="AE860">
            <v>29.260004779999999</v>
          </cell>
          <cell r="AF860">
            <v>29.665878169999999</v>
          </cell>
          <cell r="AG860">
            <v>30.079166900000001</v>
          </cell>
          <cell r="AH860">
            <v>30.50008832</v>
          </cell>
          <cell r="AI860">
            <v>30.929012549999999</v>
          </cell>
          <cell r="AJ860">
            <v>31.366183660000001</v>
          </cell>
          <cell r="AK860">
            <v>31.811732500000002</v>
          </cell>
          <cell r="AL860">
            <v>32.258083820000003</v>
          </cell>
          <cell r="AM860">
            <v>32.708394910000003</v>
          </cell>
          <cell r="AN860">
            <v>33.163970470000002</v>
          </cell>
          <cell r="AO860">
            <v>33.625654869999998</v>
          </cell>
          <cell r="AP860">
            <v>34.094135369999996</v>
          </cell>
          <cell r="AQ860">
            <v>34.57100544</v>
          </cell>
          <cell r="AR860">
            <v>35.055978459999999</v>
          </cell>
          <cell r="AS860">
            <v>35.54925506</v>
          </cell>
          <cell r="AT860">
            <v>36.050999349999998</v>
          </cell>
          <cell r="AU860">
            <v>36.56129902</v>
          </cell>
          <cell r="AV860">
            <v>37.085107379999997</v>
          </cell>
          <cell r="AW860">
            <v>37.619128600000003</v>
          </cell>
          <cell r="AX860">
            <v>38.162735550000001</v>
          </cell>
          <cell r="AY860">
            <v>38.715662530000003</v>
          </cell>
          <cell r="AZ860">
            <v>39.277730759999997</v>
          </cell>
          <cell r="BA860">
            <v>48.979044649999999</v>
          </cell>
          <cell r="BB860">
            <v>49.925197480000001</v>
          </cell>
          <cell r="BC860">
            <v>50.890454120000001</v>
          </cell>
          <cell r="BD860">
            <v>51.87530229</v>
          </cell>
          <cell r="BE860">
            <v>52.880249550000002</v>
          </cell>
        </row>
        <row r="862">
          <cell r="A862" t="str">
            <v>ems_ci_co2_spri_2</v>
          </cell>
          <cell r="B862">
            <v>30.855107180000001</v>
          </cell>
          <cell r="C862">
            <v>30.933214849999999</v>
          </cell>
          <cell r="D862">
            <v>31.076053219999999</v>
          </cell>
          <cell r="E862">
            <v>31.27714009</v>
          </cell>
          <cell r="F862">
            <v>31.541185380000002</v>
          </cell>
          <cell r="G862">
            <v>31.867888669999999</v>
          </cell>
          <cell r="H862">
            <v>32.233610609999999</v>
          </cell>
          <cell r="I862">
            <v>32.638093349999998</v>
          </cell>
          <cell r="J862">
            <v>33.076100320000002</v>
          </cell>
          <cell r="K862">
            <v>33.541675990000002</v>
          </cell>
          <cell r="L862">
            <v>34.024699929999997</v>
          </cell>
          <cell r="M862">
            <v>34.551786100000001</v>
          </cell>
          <cell r="N862">
            <v>35.105135099999998</v>
          </cell>
          <cell r="O862">
            <v>35.678681760000003</v>
          </cell>
          <cell r="P862">
            <v>36.268333439999999</v>
          </cell>
          <cell r="Q862">
            <v>36.870495679999998</v>
          </cell>
          <cell r="R862">
            <v>37.480550469999997</v>
          </cell>
          <cell r="S862">
            <v>38.096739620000001</v>
          </cell>
          <cell r="T862">
            <v>38.717282560000001</v>
          </cell>
          <cell r="U862">
            <v>39.340836690000003</v>
          </cell>
          <cell r="V862">
            <v>39.943573909999998</v>
          </cell>
          <cell r="W862">
            <v>40.557022099999998</v>
          </cell>
          <cell r="X862">
            <v>41.175662099999997</v>
          </cell>
          <cell r="Y862">
            <v>41.798172010000002</v>
          </cell>
          <cell r="Z862">
            <v>42.42440362</v>
          </cell>
          <cell r="AA862">
            <v>42.988332919999998</v>
          </cell>
          <cell r="AB862">
            <v>43.551836950000002</v>
          </cell>
          <cell r="AC862">
            <v>44.111533289999997</v>
          </cell>
          <cell r="AD862">
            <v>44.668659030000001</v>
          </cell>
          <cell r="AE862">
            <v>45.225505849999998</v>
          </cell>
          <cell r="AF862">
            <v>45.784280649999999</v>
          </cell>
          <cell r="AG862">
            <v>46.34727264</v>
          </cell>
          <cell r="AH862">
            <v>46.915739240000001</v>
          </cell>
          <cell r="AI862">
            <v>47.4907939</v>
          </cell>
          <cell r="AJ862">
            <v>48.073295450000003</v>
          </cell>
          <cell r="AK862">
            <v>48.663868260000001</v>
          </cell>
          <cell r="AL862">
            <v>49.251211509999997</v>
          </cell>
          <cell r="AM862">
            <v>49.839556539999997</v>
          </cell>
          <cell r="AN862">
            <v>50.431270310000002</v>
          </cell>
          <cell r="AO862">
            <v>51.027947490000003</v>
          </cell>
          <cell r="AP862">
            <v>51.630774369999997</v>
          </cell>
          <cell r="AQ862">
            <v>52.241318329999999</v>
          </cell>
          <cell r="AR862">
            <v>52.8598651</v>
          </cell>
          <cell r="AS862">
            <v>53.486805339999997</v>
          </cell>
          <cell r="AT862">
            <v>54.122409439999998</v>
          </cell>
          <cell r="AU862">
            <v>54.766812999999999</v>
          </cell>
          <cell r="AV862">
            <v>55.423874320000003</v>
          </cell>
          <cell r="AW862">
            <v>56.09175948</v>
          </cell>
          <cell r="AX862">
            <v>56.770022740000002</v>
          </cell>
          <cell r="AY862">
            <v>57.458429969999997</v>
          </cell>
          <cell r="AZ862">
            <v>58.156727650000001</v>
          </cell>
          <cell r="BA862">
            <v>72.575607649999995</v>
          </cell>
          <cell r="BB862">
            <v>73.768639559999997</v>
          </cell>
          <cell r="BC862">
            <v>74.977568120000001</v>
          </cell>
          <cell r="BD862">
            <v>76.2029991</v>
          </cell>
          <cell r="BE862">
            <v>77.445539460000006</v>
          </cell>
        </row>
        <row r="864">
          <cell r="A864" t="str">
            <v>ems_ci_co2_spub_2</v>
          </cell>
          <cell r="B864">
            <v>14.29917077</v>
          </cell>
          <cell r="C864">
            <v>14.452683329999999</v>
          </cell>
          <cell r="D864">
            <v>14.617931309999999</v>
          </cell>
          <cell r="E864">
            <v>14.791518480000001</v>
          </cell>
          <cell r="F864">
            <v>14.977601890000001</v>
          </cell>
          <cell r="G864">
            <v>15.1785104</v>
          </cell>
          <cell r="H864">
            <v>15.38204651</v>
          </cell>
          <cell r="I864">
            <v>15.59681936</v>
          </cell>
          <cell r="J864">
            <v>15.822660819999999</v>
          </cell>
          <cell r="K864">
            <v>16.058338710000001</v>
          </cell>
          <cell r="L864">
            <v>16.32021443</v>
          </cell>
          <cell r="M864">
            <v>16.575924830000002</v>
          </cell>
          <cell r="N864">
            <v>16.8386751</v>
          </cell>
          <cell r="O864">
            <v>17.109555440000001</v>
          </cell>
          <cell r="P864">
            <v>17.387966989999999</v>
          </cell>
          <cell r="Q864">
            <v>17.67303334</v>
          </cell>
          <cell r="R864">
            <v>17.963790620000001</v>
          </cell>
          <cell r="S864">
            <v>18.259531129999999</v>
          </cell>
          <cell r="T864">
            <v>18.559639900000001</v>
          </cell>
          <cell r="U864">
            <v>18.863637740000001</v>
          </cell>
          <cell r="V864">
            <v>19.154978889999999</v>
          </cell>
          <cell r="W864">
            <v>19.46219542</v>
          </cell>
          <cell r="X864">
            <v>19.774178769999999</v>
          </cell>
          <cell r="Y864">
            <v>20.08953876</v>
          </cell>
          <cell r="Z864">
            <v>20.408136020000001</v>
          </cell>
          <cell r="AA864">
            <v>20.68297746</v>
          </cell>
          <cell r="AB864">
            <v>20.975434849999999</v>
          </cell>
          <cell r="AC864">
            <v>21.270815880000001</v>
          </cell>
          <cell r="AD864">
            <v>21.567645150000001</v>
          </cell>
          <cell r="AE864">
            <v>21.866143319999999</v>
          </cell>
          <cell r="AF864">
            <v>22.16672784</v>
          </cell>
          <cell r="AG864">
            <v>22.46983462</v>
          </cell>
          <cell r="AH864">
            <v>22.7758334</v>
          </cell>
          <cell r="AI864">
            <v>23.08507539</v>
          </cell>
          <cell r="AJ864">
            <v>23.397874510000001</v>
          </cell>
          <cell r="AK864">
            <v>23.71450334</v>
          </cell>
          <cell r="AL864">
            <v>24.024001940000002</v>
          </cell>
          <cell r="AM864">
            <v>24.335250940000002</v>
          </cell>
          <cell r="AN864">
            <v>24.64963255</v>
          </cell>
          <cell r="AO864">
            <v>24.967578929999998</v>
          </cell>
          <cell r="AP864">
            <v>25.2893607</v>
          </cell>
          <cell r="AQ864">
            <v>25.61521596</v>
          </cell>
          <cell r="AR864">
            <v>25.94529391</v>
          </cell>
          <cell r="AS864">
            <v>26.27974232</v>
          </cell>
          <cell r="AT864">
            <v>26.618684330000001</v>
          </cell>
          <cell r="AU864">
            <v>26.96221714</v>
          </cell>
          <cell r="AV864">
            <v>27.311552729999999</v>
          </cell>
          <cell r="AW864">
            <v>27.66592086</v>
          </cell>
          <cell r="AX864">
            <v>28.025345699999999</v>
          </cell>
          <cell r="AY864">
            <v>28.389918260000002</v>
          </cell>
          <cell r="AZ864">
            <v>28.759696099999999</v>
          </cell>
          <cell r="BA864">
            <v>33.704159480000001</v>
          </cell>
          <cell r="BB864">
            <v>34.277441899999999</v>
          </cell>
          <cell r="BC864">
            <v>34.858916180000001</v>
          </cell>
          <cell r="BD864">
            <v>35.448836919999998</v>
          </cell>
          <cell r="BE864">
            <v>36.047462230000001</v>
          </cell>
        </row>
        <row r="866">
          <cell r="A866" t="str">
            <v>ems_ci_co2_smin_2</v>
          </cell>
          <cell r="B866">
            <v>1.0324230569999999</v>
          </cell>
          <cell r="C866">
            <v>1.035883184</v>
          </cell>
          <cell r="D866">
            <v>1.0437049169999999</v>
          </cell>
          <cell r="E866">
            <v>1.0539560059999999</v>
          </cell>
          <cell r="F866">
            <v>1.0659838159999999</v>
          </cell>
          <cell r="G866">
            <v>1.0794032769999999</v>
          </cell>
          <cell r="H866">
            <v>1.093277091</v>
          </cell>
          <cell r="I866">
            <v>1.107686277</v>
          </cell>
          <cell r="J866">
            <v>1.12255182</v>
          </cell>
          <cell r="K866">
            <v>1.1377672780000001</v>
          </cell>
          <cell r="L866">
            <v>1.1526311950000001</v>
          </cell>
          <cell r="M866">
            <v>1.1693152979999999</v>
          </cell>
          <cell r="N866">
            <v>1.18656586</v>
          </cell>
          <cell r="O866">
            <v>1.204038881</v>
          </cell>
          <cell r="P866">
            <v>1.221627612</v>
          </cell>
          <cell r="Q866">
            <v>1.239290961</v>
          </cell>
          <cell r="R866">
            <v>1.256933471</v>
          </cell>
          <cell r="S866">
            <v>1.2746044969999999</v>
          </cell>
          <cell r="T866">
            <v>1.292325116</v>
          </cell>
          <cell r="U866">
            <v>1.310113911</v>
          </cell>
          <cell r="V866">
            <v>1.3272299649999999</v>
          </cell>
          <cell r="W866">
            <v>1.3448607319999999</v>
          </cell>
          <cell r="X866">
            <v>1.3627852039999999</v>
          </cell>
          <cell r="Y866">
            <v>1.3809500349999999</v>
          </cell>
          <cell r="Z866">
            <v>1.3993561590000001</v>
          </cell>
          <cell r="AA866">
            <v>1.4158370579999999</v>
          </cell>
          <cell r="AB866">
            <v>1.432735941</v>
          </cell>
          <cell r="AC866">
            <v>1.4498675560000001</v>
          </cell>
          <cell r="AD866">
            <v>1.46721323</v>
          </cell>
          <cell r="AE866">
            <v>1.4848060700000001</v>
          </cell>
          <cell r="AF866">
            <v>1.502683306</v>
          </cell>
          <cell r="AG866">
            <v>1.520897331</v>
          </cell>
          <cell r="AH866">
            <v>1.539451468</v>
          </cell>
          <cell r="AI866">
            <v>1.5583505719999999</v>
          </cell>
          <cell r="AJ866">
            <v>1.577594731</v>
          </cell>
          <cell r="AK866">
            <v>1.597179401</v>
          </cell>
          <cell r="AL866">
            <v>1.616802705</v>
          </cell>
          <cell r="AM866">
            <v>1.636575661</v>
          </cell>
          <cell r="AN866">
            <v>1.656550872</v>
          </cell>
          <cell r="AO866">
            <v>1.6767526740000001</v>
          </cell>
          <cell r="AP866">
            <v>1.697194981</v>
          </cell>
          <cell r="AQ866">
            <v>1.717925296</v>
          </cell>
          <cell r="AR866">
            <v>1.7389255400000001</v>
          </cell>
          <cell r="AS866">
            <v>1.760191976</v>
          </cell>
          <cell r="AT866">
            <v>1.781722155</v>
          </cell>
          <cell r="AU866">
            <v>1.803512427</v>
          </cell>
          <cell r="AV866">
            <v>1.825742132</v>
          </cell>
          <cell r="AW866">
            <v>1.848296758</v>
          </cell>
          <cell r="AX866">
            <v>1.871138508</v>
          </cell>
          <cell r="AY866">
            <v>1.8942494510000001</v>
          </cell>
          <cell r="AZ866">
            <v>1.9176179069999999</v>
          </cell>
          <cell r="BA866">
            <v>2.3194195799999999</v>
          </cell>
          <cell r="BB866">
            <v>2.3587256729999999</v>
          </cell>
          <cell r="BC866">
            <v>2.398702202</v>
          </cell>
          <cell r="BD866">
            <v>2.4393586269999998</v>
          </cell>
          <cell r="BE866">
            <v>2.4807043590000002</v>
          </cell>
        </row>
        <row r="868">
          <cell r="A868" t="str">
            <v>ems_ci_co2_soil_2</v>
          </cell>
          <cell r="B868">
            <v>16.338534800000001</v>
          </cell>
          <cell r="C868">
            <v>16.369279559999999</v>
          </cell>
          <cell r="D868">
            <v>16.425432010000002</v>
          </cell>
          <cell r="E868">
            <v>16.501345090000001</v>
          </cell>
          <cell r="F868">
            <v>16.6006772</v>
          </cell>
          <cell r="G868">
            <v>16.722733059999999</v>
          </cell>
          <cell r="H868">
            <v>16.855355800000002</v>
          </cell>
          <cell r="I868">
            <v>17.00018249</v>
          </cell>
          <cell r="J868">
            <v>17.155185299999999</v>
          </cell>
          <cell r="K868">
            <v>17.31802459</v>
          </cell>
          <cell r="L868">
            <v>17.474938659999999</v>
          </cell>
          <cell r="M868">
            <v>17.66352646</v>
          </cell>
          <cell r="N868">
            <v>17.861733690000001</v>
          </cell>
          <cell r="O868">
            <v>18.064755399999999</v>
          </cell>
          <cell r="P868">
            <v>18.271265589999999</v>
          </cell>
          <cell r="Q868">
            <v>18.480634760000001</v>
          </cell>
          <cell r="R868">
            <v>18.69125781</v>
          </cell>
          <cell r="S868">
            <v>18.903665029999999</v>
          </cell>
          <cell r="T868">
            <v>19.117764529999999</v>
          </cell>
          <cell r="U868">
            <v>19.33340729</v>
          </cell>
          <cell r="V868">
            <v>19.54002624</v>
          </cell>
          <cell r="W868">
            <v>19.754517969999998</v>
          </cell>
          <cell r="X868">
            <v>19.972187389999998</v>
          </cell>
          <cell r="Y868">
            <v>20.191986830000001</v>
          </cell>
          <cell r="Z868">
            <v>20.41374712</v>
          </cell>
          <cell r="AA868">
            <v>20.607610680000001</v>
          </cell>
          <cell r="AB868">
            <v>20.808403940000002</v>
          </cell>
          <cell r="AC868">
            <v>21.010909829999999</v>
          </cell>
          <cell r="AD868">
            <v>21.2143421</v>
          </cell>
          <cell r="AE868">
            <v>21.41893975</v>
          </cell>
          <cell r="AF868">
            <v>21.625093140000001</v>
          </cell>
          <cell r="AG868">
            <v>21.833496660000002</v>
          </cell>
          <cell r="AH868">
            <v>22.044163090000001</v>
          </cell>
          <cell r="AI868">
            <v>22.257230360000001</v>
          </cell>
          <cell r="AJ868">
            <v>22.472817320000001</v>
          </cell>
          <cell r="AK868">
            <v>22.691002080000001</v>
          </cell>
          <cell r="AL868">
            <v>22.908049640000002</v>
          </cell>
          <cell r="AM868">
            <v>23.125829110000002</v>
          </cell>
          <cell r="AN868">
            <v>23.345071690000001</v>
          </cell>
          <cell r="AO868">
            <v>23.56612831</v>
          </cell>
          <cell r="AP868">
            <v>23.789219719999998</v>
          </cell>
          <cell r="AQ868">
            <v>24.015059959999999</v>
          </cell>
          <cell r="AR868">
            <v>24.243354239999999</v>
          </cell>
          <cell r="AS868">
            <v>24.474106989999999</v>
          </cell>
          <cell r="AT868">
            <v>24.707350080000001</v>
          </cell>
          <cell r="AU868">
            <v>24.943095670000002</v>
          </cell>
          <cell r="AV868">
            <v>25.18394876</v>
          </cell>
          <cell r="AW868">
            <v>25.42804138</v>
          </cell>
          <cell r="AX868">
            <v>25.67497642</v>
          </cell>
          <cell r="AY868">
            <v>25.92463085</v>
          </cell>
          <cell r="AZ868">
            <v>26.176921879999998</v>
          </cell>
          <cell r="BA868">
            <v>31.883603999999998</v>
          </cell>
          <cell r="BB868">
            <v>32.347674509999997</v>
          </cell>
          <cell r="BC868">
            <v>32.819326539999999</v>
          </cell>
          <cell r="BD868">
            <v>33.298744659999997</v>
          </cell>
          <cell r="BE868">
            <v>33.786124770000001</v>
          </cell>
        </row>
        <row r="870">
          <cell r="A870" t="str">
            <v>ems_ci_co2_sbfu_2</v>
          </cell>
          <cell r="B870">
            <v>3.8129875690000001</v>
          </cell>
          <cell r="C870">
            <v>3.8154194380000002</v>
          </cell>
          <cell r="D870">
            <v>3.8199626360000001</v>
          </cell>
          <cell r="E870">
            <v>3.8295803780000002</v>
          </cell>
          <cell r="F870">
            <v>3.8461304159999998</v>
          </cell>
          <cell r="G870">
            <v>3.8693561860000001</v>
          </cell>
          <cell r="H870">
            <v>3.8963782020000002</v>
          </cell>
          <cell r="I870">
            <v>3.9271176880000001</v>
          </cell>
          <cell r="J870">
            <v>3.9608086720000002</v>
          </cell>
          <cell r="K870">
            <v>3.9967476319999999</v>
          </cell>
          <cell r="L870">
            <v>4.0317977020000004</v>
          </cell>
          <cell r="M870">
            <v>4.0739861309999998</v>
          </cell>
          <cell r="N870">
            <v>4.1184404109999999</v>
          </cell>
          <cell r="O870">
            <v>4.164171477</v>
          </cell>
          <cell r="P870">
            <v>4.210876324</v>
          </cell>
          <cell r="Q870">
            <v>4.2583819419999998</v>
          </cell>
          <cell r="R870">
            <v>4.3063046280000004</v>
          </cell>
          <cell r="S870">
            <v>4.3547156119999997</v>
          </cell>
          <cell r="T870">
            <v>4.4035526220000003</v>
          </cell>
          <cell r="U870">
            <v>4.4527487749999999</v>
          </cell>
          <cell r="V870">
            <v>4.5001331880000004</v>
          </cell>
          <cell r="W870">
            <v>4.5490837549999998</v>
          </cell>
          <cell r="X870">
            <v>4.5985836649999996</v>
          </cell>
          <cell r="Y870">
            <v>4.6484440850000004</v>
          </cell>
          <cell r="Z870">
            <v>4.6986335410000004</v>
          </cell>
          <cell r="AA870">
            <v>4.7430930169999996</v>
          </cell>
          <cell r="AB870">
            <v>4.7888379600000004</v>
          </cell>
          <cell r="AC870">
            <v>4.8346576350000001</v>
          </cell>
          <cell r="AD870">
            <v>4.8804341769999997</v>
          </cell>
          <cell r="AE870">
            <v>4.9262484400000002</v>
          </cell>
          <cell r="AF870">
            <v>4.9722035939999998</v>
          </cell>
          <cell r="AG870">
            <v>5.0184634250000002</v>
          </cell>
          <cell r="AH870">
            <v>5.0650452919999998</v>
          </cell>
          <cell r="AI870">
            <v>5.1119948150000001</v>
          </cell>
          <cell r="AJ870">
            <v>5.1593497660000001</v>
          </cell>
          <cell r="AK870">
            <v>5.2071370830000001</v>
          </cell>
          <cell r="AL870">
            <v>5.2546371150000004</v>
          </cell>
          <cell r="AM870">
            <v>5.3022052679999998</v>
          </cell>
          <cell r="AN870">
            <v>5.3499683219999996</v>
          </cell>
          <cell r="AO870">
            <v>5.3979957409999999</v>
          </cell>
          <cell r="AP870">
            <v>5.4463401940000002</v>
          </cell>
          <cell r="AQ870">
            <v>5.4951626249999999</v>
          </cell>
          <cell r="AR870">
            <v>5.5444101659999996</v>
          </cell>
          <cell r="AS870">
            <v>5.5940948109999997</v>
          </cell>
          <cell r="AT870">
            <v>5.6442308060000004</v>
          </cell>
          <cell r="AU870">
            <v>5.6948257360000003</v>
          </cell>
          <cell r="AV870">
            <v>5.7464276700000001</v>
          </cell>
          <cell r="AW870">
            <v>5.7986429580000003</v>
          </cell>
          <cell r="AX870">
            <v>5.8513977419999996</v>
          </cell>
          <cell r="AY870">
            <v>5.9046660510000004</v>
          </cell>
          <cell r="AZ870">
            <v>5.9584267469999999</v>
          </cell>
          <cell r="BA870">
            <v>7.2498662630000004</v>
          </cell>
          <cell r="BB870">
            <v>7.3506676459999998</v>
          </cell>
          <cell r="BC870">
            <v>7.4530505619999996</v>
          </cell>
          <cell r="BD870">
            <v>7.5570639120000003</v>
          </cell>
          <cell r="BE870">
            <v>7.662759103</v>
          </cell>
        </row>
        <row r="872">
          <cell r="A872" t="str">
            <v>ems_ci_co2_seoi_2</v>
          </cell>
          <cell r="B872">
            <v>3.0171769030000002</v>
          </cell>
          <cell r="C872">
            <v>3.0286172219999998</v>
          </cell>
          <cell r="D872">
            <v>3.0403100909999998</v>
          </cell>
          <cell r="E872">
            <v>3.0533283089999999</v>
          </cell>
          <cell r="F872">
            <v>3.0692753150000001</v>
          </cell>
          <cell r="G872">
            <v>3.0886563420000002</v>
          </cell>
          <cell r="H872">
            <v>3.1097683310000002</v>
          </cell>
          <cell r="I872">
            <v>3.1326908580000001</v>
          </cell>
          <cell r="J872">
            <v>3.157066242</v>
          </cell>
          <cell r="K872">
            <v>3.1824380520000002</v>
          </cell>
          <cell r="L872">
            <v>3.207912973</v>
          </cell>
          <cell r="M872">
            <v>3.236143862</v>
          </cell>
          <cell r="N872">
            <v>3.2652793400000002</v>
          </cell>
          <cell r="O872">
            <v>3.2947649800000001</v>
          </cell>
          <cell r="P872">
            <v>3.3244064130000002</v>
          </cell>
          <cell r="Q872">
            <v>3.3541012769999998</v>
          </cell>
          <cell r="R872">
            <v>3.3836732899999999</v>
          </cell>
          <cell r="S872">
            <v>3.413162829</v>
          </cell>
          <cell r="T872">
            <v>3.4425782800000002</v>
          </cell>
          <cell r="U872">
            <v>3.471935883</v>
          </cell>
          <cell r="V872">
            <v>3.499552043</v>
          </cell>
          <cell r="W872">
            <v>3.528051359</v>
          </cell>
          <cell r="X872">
            <v>3.5570332699999998</v>
          </cell>
          <cell r="Y872">
            <v>3.5863549319999999</v>
          </cell>
          <cell r="Z872">
            <v>3.616011941</v>
          </cell>
          <cell r="AA872">
            <v>3.6411660750000001</v>
          </cell>
          <cell r="AB872">
            <v>3.6669279819999998</v>
          </cell>
          <cell r="AC872">
            <v>3.6931316519999999</v>
          </cell>
          <cell r="AD872">
            <v>3.7197468790000001</v>
          </cell>
          <cell r="AE872">
            <v>3.7468506349999999</v>
          </cell>
          <cell r="AF872">
            <v>3.774534123</v>
          </cell>
          <cell r="AG872">
            <v>3.8029077149999999</v>
          </cell>
          <cell r="AH872">
            <v>3.8320072469999999</v>
          </cell>
          <cell r="AI872">
            <v>3.861865978</v>
          </cell>
          <cell r="AJ872">
            <v>3.8925040279999998</v>
          </cell>
          <cell r="AK872">
            <v>3.9239279389999999</v>
          </cell>
          <cell r="AL872">
            <v>3.9553077480000001</v>
          </cell>
          <cell r="AM872">
            <v>3.9869847369999998</v>
          </cell>
          <cell r="AN872">
            <v>4.0191579150000001</v>
          </cell>
          <cell r="AO872">
            <v>4.0519243630000004</v>
          </cell>
          <cell r="AP872">
            <v>4.0853312419999996</v>
          </cell>
          <cell r="AQ872">
            <v>4.119453751</v>
          </cell>
          <cell r="AR872">
            <v>4.1542656779999998</v>
          </cell>
          <cell r="AS872">
            <v>4.1897601829999997</v>
          </cell>
          <cell r="AT872">
            <v>4.2259318319999997</v>
          </cell>
          <cell r="AU872">
            <v>4.2627724020000004</v>
          </cell>
          <cell r="AV872">
            <v>4.3005648729999999</v>
          </cell>
          <cell r="AW872">
            <v>4.339128616</v>
          </cell>
          <cell r="AX872">
            <v>4.3784073570000004</v>
          </cell>
          <cell r="AY872">
            <v>4.4183796610000003</v>
          </cell>
          <cell r="AZ872">
            <v>4.4590303269999998</v>
          </cell>
          <cell r="BA872">
            <v>4.9407715779999997</v>
          </cell>
          <cell r="BB872">
            <v>5.0032921830000001</v>
          </cell>
          <cell r="BC872">
            <v>5.0669809370000003</v>
          </cell>
          <cell r="BD872">
            <v>5.1318433590000003</v>
          </cell>
          <cell r="BE872">
            <v>5.197886574</v>
          </cell>
        </row>
        <row r="874">
          <cell r="A874" t="str">
            <v>ems_ci_co2_sega_2</v>
          </cell>
          <cell r="B874">
            <v>3.5698501010000001</v>
          </cell>
          <cell r="C874">
            <v>3.5833864750000002</v>
          </cell>
          <cell r="D874">
            <v>3.5972217180000001</v>
          </cell>
          <cell r="E874">
            <v>3.6126250249999998</v>
          </cell>
          <cell r="F874">
            <v>3.6314934509999999</v>
          </cell>
          <cell r="G874">
            <v>3.6544247250000002</v>
          </cell>
          <cell r="H874">
            <v>3.6794038250000001</v>
          </cell>
          <cell r="I874">
            <v>3.706524924</v>
          </cell>
          <cell r="J874">
            <v>3.7353648599999998</v>
          </cell>
          <cell r="K874">
            <v>3.7653836319999998</v>
          </cell>
          <cell r="L874">
            <v>3.795524345</v>
          </cell>
          <cell r="M874">
            <v>3.828925801</v>
          </cell>
          <cell r="N874">
            <v>3.8633975129999998</v>
          </cell>
          <cell r="O874">
            <v>3.8982835169999999</v>
          </cell>
          <cell r="P874">
            <v>3.9333538649999999</v>
          </cell>
          <cell r="Q874">
            <v>3.9684874639999999</v>
          </cell>
          <cell r="R874">
            <v>4.003475763</v>
          </cell>
          <cell r="S874">
            <v>4.0383665459999998</v>
          </cell>
          <cell r="T874">
            <v>4.0731697459999996</v>
          </cell>
          <cell r="U874">
            <v>4.1079045809999997</v>
          </cell>
          <cell r="V874">
            <v>4.1405790769999999</v>
          </cell>
          <cell r="W874">
            <v>4.1742985800000003</v>
          </cell>
          <cell r="X874">
            <v>4.2085891459999996</v>
          </cell>
          <cell r="Y874">
            <v>4.2432817529999998</v>
          </cell>
          <cell r="Z874">
            <v>4.278371183</v>
          </cell>
          <cell r="AA874">
            <v>4.3081330009999999</v>
          </cell>
          <cell r="AB874">
            <v>4.3386139830000001</v>
          </cell>
          <cell r="AC874">
            <v>4.369617689</v>
          </cell>
          <cell r="AD874">
            <v>4.4011083659999999</v>
          </cell>
          <cell r="AE874">
            <v>4.4331770690000001</v>
          </cell>
          <cell r="AF874">
            <v>4.4659316970000003</v>
          </cell>
          <cell r="AG874">
            <v>4.4995028289999999</v>
          </cell>
          <cell r="AH874">
            <v>4.5339328569999999</v>
          </cell>
          <cell r="AI874">
            <v>4.5692611279999999</v>
          </cell>
          <cell r="AJ874">
            <v>4.6055114440000002</v>
          </cell>
          <cell r="AK874">
            <v>4.6426915409999996</v>
          </cell>
          <cell r="AL874">
            <v>4.6798194339999997</v>
          </cell>
          <cell r="AM874">
            <v>4.7172989210000003</v>
          </cell>
          <cell r="AN874">
            <v>4.7553654669999998</v>
          </cell>
          <cell r="AO874">
            <v>4.7941339340000004</v>
          </cell>
          <cell r="AP874">
            <v>4.8336601220000004</v>
          </cell>
          <cell r="AQ874">
            <v>4.8740330050000003</v>
          </cell>
          <cell r="AR874">
            <v>4.9152215699999999</v>
          </cell>
          <cell r="AS874">
            <v>4.9572177269999997</v>
          </cell>
          <cell r="AT874">
            <v>5.0000150489999999</v>
          </cell>
          <cell r="AU874">
            <v>5.0436038090000004</v>
          </cell>
          <cell r="AV874">
            <v>5.0883188239999999</v>
          </cell>
          <cell r="AW874">
            <v>5.133946377</v>
          </cell>
          <cell r="AX874">
            <v>5.1804198919999997</v>
          </cell>
          <cell r="AY874">
            <v>5.2277140089999996</v>
          </cell>
          <cell r="AZ874">
            <v>5.275810742</v>
          </cell>
          <cell r="BA874">
            <v>5.8457940060000002</v>
          </cell>
          <cell r="BB874">
            <v>5.9197668380000001</v>
          </cell>
          <cell r="BC874">
            <v>5.9951217950000002</v>
          </cell>
          <cell r="BD874">
            <v>6.0718654030000003</v>
          </cell>
          <cell r="BE874">
            <v>6.150006093</v>
          </cell>
        </row>
        <row r="876">
          <cell r="A876" t="str">
            <v>ems_ci_co2_seco_2</v>
          </cell>
          <cell r="B876">
            <v>7.3584416749999999</v>
          </cell>
          <cell r="C876">
            <v>7.3863438620000004</v>
          </cell>
          <cell r="D876">
            <v>7.4148620980000004</v>
          </cell>
          <cell r="E876">
            <v>7.4466125439999997</v>
          </cell>
          <cell r="F876">
            <v>7.4855055540000004</v>
          </cell>
          <cell r="G876">
            <v>7.5327732080000001</v>
          </cell>
          <cell r="H876">
            <v>7.5842619950000003</v>
          </cell>
          <cell r="I876">
            <v>7.6401660299999996</v>
          </cell>
          <cell r="J876">
            <v>7.6996130589999998</v>
          </cell>
          <cell r="K876">
            <v>7.7614899959999999</v>
          </cell>
          <cell r="L876">
            <v>7.8236182840000001</v>
          </cell>
          <cell r="M876">
            <v>7.8924678610000001</v>
          </cell>
          <cell r="N876">
            <v>7.9635235279999996</v>
          </cell>
          <cell r="O876">
            <v>8.0354331660000007</v>
          </cell>
          <cell r="P876">
            <v>8.1077227870000002</v>
          </cell>
          <cell r="Q876">
            <v>8.1801427849999993</v>
          </cell>
          <cell r="R876">
            <v>8.2522632799999993</v>
          </cell>
          <cell r="S876">
            <v>8.324182768</v>
          </cell>
          <cell r="T876">
            <v>8.3959217230000007</v>
          </cell>
          <cell r="U876">
            <v>8.467519759</v>
          </cell>
          <cell r="V876">
            <v>8.5348708710000007</v>
          </cell>
          <cell r="W876">
            <v>8.6043760299999992</v>
          </cell>
          <cell r="X876">
            <v>8.6750583050000003</v>
          </cell>
          <cell r="Y876">
            <v>8.7465692980000007</v>
          </cell>
          <cell r="Z876">
            <v>8.8188982520000003</v>
          </cell>
          <cell r="AA876">
            <v>8.8802455350000002</v>
          </cell>
          <cell r="AB876">
            <v>8.9430752130000002</v>
          </cell>
          <cell r="AC876">
            <v>9.0069823670000009</v>
          </cell>
          <cell r="AD876">
            <v>9.0718933009999994</v>
          </cell>
          <cell r="AE876">
            <v>9.1379957080000001</v>
          </cell>
          <cell r="AF876">
            <v>9.2055119940000001</v>
          </cell>
          <cell r="AG876">
            <v>9.2747113179999996</v>
          </cell>
          <cell r="AH876">
            <v>9.3456810650000008</v>
          </cell>
          <cell r="AI876">
            <v>9.4185023359999995</v>
          </cell>
          <cell r="AJ876">
            <v>9.4932241939999997</v>
          </cell>
          <cell r="AK876">
            <v>9.5698625869999994</v>
          </cell>
          <cell r="AL876">
            <v>9.6463933730000004</v>
          </cell>
          <cell r="AM876">
            <v>9.7236488909999998</v>
          </cell>
          <cell r="AN876">
            <v>9.802114499</v>
          </cell>
          <cell r="AO876">
            <v>9.8820269589999992</v>
          </cell>
          <cell r="AP876">
            <v>9.963501291</v>
          </cell>
          <cell r="AQ876">
            <v>10.04672089</v>
          </cell>
          <cell r="AR876">
            <v>10.131621839999999</v>
          </cell>
          <cell r="AS876">
            <v>10.218187459999999</v>
          </cell>
          <cell r="AT876">
            <v>10.30640449</v>
          </cell>
          <cell r="AU876">
            <v>10.3962529</v>
          </cell>
          <cell r="AV876">
            <v>10.488422829999999</v>
          </cell>
          <cell r="AW876">
            <v>10.58247375</v>
          </cell>
          <cell r="AX876">
            <v>10.678268429999999</v>
          </cell>
          <cell r="AY876">
            <v>10.775754600000001</v>
          </cell>
          <cell r="AZ876">
            <v>10.874895179999999</v>
          </cell>
          <cell r="BA876">
            <v>12.04978725</v>
          </cell>
          <cell r="BB876">
            <v>12.202265580000001</v>
          </cell>
          <cell r="BC876">
            <v>12.35759285</v>
          </cell>
          <cell r="BD876">
            <v>12.5157825</v>
          </cell>
          <cell r="BE876">
            <v>12.67685193</v>
          </cell>
        </row>
        <row r="878">
          <cell r="A878" t="str">
            <v>ems_ci_co2_sech_2</v>
          </cell>
          <cell r="B878">
            <v>9.5964668549999992</v>
          </cell>
          <cell r="C878">
            <v>9.6710137960000004</v>
          </cell>
          <cell r="D878">
            <v>9.7476781490000004</v>
          </cell>
          <cell r="E878">
            <v>9.8252877870000006</v>
          </cell>
          <cell r="F878">
            <v>9.9068076289999993</v>
          </cell>
          <cell r="G878">
            <v>9.9940299229999994</v>
          </cell>
          <cell r="H878">
            <v>10.08053342</v>
          </cell>
          <cell r="I878">
            <v>10.169085900000001</v>
          </cell>
          <cell r="J878">
            <v>10.26056786</v>
          </cell>
          <cell r="K878">
            <v>10.35471261</v>
          </cell>
          <cell r="L878">
            <v>10.456589230000001</v>
          </cell>
          <cell r="M878">
            <v>10.561061840000001</v>
          </cell>
          <cell r="N878">
            <v>10.66572019</v>
          </cell>
          <cell r="O878">
            <v>10.77045195</v>
          </cell>
          <cell r="P878">
            <v>10.8752938</v>
          </cell>
          <cell r="Q878">
            <v>10.98018368</v>
          </cell>
          <cell r="R878">
            <v>11.084836640000001</v>
          </cell>
          <cell r="S878">
            <v>11.189297850000001</v>
          </cell>
          <cell r="T878">
            <v>11.293534449999999</v>
          </cell>
          <cell r="U878">
            <v>11.39753853</v>
          </cell>
          <cell r="V878">
            <v>11.49347614</v>
          </cell>
          <cell r="W878">
            <v>11.59318524</v>
          </cell>
          <cell r="X878">
            <v>11.695077299999999</v>
          </cell>
          <cell r="Y878">
            <v>11.79810468</v>
          </cell>
          <cell r="Z878">
            <v>11.90188899</v>
          </cell>
          <cell r="AA878">
            <v>11.98440158</v>
          </cell>
          <cell r="AB878">
            <v>12.068203260000001</v>
          </cell>
          <cell r="AC878">
            <v>12.15356738</v>
          </cell>
          <cell r="AD878">
            <v>12.240114159999999</v>
          </cell>
          <cell r="AE878">
            <v>12.32776786</v>
          </cell>
          <cell r="AF878">
            <v>12.416586669999999</v>
          </cell>
          <cell r="AG878">
            <v>12.50671562</v>
          </cell>
          <cell r="AH878">
            <v>12.59820245</v>
          </cell>
          <cell r="AI878">
            <v>12.69110993</v>
          </cell>
          <cell r="AJ878">
            <v>12.785483449999999</v>
          </cell>
          <cell r="AK878">
            <v>12.881344800000001</v>
          </cell>
          <cell r="AL878">
            <v>12.974278780000001</v>
          </cell>
          <cell r="AM878">
            <v>13.0663044</v>
          </cell>
          <cell r="AN878">
            <v>13.158696170000001</v>
          </cell>
          <cell r="AO878">
            <v>13.252056659999999</v>
          </cell>
          <cell r="AP878">
            <v>13.346645710000001</v>
          </cell>
          <cell r="AQ878">
            <v>13.44264658</v>
          </cell>
          <cell r="AR878">
            <v>13.54002391</v>
          </cell>
          <cell r="AS878">
            <v>13.638768280000001</v>
          </cell>
          <cell r="AT878">
            <v>13.738867920000001</v>
          </cell>
          <cell r="AU878">
            <v>13.840303649999999</v>
          </cell>
          <cell r="AV878">
            <v>13.943772190000001</v>
          </cell>
          <cell r="AW878">
            <v>14.04882759</v>
          </cell>
          <cell r="AX878">
            <v>14.155321410000001</v>
          </cell>
          <cell r="AY878">
            <v>14.263204740000001</v>
          </cell>
          <cell r="AZ878">
            <v>14.372448090000001</v>
          </cell>
          <cell r="BA878">
            <v>14.959048920000001</v>
          </cell>
          <cell r="BB878">
            <v>15.108809000000001</v>
          </cell>
          <cell r="BC878">
            <v>15.2610198</v>
          </cell>
          <cell r="BD878">
            <v>15.41566873</v>
          </cell>
          <cell r="BE878">
            <v>15.57277088</v>
          </cell>
        </row>
        <row r="880">
          <cell r="A880" t="str">
            <v>ems_ci_co2_seot_2</v>
          </cell>
          <cell r="B880">
            <v>1.3090350770000001</v>
          </cell>
          <cell r="C880">
            <v>1.3137026009999999</v>
          </cell>
          <cell r="D880">
            <v>1.3182875810000001</v>
          </cell>
          <cell r="E880">
            <v>1.3232975490000001</v>
          </cell>
          <cell r="F880">
            <v>1.32948877</v>
          </cell>
          <cell r="G880">
            <v>1.337139777</v>
          </cell>
          <cell r="H880">
            <v>1.345560256</v>
          </cell>
          <cell r="I880">
            <v>1.3548162450000001</v>
          </cell>
          <cell r="J880">
            <v>1.3647709269999999</v>
          </cell>
          <cell r="K880">
            <v>1.375234909</v>
          </cell>
          <cell r="L880">
            <v>1.3858177119999999</v>
          </cell>
          <cell r="M880">
            <v>1.3976674120000001</v>
          </cell>
          <cell r="N880">
            <v>1.409987699</v>
          </cell>
          <cell r="O880">
            <v>1.422540548</v>
          </cell>
          <cell r="P880">
            <v>1.4352401800000001</v>
          </cell>
          <cell r="Q880">
            <v>1.448037698</v>
          </cell>
          <cell r="R880">
            <v>1.4608505119999999</v>
          </cell>
          <cell r="S880">
            <v>1.473687961</v>
          </cell>
          <cell r="T880">
            <v>1.486544774</v>
          </cell>
          <cell r="U880">
            <v>1.4994188580000001</v>
          </cell>
          <cell r="V880">
            <v>1.511572643</v>
          </cell>
          <cell r="W880">
            <v>1.524129976</v>
          </cell>
          <cell r="X880">
            <v>1.5369102809999999</v>
          </cell>
          <cell r="Y880">
            <v>1.549845444</v>
          </cell>
          <cell r="Z880">
            <v>1.5629279739999999</v>
          </cell>
          <cell r="AA880">
            <v>1.5740573870000001</v>
          </cell>
          <cell r="AB880">
            <v>1.585432978</v>
          </cell>
          <cell r="AC880">
            <v>1.596976868</v>
          </cell>
          <cell r="AD880">
            <v>1.608672211</v>
          </cell>
          <cell r="AE880">
            <v>1.6205500639999999</v>
          </cell>
          <cell r="AF880">
            <v>1.6326488400000001</v>
          </cell>
          <cell r="AG880">
            <v>1.6450161409999999</v>
          </cell>
          <cell r="AH880">
            <v>1.6576683400000001</v>
          </cell>
          <cell r="AI880">
            <v>1.670621479</v>
          </cell>
          <cell r="AJ880">
            <v>1.6838864659999999</v>
          </cell>
          <cell r="AK880">
            <v>1.697468666</v>
          </cell>
          <cell r="AL880">
            <v>1.7110095279999999</v>
          </cell>
          <cell r="AM880">
            <v>1.7246578269999999</v>
          </cell>
          <cell r="AN880">
            <v>1.738501538</v>
          </cell>
          <cell r="AO880">
            <v>1.7525849659999999</v>
          </cell>
          <cell r="AP880">
            <v>1.766930879</v>
          </cell>
          <cell r="AQ880">
            <v>1.781573786</v>
          </cell>
          <cell r="AR880">
            <v>1.796504342</v>
          </cell>
          <cell r="AS880">
            <v>1.811721497</v>
          </cell>
          <cell r="AT880">
            <v>1.8272246750000001</v>
          </cell>
          <cell r="AU880">
            <v>1.8430119410000001</v>
          </cell>
          <cell r="AV880">
            <v>1.859206304</v>
          </cell>
          <cell r="AW880">
            <v>1.875731099</v>
          </cell>
          <cell r="AX880">
            <v>1.8925637280000001</v>
          </cell>
          <cell r="AY880">
            <v>1.909696573</v>
          </cell>
          <cell r="AZ880">
            <v>1.9271244199999999</v>
          </cell>
          <cell r="BA880">
            <v>2.1598708860000002</v>
          </cell>
          <cell r="BB880">
            <v>2.187238834</v>
          </cell>
          <cell r="BC880">
            <v>2.2150941770000001</v>
          </cell>
          <cell r="BD880">
            <v>2.2434400540000001</v>
          </cell>
          <cell r="BE880">
            <v>2.272280496</v>
          </cell>
        </row>
        <row r="882">
          <cell r="A882" t="str">
            <v>ems_y_co2_sagr_2</v>
          </cell>
          <cell r="B882">
            <v>2.7083075099999999E-2</v>
          </cell>
          <cell r="C882">
            <v>2.7146355300000001E-2</v>
          </cell>
          <cell r="D882">
            <v>2.7283454200000001E-2</v>
          </cell>
          <cell r="E882">
            <v>2.7485447900000001E-2</v>
          </cell>
          <cell r="F882">
            <v>2.7745162199999999E-2</v>
          </cell>
          <cell r="G882">
            <v>2.8053501599999999E-2</v>
          </cell>
          <cell r="H882">
            <v>2.8384223600000001E-2</v>
          </cell>
          <cell r="I882">
            <v>2.87391548E-2</v>
          </cell>
          <cell r="J882">
            <v>2.9113834299999999E-2</v>
          </cell>
          <cell r="K882">
            <v>2.9504267000000001E-2</v>
          </cell>
          <cell r="L882">
            <v>2.9895932399999998E-2</v>
          </cell>
          <cell r="M882">
            <v>3.0337779400000001E-2</v>
          </cell>
          <cell r="N882">
            <v>3.07924238E-2</v>
          </cell>
          <cell r="O882">
            <v>3.12562786E-2</v>
          </cell>
          <cell r="P882">
            <v>3.1727409499999998E-2</v>
          </cell>
          <cell r="Q882">
            <v>3.22044108E-2</v>
          </cell>
          <cell r="R882">
            <v>3.2684499700000001E-2</v>
          </cell>
          <cell r="S882">
            <v>3.3167797999999998E-2</v>
          </cell>
          <cell r="T882">
            <v>3.3653886299999998E-2</v>
          </cell>
          <cell r="U882">
            <v>3.4142595099999999E-2</v>
          </cell>
          <cell r="V882">
            <v>3.46128562E-2</v>
          </cell>
          <cell r="W882">
            <v>3.5097333600000002E-2</v>
          </cell>
          <cell r="X882">
            <v>3.5587450200000002E-2</v>
          </cell>
          <cell r="Y882">
            <v>3.6082806000000002E-2</v>
          </cell>
          <cell r="Z882">
            <v>3.65834279E-2</v>
          </cell>
          <cell r="AA882">
            <v>3.7029085099999998E-2</v>
          </cell>
          <cell r="AB882">
            <v>3.7485071100000003E-2</v>
          </cell>
          <cell r="AC882">
            <v>3.7941279100000003E-2</v>
          </cell>
          <cell r="AD882">
            <v>3.8399325300000002E-2</v>
          </cell>
          <cell r="AE882">
            <v>3.8860991499999997E-2</v>
          </cell>
          <cell r="AF882">
            <v>3.9327748099999997E-2</v>
          </cell>
          <cell r="AG882">
            <v>3.9801180200000001E-2</v>
          </cell>
          <cell r="AH882">
            <v>4.0281758600000002E-2</v>
          </cell>
          <cell r="AI882">
            <v>4.07698887E-2</v>
          </cell>
          <cell r="AJ882">
            <v>4.1265754000000002E-2</v>
          </cell>
          <cell r="AK882">
            <v>4.1769404900000001E-2</v>
          </cell>
          <cell r="AL882">
            <v>4.2271278900000001E-2</v>
          </cell>
          <cell r="AM882">
            <v>4.2776427399999997E-2</v>
          </cell>
          <cell r="AN882">
            <v>4.3286190400000001E-2</v>
          </cell>
          <cell r="AO882">
            <v>4.3801327700000003E-2</v>
          </cell>
          <cell r="AP882">
            <v>4.4322456199999999E-2</v>
          </cell>
          <cell r="AQ882">
            <v>4.4850926399999998E-2</v>
          </cell>
          <cell r="AR882">
            <v>4.5386779500000002E-2</v>
          </cell>
          <cell r="AS882">
            <v>4.5930279900000003E-2</v>
          </cell>
          <cell r="AT882">
            <v>4.6481555000000001E-2</v>
          </cell>
          <cell r="AU882">
            <v>4.7040643799999997E-2</v>
          </cell>
          <cell r="AV882">
            <v>4.7611710199999997E-2</v>
          </cell>
          <cell r="AW882">
            <v>4.81926035E-2</v>
          </cell>
          <cell r="AX882">
            <v>4.8782867600000002E-2</v>
          </cell>
          <cell r="AY882">
            <v>4.9382013099999997E-2</v>
          </cell>
          <cell r="AZ882">
            <v>4.9989622300000001E-2</v>
          </cell>
          <cell r="BA882">
            <v>6.0330790299999999E-2</v>
          </cell>
          <cell r="BB882">
            <v>6.1318025399999997E-2</v>
          </cell>
          <cell r="BC882">
            <v>6.2321753899999999E-2</v>
          </cell>
          <cell r="BD882">
            <v>6.3342322300000004E-2</v>
          </cell>
          <cell r="BE882">
            <v>6.4380092700000002E-2</v>
          </cell>
        </row>
        <row r="883">
          <cell r="A883" t="str">
            <v>ems_mat_co2_spub_2</v>
          </cell>
          <cell r="B883">
            <v>4.2751551729999999</v>
          </cell>
          <cell r="C883">
            <v>4.3315130279999998</v>
          </cell>
          <cell r="D883">
            <v>4.3946335310000002</v>
          </cell>
          <cell r="E883">
            <v>4.4608968300000003</v>
          </cell>
          <cell r="F883">
            <v>4.5297102359999997</v>
          </cell>
          <cell r="G883">
            <v>4.6008297000000002</v>
          </cell>
          <cell r="H883">
            <v>4.6703248300000002</v>
          </cell>
          <cell r="I883">
            <v>4.7409645459999998</v>
          </cell>
          <cell r="J883">
            <v>4.813007968</v>
          </cell>
          <cell r="K883">
            <v>4.8864098629999999</v>
          </cell>
          <cell r="L883">
            <v>4.9667291689999997</v>
          </cell>
          <cell r="M883">
            <v>5.0440184910000001</v>
          </cell>
          <cell r="N883">
            <v>5.1221865270000002</v>
          </cell>
          <cell r="O883">
            <v>5.2016177490000004</v>
          </cell>
          <cell r="P883">
            <v>5.2823104900000004</v>
          </cell>
          <cell r="Q883">
            <v>5.3642337700000002</v>
          </cell>
          <cell r="R883">
            <v>5.4473219320000004</v>
          </cell>
          <cell r="S883">
            <v>5.5315817239999996</v>
          </cell>
          <cell r="T883">
            <v>5.6170169369999998</v>
          </cell>
          <cell r="U883">
            <v>5.7036350010000003</v>
          </cell>
          <cell r="V883">
            <v>5.7866278480000002</v>
          </cell>
          <cell r="W883">
            <v>5.8747219570000002</v>
          </cell>
          <cell r="X883">
            <v>5.9645946170000004</v>
          </cell>
          <cell r="Y883">
            <v>6.0558421989999998</v>
          </cell>
          <cell r="Z883">
            <v>6.1484319469999997</v>
          </cell>
          <cell r="AA883">
            <v>6.2284222790000001</v>
          </cell>
          <cell r="AB883">
            <v>6.3144443480000003</v>
          </cell>
          <cell r="AC883">
            <v>6.4020869869999997</v>
          </cell>
          <cell r="AD883">
            <v>6.4908686270000002</v>
          </cell>
          <cell r="AE883">
            <v>6.5808001950000001</v>
          </cell>
          <cell r="AF883">
            <v>6.671944388</v>
          </cell>
          <cell r="AG883">
            <v>6.7643699919999998</v>
          </cell>
          <cell r="AH883">
            <v>6.8581137380000001</v>
          </cell>
          <cell r="AI883">
            <v>6.9532042220000001</v>
          </cell>
          <cell r="AJ883">
            <v>7.0496629449999997</v>
          </cell>
          <cell r="AK883">
            <v>7.1475069299999996</v>
          </cell>
          <cell r="AL883">
            <v>7.2434868029999997</v>
          </cell>
          <cell r="AM883">
            <v>7.340259971</v>
          </cell>
          <cell r="AN883">
            <v>7.4381935549999998</v>
          </cell>
          <cell r="AO883">
            <v>7.5373695039999999</v>
          </cell>
          <cell r="AP883">
            <v>7.6378352469999999</v>
          </cell>
          <cell r="AQ883">
            <v>7.7396539459999998</v>
          </cell>
          <cell r="AR883">
            <v>7.8428538760000004</v>
          </cell>
          <cell r="AS883">
            <v>7.9474627629999999</v>
          </cell>
          <cell r="AT883">
            <v>8.0535042719999996</v>
          </cell>
          <cell r="AU883">
            <v>8.1609981670000007</v>
          </cell>
          <cell r="AV883">
            <v>8.270345399</v>
          </cell>
          <cell r="AW883">
            <v>8.3812835939999992</v>
          </cell>
          <cell r="AX883">
            <v>8.4937784910000005</v>
          </cell>
          <cell r="AY883">
            <v>8.6078285149999996</v>
          </cell>
          <cell r="AZ883">
            <v>8.7234395330000005</v>
          </cell>
          <cell r="BA883">
            <v>9.7775559039999997</v>
          </cell>
          <cell r="BB883">
            <v>9.9451361689999995</v>
          </cell>
          <cell r="BC883">
            <v>10.115565180000001</v>
          </cell>
          <cell r="BD883">
            <v>10.288894020000001</v>
          </cell>
          <cell r="BE883">
            <v>10.46517543</v>
          </cell>
        </row>
        <row r="884">
          <cell r="A884" t="str">
            <v>ems_mat_co2_sgla_2</v>
          </cell>
          <cell r="B884">
            <v>10.803147940000001</v>
          </cell>
          <cell r="C884">
            <v>10.87079584</v>
          </cell>
          <cell r="D884">
            <v>10.9738769</v>
          </cell>
          <cell r="E884">
            <v>11.09716463</v>
          </cell>
          <cell r="F884">
            <v>11.235013009999999</v>
          </cell>
          <cell r="G884">
            <v>11.38401867</v>
          </cell>
          <cell r="H884">
            <v>11.53608496</v>
          </cell>
          <cell r="I884">
            <v>11.692066499999999</v>
          </cell>
          <cell r="J884">
            <v>11.851717219999999</v>
          </cell>
          <cell r="K884">
            <v>12.01465509</v>
          </cell>
          <cell r="L884">
            <v>12.176615760000001</v>
          </cell>
          <cell r="M884">
            <v>12.35441496</v>
          </cell>
          <cell r="N884">
            <v>12.538171180000001</v>
          </cell>
          <cell r="O884">
            <v>12.725622850000001</v>
          </cell>
          <cell r="P884">
            <v>12.91605884</v>
          </cell>
          <cell r="Q884">
            <v>13.109227130000001</v>
          </cell>
          <cell r="R884">
            <v>13.30440533</v>
          </cell>
          <cell r="S884">
            <v>13.50204347</v>
          </cell>
          <cell r="T884">
            <v>13.702346220000001</v>
          </cell>
          <cell r="U884">
            <v>13.905490650000001</v>
          </cell>
          <cell r="V884">
            <v>14.104702100000001</v>
          </cell>
          <cell r="W884">
            <v>14.31014712</v>
          </cell>
          <cell r="X884">
            <v>14.520140169999999</v>
          </cell>
          <cell r="Y884">
            <v>14.734336989999999</v>
          </cell>
          <cell r="Z884">
            <v>14.95269862</v>
          </cell>
          <cell r="AA884">
            <v>15.15530313</v>
          </cell>
          <cell r="AB884">
            <v>15.36163459</v>
          </cell>
          <cell r="AC884">
            <v>15.570226419999999</v>
          </cell>
          <cell r="AD884">
            <v>15.78113345</v>
          </cell>
          <cell r="AE884">
            <v>15.99465399</v>
          </cell>
          <cell r="AF884">
            <v>16.211060109999998</v>
          </cell>
          <cell r="AG884">
            <v>16.430741430000001</v>
          </cell>
          <cell r="AH884">
            <v>16.65368037</v>
          </cell>
          <cell r="AI884">
            <v>16.879864529999999</v>
          </cell>
          <cell r="AJ884">
            <v>17.10923249</v>
          </cell>
          <cell r="AK884">
            <v>17.341682290000001</v>
          </cell>
          <cell r="AL884">
            <v>17.574224600000001</v>
          </cell>
          <cell r="AM884">
            <v>17.807595030000002</v>
          </cell>
          <cell r="AN884">
            <v>18.042142460000001</v>
          </cell>
          <cell r="AO884">
            <v>18.278035819999999</v>
          </cell>
          <cell r="AP884">
            <v>18.515376870000001</v>
          </cell>
          <cell r="AQ884">
            <v>18.75456853</v>
          </cell>
          <cell r="AR884">
            <v>18.99548476</v>
          </cell>
          <cell r="AS884">
            <v>19.238117469999999</v>
          </cell>
          <cell r="AT884">
            <v>19.48246284</v>
          </cell>
          <cell r="AU884">
            <v>19.728508120000001</v>
          </cell>
          <cell r="AV884">
            <v>19.977842500000001</v>
          </cell>
          <cell r="AW884">
            <v>20.229609679999999</v>
          </cell>
          <cell r="AX884">
            <v>20.483549239999999</v>
          </cell>
          <cell r="AY884">
            <v>20.73952182</v>
          </cell>
          <cell r="AZ884">
            <v>20.99744033</v>
          </cell>
          <cell r="BA884">
            <v>26.151007839999998</v>
          </cell>
          <cell r="BB884">
            <v>26.62064466</v>
          </cell>
          <cell r="BC884">
            <v>27.0963384</v>
          </cell>
          <cell r="BD884">
            <v>27.578048559999999</v>
          </cell>
          <cell r="BE884">
            <v>28.065744420000001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18">
          <cell r="A18" t="str">
            <v>auto_ca_cfut_2</v>
          </cell>
          <cell r="B18">
            <v>7095.7005250000002</v>
          </cell>
          <cell r="C18">
            <v>7137.1856889999999</v>
          </cell>
          <cell r="D18">
            <v>7223.8635400000003</v>
          </cell>
          <cell r="E18">
            <v>7341.3087210000003</v>
          </cell>
          <cell r="F18">
            <v>7480.0904090000004</v>
          </cell>
          <cell r="G18">
            <v>7634.2229630000002</v>
          </cell>
          <cell r="H18">
            <v>7798.7450339999996</v>
          </cell>
          <cell r="I18">
            <v>7971.1615160000001</v>
          </cell>
          <cell r="J18">
            <v>8149.767452</v>
          </cell>
          <cell r="K18">
            <v>8333.3341729999993</v>
          </cell>
          <cell r="L18">
            <v>8522.073316</v>
          </cell>
          <cell r="M18">
            <v>8714.1603279999999</v>
          </cell>
          <cell r="N18">
            <v>8909.4340570000004</v>
          </cell>
          <cell r="O18">
            <v>9107.5766949999997</v>
          </cell>
          <cell r="P18">
            <v>9308.2348129999991</v>
          </cell>
          <cell r="Q18">
            <v>9511.0414779999992</v>
          </cell>
          <cell r="R18">
            <v>9715.5762130000003</v>
          </cell>
          <cell r="S18">
            <v>9921.443851</v>
          </cell>
          <cell r="T18">
            <v>10128.27519</v>
          </cell>
          <cell r="U18">
            <v>10335.728090000001</v>
          </cell>
          <cell r="V18">
            <v>10541.875620000001</v>
          </cell>
          <cell r="W18">
            <v>10748.16617</v>
          </cell>
          <cell r="X18">
            <v>10954.396280000001</v>
          </cell>
          <cell r="Y18">
            <v>11160.42346</v>
          </cell>
          <cell r="Z18">
            <v>11366.13091</v>
          </cell>
          <cell r="AA18">
            <v>11566.681399999999</v>
          </cell>
          <cell r="AB18">
            <v>11764.82468</v>
          </cell>
          <cell r="AC18">
            <v>11960.709919999999</v>
          </cell>
          <cell r="AD18">
            <v>12154.59182</v>
          </cell>
          <cell r="AE18">
            <v>12346.761979999999</v>
          </cell>
          <cell r="AF18">
            <v>12537.51165</v>
          </cell>
          <cell r="AG18">
            <v>12727.126840000001</v>
          </cell>
          <cell r="AH18">
            <v>12915.85895</v>
          </cell>
          <cell r="AI18">
            <v>13103.928959999999</v>
          </cell>
          <cell r="AJ18">
            <v>13291.535330000001</v>
          </cell>
          <cell r="AK18">
            <v>13478.86004</v>
          </cell>
          <cell r="AL18">
            <v>13665.047930000001</v>
          </cell>
          <cell r="AM18">
            <v>13850.376099999999</v>
          </cell>
          <cell r="AN18">
            <v>14035.07885</v>
          </cell>
          <cell r="AO18">
            <v>14219.3992</v>
          </cell>
          <cell r="AP18">
            <v>14403.588809999999</v>
          </cell>
          <cell r="AQ18">
            <v>14587.91482</v>
          </cell>
          <cell r="AR18">
            <v>14772.608120000001</v>
          </cell>
          <cell r="AS18">
            <v>14957.8595</v>
          </cell>
          <cell r="AT18">
            <v>15143.822990000001</v>
          </cell>
          <cell r="AU18">
            <v>15330.61873</v>
          </cell>
          <cell r="AV18">
            <v>15518.519109999999</v>
          </cell>
          <cell r="AW18">
            <v>15707.60663</v>
          </cell>
          <cell r="AX18">
            <v>15897.90605</v>
          </cell>
          <cell r="AY18">
            <v>16089.4123</v>
          </cell>
          <cell r="AZ18">
            <v>16282.102070000001</v>
          </cell>
          <cell r="BA18">
            <v>18081.43362</v>
          </cell>
          <cell r="BB18">
            <v>18357.057929999999</v>
          </cell>
          <cell r="BC18">
            <v>18637.218840000001</v>
          </cell>
          <cell r="BD18">
            <v>18922.18578</v>
          </cell>
          <cell r="BE18">
            <v>19212.253079999999</v>
          </cell>
        </row>
        <row r="19">
          <cell r="A19" t="str">
            <v>auto_ca_cfut_0</v>
          </cell>
          <cell r="B19">
            <v>7095.7005250000002</v>
          </cell>
          <cell r="C19">
            <v>7145.1881139999996</v>
          </cell>
          <cell r="D19">
            <v>7246.0534660000003</v>
          </cell>
          <cell r="E19">
            <v>7381.6108949999998</v>
          </cell>
          <cell r="F19">
            <v>7540.7730149999998</v>
          </cell>
          <cell r="G19">
            <v>7716.3454810000003</v>
          </cell>
          <cell r="H19">
            <v>7902.5358150000002</v>
          </cell>
          <cell r="I19">
            <v>8096.314335</v>
          </cell>
          <cell r="J19">
            <v>8295.6681740000004</v>
          </cell>
          <cell r="K19">
            <v>8499.2177140000003</v>
          </cell>
          <cell r="L19">
            <v>8708.0686860000005</v>
          </cell>
          <cell r="M19">
            <v>8919.2943759999998</v>
          </cell>
          <cell r="N19">
            <v>9132.2456760000005</v>
          </cell>
          <cell r="O19">
            <v>9346.3567210000001</v>
          </cell>
          <cell r="P19">
            <v>9561.1642680000004</v>
          </cell>
          <cell r="Q19">
            <v>9776.3003790000002</v>
          </cell>
          <cell r="R19">
            <v>9991.4774649999999</v>
          </cell>
          <cell r="S19">
            <v>10206.472970000001</v>
          </cell>
          <cell r="T19">
            <v>10421.116620000001</v>
          </cell>
          <cell r="U19">
            <v>10635.28109</v>
          </cell>
          <cell r="V19">
            <v>10847.227699999999</v>
          </cell>
          <cell r="W19">
            <v>11058.634669999999</v>
          </cell>
          <cell r="X19">
            <v>11269.50849</v>
          </cell>
          <cell r="Y19">
            <v>11479.89775</v>
          </cell>
          <cell r="Z19">
            <v>11689.85656</v>
          </cell>
          <cell r="AA19">
            <v>11894.61527</v>
          </cell>
          <cell r="AB19">
            <v>12097.035309999999</v>
          </cell>
          <cell r="AC19">
            <v>12297.38128</v>
          </cell>
          <cell r="AD19">
            <v>12496.02024</v>
          </cell>
          <cell r="AE19">
            <v>12693.3424</v>
          </cell>
          <cell r="AF19">
            <v>12889.7217</v>
          </cell>
          <cell r="AG19">
            <v>13085.498310000001</v>
          </cell>
          <cell r="AH19">
            <v>13280.974399999999</v>
          </cell>
          <cell r="AI19">
            <v>13476.416939999999</v>
          </cell>
          <cell r="AJ19">
            <v>13672.06379</v>
          </cell>
          <cell r="AK19">
            <v>13868.130010000001</v>
          </cell>
          <cell r="AL19">
            <v>14063.63243</v>
          </cell>
          <cell r="AM19">
            <v>14258.81358</v>
          </cell>
          <cell r="AN19">
            <v>14453.93002</v>
          </cell>
          <cell r="AO19">
            <v>14649.262930000001</v>
          </cell>
          <cell r="AP19">
            <v>14845.10396</v>
          </cell>
          <cell r="AQ19">
            <v>15041.738069999999</v>
          </cell>
          <cell r="AR19">
            <v>15239.4306</v>
          </cell>
          <cell r="AS19">
            <v>15438.41994</v>
          </cell>
          <cell r="AT19">
            <v>15638.9151</v>
          </cell>
          <cell r="AU19">
            <v>15841.096820000001</v>
          </cell>
          <cell r="AV19">
            <v>16045.22767</v>
          </cell>
          <cell r="AW19">
            <v>16251.436159999999</v>
          </cell>
          <cell r="AX19">
            <v>16459.83065</v>
          </cell>
          <cell r="AY19">
            <v>16670.50014</v>
          </cell>
          <cell r="AZ19">
            <v>16883.517739999999</v>
          </cell>
          <cell r="BA19">
            <v>18012.62011</v>
          </cell>
          <cell r="BB19">
            <v>18282.360379999998</v>
          </cell>
          <cell r="BC19">
            <v>18556.231739999999</v>
          </cell>
          <cell r="BD19">
            <v>18834.476409999999</v>
          </cell>
          <cell r="BE19">
            <v>19117.355759999999</v>
          </cell>
        </row>
        <row r="20">
          <cell r="A20" t="str">
            <v>auto_cb_cfut_2</v>
          </cell>
          <cell r="B20">
            <v>8251.256421</v>
          </cell>
          <cell r="C20">
            <v>8178.5394489999999</v>
          </cell>
          <cell r="D20">
            <v>8157.0040580000004</v>
          </cell>
          <cell r="E20">
            <v>8171.89984</v>
          </cell>
          <cell r="F20">
            <v>8213.4013040000009</v>
          </cell>
          <cell r="G20">
            <v>8275.0824979999998</v>
          </cell>
          <cell r="H20">
            <v>8351.5852489999997</v>
          </cell>
          <cell r="I20">
            <v>8439.9731080000001</v>
          </cell>
          <cell r="J20">
            <v>8538.1194250000008</v>
          </cell>
          <cell r="K20">
            <v>8644.3984299999993</v>
          </cell>
          <cell r="L20">
            <v>8758.586174</v>
          </cell>
          <cell r="M20">
            <v>8878.574568</v>
          </cell>
          <cell r="N20">
            <v>9003.8428810000005</v>
          </cell>
          <cell r="O20">
            <v>9133.7465969999994</v>
          </cell>
          <cell r="P20">
            <v>9267.6340839999993</v>
          </cell>
          <cell r="Q20">
            <v>9404.8680239999994</v>
          </cell>
          <cell r="R20">
            <v>9544.7877119999994</v>
          </cell>
          <cell r="S20">
            <v>9686.780385</v>
          </cell>
          <cell r="T20">
            <v>9830.2797119999996</v>
          </cell>
          <cell r="U20">
            <v>9974.7645470000007</v>
          </cell>
          <cell r="V20">
            <v>10118.29191</v>
          </cell>
          <cell r="W20">
            <v>10262.01318</v>
          </cell>
          <cell r="X20">
            <v>10405.583409999999</v>
          </cell>
          <cell r="Y20">
            <v>10548.72442</v>
          </cell>
          <cell r="Z20">
            <v>10691.19181</v>
          </cell>
          <cell r="AA20">
            <v>10828.541209999999</v>
          </cell>
          <cell r="AB20">
            <v>10963.14328</v>
          </cell>
          <cell r="AC20">
            <v>11095.041310000001</v>
          </cell>
          <cell r="AD20">
            <v>11224.37455</v>
          </cell>
          <cell r="AE20">
            <v>11351.315710000001</v>
          </cell>
          <cell r="AF20">
            <v>11476.03751</v>
          </cell>
          <cell r="AG20">
            <v>11598.708000000001</v>
          </cell>
          <cell r="AH20">
            <v>11719.46473</v>
          </cell>
          <cell r="AI20">
            <v>11838.41814</v>
          </cell>
          <cell r="AJ20">
            <v>11955.658509999999</v>
          </cell>
          <cell r="AK20">
            <v>12071.261060000001</v>
          </cell>
          <cell r="AL20">
            <v>12184.418320000001</v>
          </cell>
          <cell r="AM20">
            <v>12295.29732</v>
          </cell>
          <cell r="AN20">
            <v>12404.02657</v>
          </cell>
          <cell r="AO20">
            <v>12510.739030000001</v>
          </cell>
          <cell r="AP20">
            <v>12615.57173</v>
          </cell>
          <cell r="AQ20">
            <v>12718.671609999999</v>
          </cell>
          <cell r="AR20">
            <v>12820.15257</v>
          </cell>
          <cell r="AS20">
            <v>12920.092570000001</v>
          </cell>
          <cell r="AT20">
            <v>13018.536889999999</v>
          </cell>
          <cell r="AU20">
            <v>13115.50107</v>
          </cell>
          <cell r="AV20">
            <v>13211.121779999999</v>
          </cell>
          <cell r="AW20">
            <v>13305.379000000001</v>
          </cell>
          <cell r="AX20">
            <v>13398.20391</v>
          </cell>
          <cell r="AY20">
            <v>13489.50229</v>
          </cell>
          <cell r="AZ20">
            <v>13579.16474</v>
          </cell>
          <cell r="BA20">
            <v>14944.95203</v>
          </cell>
          <cell r="BB20">
            <v>15091.13233</v>
          </cell>
          <cell r="BC20">
            <v>15237.753839999999</v>
          </cell>
          <cell r="BD20">
            <v>15384.92359</v>
          </cell>
          <cell r="BE20">
            <v>15532.76332</v>
          </cell>
        </row>
        <row r="21">
          <cell r="A21" t="str">
            <v>auto_cb_cfut_0</v>
          </cell>
          <cell r="B21">
            <v>8251.256421</v>
          </cell>
          <cell r="C21">
            <v>8186.1344760000002</v>
          </cell>
          <cell r="D21">
            <v>8177.9674539999996</v>
          </cell>
          <cell r="E21">
            <v>8209.798949</v>
          </cell>
          <cell r="F21">
            <v>8270.2092530000009</v>
          </cell>
          <cell r="G21">
            <v>8351.6250650000002</v>
          </cell>
          <cell r="H21">
            <v>8447.9102910000001</v>
          </cell>
          <cell r="I21">
            <v>8555.6340240000009</v>
          </cell>
          <cell r="J21">
            <v>8672.3901740000001</v>
          </cell>
          <cell r="K21">
            <v>8796.4214159999992</v>
          </cell>
          <cell r="L21">
            <v>8928.3437560000002</v>
          </cell>
          <cell r="M21">
            <v>9065.0210960000004</v>
          </cell>
          <cell r="N21">
            <v>9205.4946600000003</v>
          </cell>
          <cell r="O21">
            <v>9348.914863</v>
          </cell>
          <cell r="P21">
            <v>9494.5557960000006</v>
          </cell>
          <cell r="Q21">
            <v>9641.8051699999996</v>
          </cell>
          <cell r="R21">
            <v>9790.147669</v>
          </cell>
          <cell r="S21">
            <v>9939.1483810000009</v>
          </cell>
          <cell r="T21">
            <v>10088.43888</v>
          </cell>
          <cell r="U21">
            <v>10237.70664</v>
          </cell>
          <cell r="V21">
            <v>10385.19296</v>
          </cell>
          <cell r="W21">
            <v>10532.261329999999</v>
          </cell>
          <cell r="X21">
            <v>10678.761189999999</v>
          </cell>
          <cell r="Y21">
            <v>10824.58869</v>
          </cell>
          <cell r="Z21">
            <v>10969.65295</v>
          </cell>
          <cell r="AA21">
            <v>11109.57706</v>
          </cell>
          <cell r="AB21">
            <v>11246.82293</v>
          </cell>
          <cell r="AC21">
            <v>11381.53184</v>
          </cell>
          <cell r="AD21">
            <v>11513.936960000001</v>
          </cell>
          <cell r="AE21">
            <v>11644.29176</v>
          </cell>
          <cell r="AF21">
            <v>11772.83489</v>
          </cell>
          <cell r="AG21">
            <v>11899.77476</v>
          </cell>
          <cell r="AH21">
            <v>12025.285809999999</v>
          </cell>
          <cell r="AI21">
            <v>12149.511109999999</v>
          </cell>
          <cell r="AJ21">
            <v>12272.56768</v>
          </cell>
          <cell r="AK21">
            <v>12394.55207</v>
          </cell>
          <cell r="AL21">
            <v>12514.54242</v>
          </cell>
          <cell r="AM21">
            <v>12632.670630000001</v>
          </cell>
          <cell r="AN21">
            <v>12749.080190000001</v>
          </cell>
          <cell r="AO21">
            <v>12863.93367</v>
          </cell>
          <cell r="AP21">
            <v>12977.399820000001</v>
          </cell>
          <cell r="AQ21">
            <v>13089.638779999999</v>
          </cell>
          <cell r="AR21">
            <v>13200.7912</v>
          </cell>
          <cell r="AS21">
            <v>13310.97235</v>
          </cell>
          <cell r="AT21">
            <v>13420.27039</v>
          </cell>
          <cell r="AU21">
            <v>13528.747579999999</v>
          </cell>
          <cell r="AV21">
            <v>13636.529339999999</v>
          </cell>
          <cell r="AW21">
            <v>13743.62917</v>
          </cell>
          <cell r="AX21">
            <v>13850.042090000001</v>
          </cell>
          <cell r="AY21">
            <v>13955.74568</v>
          </cell>
          <cell r="AZ21">
            <v>14060.70319</v>
          </cell>
          <cell r="BA21">
            <v>14897.27658</v>
          </cell>
          <cell r="BB21">
            <v>15039.48724</v>
          </cell>
          <cell r="BC21">
            <v>15181.8681</v>
          </cell>
          <cell r="BD21">
            <v>15324.50747</v>
          </cell>
          <cell r="BE21">
            <v>15467.50431</v>
          </cell>
        </row>
        <row r="22">
          <cell r="A22" t="str">
            <v>auto_cc_cfut_2</v>
          </cell>
          <cell r="B22">
            <v>6777.6024520000001</v>
          </cell>
          <cell r="C22">
            <v>6643.9141769999997</v>
          </cell>
          <cell r="D22">
            <v>6551.4790940000003</v>
          </cell>
          <cell r="E22">
            <v>6489.4355310000001</v>
          </cell>
          <cell r="F22">
            <v>6450.4242880000002</v>
          </cell>
          <cell r="G22">
            <v>6429.5060249999997</v>
          </cell>
          <cell r="H22">
            <v>6422.5414030000002</v>
          </cell>
          <cell r="I22">
            <v>6427.1070959999997</v>
          </cell>
          <cell r="J22">
            <v>6441.3778359999997</v>
          </cell>
          <cell r="K22">
            <v>6463.9071910000002</v>
          </cell>
          <cell r="L22">
            <v>6494.2344329999996</v>
          </cell>
          <cell r="M22">
            <v>6530.6446690000002</v>
          </cell>
          <cell r="N22">
            <v>6572.5179029999999</v>
          </cell>
          <cell r="O22">
            <v>6619.168772</v>
          </cell>
          <cell r="P22">
            <v>6669.9274059999998</v>
          </cell>
          <cell r="Q22">
            <v>6724.154184</v>
          </cell>
          <cell r="R22">
            <v>6781.2139209999996</v>
          </cell>
          <cell r="S22">
            <v>6840.5221840000004</v>
          </cell>
          <cell r="T22">
            <v>6901.5426770000004</v>
          </cell>
          <cell r="U22">
            <v>6963.7847309999997</v>
          </cell>
          <cell r="V22">
            <v>7025.839841</v>
          </cell>
          <cell r="W22">
            <v>7088.3479399999997</v>
          </cell>
          <cell r="X22">
            <v>7150.9731309999997</v>
          </cell>
          <cell r="Y22">
            <v>7213.4325879999997</v>
          </cell>
          <cell r="Z22">
            <v>7275.4742759999999</v>
          </cell>
          <cell r="AA22">
            <v>7334.1514889999999</v>
          </cell>
          <cell r="AB22">
            <v>7390.9360530000004</v>
          </cell>
          <cell r="AC22">
            <v>7445.7983910000003</v>
          </cell>
          <cell r="AD22">
            <v>7498.7733090000002</v>
          </cell>
          <cell r="AE22">
            <v>7549.9189710000001</v>
          </cell>
          <cell r="AF22">
            <v>7599.2952560000003</v>
          </cell>
          <cell r="AG22">
            <v>7646.9605410000004</v>
          </cell>
          <cell r="AH22">
            <v>7692.9552739999999</v>
          </cell>
          <cell r="AI22">
            <v>7737.3040780000001</v>
          </cell>
          <cell r="AJ22">
            <v>7780.020066</v>
          </cell>
          <cell r="AK22">
            <v>7821.1080810000003</v>
          </cell>
          <cell r="AL22">
            <v>7860.03215</v>
          </cell>
          <cell r="AM22">
            <v>7896.8632980000002</v>
          </cell>
          <cell r="AN22">
            <v>7931.6491740000001</v>
          </cell>
          <cell r="AO22">
            <v>7964.4399089999997</v>
          </cell>
          <cell r="AP22">
            <v>7995.2878970000002</v>
          </cell>
          <cell r="AQ22">
            <v>8024.2513639999997</v>
          </cell>
          <cell r="AR22">
            <v>8051.3687470000004</v>
          </cell>
          <cell r="AS22">
            <v>8076.6571679999997</v>
          </cell>
          <cell r="AT22">
            <v>8100.1148080000003</v>
          </cell>
          <cell r="AU22">
            <v>8121.7229829999997</v>
          </cell>
          <cell r="AV22">
            <v>8141.5346579999996</v>
          </cell>
          <cell r="AW22">
            <v>8159.5114830000002</v>
          </cell>
          <cell r="AX22">
            <v>8175.5875619999997</v>
          </cell>
          <cell r="AY22">
            <v>8189.6836990000002</v>
          </cell>
          <cell r="AZ22">
            <v>8201.713855</v>
          </cell>
          <cell r="BA22">
            <v>8944.8946360000009</v>
          </cell>
          <cell r="BB22">
            <v>8984.7352420000007</v>
          </cell>
          <cell r="BC22">
            <v>9023.4650409999995</v>
          </cell>
          <cell r="BD22">
            <v>9061.1200069999995</v>
          </cell>
          <cell r="BE22">
            <v>9097.7437040000004</v>
          </cell>
        </row>
        <row r="23">
          <cell r="A23" t="str">
            <v>auto_cc_cfut_0</v>
          </cell>
          <cell r="B23">
            <v>6777.6024520000001</v>
          </cell>
          <cell r="C23">
            <v>6649.1114459999999</v>
          </cell>
          <cell r="D23">
            <v>6565.7578860000003</v>
          </cell>
          <cell r="E23">
            <v>6515.1295120000004</v>
          </cell>
          <cell r="F23">
            <v>6488.7621479999998</v>
          </cell>
          <cell r="G23">
            <v>6480.9323489999997</v>
          </cell>
          <cell r="H23">
            <v>6486.9770259999996</v>
          </cell>
          <cell r="I23">
            <v>6504.1443799999997</v>
          </cell>
          <cell r="J23">
            <v>6530.4276440000003</v>
          </cell>
          <cell r="K23">
            <v>6564.2992770000001</v>
          </cell>
          <cell r="L23">
            <v>6605.8686859999998</v>
          </cell>
          <cell r="M23">
            <v>6652.7305329999999</v>
          </cell>
          <cell r="N23">
            <v>6703.9825760000003</v>
          </cell>
          <cell r="O23">
            <v>6758.8198849999999</v>
          </cell>
          <cell r="P23">
            <v>6816.5419819999997</v>
          </cell>
          <cell r="Q23">
            <v>6876.5437400000001</v>
          </cell>
          <cell r="R23">
            <v>6938.3022259999998</v>
          </cell>
          <cell r="S23">
            <v>7001.3638840000003</v>
          </cell>
          <cell r="T23">
            <v>7065.3336909999998</v>
          </cell>
          <cell r="U23">
            <v>7129.8666780000003</v>
          </cell>
          <cell r="V23">
            <v>7193.6837830000004</v>
          </cell>
          <cell r="W23">
            <v>7257.5660749999997</v>
          </cell>
          <cell r="X23">
            <v>7321.3073169999998</v>
          </cell>
          <cell r="Y23">
            <v>7384.7393069999998</v>
          </cell>
          <cell r="Z23">
            <v>7447.7093590000004</v>
          </cell>
          <cell r="AA23">
            <v>7507.3186640000004</v>
          </cell>
          <cell r="AB23">
            <v>7565.0922330000003</v>
          </cell>
          <cell r="AC23">
            <v>7621.0602120000003</v>
          </cell>
          <cell r="AD23">
            <v>7675.3137589999997</v>
          </cell>
          <cell r="AE23">
            <v>7727.9584430000004</v>
          </cell>
          <cell r="AF23">
            <v>7779.0916399999996</v>
          </cell>
          <cell r="AG23">
            <v>7828.792751</v>
          </cell>
          <cell r="AH23">
            <v>7877.1208900000001</v>
          </cell>
          <cell r="AI23">
            <v>7924.1165979999996</v>
          </cell>
          <cell r="AJ23">
            <v>7969.8052250000001</v>
          </cell>
          <cell r="AK23">
            <v>8014.2005319999998</v>
          </cell>
          <cell r="AL23">
            <v>8056.6930320000001</v>
          </cell>
          <cell r="AM23">
            <v>8097.3287339999997</v>
          </cell>
          <cell r="AN23">
            <v>8136.1621290000003</v>
          </cell>
          <cell r="AO23">
            <v>8173.2598939999998</v>
          </cell>
          <cell r="AP23">
            <v>8208.6924849999996</v>
          </cell>
          <cell r="AQ23">
            <v>8242.5249899999999</v>
          </cell>
          <cell r="AR23">
            <v>8274.8106179999995</v>
          </cell>
          <cell r="AS23">
            <v>8305.5873279999996</v>
          </cell>
          <cell r="AT23">
            <v>8334.8770349999995</v>
          </cell>
          <cell r="AU23">
            <v>8362.6865560000006</v>
          </cell>
          <cell r="AV23">
            <v>8389.0597710000002</v>
          </cell>
          <cell r="AW23">
            <v>8413.975101</v>
          </cell>
          <cell r="AX23">
            <v>8437.4009509999996</v>
          </cell>
          <cell r="AY23">
            <v>8459.2966190000006</v>
          </cell>
          <cell r="AZ23">
            <v>8479.614345</v>
          </cell>
          <cell r="BA23">
            <v>8921.7440729999998</v>
          </cell>
          <cell r="BB23">
            <v>8959.6840950000005</v>
          </cell>
          <cell r="BC23">
            <v>8996.3812340000004</v>
          </cell>
          <cell r="BD23">
            <v>9031.8619600000002</v>
          </cell>
          <cell r="BE23">
            <v>9066.1583840000003</v>
          </cell>
        </row>
        <row r="24">
          <cell r="A24" t="str">
            <v>auto_cd_cfut_2</v>
          </cell>
          <cell r="B24">
            <v>4159.6639080000004</v>
          </cell>
          <cell r="C24">
            <v>4053.1994679999998</v>
          </cell>
          <cell r="D24">
            <v>3970.4311619999999</v>
          </cell>
          <cell r="E24">
            <v>3904.7906790000002</v>
          </cell>
          <cell r="F24">
            <v>3851.8168909999999</v>
          </cell>
          <cell r="G24">
            <v>3808.4912629999999</v>
          </cell>
          <cell r="H24">
            <v>3772.3277330000001</v>
          </cell>
          <cell r="I24">
            <v>3741.829823</v>
          </cell>
          <cell r="J24">
            <v>3715.8689279999999</v>
          </cell>
          <cell r="K24">
            <v>3693.5530189999999</v>
          </cell>
          <cell r="L24">
            <v>3674.5256490000002</v>
          </cell>
          <cell r="M24">
            <v>3657.8123030000002</v>
          </cell>
          <cell r="N24">
            <v>3642.9973500000001</v>
          </cell>
          <cell r="O24">
            <v>3629.6420939999998</v>
          </cell>
          <cell r="P24">
            <v>3617.3319780000002</v>
          </cell>
          <cell r="Q24">
            <v>3605.6865910000001</v>
          </cell>
          <cell r="R24">
            <v>3594.3478049999999</v>
          </cell>
          <cell r="S24">
            <v>3583.000164</v>
          </cell>
          <cell r="T24">
            <v>3571.3675640000001</v>
          </cell>
          <cell r="U24">
            <v>3559.2097520000002</v>
          </cell>
          <cell r="V24">
            <v>3545.9023590000002</v>
          </cell>
          <cell r="W24">
            <v>3531.7337670000002</v>
          </cell>
          <cell r="X24">
            <v>3516.5669050000001</v>
          </cell>
          <cell r="Y24">
            <v>3500.2942589999998</v>
          </cell>
          <cell r="Z24">
            <v>3482.8278100000002</v>
          </cell>
          <cell r="AA24">
            <v>3463.0105570000001</v>
          </cell>
          <cell r="AB24">
            <v>3441.4986749999998</v>
          </cell>
          <cell r="AC24">
            <v>3418.3343709999999</v>
          </cell>
          <cell r="AD24">
            <v>3393.5828499999998</v>
          </cell>
          <cell r="AE24">
            <v>3367.3153779999998</v>
          </cell>
          <cell r="AF24">
            <v>3339.6012059999998</v>
          </cell>
          <cell r="AG24">
            <v>3310.5067250000002</v>
          </cell>
          <cell r="AH24">
            <v>3280.089919</v>
          </cell>
          <cell r="AI24">
            <v>3248.4016040000001</v>
          </cell>
          <cell r="AJ24">
            <v>3215.4875059999999</v>
          </cell>
          <cell r="AK24">
            <v>3181.389909</v>
          </cell>
          <cell r="AL24">
            <v>3145.975418</v>
          </cell>
          <cell r="AM24">
            <v>3109.3184670000001</v>
          </cell>
          <cell r="AN24">
            <v>3071.4846729999999</v>
          </cell>
          <cell r="AO24">
            <v>3032.5389399999999</v>
          </cell>
          <cell r="AP24">
            <v>2992.5456810000001</v>
          </cell>
          <cell r="AQ24">
            <v>2951.5703530000001</v>
          </cell>
          <cell r="AR24">
            <v>2909.672317</v>
          </cell>
          <cell r="AS24">
            <v>2866.9048830000002</v>
          </cell>
          <cell r="AT24">
            <v>2823.3166190000002</v>
          </cell>
          <cell r="AU24">
            <v>2778.9524820000001</v>
          </cell>
          <cell r="AV24">
            <v>2733.8775350000001</v>
          </cell>
          <cell r="AW24">
            <v>2688.1334350000002</v>
          </cell>
          <cell r="AX24">
            <v>2641.7559809999998</v>
          </cell>
          <cell r="AY24">
            <v>2594.7794279999998</v>
          </cell>
          <cell r="AZ24">
            <v>2547.238652</v>
          </cell>
          <cell r="BA24">
            <v>2593.1708560000002</v>
          </cell>
          <cell r="BB24">
            <v>2544.777732</v>
          </cell>
          <cell r="BC24">
            <v>2495.8074900000001</v>
          </cell>
          <cell r="BD24">
            <v>2446.3127749999999</v>
          </cell>
          <cell r="BE24">
            <v>2396.3466669999998</v>
          </cell>
        </row>
        <row r="25">
          <cell r="A25" t="str">
            <v>auto_cd_cfut_0</v>
          </cell>
          <cell r="B25">
            <v>4159.6639080000004</v>
          </cell>
          <cell r="C25">
            <v>4055.9300109999999</v>
          </cell>
          <cell r="D25">
            <v>3977.7671679999999</v>
          </cell>
          <cell r="E25">
            <v>3917.693303</v>
          </cell>
          <cell r="F25">
            <v>3870.6369599999998</v>
          </cell>
          <cell r="G25">
            <v>3833.1758840000002</v>
          </cell>
          <cell r="H25">
            <v>3802.5753909999999</v>
          </cell>
          <cell r="I25">
            <v>3777.1954820000001</v>
          </cell>
          <cell r="J25">
            <v>3755.8401429999999</v>
          </cell>
          <cell r="K25">
            <v>3737.6000060000001</v>
          </cell>
          <cell r="L25">
            <v>3722.4116779999999</v>
          </cell>
          <cell r="M25">
            <v>3708.972143</v>
          </cell>
          <cell r="N25">
            <v>3696.760166</v>
          </cell>
          <cell r="O25">
            <v>3685.322416</v>
          </cell>
          <cell r="P25">
            <v>3674.2734359999999</v>
          </cell>
          <cell r="Q25">
            <v>3663.288211</v>
          </cell>
          <cell r="R25">
            <v>3652.0934739999998</v>
          </cell>
          <cell r="S25">
            <v>3640.459703</v>
          </cell>
          <cell r="T25">
            <v>3628.1943799999999</v>
          </cell>
          <cell r="U25">
            <v>3615.1365740000001</v>
          </cell>
          <cell r="V25">
            <v>3600.7336100000002</v>
          </cell>
          <cell r="W25">
            <v>3585.3355430000001</v>
          </cell>
          <cell r="X25">
            <v>3568.8628899999999</v>
          </cell>
          <cell r="Y25">
            <v>3551.2553910000001</v>
          </cell>
          <cell r="Z25">
            <v>3532.4625339999998</v>
          </cell>
          <cell r="AA25">
            <v>3511.3548949999999</v>
          </cell>
          <cell r="AB25">
            <v>3488.5944610000001</v>
          </cell>
          <cell r="AC25">
            <v>3464.238006</v>
          </cell>
          <cell r="AD25">
            <v>3438.3627379999998</v>
          </cell>
          <cell r="AE25">
            <v>3411.0476800000001</v>
          </cell>
          <cell r="AF25">
            <v>3382.3655359999998</v>
          </cell>
          <cell r="AG25">
            <v>3352.3797669999999</v>
          </cell>
          <cell r="AH25">
            <v>3321.144495</v>
          </cell>
          <cell r="AI25">
            <v>3288.7058320000001</v>
          </cell>
          <cell r="AJ25">
            <v>3255.103732</v>
          </cell>
          <cell r="AK25">
            <v>3220.3738330000001</v>
          </cell>
          <cell r="AL25">
            <v>3184.352695</v>
          </cell>
          <cell r="AM25">
            <v>3147.0984330000001</v>
          </cell>
          <cell r="AN25">
            <v>3108.672286</v>
          </cell>
          <cell r="AO25">
            <v>3069.1387829999999</v>
          </cell>
          <cell r="AP25">
            <v>3028.5626670000001</v>
          </cell>
          <cell r="AQ25">
            <v>2987.0061369999999</v>
          </cell>
          <cell r="AR25">
            <v>2944.527223</v>
          </cell>
          <cell r="AS25">
            <v>2901.179255</v>
          </cell>
          <cell r="AT25">
            <v>2857.011113</v>
          </cell>
          <cell r="AU25">
            <v>2812.0679540000001</v>
          </cell>
          <cell r="AV25">
            <v>2766.4048560000001</v>
          </cell>
          <cell r="AW25">
            <v>2720.0603270000001</v>
          </cell>
          <cell r="AX25">
            <v>2673.0715919999998</v>
          </cell>
          <cell r="AY25">
            <v>2625.4751569999999</v>
          </cell>
          <cell r="AZ25">
            <v>2577.3075490000001</v>
          </cell>
          <cell r="BA25">
            <v>2596.5519389999999</v>
          </cell>
          <cell r="BB25">
            <v>2548.3801870000002</v>
          </cell>
          <cell r="BC25">
            <v>2499.6340030000001</v>
          </cell>
          <cell r="BD25">
            <v>2450.3657029999999</v>
          </cell>
          <cell r="BE25">
            <v>2400.6280200000001</v>
          </cell>
        </row>
        <row r="26">
          <cell r="A26" t="str">
            <v>auto_ce_cfut_2</v>
          </cell>
          <cell r="B26">
            <v>2503.7292430000002</v>
          </cell>
          <cell r="C26">
            <v>2441.9784639999998</v>
          </cell>
          <cell r="D26">
            <v>2393.5922799999998</v>
          </cell>
          <cell r="E26">
            <v>2354.3760360000001</v>
          </cell>
          <cell r="F26">
            <v>2321.5180009999999</v>
          </cell>
          <cell r="G26">
            <v>2293.1445659999999</v>
          </cell>
          <cell r="H26">
            <v>2267.7527799999998</v>
          </cell>
          <cell r="I26">
            <v>2244.4637670000002</v>
          </cell>
          <cell r="J26">
            <v>2222.6388940000002</v>
          </cell>
          <cell r="K26">
            <v>2201.7936930000001</v>
          </cell>
          <cell r="L26">
            <v>2181.7623990000002</v>
          </cell>
          <cell r="M26">
            <v>2162.0336929999999</v>
          </cell>
          <cell r="N26">
            <v>2142.4120069999999</v>
          </cell>
          <cell r="O26">
            <v>2122.6907299999998</v>
          </cell>
          <cell r="P26">
            <v>2102.68208</v>
          </cell>
          <cell r="Q26">
            <v>2082.2238130000001</v>
          </cell>
          <cell r="R26">
            <v>2061.1728069999999</v>
          </cell>
          <cell r="S26">
            <v>2039.4148889999999</v>
          </cell>
          <cell r="T26">
            <v>2016.8617819999999</v>
          </cell>
          <cell r="U26">
            <v>1993.4479220000001</v>
          </cell>
          <cell r="V26">
            <v>1968.9224099999999</v>
          </cell>
          <cell r="W26">
            <v>1943.491921</v>
          </cell>
          <cell r="X26">
            <v>1917.1496589999999</v>
          </cell>
          <cell r="Y26">
            <v>1889.903407</v>
          </cell>
          <cell r="Z26">
            <v>1861.7703690000001</v>
          </cell>
          <cell r="AA26">
            <v>1832.280115</v>
          </cell>
          <cell r="AB26">
            <v>1801.8073420000001</v>
          </cell>
          <cell r="AC26">
            <v>1770.4369360000001</v>
          </cell>
          <cell r="AD26">
            <v>1738.259984</v>
          </cell>
          <cell r="AE26">
            <v>1705.3660460000001</v>
          </cell>
          <cell r="AF26">
            <v>1671.8399059999999</v>
          </cell>
          <cell r="AG26">
            <v>1637.7615479999999</v>
          </cell>
          <cell r="AH26">
            <v>1603.2041879999999</v>
          </cell>
          <cell r="AI26">
            <v>1568.2351349999999</v>
          </cell>
          <cell r="AJ26">
            <v>1532.9169899999999</v>
          </cell>
          <cell r="AK26">
            <v>1497.3086189999999</v>
          </cell>
          <cell r="AL26">
            <v>1461.4005830000001</v>
          </cell>
          <cell r="AM26">
            <v>1425.2634310000001</v>
          </cell>
          <cell r="AN26">
            <v>1388.961767</v>
          </cell>
          <cell r="AO26">
            <v>1352.5573059999999</v>
          </cell>
          <cell r="AP26">
            <v>1316.10914</v>
          </cell>
          <cell r="AQ26">
            <v>1279.674487</v>
          </cell>
          <cell r="AR26">
            <v>1243.3064099999999</v>
          </cell>
          <cell r="AS26">
            <v>1207.054026</v>
          </cell>
          <cell r="AT26">
            <v>1170.9631469999999</v>
          </cell>
          <cell r="AU26">
            <v>1135.0768129999999</v>
          </cell>
          <cell r="AV26">
            <v>1099.442718</v>
          </cell>
          <cell r="AW26">
            <v>1064.099571</v>
          </cell>
          <cell r="AX26">
            <v>1029.082746</v>
          </cell>
          <cell r="AY26">
            <v>994.42573319999997</v>
          </cell>
          <cell r="AZ26">
            <v>960.16088249999996</v>
          </cell>
          <cell r="BA26">
            <v>942.4006637</v>
          </cell>
          <cell r="BB26">
            <v>908.72411469999997</v>
          </cell>
          <cell r="BC26">
            <v>875.52158870000005</v>
          </cell>
          <cell r="BD26">
            <v>842.82576189999997</v>
          </cell>
          <cell r="BE26">
            <v>810.66726630000005</v>
          </cell>
        </row>
        <row r="27">
          <cell r="A27" t="str">
            <v>auto_ce_cfut_0</v>
          </cell>
          <cell r="B27">
            <v>2503.7292430000002</v>
          </cell>
          <cell r="C27">
            <v>2443.575566</v>
          </cell>
          <cell r="D27">
            <v>2397.7906779999998</v>
          </cell>
          <cell r="E27">
            <v>2361.5943010000001</v>
          </cell>
          <cell r="F27">
            <v>2331.807464</v>
          </cell>
          <cell r="G27">
            <v>2306.33178</v>
          </cell>
          <cell r="H27">
            <v>2283.539949</v>
          </cell>
          <cell r="I27">
            <v>2262.4909189999998</v>
          </cell>
          <cell r="J27">
            <v>2242.5270810000002</v>
          </cell>
          <cell r="K27">
            <v>2223.1721659999998</v>
          </cell>
          <cell r="L27">
            <v>2204.4341850000001</v>
          </cell>
          <cell r="M27">
            <v>2185.631183</v>
          </cell>
          <cell r="N27">
            <v>2166.5305119999998</v>
          </cell>
          <cell r="O27">
            <v>2146.9429209999998</v>
          </cell>
          <cell r="P27">
            <v>2126.720691</v>
          </cell>
          <cell r="Q27">
            <v>2105.752054</v>
          </cell>
          <cell r="R27">
            <v>2083.9553289999999</v>
          </cell>
          <cell r="S27">
            <v>2061.2737139999999</v>
          </cell>
          <cell r="T27">
            <v>2037.670938</v>
          </cell>
          <cell r="U27">
            <v>2013.127757</v>
          </cell>
          <cell r="V27">
            <v>1987.434747</v>
          </cell>
          <cell r="W27">
            <v>1960.828469</v>
          </cell>
          <cell r="X27">
            <v>1933.3301280000001</v>
          </cell>
          <cell r="Y27">
            <v>1904.968777</v>
          </cell>
          <cell r="Z27">
            <v>1875.776867</v>
          </cell>
          <cell r="AA27">
            <v>1845.2980910000001</v>
          </cell>
          <cell r="AB27">
            <v>1813.902844</v>
          </cell>
          <cell r="AC27">
            <v>1781.6781599999999</v>
          </cell>
          <cell r="AD27">
            <v>1748.716011</v>
          </cell>
          <cell r="AE27">
            <v>1715.1050250000001</v>
          </cell>
          <cell r="AF27">
            <v>1680.9273439999999</v>
          </cell>
          <cell r="AG27">
            <v>1646.257861</v>
          </cell>
          <cell r="AH27">
            <v>1611.1646410000001</v>
          </cell>
          <cell r="AI27">
            <v>1575.7099029999999</v>
          </cell>
          <cell r="AJ27">
            <v>1539.951135</v>
          </cell>
          <cell r="AK27">
            <v>1503.9421600000001</v>
          </cell>
          <cell r="AL27">
            <v>1467.6606859999999</v>
          </cell>
          <cell r="AM27">
            <v>1431.1695070000001</v>
          </cell>
          <cell r="AN27">
            <v>1394.5307359999999</v>
          </cell>
          <cell r="AO27">
            <v>1357.805564</v>
          </cell>
          <cell r="AP27">
            <v>1321.0530369999999</v>
          </cell>
          <cell r="AQ27">
            <v>1284.3291260000001</v>
          </cell>
          <cell r="AR27">
            <v>1247.6863069999999</v>
          </cell>
          <cell r="AS27">
            <v>1211.1735490000001</v>
          </cell>
          <cell r="AT27">
            <v>1174.836564</v>
          </cell>
          <cell r="AU27">
            <v>1138.7181869999999</v>
          </cell>
          <cell r="AV27">
            <v>1102.8626280000001</v>
          </cell>
          <cell r="AW27">
            <v>1067.3073179999999</v>
          </cell>
          <cell r="AX27">
            <v>1032.0878640000001</v>
          </cell>
          <cell r="AY27">
            <v>997.23826759999997</v>
          </cell>
          <cell r="AZ27">
            <v>962.7911603</v>
          </cell>
          <cell r="BA27">
            <v>945.27267259999996</v>
          </cell>
          <cell r="BB27">
            <v>911.68588090000003</v>
          </cell>
          <cell r="BC27">
            <v>878.5668349</v>
          </cell>
          <cell r="BD27">
            <v>845.94794160000004</v>
          </cell>
          <cell r="BE27">
            <v>813.85963189999995</v>
          </cell>
        </row>
        <row r="28">
          <cell r="A28" t="str">
            <v>auto_cf_cfut_2</v>
          </cell>
          <cell r="B28">
            <v>1243.6668460000001</v>
          </cell>
          <cell r="C28">
            <v>1210.313977</v>
          </cell>
          <cell r="D28">
            <v>1182.163976</v>
          </cell>
          <cell r="E28">
            <v>1156.9286030000001</v>
          </cell>
          <cell r="F28">
            <v>1133.157886</v>
          </cell>
          <cell r="G28">
            <v>1109.9570369999999</v>
          </cell>
          <cell r="H28">
            <v>1086.6913910000001</v>
          </cell>
          <cell r="I28">
            <v>1063.0583059999999</v>
          </cell>
          <cell r="J28">
            <v>1038.8952810000001</v>
          </cell>
          <cell r="K28">
            <v>1014.127114</v>
          </cell>
          <cell r="L28">
            <v>988.81439520000004</v>
          </cell>
          <cell r="M28">
            <v>962.89783829999999</v>
          </cell>
          <cell r="N28">
            <v>936.42927810000003</v>
          </cell>
          <cell r="O28">
            <v>909.45648430000006</v>
          </cell>
          <cell r="P28">
            <v>882.03624230000003</v>
          </cell>
          <cell r="Q28">
            <v>854.23637959999996</v>
          </cell>
          <cell r="R28">
            <v>826.13228890000005</v>
          </cell>
          <cell r="S28">
            <v>797.80739419999998</v>
          </cell>
          <cell r="T28">
            <v>769.34994740000002</v>
          </cell>
          <cell r="U28">
            <v>740.85010869999996</v>
          </cell>
          <cell r="V28">
            <v>712.35272069999996</v>
          </cell>
          <cell r="W28">
            <v>684.00068599999997</v>
          </cell>
          <cell r="X28">
            <v>655.87865390000002</v>
          </cell>
          <cell r="Y28">
            <v>628.06629410000005</v>
          </cell>
          <cell r="Z28">
            <v>600.63723010000001</v>
          </cell>
          <cell r="AA28">
            <v>573.57611050000003</v>
          </cell>
          <cell r="AB28">
            <v>547.01105089999999</v>
          </cell>
          <cell r="AC28">
            <v>521.00808749999999</v>
          </cell>
          <cell r="AD28">
            <v>495.62463100000002</v>
          </cell>
          <cell r="AE28">
            <v>470.9089391</v>
          </cell>
          <cell r="AF28">
            <v>446.90052350000002</v>
          </cell>
          <cell r="AG28">
            <v>423.6309948</v>
          </cell>
          <cell r="AH28">
            <v>401.12460729999998</v>
          </cell>
          <cell r="AI28">
            <v>379.3990895</v>
          </cell>
          <cell r="AJ28">
            <v>358.46644809999998</v>
          </cell>
          <cell r="AK28">
            <v>338.33366660000002</v>
          </cell>
          <cell r="AL28">
            <v>318.99780659999999</v>
          </cell>
          <cell r="AM28">
            <v>300.45998880000002</v>
          </cell>
          <cell r="AN28">
            <v>282.71715619999998</v>
          </cell>
          <cell r="AO28">
            <v>265.76273789999999</v>
          </cell>
          <cell r="AP28">
            <v>249.58709189999999</v>
          </cell>
          <cell r="AQ28">
            <v>234.17795090000001</v>
          </cell>
          <cell r="AR28">
            <v>219.5206349</v>
          </cell>
          <cell r="AS28">
            <v>205.5983923</v>
          </cell>
          <cell r="AT28">
            <v>192.39273829999999</v>
          </cell>
          <cell r="AU28">
            <v>179.88375300000001</v>
          </cell>
          <cell r="AV28">
            <v>168.0506302</v>
          </cell>
          <cell r="AW28">
            <v>156.8712893</v>
          </cell>
          <cell r="AX28">
            <v>146.32284430000001</v>
          </cell>
          <cell r="AY28">
            <v>136.38185989999999</v>
          </cell>
          <cell r="AZ28">
            <v>127.0245511</v>
          </cell>
          <cell r="BA28">
            <v>114.4251134</v>
          </cell>
          <cell r="BB28">
            <v>106.3615669</v>
          </cell>
          <cell r="BC28">
            <v>98.805041329999995</v>
          </cell>
          <cell r="BD28">
            <v>91.7312467</v>
          </cell>
          <cell r="BE28">
            <v>85.116179560000006</v>
          </cell>
        </row>
        <row r="29">
          <cell r="A29" t="str">
            <v>auto_cf_cfut_0</v>
          </cell>
          <cell r="B29">
            <v>1243.6668460000001</v>
          </cell>
          <cell r="C29">
            <v>1210.948854</v>
          </cell>
          <cell r="D29">
            <v>1183.6825679999999</v>
          </cell>
          <cell r="E29">
            <v>1159.2756890000001</v>
          </cell>
          <cell r="F29">
            <v>1136.132953</v>
          </cell>
          <cell r="G29">
            <v>1113.3056999999999</v>
          </cell>
          <cell r="H29">
            <v>1090.158009</v>
          </cell>
          <cell r="I29">
            <v>1066.408351</v>
          </cell>
          <cell r="J29">
            <v>1041.927115</v>
          </cell>
          <cell r="K29">
            <v>1016.676509</v>
          </cell>
          <cell r="L29">
            <v>990.79836620000003</v>
          </cell>
          <cell r="M29">
            <v>964.19775730000003</v>
          </cell>
          <cell r="N29">
            <v>936.94409010000004</v>
          </cell>
          <cell r="O29">
            <v>909.12150550000001</v>
          </cell>
          <cell r="P29">
            <v>880.82501990000003</v>
          </cell>
          <cell r="Q29">
            <v>852.15627129999996</v>
          </cell>
          <cell r="R29">
            <v>823.21993559999999</v>
          </cell>
          <cell r="S29">
            <v>794.12089979999996</v>
          </cell>
          <cell r="T29">
            <v>764.96208820000004</v>
          </cell>
          <cell r="U29">
            <v>735.84282480000002</v>
          </cell>
          <cell r="V29">
            <v>706.81445069999995</v>
          </cell>
          <cell r="W29">
            <v>678.0182006</v>
          </cell>
          <cell r="X29">
            <v>649.53709939999999</v>
          </cell>
          <cell r="Y29">
            <v>621.44689930000004</v>
          </cell>
          <cell r="Z29">
            <v>593.81567740000003</v>
          </cell>
          <cell r="AA29">
            <v>566.62496899999996</v>
          </cell>
          <cell r="AB29">
            <v>539.99172169999997</v>
          </cell>
          <cell r="AC29">
            <v>513.97431979999999</v>
          </cell>
          <cell r="AD29">
            <v>488.62300370000003</v>
          </cell>
          <cell r="AE29">
            <v>463.97932969999999</v>
          </cell>
          <cell r="AF29">
            <v>440.07660199999998</v>
          </cell>
          <cell r="AG29">
            <v>416.9406204</v>
          </cell>
          <cell r="AH29">
            <v>394.59050439999999</v>
          </cell>
          <cell r="AI29">
            <v>373.03949490000002</v>
          </cell>
          <cell r="AJ29">
            <v>352.29568490000003</v>
          </cell>
          <cell r="AK29">
            <v>332.36266280000001</v>
          </cell>
          <cell r="AL29">
            <v>313.23410330000002</v>
          </cell>
          <cell r="AM29">
            <v>294.90834949999999</v>
          </cell>
          <cell r="AN29">
            <v>277.38045099999999</v>
          </cell>
          <cell r="AO29">
            <v>260.64240389999998</v>
          </cell>
          <cell r="AP29">
            <v>244.68337030000001</v>
          </cell>
          <cell r="AQ29">
            <v>229.4899503</v>
          </cell>
          <cell r="AR29">
            <v>215.04648950000001</v>
          </cell>
          <cell r="AS29">
            <v>201.33539329999999</v>
          </cell>
          <cell r="AT29">
            <v>188.3374311</v>
          </cell>
          <cell r="AU29">
            <v>176.03201910000001</v>
          </cell>
          <cell r="AV29">
            <v>164.3976232</v>
          </cell>
          <cell r="AW29">
            <v>153.41163599999999</v>
          </cell>
          <cell r="AX29">
            <v>143.0508002</v>
          </cell>
          <cell r="AY29">
            <v>133.29139459999999</v>
          </cell>
          <cell r="AZ29">
            <v>124.10940069999999</v>
          </cell>
          <cell r="BA29">
            <v>114.9074565</v>
          </cell>
          <cell r="BB29">
            <v>106.8293941</v>
          </cell>
          <cell r="BC29">
            <v>99.257369080000004</v>
          </cell>
          <cell r="BD29">
            <v>92.167277819999995</v>
          </cell>
          <cell r="BE29">
            <v>85.535296729999999</v>
          </cell>
        </row>
        <row r="30">
          <cell r="A30" t="str">
            <v>auto_cg_cfut_2</v>
          </cell>
          <cell r="B30">
            <v>2239.620606</v>
          </cell>
          <cell r="C30">
            <v>2182.8984</v>
          </cell>
          <cell r="D30">
            <v>2133.0881009999998</v>
          </cell>
          <cell r="E30">
            <v>2085.6848070000001</v>
          </cell>
          <cell r="F30">
            <v>2038.054742</v>
          </cell>
          <cell r="G30">
            <v>1988.775504</v>
          </cell>
          <cell r="H30">
            <v>1937.0306189999999</v>
          </cell>
          <cell r="I30">
            <v>1882.655606</v>
          </cell>
          <cell r="J30">
            <v>1825.7604899999999</v>
          </cell>
          <cell r="K30">
            <v>1766.6096950000001</v>
          </cell>
          <cell r="L30">
            <v>1705.6690249999999</v>
          </cell>
          <cell r="M30">
            <v>1643.210212</v>
          </cell>
          <cell r="N30">
            <v>1579.636409</v>
          </cell>
          <cell r="O30">
            <v>1515.3178049999999</v>
          </cell>
          <cell r="P30">
            <v>1450.6122330000001</v>
          </cell>
          <cell r="Q30">
            <v>1385.8668560000001</v>
          </cell>
          <cell r="R30">
            <v>1321.4116959999999</v>
          </cell>
          <cell r="S30">
            <v>1257.5578479999999</v>
          </cell>
          <cell r="T30">
            <v>1194.5921740000001</v>
          </cell>
          <cell r="U30">
            <v>1132.7734109999999</v>
          </cell>
          <cell r="V30">
            <v>1072.288076</v>
          </cell>
          <cell r="W30">
            <v>1013.3882149999999</v>
          </cell>
          <cell r="X30">
            <v>956.24011340000004</v>
          </cell>
          <cell r="Y30">
            <v>900.97954749999997</v>
          </cell>
          <cell r="Z30">
            <v>847.71337749999998</v>
          </cell>
          <cell r="AA30">
            <v>796.46109279999996</v>
          </cell>
          <cell r="AB30">
            <v>747.3339823</v>
          </cell>
          <cell r="AC30">
            <v>700.37580979999996</v>
          </cell>
          <cell r="AD30">
            <v>655.60744380000006</v>
          </cell>
          <cell r="AE30">
            <v>613.02929529999994</v>
          </cell>
          <cell r="AF30">
            <v>572.62425359999997</v>
          </cell>
          <cell r="AG30">
            <v>534.36060359999999</v>
          </cell>
          <cell r="AH30">
            <v>498.19447250000002</v>
          </cell>
          <cell r="AI30">
            <v>464.0721613</v>
          </cell>
          <cell r="AJ30">
            <v>431.93220439999999</v>
          </cell>
          <cell r="AK30">
            <v>401.70713899999998</v>
          </cell>
          <cell r="AL30">
            <v>373.32280559999998</v>
          </cell>
          <cell r="AM30">
            <v>346.7053722</v>
          </cell>
          <cell r="AN30">
            <v>321.77842450000003</v>
          </cell>
          <cell r="AO30">
            <v>298.4640675</v>
          </cell>
          <cell r="AP30">
            <v>276.68381950000003</v>
          </cell>
          <cell r="AQ30">
            <v>256.35938279999999</v>
          </cell>
          <cell r="AR30">
            <v>237.41322919999999</v>
          </cell>
          <cell r="AS30">
            <v>219.76912949999999</v>
          </cell>
          <cell r="AT30">
            <v>203.35259579999999</v>
          </cell>
          <cell r="AU30">
            <v>188.0912347</v>
          </cell>
          <cell r="AV30">
            <v>173.91508429999999</v>
          </cell>
          <cell r="AW30">
            <v>160.756685</v>
          </cell>
          <cell r="AX30">
            <v>148.55129959999999</v>
          </cell>
          <cell r="AY30">
            <v>137.23703699999999</v>
          </cell>
          <cell r="AZ30">
            <v>126.75492319999999</v>
          </cell>
          <cell r="BA30">
            <v>112.4660597</v>
          </cell>
          <cell r="BB30">
            <v>103.8162528</v>
          </cell>
          <cell r="BC30">
            <v>95.817794160000005</v>
          </cell>
          <cell r="BD30">
            <v>88.424316970000007</v>
          </cell>
          <cell r="BE30">
            <v>81.592274309999993</v>
          </cell>
        </row>
        <row r="31">
          <cell r="A31" t="str">
            <v>auto_cg_cfut_0</v>
          </cell>
          <cell r="B31">
            <v>2239.620606</v>
          </cell>
          <cell r="C31">
            <v>2183.8728540000002</v>
          </cell>
          <cell r="D31">
            <v>2135.1571199999998</v>
          </cell>
          <cell r="E31">
            <v>2088.404943</v>
          </cell>
          <cell r="F31">
            <v>2040.797626</v>
          </cell>
          <cell r="G31">
            <v>1990.9240380000001</v>
          </cell>
          <cell r="H31">
            <v>1938.0713989999999</v>
          </cell>
          <cell r="I31">
            <v>1882.198705</v>
          </cell>
          <cell r="J31">
            <v>1823.539166</v>
          </cell>
          <cell r="K31">
            <v>1762.469163</v>
          </cell>
          <cell r="L31">
            <v>1699.6019490000001</v>
          </cell>
          <cell r="M31">
            <v>1635.1895850000001</v>
          </cell>
          <cell r="N31">
            <v>1569.6906120000001</v>
          </cell>
          <cell r="O31">
            <v>1503.5491179999999</v>
          </cell>
          <cell r="P31">
            <v>1437.186508</v>
          </cell>
          <cell r="Q31">
            <v>1370.994647</v>
          </cell>
          <cell r="R31">
            <v>1305.3313820000001</v>
          </cell>
          <cell r="S31">
            <v>1240.518071</v>
          </cell>
          <cell r="T31">
            <v>1176.8386350000001</v>
          </cell>
          <cell r="U31">
            <v>1114.5397370000001</v>
          </cell>
          <cell r="V31">
            <v>1053.7927090000001</v>
          </cell>
          <cell r="W31">
            <v>994.82360229999995</v>
          </cell>
          <cell r="X31">
            <v>937.77531269999997</v>
          </cell>
          <cell r="Y31">
            <v>882.75963869999998</v>
          </cell>
          <cell r="Z31">
            <v>829.85993480000002</v>
          </cell>
          <cell r="AA31">
            <v>779.07770359999995</v>
          </cell>
          <cell r="AB31">
            <v>730.4989435</v>
          </cell>
          <cell r="AC31">
            <v>684.14842920000001</v>
          </cell>
          <cell r="AD31">
            <v>640.03062939999995</v>
          </cell>
          <cell r="AE31">
            <v>598.13192770000001</v>
          </cell>
          <cell r="AF31">
            <v>558.42333510000003</v>
          </cell>
          <cell r="AG31">
            <v>520.86312099999998</v>
          </cell>
          <cell r="AH31">
            <v>485.39919930000002</v>
          </cell>
          <cell r="AI31">
            <v>451.97123160000001</v>
          </cell>
          <cell r="AJ31">
            <v>420.51245230000001</v>
          </cell>
          <cell r="AK31">
            <v>390.95123640000003</v>
          </cell>
          <cell r="AL31">
            <v>363.21010749999999</v>
          </cell>
          <cell r="AM31">
            <v>337.21271389999998</v>
          </cell>
          <cell r="AN31">
            <v>312.8810355</v>
          </cell>
          <cell r="AO31">
            <v>290.13618279999997</v>
          </cell>
          <cell r="AP31">
            <v>268.89910759999998</v>
          </cell>
          <cell r="AQ31">
            <v>249.09124639999999</v>
          </cell>
          <cell r="AR31">
            <v>230.63508540000001</v>
          </cell>
          <cell r="AS31">
            <v>213.4546406</v>
          </cell>
          <cell r="AT31">
            <v>197.47585419999999</v>
          </cell>
          <cell r="AU31">
            <v>182.62691359999999</v>
          </cell>
          <cell r="AV31">
            <v>168.83852909999999</v>
          </cell>
          <cell r="AW31">
            <v>156.0440447</v>
          </cell>
          <cell r="AX31">
            <v>144.17962299999999</v>
          </cell>
          <cell r="AY31">
            <v>133.18433150000001</v>
          </cell>
          <cell r="AZ31">
            <v>123.0001898</v>
          </cell>
          <cell r="BA31">
            <v>112.71163730000001</v>
          </cell>
          <cell r="BB31">
            <v>104.0471179</v>
          </cell>
          <cell r="BC31">
            <v>96.034357119999996</v>
          </cell>
          <cell r="BD31">
            <v>88.627060349999994</v>
          </cell>
          <cell r="BE31">
            <v>81.781736309999999</v>
          </cell>
        </row>
        <row r="32">
          <cell r="A32" t="str">
            <v>auto_ca_cele_2</v>
          </cell>
          <cell r="B32">
            <v>9.8427898650000003</v>
          </cell>
          <cell r="C32">
            <v>14.938855009999999</v>
          </cell>
          <cell r="D32">
            <v>20.289911020000002</v>
          </cell>
          <cell r="E32">
            <v>25.795031689999998</v>
          </cell>
          <cell r="F32">
            <v>31.393768779999998</v>
          </cell>
          <cell r="G32">
            <v>37.052687470000002</v>
          </cell>
          <cell r="H32">
            <v>42.743635449999999</v>
          </cell>
          <cell r="I32">
            <v>48.457887669999998</v>
          </cell>
          <cell r="J32">
            <v>54.191781919999997</v>
          </cell>
          <cell r="K32">
            <v>59.944470199999998</v>
          </cell>
          <cell r="L32">
            <v>65.727952990000006</v>
          </cell>
          <cell r="M32">
            <v>71.534278929999999</v>
          </cell>
          <cell r="N32">
            <v>77.370682790000004</v>
          </cell>
          <cell r="O32">
            <v>83.242518129999993</v>
          </cell>
          <cell r="P32">
            <v>89.154475629999993</v>
          </cell>
          <cell r="Q32">
            <v>95.110937199999995</v>
          </cell>
          <cell r="R32">
            <v>101.1156994</v>
          </cell>
          <cell r="S32">
            <v>107.1728956</v>
          </cell>
          <cell r="T32">
            <v>113.2871705</v>
          </cell>
          <cell r="U32">
            <v>119.4638399</v>
          </cell>
          <cell r="V32">
            <v>125.6914587</v>
          </cell>
          <cell r="W32">
            <v>131.9951609</v>
          </cell>
          <cell r="X32">
            <v>138.38388850000001</v>
          </cell>
          <cell r="Y32">
            <v>144.86818980000001</v>
          </cell>
          <cell r="Z32">
            <v>151.45994189999999</v>
          </cell>
          <cell r="AA32">
            <v>158.11681569999999</v>
          </cell>
          <cell r="AB32">
            <v>164.8833363</v>
          </cell>
          <cell r="AC32">
            <v>171.7769562</v>
          </cell>
          <cell r="AD32">
            <v>178.81819820000001</v>
          </cell>
          <cell r="AE32">
            <v>186.03000560000001</v>
          </cell>
          <cell r="AF32">
            <v>193.43742570000001</v>
          </cell>
          <cell r="AG32">
            <v>201.06767809999999</v>
          </cell>
          <cell r="AH32">
            <v>208.9499022</v>
          </cell>
          <cell r="AI32">
            <v>217.1153114</v>
          </cell>
          <cell r="AJ32">
            <v>225.5974267</v>
          </cell>
          <cell r="AK32">
            <v>234.4323206</v>
          </cell>
          <cell r="AL32">
            <v>243.64347570000001</v>
          </cell>
          <cell r="AM32">
            <v>253.2732297</v>
          </cell>
          <cell r="AN32">
            <v>263.36690329999999</v>
          </cell>
          <cell r="AO32">
            <v>273.97384160000001</v>
          </cell>
          <cell r="AP32">
            <v>285.14777939999999</v>
          </cell>
          <cell r="AQ32">
            <v>296.9473921</v>
          </cell>
          <cell r="AR32">
            <v>309.4358489</v>
          </cell>
          <cell r="AS32">
            <v>322.68109709999999</v>
          </cell>
          <cell r="AT32">
            <v>336.756303</v>
          </cell>
          <cell r="AU32">
            <v>351.7403218</v>
          </cell>
          <cell r="AV32">
            <v>367.72222010000002</v>
          </cell>
          <cell r="AW32">
            <v>384.79489530000001</v>
          </cell>
          <cell r="AX32">
            <v>403.05798859999999</v>
          </cell>
          <cell r="AY32">
            <v>422.61898980000001</v>
          </cell>
          <cell r="AZ32">
            <v>443.59413189999998</v>
          </cell>
          <cell r="BA32">
            <v>99.339215170000003</v>
          </cell>
          <cell r="BB32">
            <v>86.987539580000004</v>
          </cell>
          <cell r="BC32">
            <v>73.015126519999995</v>
          </cell>
          <cell r="BD32">
            <v>57.267535199999998</v>
          </cell>
          <cell r="BE32">
            <v>39.574651529999997</v>
          </cell>
        </row>
        <row r="33">
          <cell r="A33" t="str">
            <v>auto_ca_cele_0</v>
          </cell>
          <cell r="B33">
            <v>9.8427898650000003</v>
          </cell>
          <cell r="C33">
            <v>15.01203162</v>
          </cell>
          <cell r="D33">
            <v>20.49165726</v>
          </cell>
          <cell r="E33">
            <v>26.15742762</v>
          </cell>
          <cell r="F33">
            <v>31.929986670000002</v>
          </cell>
          <cell r="G33">
            <v>37.760551419999999</v>
          </cell>
          <cell r="H33">
            <v>43.608929400000001</v>
          </cell>
          <cell r="I33">
            <v>49.456913370000002</v>
          </cell>
          <cell r="J33">
            <v>55.29339556</v>
          </cell>
          <cell r="K33">
            <v>61.1115256</v>
          </cell>
          <cell r="L33">
            <v>66.926891159999997</v>
          </cell>
          <cell r="M33">
            <v>72.716772559999995</v>
          </cell>
          <cell r="N33">
            <v>78.478598660000003</v>
          </cell>
          <cell r="O33">
            <v>84.210216889999998</v>
          </cell>
          <cell r="P33">
            <v>89.910217770000003</v>
          </cell>
          <cell r="Q33">
            <v>95.577975080000002</v>
          </cell>
          <cell r="R33">
            <v>101.2135937</v>
          </cell>
          <cell r="S33">
            <v>106.8178413</v>
          </cell>
          <cell r="T33">
            <v>112.3920935</v>
          </cell>
          <cell r="U33">
            <v>117.9383028</v>
          </cell>
          <cell r="V33">
            <v>123.4427728</v>
          </cell>
          <cell r="W33">
            <v>128.92505259999999</v>
          </cell>
          <cell r="X33">
            <v>134.38933900000001</v>
          </cell>
          <cell r="Y33">
            <v>139.84059920000001</v>
          </cell>
          <cell r="Z33">
            <v>145.28422689999999</v>
          </cell>
          <cell r="AA33">
            <v>150.67747639999999</v>
          </cell>
          <cell r="AB33">
            <v>156.05270920000001</v>
          </cell>
          <cell r="AC33">
            <v>161.41811910000001</v>
          </cell>
          <cell r="AD33">
            <v>166.783704</v>
          </cell>
          <cell r="AE33">
            <v>172.16050720000001</v>
          </cell>
          <cell r="AF33">
            <v>177.5602366</v>
          </cell>
          <cell r="AG33">
            <v>182.99509080000001</v>
          </cell>
          <cell r="AH33">
            <v>188.47771499999999</v>
          </cell>
          <cell r="AI33">
            <v>194.0212338</v>
          </cell>
          <cell r="AJ33">
            <v>199.6393271</v>
          </cell>
          <cell r="AK33">
            <v>205.3463261</v>
          </cell>
          <cell r="AL33">
            <v>211.14433099999999</v>
          </cell>
          <cell r="AM33">
            <v>217.04915629999999</v>
          </cell>
          <cell r="AN33">
            <v>223.07795970000001</v>
          </cell>
          <cell r="AO33">
            <v>229.2494902</v>
          </cell>
          <cell r="AP33">
            <v>235.58406629999999</v>
          </cell>
          <cell r="AQ33">
            <v>242.10351349999999</v>
          </cell>
          <cell r="AR33">
            <v>248.831143</v>
          </cell>
          <cell r="AS33">
            <v>255.7917923</v>
          </cell>
          <cell r="AT33">
            <v>263.01192650000002</v>
          </cell>
          <cell r="AU33">
            <v>270.51979210000002</v>
          </cell>
          <cell r="AV33">
            <v>278.34700370000002</v>
          </cell>
          <cell r="AW33">
            <v>286.52603620000002</v>
          </cell>
          <cell r="AX33">
            <v>295.09179310000002</v>
          </cell>
          <cell r="AY33">
            <v>304.08183409999998</v>
          </cell>
          <cell r="AZ33">
            <v>313.53664809999998</v>
          </cell>
          <cell r="BA33">
            <v>124.0450032</v>
          </cell>
          <cell r="BB33">
            <v>114.81711970000001</v>
          </cell>
          <cell r="BC33">
            <v>104.3082737</v>
          </cell>
          <cell r="BD33">
            <v>92.398095470000001</v>
          </cell>
          <cell r="BE33">
            <v>78.954133470000002</v>
          </cell>
        </row>
        <row r="34">
          <cell r="A34" t="str">
            <v>auto_cb_cele_2</v>
          </cell>
          <cell r="B34">
            <v>11.44571741</v>
          </cell>
          <cell r="C34">
            <v>16.253809090000001</v>
          </cell>
          <cell r="D34">
            <v>21.30255099</v>
          </cell>
          <cell r="E34">
            <v>26.493519880000001</v>
          </cell>
          <cell r="F34">
            <v>31.76776856</v>
          </cell>
          <cell r="G34">
            <v>37.092501460000001</v>
          </cell>
          <cell r="H34">
            <v>42.440126540000001</v>
          </cell>
          <cell r="I34">
            <v>47.80164705</v>
          </cell>
          <cell r="J34">
            <v>53.17289959</v>
          </cell>
          <cell r="K34">
            <v>58.552390860000003</v>
          </cell>
          <cell r="L34">
            <v>63.950827259999997</v>
          </cell>
          <cell r="M34">
            <v>69.359980800000002</v>
          </cell>
          <cell r="N34">
            <v>74.785873839999994</v>
          </cell>
          <cell r="O34">
            <v>80.232652610000002</v>
          </cell>
          <cell r="P34">
            <v>85.703793779999998</v>
          </cell>
          <cell r="Q34">
            <v>91.202476149999995</v>
          </cell>
          <cell r="R34">
            <v>96.731343409999994</v>
          </cell>
          <cell r="S34">
            <v>102.29337719999999</v>
          </cell>
          <cell r="T34">
            <v>107.892062</v>
          </cell>
          <cell r="U34">
            <v>113.5315296</v>
          </cell>
          <cell r="V34">
            <v>119.20040640000001</v>
          </cell>
          <cell r="W34">
            <v>124.9213041</v>
          </cell>
          <cell r="X34">
            <v>130.70175549999999</v>
          </cell>
          <cell r="Y34">
            <v>136.55074210000001</v>
          </cell>
          <cell r="Z34">
            <v>142.4784224</v>
          </cell>
          <cell r="AA34">
            <v>148.4452531</v>
          </cell>
          <cell r="AB34">
            <v>154.49154089999999</v>
          </cell>
          <cell r="AC34">
            <v>160.6326013</v>
          </cell>
          <cell r="AD34">
            <v>166.88641430000001</v>
          </cell>
          <cell r="AE34">
            <v>173.27298949999999</v>
          </cell>
          <cell r="AF34">
            <v>179.8140425</v>
          </cell>
          <cell r="AG34">
            <v>186.53302020000001</v>
          </cell>
          <cell r="AH34">
            <v>193.45483160000001</v>
          </cell>
          <cell r="AI34">
            <v>200.60594169999999</v>
          </cell>
          <cell r="AJ34">
            <v>208.014535</v>
          </cell>
          <cell r="AK34">
            <v>215.71068289999999</v>
          </cell>
          <cell r="AL34">
            <v>223.71277570000001</v>
          </cell>
          <cell r="AM34">
            <v>232.05567679999999</v>
          </cell>
          <cell r="AN34">
            <v>240.7763459</v>
          </cell>
          <cell r="AO34">
            <v>249.91467370000001</v>
          </cell>
          <cell r="AP34">
            <v>259.51371719999997</v>
          </cell>
          <cell r="AQ34">
            <v>269.62009080000001</v>
          </cell>
          <cell r="AR34">
            <v>280.28346540000001</v>
          </cell>
          <cell r="AS34">
            <v>291.5566958</v>
          </cell>
          <cell r="AT34">
            <v>303.49607509999998</v>
          </cell>
          <cell r="AU34">
            <v>316.16159829999998</v>
          </cell>
          <cell r="AV34">
            <v>329.62072760000001</v>
          </cell>
          <cell r="AW34">
            <v>343.94263849999999</v>
          </cell>
          <cell r="AX34">
            <v>359.200536</v>
          </cell>
          <cell r="AY34">
            <v>375.4723826</v>
          </cell>
          <cell r="AZ34">
            <v>392.84142129999998</v>
          </cell>
          <cell r="BA34">
            <v>75.420396510000003</v>
          </cell>
          <cell r="BB34">
            <v>63.977383179999997</v>
          </cell>
          <cell r="BC34">
            <v>51.223632559999999</v>
          </cell>
          <cell r="BD34">
            <v>37.049375359999999</v>
          </cell>
          <cell r="BE34">
            <v>21.33479221</v>
          </cell>
        </row>
        <row r="35">
          <cell r="A35" t="str">
            <v>auto_cb_cele_0</v>
          </cell>
          <cell r="B35">
            <v>11.44571741</v>
          </cell>
          <cell r="C35">
            <v>16.32296813</v>
          </cell>
          <cell r="D35">
            <v>21.49182411</v>
          </cell>
          <cell r="E35">
            <v>26.830588330000001</v>
          </cell>
          <cell r="F35">
            <v>32.261549100000003</v>
          </cell>
          <cell r="G35">
            <v>37.736755369999997</v>
          </cell>
          <cell r="H35">
            <v>43.216769329999998</v>
          </cell>
          <cell r="I35">
            <v>48.683247969999996</v>
          </cell>
          <cell r="J35">
            <v>54.124671749999997</v>
          </cell>
          <cell r="K35">
            <v>59.533606200000001</v>
          </cell>
          <cell r="L35">
            <v>64.92375432</v>
          </cell>
          <cell r="M35">
            <v>70.272755559999993</v>
          </cell>
          <cell r="N35">
            <v>75.577303000000001</v>
          </cell>
          <cell r="O35">
            <v>80.834538039999998</v>
          </cell>
          <cell r="P35">
            <v>86.042349520000002</v>
          </cell>
          <cell r="Q35">
            <v>91.199403700000005</v>
          </cell>
          <cell r="R35">
            <v>96.305088830000003</v>
          </cell>
          <cell r="S35">
            <v>101.3594453</v>
          </cell>
          <cell r="T35">
            <v>106.36310880000001</v>
          </cell>
          <cell r="U35">
            <v>111.31727410000001</v>
          </cell>
          <cell r="V35">
            <v>116.2088789</v>
          </cell>
          <cell r="W35">
            <v>121.05532359999999</v>
          </cell>
          <cell r="X35">
            <v>125.8599194</v>
          </cell>
          <cell r="Y35">
            <v>130.6266603</v>
          </cell>
          <cell r="Z35">
            <v>135.35990219999999</v>
          </cell>
          <cell r="AA35">
            <v>140.02076260000001</v>
          </cell>
          <cell r="AB35">
            <v>144.6381452</v>
          </cell>
          <cell r="AC35">
            <v>149.21911009999999</v>
          </cell>
          <cell r="AD35">
            <v>153.77226469999999</v>
          </cell>
          <cell r="AE35">
            <v>158.30706190000001</v>
          </cell>
          <cell r="AF35">
            <v>162.83344550000001</v>
          </cell>
          <cell r="AG35">
            <v>167.36168359999999</v>
          </cell>
          <cell r="AH35">
            <v>171.90231610000001</v>
          </cell>
          <cell r="AI35">
            <v>176.46617029999999</v>
          </cell>
          <cell r="AJ35">
            <v>181.06441340000001</v>
          </cell>
          <cell r="AK35">
            <v>185.7086214</v>
          </cell>
          <cell r="AL35">
            <v>190.39964599999999</v>
          </cell>
          <cell r="AM35">
            <v>195.15013099999999</v>
          </cell>
          <cell r="AN35">
            <v>199.9737001</v>
          </cell>
          <cell r="AO35">
            <v>204.88513470000001</v>
          </cell>
          <cell r="AP35">
            <v>209.9003203</v>
          </cell>
          <cell r="AQ35">
            <v>215.0361604</v>
          </cell>
          <cell r="AR35">
            <v>220.31052579999999</v>
          </cell>
          <cell r="AS35">
            <v>225.74225419999999</v>
          </cell>
          <cell r="AT35">
            <v>231.3511986</v>
          </cell>
          <cell r="AU35">
            <v>237.15831460000001</v>
          </cell>
          <cell r="AV35">
            <v>243.18693339999999</v>
          </cell>
          <cell r="AW35">
            <v>249.4606134</v>
          </cell>
          <cell r="AX35">
            <v>256.0043976</v>
          </cell>
          <cell r="AY35">
            <v>262.8449387</v>
          </cell>
          <cell r="AZ35">
            <v>270.01065210000002</v>
          </cell>
          <cell r="BA35">
            <v>97.441447859999997</v>
          </cell>
          <cell r="BB35">
            <v>88.643995919999995</v>
          </cell>
          <cell r="BC35">
            <v>78.802633589999999</v>
          </cell>
          <cell r="BD35">
            <v>67.831831030000004</v>
          </cell>
          <cell r="BE35">
            <v>55.638347830000001</v>
          </cell>
        </row>
        <row r="36">
          <cell r="A36" t="str">
            <v>auto_cc_cele_2</v>
          </cell>
          <cell r="B36">
            <v>9.4015406210000005</v>
          </cell>
          <cell r="C36">
            <v>12.667370699999999</v>
          </cell>
          <cell r="D36">
            <v>16.097082749999998</v>
          </cell>
          <cell r="E36">
            <v>19.621495629999998</v>
          </cell>
          <cell r="F36">
            <v>23.19917989</v>
          </cell>
          <cell r="G36">
            <v>26.806960660000001</v>
          </cell>
          <cell r="H36">
            <v>30.425358800000001</v>
          </cell>
          <cell r="I36">
            <v>34.047731069999998</v>
          </cell>
          <cell r="J36">
            <v>37.670763669999999</v>
          </cell>
          <cell r="K36">
            <v>41.292971559999998</v>
          </cell>
          <cell r="L36">
            <v>44.92122269</v>
          </cell>
          <cell r="M36">
            <v>48.549431040000002</v>
          </cell>
          <cell r="N36">
            <v>52.181153760000001</v>
          </cell>
          <cell r="O36">
            <v>55.818606369999998</v>
          </cell>
          <cell r="P36">
            <v>59.463522580000003</v>
          </cell>
          <cell r="Q36">
            <v>63.117432309999998</v>
          </cell>
          <cell r="R36">
            <v>66.78151613</v>
          </cell>
          <cell r="S36">
            <v>70.457200349999994</v>
          </cell>
          <cell r="T36">
            <v>74.146268669999998</v>
          </cell>
          <cell r="U36">
            <v>77.850955580000004</v>
          </cell>
          <cell r="V36">
            <v>81.563158079999994</v>
          </cell>
          <cell r="W36">
            <v>85.297529220000001</v>
          </cell>
          <cell r="X36">
            <v>89.058599610000002</v>
          </cell>
          <cell r="Y36">
            <v>92.851838200000003</v>
          </cell>
          <cell r="Z36">
            <v>96.683461500000007</v>
          </cell>
          <cell r="AA36">
            <v>100.52685080000001</v>
          </cell>
          <cell r="AB36">
            <v>104.4082715</v>
          </cell>
          <cell r="AC36">
            <v>108.3373611</v>
          </cell>
          <cell r="AD36">
            <v>112.3254105</v>
          </cell>
          <cell r="AE36">
            <v>116.38491860000001</v>
          </cell>
          <cell r="AF36">
            <v>120.5293578</v>
          </cell>
          <cell r="AG36">
            <v>124.773167</v>
          </cell>
          <cell r="AH36">
            <v>129.13155069999999</v>
          </cell>
          <cell r="AI36">
            <v>133.62051220000001</v>
          </cell>
          <cell r="AJ36">
            <v>138.25693129999999</v>
          </cell>
          <cell r="AK36">
            <v>143.05864149999999</v>
          </cell>
          <cell r="AL36">
            <v>148.03568999999999</v>
          </cell>
          <cell r="AM36">
            <v>153.2084715</v>
          </cell>
          <cell r="AN36">
            <v>158.59836580000001</v>
          </cell>
          <cell r="AO36">
            <v>164.22821959999999</v>
          </cell>
          <cell r="AP36">
            <v>170.12244519999999</v>
          </cell>
          <cell r="AQ36">
            <v>176.3072166</v>
          </cell>
          <cell r="AR36">
            <v>182.81009320000001</v>
          </cell>
          <cell r="AS36">
            <v>189.66003470000001</v>
          </cell>
          <cell r="AT36">
            <v>196.88749110000001</v>
          </cell>
          <cell r="AU36">
            <v>204.52449300000001</v>
          </cell>
          <cell r="AV36">
            <v>212.6069134</v>
          </cell>
          <cell r="AW36">
            <v>221.17077259999999</v>
          </cell>
          <cell r="AX36">
            <v>230.25357700000001</v>
          </cell>
          <cell r="AY36">
            <v>239.89466110000001</v>
          </cell>
          <cell r="AZ36">
            <v>250.1353953</v>
          </cell>
          <cell r="BA36">
            <v>41.767990060000002</v>
          </cell>
          <cell r="BB36">
            <v>34.301015939999999</v>
          </cell>
          <cell r="BC36">
            <v>26.084829039999999</v>
          </cell>
          <cell r="BD36">
            <v>17.065230100000001</v>
          </cell>
          <cell r="BE36">
            <v>7.1835929309999997</v>
          </cell>
        </row>
        <row r="37">
          <cell r="A37" t="str">
            <v>auto_cc_cele_0</v>
          </cell>
          <cell r="B37">
            <v>9.4015406210000005</v>
          </cell>
          <cell r="C37">
            <v>12.714482869999999</v>
          </cell>
          <cell r="D37">
            <v>16.22505838</v>
          </cell>
          <cell r="E37">
            <v>19.84738428</v>
          </cell>
          <cell r="F37">
            <v>23.526649379999999</v>
          </cell>
          <cell r="G37">
            <v>27.228931660000001</v>
          </cell>
          <cell r="H37">
            <v>30.926391720000002</v>
          </cell>
          <cell r="I37">
            <v>34.605790599999999</v>
          </cell>
          <cell r="J37">
            <v>38.258624660000002</v>
          </cell>
          <cell r="K37">
            <v>41.879223099999997</v>
          </cell>
          <cell r="L37">
            <v>45.476279779999999</v>
          </cell>
          <cell r="M37">
            <v>49.034016250000001</v>
          </cell>
          <cell r="N37">
            <v>52.54965266</v>
          </cell>
          <cell r="O37">
            <v>56.020757150000001</v>
          </cell>
          <cell r="P37">
            <v>59.445444299999998</v>
          </cell>
          <cell r="Q37">
            <v>62.822389999999999</v>
          </cell>
          <cell r="R37">
            <v>66.15078939</v>
          </cell>
          <cell r="S37">
            <v>69.430305590000003</v>
          </cell>
          <cell r="T37">
            <v>72.661027189999999</v>
          </cell>
          <cell r="U37">
            <v>75.843439079999996</v>
          </cell>
          <cell r="V37">
            <v>78.968666600000006</v>
          </cell>
          <cell r="W37">
            <v>82.047966779999996</v>
          </cell>
          <cell r="X37">
            <v>85.083278989999997</v>
          </cell>
          <cell r="Y37">
            <v>88.07698345</v>
          </cell>
          <cell r="Z37">
            <v>91.031686759999999</v>
          </cell>
          <cell r="AA37">
            <v>93.922000760000003</v>
          </cell>
          <cell r="AB37">
            <v>96.766647500000005</v>
          </cell>
          <cell r="AC37">
            <v>99.570117170000003</v>
          </cell>
          <cell r="AD37">
            <v>102.3378568</v>
          </cell>
          <cell r="AE37">
            <v>105.07580299999999</v>
          </cell>
          <cell r="AF37">
            <v>107.7901454</v>
          </cell>
          <cell r="AG37">
            <v>110.4872122</v>
          </cell>
          <cell r="AH37">
            <v>113.17342960000001</v>
          </cell>
          <cell r="AI37">
            <v>115.855324</v>
          </cell>
          <cell r="AJ37">
            <v>118.539547</v>
          </cell>
          <cell r="AK37">
            <v>121.2329119</v>
          </cell>
          <cell r="AL37">
            <v>123.93546139999999</v>
          </cell>
          <cell r="AM37">
            <v>126.65454889999999</v>
          </cell>
          <cell r="AN37">
            <v>129.39803019999999</v>
          </cell>
          <cell r="AO37">
            <v>132.174353</v>
          </cell>
          <cell r="AP37">
            <v>134.99250420000001</v>
          </cell>
          <cell r="AQ37">
            <v>137.86193929999999</v>
          </cell>
          <cell r="AR37">
            <v>140.79253320000001</v>
          </cell>
          <cell r="AS37">
            <v>143.79456289999999</v>
          </cell>
          <cell r="AT37">
            <v>146.87871699999999</v>
          </cell>
          <cell r="AU37">
            <v>150.05612830000001</v>
          </cell>
          <cell r="AV37">
            <v>153.33911079999999</v>
          </cell>
          <cell r="AW37">
            <v>156.7398426</v>
          </cell>
          <cell r="AX37">
            <v>160.2710969</v>
          </cell>
          <cell r="AY37">
            <v>163.9462858</v>
          </cell>
          <cell r="AZ37">
            <v>167.77951719999999</v>
          </cell>
          <cell r="BA37">
            <v>55.764968279999998</v>
          </cell>
          <cell r="BB37">
            <v>49.894204240000001</v>
          </cell>
          <cell r="BC37">
            <v>43.422705530000002</v>
          </cell>
          <cell r="BD37">
            <v>36.308326579999999</v>
          </cell>
          <cell r="BE37">
            <v>28.50554975</v>
          </cell>
        </row>
        <row r="38">
          <cell r="A38" t="str">
            <v>auto_cd_cele_2</v>
          </cell>
          <cell r="B38">
            <v>5.770071272</v>
          </cell>
          <cell r="C38">
            <v>7.5470504040000002</v>
          </cell>
          <cell r="D38">
            <v>9.3969785960000003</v>
          </cell>
          <cell r="E38">
            <v>11.27489508</v>
          </cell>
          <cell r="F38">
            <v>13.152431480000001</v>
          </cell>
          <cell r="G38">
            <v>15.01230644</v>
          </cell>
          <cell r="H38">
            <v>16.840379949999999</v>
          </cell>
          <cell r="I38">
            <v>18.630186649999999</v>
          </cell>
          <cell r="J38">
            <v>20.3776315</v>
          </cell>
          <cell r="K38">
            <v>22.080004250000002</v>
          </cell>
          <cell r="L38">
            <v>23.738990680000001</v>
          </cell>
          <cell r="M38">
            <v>25.35007645</v>
          </cell>
          <cell r="N38">
            <v>26.91344527</v>
          </cell>
          <cell r="O38">
            <v>28.42869486</v>
          </cell>
          <cell r="P38">
            <v>29.89530036</v>
          </cell>
          <cell r="Q38">
            <v>31.312750269999999</v>
          </cell>
          <cell r="R38">
            <v>32.680472479999999</v>
          </cell>
          <cell r="S38">
            <v>33.998065279999999</v>
          </cell>
          <cell r="T38">
            <v>35.265306870000003</v>
          </cell>
          <cell r="U38">
            <v>36.482156430000003</v>
          </cell>
          <cell r="V38">
            <v>37.644603969999999</v>
          </cell>
          <cell r="W38">
            <v>38.75742348</v>
          </cell>
          <cell r="X38">
            <v>39.821275040000003</v>
          </cell>
          <cell r="Y38">
            <v>40.83703835</v>
          </cell>
          <cell r="Z38">
            <v>41.805725379999998</v>
          </cell>
          <cell r="AA38">
            <v>42.717285359999998</v>
          </cell>
          <cell r="AB38">
            <v>43.579737280000003</v>
          </cell>
          <cell r="AC38">
            <v>44.395118060000001</v>
          </cell>
          <cell r="AD38">
            <v>45.165732169999998</v>
          </cell>
          <cell r="AE38">
            <v>45.893979799999997</v>
          </cell>
          <cell r="AF38">
            <v>46.582268689999999</v>
          </cell>
          <cell r="AG38">
            <v>47.232998850000001</v>
          </cell>
          <cell r="AH38">
            <v>47.848495030000002</v>
          </cell>
          <cell r="AI38">
            <v>48.431008300000002</v>
          </cell>
          <cell r="AJ38">
            <v>48.982728729999998</v>
          </cell>
          <cell r="AK38">
            <v>49.505796060000002</v>
          </cell>
          <cell r="AL38">
            <v>50.00028579</v>
          </cell>
          <cell r="AM38">
            <v>50.468546629999999</v>
          </cell>
          <cell r="AN38">
            <v>50.912832510000001</v>
          </cell>
          <cell r="AO38">
            <v>51.335388539999997</v>
          </cell>
          <cell r="AP38">
            <v>51.73845188</v>
          </cell>
          <cell r="AQ38">
            <v>52.124271239999999</v>
          </cell>
          <cell r="AR38">
            <v>52.495016749999998</v>
          </cell>
          <cell r="AS38">
            <v>52.852770669999998</v>
          </cell>
          <cell r="AT38">
            <v>53.199534200000002</v>
          </cell>
          <cell r="AU38">
            <v>53.537233280000002</v>
          </cell>
          <cell r="AV38">
            <v>53.868053000000003</v>
          </cell>
          <cell r="AW38">
            <v>54.193834129999999</v>
          </cell>
          <cell r="AX38">
            <v>54.516284880000001</v>
          </cell>
          <cell r="AY38">
            <v>54.837028410000002</v>
          </cell>
          <cell r="AZ38">
            <v>55.1576272</v>
          </cell>
          <cell r="BA38">
            <v>33.875114490000001</v>
          </cell>
          <cell r="BB38">
            <v>32.826666979999999</v>
          </cell>
          <cell r="BC38">
            <v>31.723283139999999</v>
          </cell>
          <cell r="BD38">
            <v>30.565733399999999</v>
          </cell>
          <cell r="BE38">
            <v>29.35484288</v>
          </cell>
        </row>
        <row r="39">
          <cell r="A39" t="str">
            <v>auto_cd_cele_0</v>
          </cell>
          <cell r="B39">
            <v>5.770071272</v>
          </cell>
          <cell r="C39">
            <v>7.5724919310000001</v>
          </cell>
          <cell r="D39">
            <v>9.4657032920000006</v>
          </cell>
          <cell r="E39">
            <v>11.396266389999999</v>
          </cell>
          <cell r="F39">
            <v>13.32976824</v>
          </cell>
          <cell r="G39">
            <v>15.24461316</v>
          </cell>
          <cell r="H39">
            <v>17.12371869</v>
          </cell>
          <cell r="I39">
            <v>18.958629500000001</v>
          </cell>
          <cell r="J39">
            <v>20.743983790000001</v>
          </cell>
          <cell r="K39">
            <v>22.476309010000001</v>
          </cell>
          <cell r="L39">
            <v>24.15945846</v>
          </cell>
          <cell r="M39">
            <v>25.785429789999998</v>
          </cell>
          <cell r="N39">
            <v>27.352873930000001</v>
          </cell>
          <cell r="O39">
            <v>28.86074898</v>
          </cell>
          <cell r="P39">
            <v>30.30837154</v>
          </cell>
          <cell r="Q39">
            <v>31.695390039999999</v>
          </cell>
          <cell r="R39">
            <v>33.021738990000003</v>
          </cell>
          <cell r="S39">
            <v>34.287593870000002</v>
          </cell>
          <cell r="T39">
            <v>35.493332860000002</v>
          </cell>
          <cell r="U39">
            <v>36.639506910000001</v>
          </cell>
          <cell r="V39">
            <v>37.722811239999999</v>
          </cell>
          <cell r="W39">
            <v>38.748314700000002</v>
          </cell>
          <cell r="X39">
            <v>39.717090200000001</v>
          </cell>
          <cell r="Y39">
            <v>40.6303251</v>
          </cell>
          <cell r="Z39">
            <v>41.489236130000002</v>
          </cell>
          <cell r="AA39">
            <v>42.28453279</v>
          </cell>
          <cell r="AB39">
            <v>43.023770349999999</v>
          </cell>
          <cell r="AC39">
            <v>43.708911749999999</v>
          </cell>
          <cell r="AD39">
            <v>44.34212497</v>
          </cell>
          <cell r="AE39">
            <v>44.925604300000003</v>
          </cell>
          <cell r="AF39">
            <v>45.461486909999998</v>
          </cell>
          <cell r="AG39">
            <v>45.951816999999998</v>
          </cell>
          <cell r="AH39">
            <v>46.398536679999999</v>
          </cell>
          <cell r="AI39">
            <v>46.80349124</v>
          </cell>
          <cell r="AJ39">
            <v>47.168440910000001</v>
          </cell>
          <cell r="AK39">
            <v>47.495074500000001</v>
          </cell>
          <cell r="AL39">
            <v>47.783018769999998</v>
          </cell>
          <cell r="AM39">
            <v>48.034025569999997</v>
          </cell>
          <cell r="AN39">
            <v>48.249866390000001</v>
          </cell>
          <cell r="AO39">
            <v>48.43233738</v>
          </cell>
          <cell r="AP39">
            <v>48.583229539999998</v>
          </cell>
          <cell r="AQ39">
            <v>48.704299630000001</v>
          </cell>
          <cell r="AR39">
            <v>48.79725071</v>
          </cell>
          <cell r="AS39">
            <v>48.863722709999998</v>
          </cell>
          <cell r="AT39">
            <v>48.905290579999999</v>
          </cell>
          <cell r="AU39">
            <v>48.923467530000003</v>
          </cell>
          <cell r="AV39">
            <v>48.919854669999999</v>
          </cell>
          <cell r="AW39">
            <v>48.895847770000003</v>
          </cell>
          <cell r="AX39">
            <v>48.852796120000001</v>
          </cell>
          <cell r="AY39">
            <v>48.79200565</v>
          </cell>
          <cell r="AZ39">
            <v>48.714743949999999</v>
          </cell>
          <cell r="BA39">
            <v>35.485589879999999</v>
          </cell>
          <cell r="BB39">
            <v>34.573697099999997</v>
          </cell>
          <cell r="BC39">
            <v>33.613691600000003</v>
          </cell>
          <cell r="BD39">
            <v>32.606383600000001</v>
          </cell>
          <cell r="BE39">
            <v>31.552621970000001</v>
          </cell>
        </row>
        <row r="40">
          <cell r="A40" t="str">
            <v>auto_ce_cele_2</v>
          </cell>
          <cell r="B40">
            <v>3.4730440960000002</v>
          </cell>
          <cell r="C40">
            <v>4.5642360990000004</v>
          </cell>
          <cell r="D40">
            <v>5.6921071740000002</v>
          </cell>
          <cell r="E40">
            <v>6.8272184979999997</v>
          </cell>
          <cell r="F40">
            <v>7.9510734699999999</v>
          </cell>
          <cell r="G40">
            <v>9.0524038440000005</v>
          </cell>
          <cell r="H40">
            <v>10.12222081</v>
          </cell>
          <cell r="I40">
            <v>11.1563769</v>
          </cell>
          <cell r="J40">
            <v>12.152305549999999</v>
          </cell>
          <cell r="K40">
            <v>13.108381140000001</v>
          </cell>
          <cell r="L40">
            <v>14.02561145</v>
          </cell>
          <cell r="M40">
            <v>14.901518859999999</v>
          </cell>
          <cell r="N40">
            <v>15.736296080000001</v>
          </cell>
          <cell r="O40">
            <v>16.529824090000002</v>
          </cell>
          <cell r="P40">
            <v>17.2819693</v>
          </cell>
          <cell r="Q40">
            <v>17.992675980000001</v>
          </cell>
          <cell r="R40">
            <v>18.66193127</v>
          </cell>
          <cell r="S40">
            <v>19.289884430000001</v>
          </cell>
          <cell r="T40">
            <v>19.876843300000001</v>
          </cell>
          <cell r="U40">
            <v>20.423264119999999</v>
          </cell>
          <cell r="V40">
            <v>20.92766164</v>
          </cell>
          <cell r="W40">
            <v>21.393042179999998</v>
          </cell>
          <cell r="X40">
            <v>21.82032658</v>
          </cell>
          <cell r="Y40">
            <v>22.210554559999999</v>
          </cell>
          <cell r="Z40">
            <v>22.564836700000001</v>
          </cell>
          <cell r="AA40">
            <v>22.87911077</v>
          </cell>
          <cell r="AB40">
            <v>23.15794666</v>
          </cell>
          <cell r="AC40">
            <v>23.403030650000002</v>
          </cell>
          <cell r="AD40">
            <v>23.616132960000002</v>
          </cell>
          <cell r="AE40">
            <v>23.799022260000001</v>
          </cell>
          <cell r="AF40">
            <v>23.95342419</v>
          </cell>
          <cell r="AG40">
            <v>24.081014039999999</v>
          </cell>
          <cell r="AH40">
            <v>24.183387320000001</v>
          </cell>
          <cell r="AI40">
            <v>24.26206067</v>
          </cell>
          <cell r="AJ40">
            <v>24.3184781</v>
          </cell>
          <cell r="AK40">
            <v>24.35401654</v>
          </cell>
          <cell r="AL40">
            <v>24.369189209999998</v>
          </cell>
          <cell r="AM40">
            <v>24.36540656</v>
          </cell>
          <cell r="AN40">
            <v>24.343991559999999</v>
          </cell>
          <cell r="AO40">
            <v>24.306211869999998</v>
          </cell>
          <cell r="AP40">
            <v>24.25328077</v>
          </cell>
          <cell r="AQ40">
            <v>24.186366020000001</v>
          </cell>
          <cell r="AR40">
            <v>24.106558140000001</v>
          </cell>
          <cell r="AS40">
            <v>24.01486865</v>
          </cell>
          <cell r="AT40">
            <v>23.912234829999999</v>
          </cell>
          <cell r="AU40">
            <v>23.79952402</v>
          </cell>
          <cell r="AV40">
            <v>23.67764803</v>
          </cell>
          <cell r="AW40">
            <v>23.54735827</v>
          </cell>
          <cell r="AX40">
            <v>23.409320220000001</v>
          </cell>
          <cell r="AY40">
            <v>23.264132709999998</v>
          </cell>
          <cell r="AZ40">
            <v>23.112339519999999</v>
          </cell>
          <cell r="BA40">
            <v>13.85018971</v>
          </cell>
          <cell r="BB40">
            <v>13.3144727</v>
          </cell>
          <cell r="BC40">
            <v>12.772281039999999</v>
          </cell>
          <cell r="BD40">
            <v>12.22493592</v>
          </cell>
          <cell r="BE40">
            <v>11.673745009999999</v>
          </cell>
        </row>
        <row r="41">
          <cell r="A41" t="str">
            <v>auto_ce_cele_0</v>
          </cell>
          <cell r="B41">
            <v>3.4730440960000002</v>
          </cell>
          <cell r="C41">
            <v>4.5791175500000003</v>
          </cell>
          <cell r="D41">
            <v>5.7313470689999999</v>
          </cell>
          <cell r="E41">
            <v>6.8947231420000001</v>
          </cell>
          <cell r="F41">
            <v>8.0469703730000006</v>
          </cell>
          <cell r="G41">
            <v>9.1742723510000008</v>
          </cell>
          <cell r="H41">
            <v>10.266017039999999</v>
          </cell>
          <cell r="I41">
            <v>11.31702945</v>
          </cell>
          <cell r="J41">
            <v>12.3241573</v>
          </cell>
          <cell r="K41">
            <v>13.28549269</v>
          </cell>
          <cell r="L41">
            <v>14.20334871</v>
          </cell>
          <cell r="M41">
            <v>15.07343668</v>
          </cell>
          <cell r="N41">
            <v>15.895333040000001</v>
          </cell>
          <cell r="O41">
            <v>16.668865749999998</v>
          </cell>
          <cell r="P41">
            <v>17.39412819</v>
          </cell>
          <cell r="Q41">
            <v>18.07145143</v>
          </cell>
          <cell r="R41">
            <v>18.70136857</v>
          </cell>
          <cell r="S41">
            <v>19.284581450000001</v>
          </cell>
          <cell r="T41">
            <v>19.821932199999999</v>
          </cell>
          <cell r="U41">
            <v>20.314379859999999</v>
          </cell>
          <cell r="V41">
            <v>20.761014169999999</v>
          </cell>
          <cell r="W41">
            <v>21.165106649999998</v>
          </cell>
          <cell r="X41">
            <v>21.527926799999999</v>
          </cell>
          <cell r="Y41">
            <v>21.850796630000001</v>
          </cell>
          <cell r="Z41">
            <v>22.135048149999999</v>
          </cell>
          <cell r="AA41">
            <v>22.37721325</v>
          </cell>
          <cell r="AB41">
            <v>22.581676569999999</v>
          </cell>
          <cell r="AC41">
            <v>22.750188680000001</v>
          </cell>
          <cell r="AD41">
            <v>22.884556679999999</v>
          </cell>
          <cell r="AE41">
            <v>22.98656034</v>
          </cell>
          <cell r="AF41">
            <v>23.05791589</v>
          </cell>
          <cell r="AG41">
            <v>23.100262489999999</v>
          </cell>
          <cell r="AH41">
            <v>23.115160419999999</v>
          </cell>
          <cell r="AI41">
            <v>23.104095439999998</v>
          </cell>
          <cell r="AJ41">
            <v>23.068485840000001</v>
          </cell>
          <cell r="AK41">
            <v>23.009689819999998</v>
          </cell>
          <cell r="AL41">
            <v>22.928250030000001</v>
          </cell>
          <cell r="AM41">
            <v>22.825527770000001</v>
          </cell>
          <cell r="AN41">
            <v>22.702862199999998</v>
          </cell>
          <cell r="AO41">
            <v>22.561568609999998</v>
          </cell>
          <cell r="AP41">
            <v>22.402925440000001</v>
          </cell>
          <cell r="AQ41">
            <v>22.228163609999999</v>
          </cell>
          <cell r="AR41">
            <v>22.038460300000001</v>
          </cell>
          <cell r="AS41">
            <v>21.83493696</v>
          </cell>
          <cell r="AT41">
            <v>21.61866006</v>
          </cell>
          <cell r="AU41">
            <v>21.39064355</v>
          </cell>
          <cell r="AV41">
            <v>21.15189711</v>
          </cell>
          <cell r="AW41">
            <v>20.903332859999999</v>
          </cell>
          <cell r="AX41">
            <v>20.645818980000001</v>
          </cell>
          <cell r="AY41">
            <v>20.380181889999999</v>
          </cell>
          <cell r="AZ41">
            <v>20.107208700000001</v>
          </cell>
          <cell r="BA41">
            <v>14.46660228</v>
          </cell>
          <cell r="BB41">
            <v>13.96919132</v>
          </cell>
          <cell r="BC41">
            <v>13.465731549999999</v>
          </cell>
          <cell r="BD41">
            <v>12.95742368</v>
          </cell>
          <cell r="BE41">
            <v>12.44545143</v>
          </cell>
        </row>
        <row r="42">
          <cell r="A42" t="str">
            <v>auto_cf_cele_2</v>
          </cell>
          <cell r="B42">
            <v>1.7251505170000001</v>
          </cell>
          <cell r="C42">
            <v>2.2422162939999999</v>
          </cell>
          <cell r="D42">
            <v>2.762898023</v>
          </cell>
          <cell r="E42">
            <v>3.2699252109999999</v>
          </cell>
          <cell r="F42">
            <v>3.7527982620000002</v>
          </cell>
          <cell r="G42">
            <v>4.205456334</v>
          </cell>
          <cell r="H42">
            <v>4.6237533219999998</v>
          </cell>
          <cell r="I42">
            <v>5.0062500930000002</v>
          </cell>
          <cell r="J42">
            <v>5.3525892559999999</v>
          </cell>
          <cell r="K42">
            <v>5.6630828190000004</v>
          </cell>
          <cell r="L42">
            <v>5.9392193310000003</v>
          </cell>
          <cell r="M42">
            <v>6.1813433800000004</v>
          </cell>
          <cell r="N42">
            <v>6.3907757209999998</v>
          </cell>
          <cell r="O42">
            <v>6.5687768259999997</v>
          </cell>
          <cell r="P42">
            <v>6.7166719659999998</v>
          </cell>
          <cell r="Q42">
            <v>6.8358779629999997</v>
          </cell>
          <cell r="R42">
            <v>6.9278776659999997</v>
          </cell>
          <cell r="S42">
            <v>6.9942296600000002</v>
          </cell>
          <cell r="T42">
            <v>7.0365426940000004</v>
          </cell>
          <cell r="U42">
            <v>7.0564505559999997</v>
          </cell>
          <cell r="V42">
            <v>7.0551573909999998</v>
          </cell>
          <cell r="W42">
            <v>7.0348031070000001</v>
          </cell>
          <cell r="X42">
            <v>6.9969955749999997</v>
          </cell>
          <cell r="Y42">
            <v>6.9432990759999997</v>
          </cell>
          <cell r="Z42">
            <v>6.8752212869999996</v>
          </cell>
          <cell r="AA42">
            <v>6.7933953220000003</v>
          </cell>
          <cell r="AB42">
            <v>6.6998258550000003</v>
          </cell>
          <cell r="AC42">
            <v>6.5959338269999996</v>
          </cell>
          <cell r="AD42">
            <v>6.4830539869999999</v>
          </cell>
          <cell r="AE42">
            <v>6.3624256829999997</v>
          </cell>
          <cell r="AF42">
            <v>6.2351930119999999</v>
          </cell>
          <cell r="AG42">
            <v>6.1024098230000003</v>
          </cell>
          <cell r="AH42">
            <v>5.965042253</v>
          </cell>
          <cell r="AI42">
            <v>5.8239745349999996</v>
          </cell>
          <cell r="AJ42">
            <v>5.6800151010000004</v>
          </cell>
          <cell r="AK42">
            <v>5.533902125</v>
          </cell>
          <cell r="AL42">
            <v>5.3862505350000003</v>
          </cell>
          <cell r="AM42">
            <v>5.2376954360000001</v>
          </cell>
          <cell r="AN42">
            <v>5.0888091099999997</v>
          </cell>
          <cell r="AO42">
            <v>4.9401069690000003</v>
          </cell>
          <cell r="AP42">
            <v>4.7920515579999998</v>
          </cell>
          <cell r="AQ42">
            <v>4.6450568309999998</v>
          </cell>
          <cell r="AR42">
            <v>4.4994900749999998</v>
          </cell>
          <cell r="AS42">
            <v>4.3556752689999998</v>
          </cell>
          <cell r="AT42">
            <v>4.2138965800000001</v>
          </cell>
          <cell r="AU42">
            <v>4.0744015769999997</v>
          </cell>
          <cell r="AV42">
            <v>3.9374076009999999</v>
          </cell>
          <cell r="AW42">
            <v>3.8030972799999998</v>
          </cell>
          <cell r="AX42">
            <v>3.6716238209999998</v>
          </cell>
          <cell r="AY42">
            <v>3.5431140929999998</v>
          </cell>
          <cell r="AZ42">
            <v>3.4176712010000001</v>
          </cell>
          <cell r="BA42">
            <v>2.8822763779999998</v>
          </cell>
          <cell r="BB42">
            <v>2.7701985680000001</v>
          </cell>
          <cell r="BC42">
            <v>2.6618247959999999</v>
          </cell>
          <cell r="BD42">
            <v>2.5571370870000001</v>
          </cell>
          <cell r="BE42">
            <v>2.456102048</v>
          </cell>
        </row>
        <row r="43">
          <cell r="A43" t="str">
            <v>auto_cf_cele_0</v>
          </cell>
          <cell r="B43">
            <v>1.7251505170000001</v>
          </cell>
          <cell r="C43">
            <v>2.2482442979999999</v>
          </cell>
          <cell r="D43">
            <v>2.777499857</v>
          </cell>
          <cell r="E43">
            <v>3.2928145089999998</v>
          </cell>
          <cell r="F43">
            <v>3.78221455</v>
          </cell>
          <cell r="G43">
            <v>4.2389795939999999</v>
          </cell>
          <cell r="H43">
            <v>4.6588005819999996</v>
          </cell>
          <cell r="I43">
            <v>5.0403092620000001</v>
          </cell>
          <cell r="J43">
            <v>5.3833593569999998</v>
          </cell>
          <cell r="K43">
            <v>5.6885469410000002</v>
          </cell>
          <cell r="L43">
            <v>5.9580836469999996</v>
          </cell>
          <cell r="M43">
            <v>6.1919811439999997</v>
          </cell>
          <cell r="N43">
            <v>6.391714007</v>
          </cell>
          <cell r="O43">
            <v>6.5588898090000001</v>
          </cell>
          <cell r="P43">
            <v>6.695220226</v>
          </cell>
          <cell r="Q43">
            <v>6.8024854819999998</v>
          </cell>
          <cell r="R43">
            <v>6.8825028000000001</v>
          </cell>
          <cell r="S43">
            <v>6.9371003629999999</v>
          </cell>
          <cell r="T43">
            <v>6.9680962309999996</v>
          </cell>
          <cell r="U43">
            <v>6.9772814710000004</v>
          </cell>
          <cell r="V43">
            <v>6.965996606</v>
          </cell>
          <cell r="W43">
            <v>6.9364223379999999</v>
          </cell>
          <cell r="X43">
            <v>6.8902084730000004</v>
          </cell>
          <cell r="Y43">
            <v>6.8289334620000002</v>
          </cell>
          <cell r="Z43">
            <v>6.754097443</v>
          </cell>
          <cell r="AA43">
            <v>6.666361781</v>
          </cell>
          <cell r="AB43">
            <v>6.5676461899999996</v>
          </cell>
          <cell r="AC43">
            <v>6.4593235130000002</v>
          </cell>
          <cell r="AD43">
            <v>6.3426796100000002</v>
          </cell>
          <cell r="AE43">
            <v>6.2189050229999996</v>
          </cell>
          <cell r="AF43">
            <v>6.0890960639999996</v>
          </cell>
          <cell r="AG43">
            <v>5.954259328</v>
          </cell>
          <cell r="AH43">
            <v>5.8153174249999999</v>
          </cell>
          <cell r="AI43">
            <v>5.6731149629999997</v>
          </cell>
          <cell r="AJ43">
            <v>5.5284243069999999</v>
          </cell>
          <cell r="AK43">
            <v>5.381950872</v>
          </cell>
          <cell r="AL43">
            <v>5.2342779569999998</v>
          </cell>
          <cell r="AM43">
            <v>5.0860097819999996</v>
          </cell>
          <cell r="AN43">
            <v>4.9376954480000004</v>
          </cell>
          <cell r="AO43">
            <v>4.7898310310000003</v>
          </cell>
          <cell r="AP43">
            <v>4.642861506</v>
          </cell>
          <cell r="AQ43">
            <v>4.497183251</v>
          </cell>
          <cell r="AR43">
            <v>4.3531469969999996</v>
          </cell>
          <cell r="AS43">
            <v>4.211060968</v>
          </cell>
          <cell r="AT43">
            <v>4.0711940340000004</v>
          </cell>
          <cell r="AU43">
            <v>3.9337787610000001</v>
          </cell>
          <cell r="AV43">
            <v>3.7990159010000002</v>
          </cell>
          <cell r="AW43">
            <v>3.6670733179999999</v>
          </cell>
          <cell r="AX43">
            <v>3.5380907540000002</v>
          </cell>
          <cell r="AY43">
            <v>3.4121822009999998</v>
          </cell>
          <cell r="AZ43">
            <v>3.289438122</v>
          </cell>
          <cell r="BA43">
            <v>2.9073723610000002</v>
          </cell>
          <cell r="BB43">
            <v>2.7952765500000001</v>
          </cell>
          <cell r="BC43">
            <v>2.686812464</v>
          </cell>
          <cell r="BD43">
            <v>2.581966531</v>
          </cell>
          <cell r="BE43">
            <v>2.480710094</v>
          </cell>
        </row>
        <row r="44">
          <cell r="A44" t="str">
            <v>auto_cg_cele_2</v>
          </cell>
          <cell r="B44">
            <v>3.1066862139999998</v>
          </cell>
          <cell r="C44">
            <v>4.0687019930000003</v>
          </cell>
          <cell r="D44">
            <v>5.0158089940000004</v>
          </cell>
          <cell r="E44">
            <v>5.9125310259999999</v>
          </cell>
          <cell r="F44">
            <v>6.738767739</v>
          </cell>
          <cell r="G44">
            <v>7.4843313089999999</v>
          </cell>
          <cell r="H44">
            <v>8.1438039300000007</v>
          </cell>
          <cell r="I44">
            <v>8.7172651400000003</v>
          </cell>
          <cell r="J44">
            <v>9.2071036359999994</v>
          </cell>
          <cell r="K44">
            <v>9.6170600690000008</v>
          </cell>
          <cell r="L44">
            <v>9.9527695430000005</v>
          </cell>
          <cell r="M44">
            <v>10.21816128</v>
          </cell>
          <cell r="N44">
            <v>10.41844328</v>
          </cell>
          <cell r="O44">
            <v>10.558605399999999</v>
          </cell>
          <cell r="P44">
            <v>10.64360469</v>
          </cell>
          <cell r="Q44">
            <v>10.67838059</v>
          </cell>
          <cell r="R44">
            <v>10.667791149999999</v>
          </cell>
          <cell r="S44">
            <v>10.61658965</v>
          </cell>
          <cell r="T44">
            <v>10.529365800000001</v>
          </cell>
          <cell r="U44">
            <v>10.41049694</v>
          </cell>
          <cell r="V44">
            <v>10.26370425</v>
          </cell>
          <cell r="W44">
            <v>10.093365609999999</v>
          </cell>
          <cell r="X44">
            <v>9.9030658070000008</v>
          </cell>
          <cell r="Y44">
            <v>9.6960966610000003</v>
          </cell>
          <cell r="Z44">
            <v>9.4754587850000007</v>
          </cell>
          <cell r="AA44">
            <v>9.2432645699999991</v>
          </cell>
          <cell r="AB44">
            <v>9.0024897030000002</v>
          </cell>
          <cell r="AC44">
            <v>8.7554261750000002</v>
          </cell>
          <cell r="AD44">
            <v>8.5040976629999996</v>
          </cell>
          <cell r="AE44">
            <v>8.2502744729999993</v>
          </cell>
          <cell r="AF44">
            <v>7.9954951899999998</v>
          </cell>
          <cell r="AG44">
            <v>7.7410899369999999</v>
          </cell>
          <cell r="AH44">
            <v>7.4882004540000002</v>
          </cell>
          <cell r="AI44">
            <v>7.2378003489999996</v>
          </cell>
          <cell r="AJ44">
            <v>6.9907138279999996</v>
          </cell>
          <cell r="AK44">
            <v>6.7476325130000001</v>
          </cell>
          <cell r="AL44">
            <v>6.5091063399999998</v>
          </cell>
          <cell r="AM44">
            <v>6.2756183009999997</v>
          </cell>
          <cell r="AN44">
            <v>6.0475549119999998</v>
          </cell>
          <cell r="AO44">
            <v>5.8252184160000002</v>
          </cell>
          <cell r="AP44">
            <v>5.6088373059999999</v>
          </cell>
          <cell r="AQ44">
            <v>5.3985759719999997</v>
          </cell>
          <cell r="AR44">
            <v>5.1945426399999999</v>
          </cell>
          <cell r="AS44">
            <v>4.9967969800000001</v>
          </cell>
          <cell r="AT44">
            <v>4.805357002</v>
          </cell>
          <cell r="AU44">
            <v>4.6202051690000001</v>
          </cell>
          <cell r="AV44">
            <v>4.4412945730000004</v>
          </cell>
          <cell r="AW44">
            <v>4.2685519909999998</v>
          </cell>
          <cell r="AX44">
            <v>4.1018828469999997</v>
          </cell>
          <cell r="AY44">
            <v>3.9411751580000001</v>
          </cell>
          <cell r="AZ44">
            <v>3.7863029020000001</v>
          </cell>
          <cell r="BA44">
            <v>3.284762427</v>
          </cell>
          <cell r="BB44">
            <v>3.1536470840000002</v>
          </cell>
          <cell r="BC44">
            <v>3.0276746650000002</v>
          </cell>
          <cell r="BD44">
            <v>2.9066671610000001</v>
          </cell>
          <cell r="BE44">
            <v>2.790447458</v>
          </cell>
        </row>
        <row r="45">
          <cell r="A45" t="str">
            <v>auto_cg_cele_0</v>
          </cell>
          <cell r="B45">
            <v>3.1066862139999998</v>
          </cell>
          <cell r="C45">
            <v>4.078034626</v>
          </cell>
          <cell r="D45">
            <v>5.0359357490000001</v>
          </cell>
          <cell r="E45">
            <v>5.9395011020000004</v>
          </cell>
          <cell r="F45">
            <v>6.7665365470000003</v>
          </cell>
          <cell r="G45">
            <v>7.5065763690000002</v>
          </cell>
          <cell r="H45">
            <v>8.154864517</v>
          </cell>
          <cell r="I45">
            <v>8.7124313079999993</v>
          </cell>
          <cell r="J45">
            <v>9.1827119509999999</v>
          </cell>
          <cell r="K45">
            <v>9.5704729129999997</v>
          </cell>
          <cell r="L45">
            <v>9.8827749469999997</v>
          </cell>
          <cell r="M45">
            <v>10.12347113</v>
          </cell>
          <cell r="N45">
            <v>10.298388340000001</v>
          </cell>
          <cell r="O45">
            <v>10.413340850000001</v>
          </cell>
          <cell r="P45">
            <v>10.4740447</v>
          </cell>
          <cell r="Q45">
            <v>10.48603994</v>
          </cell>
          <cell r="R45">
            <v>10.45463224</v>
          </cell>
          <cell r="S45">
            <v>10.384852220000001</v>
          </cell>
          <cell r="T45">
            <v>10.281428719999999</v>
          </cell>
          <cell r="U45">
            <v>10.148773200000001</v>
          </cell>
          <cell r="V45">
            <v>9.9905993619999993</v>
          </cell>
          <cell r="W45">
            <v>9.8111346239999992</v>
          </cell>
          <cell r="X45">
            <v>9.6138252719999997</v>
          </cell>
          <cell r="Y45">
            <v>9.4017994050000002</v>
          </cell>
          <cell r="Z45">
            <v>9.1778804550000004</v>
          </cell>
          <cell r="AA45">
            <v>8.9440600559999996</v>
          </cell>
          <cell r="AB45">
            <v>8.7030757740000002</v>
          </cell>
          <cell r="AC45">
            <v>8.4570401470000007</v>
          </cell>
          <cell r="AD45">
            <v>8.2078124050000003</v>
          </cell>
          <cell r="AE45">
            <v>7.9570135979999996</v>
          </cell>
          <cell r="AF45">
            <v>7.7060478129999996</v>
          </cell>
          <cell r="AG45">
            <v>7.4561239749999997</v>
          </cell>
          <cell r="AH45">
            <v>7.2082765389999999</v>
          </cell>
          <cell r="AI45">
            <v>6.9633845269999997</v>
          </cell>
          <cell r="AJ45">
            <v>6.7221887799999998</v>
          </cell>
          <cell r="AK45">
            <v>6.4853074570000002</v>
          </cell>
          <cell r="AL45">
            <v>6.2532261409999998</v>
          </cell>
          <cell r="AM45">
            <v>6.0263686109999997</v>
          </cell>
          <cell r="AN45">
            <v>5.8050715129999997</v>
          </cell>
          <cell r="AO45">
            <v>5.5895939309999996</v>
          </cell>
          <cell r="AP45">
            <v>5.3801263239999999</v>
          </cell>
          <cell r="AQ45">
            <v>5.1767990099999999</v>
          </cell>
          <cell r="AR45">
            <v>4.979690078</v>
          </cell>
          <cell r="AS45">
            <v>4.78883261</v>
          </cell>
          <cell r="AT45">
            <v>4.604221205</v>
          </cell>
          <cell r="AU45">
            <v>4.4258177989999998</v>
          </cell>
          <cell r="AV45">
            <v>4.2535571770000002</v>
          </cell>
          <cell r="AW45">
            <v>4.087350721</v>
          </cell>
          <cell r="AX45">
            <v>3.9270909889999999</v>
          </cell>
          <cell r="AY45">
            <v>3.7726552670000002</v>
          </cell>
          <cell r="AZ45">
            <v>3.62390868</v>
          </cell>
          <cell r="BA45">
            <v>3.2957326619999998</v>
          </cell>
          <cell r="BB45">
            <v>3.16432365</v>
          </cell>
          <cell r="BC45">
            <v>3.0380470530000001</v>
          </cell>
          <cell r="BD45">
            <v>2.9167280400000002</v>
          </cell>
          <cell r="BE45">
            <v>2.8001923290000001</v>
          </cell>
        </row>
        <row r="46">
          <cell r="A46" t="str">
            <v>auto_ca_cgas_2</v>
          </cell>
          <cell r="B46">
            <v>0.42568169729999999</v>
          </cell>
          <cell r="C46">
            <v>0.4489522185</v>
          </cell>
          <cell r="D46">
            <v>0.47483623730000002</v>
          </cell>
          <cell r="E46">
            <v>0.50225398320000003</v>
          </cell>
          <cell r="F46">
            <v>0.53051845669999997</v>
          </cell>
          <cell r="G46">
            <v>0.55921337189999998</v>
          </cell>
          <cell r="H46">
            <v>0.58799537960000003</v>
          </cell>
          <cell r="I46">
            <v>0.61671734489999996</v>
          </cell>
          <cell r="J46">
            <v>0.64529139759999998</v>
          </cell>
          <cell r="K46">
            <v>0.67366402599999997</v>
          </cell>
          <cell r="L46">
            <v>0.70189803179999999</v>
          </cell>
          <cell r="M46">
            <v>0.7298826128</v>
          </cell>
          <cell r="N46">
            <v>0.75764170710000001</v>
          </cell>
          <cell r="O46">
            <v>0.7851835425</v>
          </cell>
          <cell r="P46">
            <v>0.81251076229999997</v>
          </cell>
          <cell r="Q46">
            <v>0.83962239910000003</v>
          </cell>
          <cell r="R46">
            <v>0.86651064909999997</v>
          </cell>
          <cell r="S46">
            <v>0.89316757349999998</v>
          </cell>
          <cell r="T46">
            <v>0.91958532690000006</v>
          </cell>
          <cell r="U46">
            <v>0.94575641519999998</v>
          </cell>
          <cell r="V46">
            <v>0.97153843480000002</v>
          </cell>
          <cell r="W46">
            <v>0.99706884959999997</v>
          </cell>
          <cell r="X46">
            <v>1.0223472259999999</v>
          </cell>
          <cell r="Y46">
            <v>1.0473769509999999</v>
          </cell>
          <cell r="Z46">
            <v>1.0721624249999999</v>
          </cell>
          <cell r="AA46">
            <v>1.0963104450000001</v>
          </cell>
          <cell r="AB46">
            <v>1.1200581460000001</v>
          </cell>
          <cell r="AC46">
            <v>1.143427339</v>
          </cell>
          <cell r="AD46">
            <v>1.166448318</v>
          </cell>
          <cell r="AE46">
            <v>1.189154246</v>
          </cell>
          <cell r="AF46">
            <v>1.211578091</v>
          </cell>
          <cell r="AG46">
            <v>1.233752223</v>
          </cell>
          <cell r="AH46">
            <v>1.255705954</v>
          </cell>
          <cell r="AI46">
            <v>1.27746585</v>
          </cell>
          <cell r="AJ46">
            <v>1.2990563690000001</v>
          </cell>
          <cell r="AK46">
            <v>1.3205003559999999</v>
          </cell>
          <cell r="AL46">
            <v>1.3417332829999999</v>
          </cell>
          <cell r="AM46">
            <v>1.3627841890000001</v>
          </cell>
          <cell r="AN46">
            <v>1.3836785140000001</v>
          </cell>
          <cell r="AO46">
            <v>1.404442371</v>
          </cell>
          <cell r="AP46">
            <v>1.425102557</v>
          </cell>
          <cell r="AQ46">
            <v>1.4456871389999999</v>
          </cell>
          <cell r="AR46">
            <v>1.466221132</v>
          </cell>
          <cell r="AS46">
            <v>1.486726126</v>
          </cell>
          <cell r="AT46">
            <v>1.5072205240000001</v>
          </cell>
          <cell r="AU46">
            <v>1.5277197360000001</v>
          </cell>
          <cell r="AV46">
            <v>1.5482517849999999</v>
          </cell>
          <cell r="AW46">
            <v>1.5688287750000001</v>
          </cell>
          <cell r="AX46">
            <v>1.589457734</v>
          </cell>
          <cell r="AY46">
            <v>1.610142915</v>
          </cell>
          <cell r="AZ46">
            <v>1.6308867339999999</v>
          </cell>
          <cell r="BA46">
            <v>1.8039206699999999</v>
          </cell>
          <cell r="BB46">
            <v>1.8325442700000001</v>
          </cell>
          <cell r="BC46">
            <v>1.861562003</v>
          </cell>
          <cell r="BD46">
            <v>1.8910015280000001</v>
          </cell>
          <cell r="BE46">
            <v>1.9208926319999999</v>
          </cell>
        </row>
        <row r="47">
          <cell r="A47" t="str">
            <v>auto_ca_cgas_0</v>
          </cell>
          <cell r="B47">
            <v>0.42568169729999999</v>
          </cell>
          <cell r="C47">
            <v>0.44962451019999999</v>
          </cell>
          <cell r="D47">
            <v>0.47671073530000002</v>
          </cell>
          <cell r="E47">
            <v>0.50567802669999995</v>
          </cell>
          <cell r="F47">
            <v>0.53570416629999995</v>
          </cell>
          <cell r="G47">
            <v>0.566272895</v>
          </cell>
          <cell r="H47">
            <v>0.59697095710000003</v>
          </cell>
          <cell r="I47">
            <v>0.62760516040000003</v>
          </cell>
          <cell r="J47">
            <v>0.65806000340000004</v>
          </cell>
          <cell r="K47">
            <v>0.68826724319999999</v>
          </cell>
          <cell r="L47">
            <v>0.7183626796</v>
          </cell>
          <cell r="M47">
            <v>0.74814208370000002</v>
          </cell>
          <cell r="N47">
            <v>0.77758620099999998</v>
          </cell>
          <cell r="O47">
            <v>0.80667972980000002</v>
          </cell>
          <cell r="P47">
            <v>0.83541324640000003</v>
          </cell>
          <cell r="Q47">
            <v>0.8637828944</v>
          </cell>
          <cell r="R47">
            <v>0.89178940309999999</v>
          </cell>
          <cell r="S47">
            <v>0.91943703929999998</v>
          </cell>
          <cell r="T47">
            <v>0.94673274119999995</v>
          </cell>
          <cell r="U47">
            <v>0.97368550659999997</v>
          </cell>
          <cell r="V47">
            <v>1.000167568</v>
          </cell>
          <cell r="W47">
            <v>1.026334834</v>
          </cell>
          <cell r="X47">
            <v>1.052203996</v>
          </cell>
          <cell r="Y47">
            <v>1.077794283</v>
          </cell>
          <cell r="Z47">
            <v>1.1031245009999999</v>
          </cell>
          <cell r="AA47">
            <v>1.127807389</v>
          </cell>
          <cell r="AB47">
            <v>1.1520897969999999</v>
          </cell>
          <cell r="AC47">
            <v>1.1760036970000001</v>
          </cell>
          <cell r="AD47">
            <v>1.1995893950000001</v>
          </cell>
          <cell r="AE47">
            <v>1.222889028</v>
          </cell>
          <cell r="AF47">
            <v>1.2459432800000001</v>
          </cell>
          <cell r="AG47">
            <v>1.268789902</v>
          </cell>
          <cell r="AH47">
            <v>1.2914633149999999</v>
          </cell>
          <cell r="AI47">
            <v>1.313994809</v>
          </cell>
          <cell r="AJ47">
            <v>1.3364130169999999</v>
          </cell>
          <cell r="AK47">
            <v>1.358744422</v>
          </cell>
          <cell r="AL47">
            <v>1.3809145949999999</v>
          </cell>
          <cell r="AM47">
            <v>1.4029503029999999</v>
          </cell>
          <cell r="AN47">
            <v>1.4248794010000001</v>
          </cell>
          <cell r="AO47">
            <v>1.446731752</v>
          </cell>
          <cell r="AP47">
            <v>1.468538071</v>
          </cell>
          <cell r="AQ47">
            <v>1.4903284960000001</v>
          </cell>
          <cell r="AR47">
            <v>1.5121314969999999</v>
          </cell>
          <cell r="AS47">
            <v>1.5339732340000001</v>
          </cell>
          <cell r="AT47">
            <v>1.5558773260000001</v>
          </cell>
          <cell r="AU47">
            <v>1.577864903</v>
          </cell>
          <cell r="AV47">
            <v>1.599963832</v>
          </cell>
          <cell r="AW47">
            <v>1.6221906939999999</v>
          </cell>
          <cell r="AX47">
            <v>1.644560179</v>
          </cell>
          <cell r="AY47">
            <v>1.6670851419999999</v>
          </cell>
          <cell r="AZ47">
            <v>1.689776881</v>
          </cell>
          <cell r="BA47">
            <v>1.797599926</v>
          </cell>
          <cell r="BB47">
            <v>1.825674359</v>
          </cell>
          <cell r="BC47">
            <v>1.8541047100000001</v>
          </cell>
          <cell r="BD47">
            <v>1.8829160920000001</v>
          </cell>
          <cell r="BE47">
            <v>1.9121352410000001</v>
          </cell>
        </row>
        <row r="48">
          <cell r="A48" t="str">
            <v>auto_cb_cgas_2</v>
          </cell>
          <cell r="B48">
            <v>0.49500522540000003</v>
          </cell>
          <cell r="C48">
            <v>0.51190360820000003</v>
          </cell>
          <cell r="D48">
            <v>0.5315702471</v>
          </cell>
          <cell r="E48">
            <v>0.55292754560000001</v>
          </cell>
          <cell r="F48">
            <v>0.57528256889999996</v>
          </cell>
          <cell r="G48">
            <v>0.59820705139999997</v>
          </cell>
          <cell r="H48">
            <v>0.6213471881</v>
          </cell>
          <cell r="I48">
            <v>0.64453970729999999</v>
          </cell>
          <cell r="J48">
            <v>0.66768037579999995</v>
          </cell>
          <cell r="K48">
            <v>0.69069965069999995</v>
          </cell>
          <cell r="L48">
            <v>0.71363947510000003</v>
          </cell>
          <cell r="M48">
            <v>0.73637941780000005</v>
          </cell>
          <cell r="N48">
            <v>0.75892614800000002</v>
          </cell>
          <cell r="O48">
            <v>0.78127211409999997</v>
          </cell>
          <cell r="P48">
            <v>0.80340542500000001</v>
          </cell>
          <cell r="Q48">
            <v>0.82531187520000004</v>
          </cell>
          <cell r="R48">
            <v>0.84697201560000002</v>
          </cell>
          <cell r="S48">
            <v>0.86836732059999999</v>
          </cell>
          <cell r="T48">
            <v>0.88948031709999997</v>
          </cell>
          <cell r="U48">
            <v>0.91029471770000003</v>
          </cell>
          <cell r="V48">
            <v>0.93067239619999997</v>
          </cell>
          <cell r="W48">
            <v>0.95073111610000005</v>
          </cell>
          <cell r="X48">
            <v>0.97046310069999997</v>
          </cell>
          <cell r="Y48">
            <v>0.98986441349999998</v>
          </cell>
          <cell r="Z48">
            <v>1.008932384</v>
          </cell>
          <cell r="AA48">
            <v>1.0273100639999999</v>
          </cell>
          <cell r="AB48">
            <v>1.0452062989999999</v>
          </cell>
          <cell r="AC48">
            <v>1.062636854</v>
          </cell>
          <cell r="AD48">
            <v>1.079624855</v>
          </cell>
          <cell r="AE48">
            <v>1.0961957019999999</v>
          </cell>
          <cell r="AF48">
            <v>1.1123743399999999</v>
          </cell>
          <cell r="AG48">
            <v>1.1281848889999999</v>
          </cell>
          <cell r="AH48">
            <v>1.1436484979999999</v>
          </cell>
          <cell r="AI48">
            <v>1.1587836199999999</v>
          </cell>
          <cell r="AJ48">
            <v>1.1736065790000001</v>
          </cell>
          <cell r="AK48">
            <v>1.1881320040000001</v>
          </cell>
          <cell r="AL48">
            <v>1.2022999480000001</v>
          </cell>
          <cell r="AM48">
            <v>1.2161307969999999</v>
          </cell>
          <cell r="AN48">
            <v>1.229641524</v>
          </cell>
          <cell r="AO48">
            <v>1.242849249</v>
          </cell>
          <cell r="AP48">
            <v>1.255771239</v>
          </cell>
          <cell r="AQ48">
            <v>1.2684254049999999</v>
          </cell>
          <cell r="AR48">
            <v>1.2808267280000001</v>
          </cell>
          <cell r="AS48">
            <v>1.292986974</v>
          </cell>
          <cell r="AT48">
            <v>1.3049149419999999</v>
          </cell>
          <cell r="AU48">
            <v>1.316616674</v>
          </cell>
          <cell r="AV48">
            <v>1.328108117</v>
          </cell>
          <cell r="AW48">
            <v>1.339391947</v>
          </cell>
          <cell r="AX48">
            <v>1.350466444</v>
          </cell>
          <cell r="AY48">
            <v>1.361327414</v>
          </cell>
          <cell r="AZ48">
            <v>1.371969029</v>
          </cell>
          <cell r="BA48">
            <v>1.5039197900000001</v>
          </cell>
          <cell r="BB48">
            <v>1.519912972</v>
          </cell>
          <cell r="BC48">
            <v>1.5358993460000001</v>
          </cell>
          <cell r="BD48">
            <v>1.551891216</v>
          </cell>
          <cell r="BE48">
            <v>1.567902049</v>
          </cell>
        </row>
        <row r="49">
          <cell r="A49" t="str">
            <v>auto_cb_cgas_0</v>
          </cell>
          <cell r="B49">
            <v>0.49500522540000003</v>
          </cell>
          <cell r="C49">
            <v>0.51254167399999995</v>
          </cell>
          <cell r="D49">
            <v>0.53334117869999997</v>
          </cell>
          <cell r="E49">
            <v>0.55614763499999997</v>
          </cell>
          <cell r="F49">
            <v>0.58013773059999996</v>
          </cell>
          <cell r="G49">
            <v>0.60478809069999995</v>
          </cell>
          <cell r="H49">
            <v>0.62967927940000001</v>
          </cell>
          <cell r="I49">
            <v>0.65460522480000005</v>
          </cell>
          <cell r="J49">
            <v>0.6794363994</v>
          </cell>
          <cell r="K49">
            <v>0.70409014400000003</v>
          </cell>
          <cell r="L49">
            <v>0.72867686259999997</v>
          </cell>
          <cell r="M49">
            <v>0.75298886819999999</v>
          </cell>
          <cell r="N49">
            <v>0.77699386989999997</v>
          </cell>
          <cell r="O49">
            <v>0.80066450010000001</v>
          </cell>
          <cell r="P49">
            <v>0.82397993709999995</v>
          </cell>
          <cell r="Q49">
            <v>0.84692546040000005</v>
          </cell>
          <cell r="R49">
            <v>0.86949141299999999</v>
          </cell>
          <cell r="S49">
            <v>0.89167212730000001</v>
          </cell>
          <cell r="T49">
            <v>0.91346503229999998</v>
          </cell>
          <cell r="U49">
            <v>0.93487000490000005</v>
          </cell>
          <cell r="V49">
            <v>0.95576339160000001</v>
          </cell>
          <cell r="W49">
            <v>0.97628006879999996</v>
          </cell>
          <cell r="X49">
            <v>0.99642819930000004</v>
          </cell>
          <cell r="Y49">
            <v>1.0162183760000001</v>
          </cell>
          <cell r="Z49">
            <v>1.0356609400000001</v>
          </cell>
          <cell r="AA49">
            <v>1.0544049179999999</v>
          </cell>
          <cell r="AB49">
            <v>1.072667195</v>
          </cell>
          <cell r="AC49">
            <v>1.0904722360000001</v>
          </cell>
          <cell r="AD49">
            <v>1.1078516199999999</v>
          </cell>
          <cell r="AE49">
            <v>1.1248381860000001</v>
          </cell>
          <cell r="AF49">
            <v>1.141463127</v>
          </cell>
          <cell r="AG49">
            <v>1.157754709</v>
          </cell>
          <cell r="AH49">
            <v>1.173737941</v>
          </cell>
          <cell r="AI49">
            <v>1.1894347729999999</v>
          </cell>
          <cell r="AJ49">
            <v>1.204864529</v>
          </cell>
          <cell r="AK49">
            <v>1.220044372</v>
          </cell>
          <cell r="AL49">
            <v>1.2349054660000001</v>
          </cell>
          <cell r="AM49">
            <v>1.2494657769999999</v>
          </cell>
          <cell r="AN49">
            <v>1.2637439829999999</v>
          </cell>
          <cell r="AO49">
            <v>1.277760139</v>
          </cell>
          <cell r="AP49">
            <v>1.291534626</v>
          </cell>
          <cell r="AQ49">
            <v>1.305086931</v>
          </cell>
          <cell r="AR49">
            <v>1.318434734</v>
          </cell>
          <cell r="AS49">
            <v>1.3315933959999999</v>
          </cell>
          <cell r="AT49">
            <v>1.344575796</v>
          </cell>
          <cell r="AU49">
            <v>1.357392406</v>
          </cell>
          <cell r="AV49">
            <v>1.3700587580000001</v>
          </cell>
          <cell r="AW49">
            <v>1.382580833</v>
          </cell>
          <cell r="AX49">
            <v>1.3949627689999999</v>
          </cell>
          <cell r="AY49">
            <v>1.407206951</v>
          </cell>
          <cell r="AZ49">
            <v>1.419314263</v>
          </cell>
          <cell r="BA49">
            <v>1.49953493</v>
          </cell>
          <cell r="BB49">
            <v>1.515156978</v>
          </cell>
          <cell r="BC49">
            <v>1.5307466949999999</v>
          </cell>
          <cell r="BD49">
            <v>1.5463146320000001</v>
          </cell>
          <cell r="BE49">
            <v>1.561872156</v>
          </cell>
        </row>
        <row r="50">
          <cell r="A50" t="str">
            <v>auto_cc_cgas_2</v>
          </cell>
          <cell r="B50">
            <v>0.40659851759999999</v>
          </cell>
          <cell r="C50">
            <v>0.41426557450000001</v>
          </cell>
          <cell r="D50">
            <v>0.42404513199999999</v>
          </cell>
          <cell r="E50">
            <v>0.435162365</v>
          </cell>
          <cell r="F50">
            <v>0.44711410950000002</v>
          </cell>
          <cell r="G50">
            <v>0.45958383060000002</v>
          </cell>
          <cell r="H50">
            <v>0.47230969360000002</v>
          </cell>
          <cell r="I50">
            <v>0.48516333</v>
          </cell>
          <cell r="J50">
            <v>0.4980587943</v>
          </cell>
          <cell r="K50">
            <v>0.5109354062</v>
          </cell>
          <cell r="L50">
            <v>0.523809631</v>
          </cell>
          <cell r="M50">
            <v>0.5365885292</v>
          </cell>
          <cell r="N50">
            <v>0.54926574169999998</v>
          </cell>
          <cell r="O50">
            <v>0.56182576200000001</v>
          </cell>
          <cell r="P50">
            <v>0.57425087350000004</v>
          </cell>
          <cell r="Q50">
            <v>0.58652262860000004</v>
          </cell>
          <cell r="R50">
            <v>0.59861992360000005</v>
          </cell>
          <cell r="S50">
            <v>0.61052308499999997</v>
          </cell>
          <cell r="T50">
            <v>0.62221389169999997</v>
          </cell>
          <cell r="U50">
            <v>0.63367558850000005</v>
          </cell>
          <cell r="V50">
            <v>0.64481215130000002</v>
          </cell>
          <cell r="W50">
            <v>0.65569644029999996</v>
          </cell>
          <cell r="X50">
            <v>0.66631896489999998</v>
          </cell>
          <cell r="Y50">
            <v>0.67667309050000002</v>
          </cell>
          <cell r="Z50">
            <v>0.6867533347</v>
          </cell>
          <cell r="AA50">
            <v>0.69632652829999997</v>
          </cell>
          <cell r="AB50">
            <v>0.70552601500000001</v>
          </cell>
          <cell r="AC50">
            <v>0.71436029300000004</v>
          </cell>
          <cell r="AD50">
            <v>0.72284254469999998</v>
          </cell>
          <cell r="AE50">
            <v>0.73098731859999999</v>
          </cell>
          <cell r="AF50">
            <v>0.73880877810000001</v>
          </cell>
          <cell r="AG50">
            <v>0.74632046689999998</v>
          </cell>
          <cell r="AH50">
            <v>0.75353395749999996</v>
          </cell>
          <cell r="AI50">
            <v>0.76045903420000005</v>
          </cell>
          <cell r="AJ50">
            <v>0.76710406350000004</v>
          </cell>
          <cell r="AK50">
            <v>0.77347628040000005</v>
          </cell>
          <cell r="AL50">
            <v>0.77953706450000004</v>
          </cell>
          <cell r="AM50">
            <v>0.78529769979999997</v>
          </cell>
          <cell r="AN50">
            <v>0.79076726549999998</v>
          </cell>
          <cell r="AO50">
            <v>0.79595479339999997</v>
          </cell>
          <cell r="AP50">
            <v>0.80086926859999996</v>
          </cell>
          <cell r="AQ50">
            <v>0.80551994729999998</v>
          </cell>
          <cell r="AR50">
            <v>0.8099142252</v>
          </cell>
          <cell r="AS50">
            <v>0.81405749630000002</v>
          </cell>
          <cell r="AT50">
            <v>0.81795333849999996</v>
          </cell>
          <cell r="AU50">
            <v>0.82160367690000002</v>
          </cell>
          <cell r="AV50">
            <v>0.82501621380000001</v>
          </cell>
          <cell r="AW50">
            <v>0.82819084480000005</v>
          </cell>
          <cell r="AX50">
            <v>0.83112490699999997</v>
          </cell>
          <cell r="AY50">
            <v>0.83381435599999998</v>
          </cell>
          <cell r="AZ50">
            <v>0.83625430720000005</v>
          </cell>
          <cell r="BA50">
            <v>0.90839681500000002</v>
          </cell>
          <cell r="BB50">
            <v>0.91344917969999995</v>
          </cell>
          <cell r="BC50">
            <v>0.9183529225</v>
          </cell>
          <cell r="BD50">
            <v>0.92311309210000003</v>
          </cell>
          <cell r="BE50">
            <v>0.92773529450000003</v>
          </cell>
        </row>
        <row r="51">
          <cell r="A51" t="str">
            <v>auto_cc_cgas_0</v>
          </cell>
          <cell r="B51">
            <v>0.40659851759999999</v>
          </cell>
          <cell r="C51">
            <v>0.41470220229999999</v>
          </cell>
          <cell r="D51">
            <v>0.42525139719999999</v>
          </cell>
          <cell r="E51">
            <v>0.43734559220000002</v>
          </cell>
          <cell r="F51">
            <v>0.45039109240000003</v>
          </cell>
          <cell r="G51">
            <v>0.464006223</v>
          </cell>
          <cell r="H51">
            <v>0.4778848268</v>
          </cell>
          <cell r="I51">
            <v>0.49186996389999998</v>
          </cell>
          <cell r="J51">
            <v>0.50585910369999998</v>
          </cell>
          <cell r="K51">
            <v>0.51978326399999997</v>
          </cell>
          <cell r="L51">
            <v>0.53370530869999999</v>
          </cell>
          <cell r="M51">
            <v>0.54747362200000005</v>
          </cell>
          <cell r="N51">
            <v>0.56105661480000002</v>
          </cell>
          <cell r="O51">
            <v>0.57442694900000002</v>
          </cell>
          <cell r="P51">
            <v>0.58756250769999996</v>
          </cell>
          <cell r="Q51">
            <v>0.60044598719999998</v>
          </cell>
          <cell r="R51">
            <v>0.61306411449999998</v>
          </cell>
          <cell r="S51">
            <v>0.62540685549999997</v>
          </cell>
          <cell r="T51">
            <v>0.63746675549999998</v>
          </cell>
          <cell r="U51">
            <v>0.64923844819999998</v>
          </cell>
          <cell r="V51">
            <v>0.66063617330000002</v>
          </cell>
          <cell r="W51">
            <v>0.67174424180000003</v>
          </cell>
          <cell r="X51">
            <v>0.6825638571</v>
          </cell>
          <cell r="Y51">
            <v>0.69309799480000001</v>
          </cell>
          <cell r="Z51">
            <v>0.70334964789999999</v>
          </cell>
          <cell r="AA51">
            <v>0.71308992000000004</v>
          </cell>
          <cell r="AB51">
            <v>0.7224569179</v>
          </cell>
          <cell r="AC51">
            <v>0.73146450240000005</v>
          </cell>
          <cell r="AD51">
            <v>0.74013099019999995</v>
          </cell>
          <cell r="AE51">
            <v>0.74847536039999996</v>
          </cell>
          <cell r="AF51">
            <v>0.75651540740000001</v>
          </cell>
          <cell r="AG51">
            <v>0.76426694019999997</v>
          </cell>
          <cell r="AH51">
            <v>0.77174359429999995</v>
          </cell>
          <cell r="AI51">
            <v>0.77895697939999997</v>
          </cell>
          <cell r="AJ51">
            <v>0.78591696830000002</v>
          </cell>
          <cell r="AK51">
            <v>0.79263200889999996</v>
          </cell>
          <cell r="AL51">
            <v>0.7990577512</v>
          </cell>
          <cell r="AM51">
            <v>0.80520370159999999</v>
          </cell>
          <cell r="AN51">
            <v>0.81107978530000002</v>
          </cell>
          <cell r="AO51">
            <v>0.81669668760000003</v>
          </cell>
          <cell r="AP51">
            <v>0.8220651792</v>
          </cell>
          <cell r="AQ51">
            <v>0.82719536709999997</v>
          </cell>
          <cell r="AR51">
            <v>0.83209615439999995</v>
          </cell>
          <cell r="AS51">
            <v>0.83677495440000005</v>
          </cell>
          <cell r="AT51">
            <v>0.84123761750000003</v>
          </cell>
          <cell r="AU51">
            <v>0.84548850310000001</v>
          </cell>
          <cell r="AV51">
            <v>0.84953485650000005</v>
          </cell>
          <cell r="AW51">
            <v>0.85337825779999998</v>
          </cell>
          <cell r="AX51">
            <v>0.85701920580000002</v>
          </cell>
          <cell r="AY51">
            <v>0.86045719639999996</v>
          </cell>
          <cell r="AZ51">
            <v>0.86369089809999999</v>
          </cell>
          <cell r="BA51">
            <v>0.90626562889999995</v>
          </cell>
          <cell r="BB51">
            <v>0.91114016870000003</v>
          </cell>
          <cell r="BC51">
            <v>0.91585367900000003</v>
          </cell>
          <cell r="BD51">
            <v>0.92041032209999996</v>
          </cell>
          <cell r="BE51">
            <v>0.92481464719999995</v>
          </cell>
        </row>
        <row r="52">
          <cell r="A52" t="str">
            <v>auto_cd_cgas_2</v>
          </cell>
          <cell r="B52">
            <v>0.2495444651</v>
          </cell>
          <cell r="C52">
            <v>0.25219888909999999</v>
          </cell>
          <cell r="D52">
            <v>0.25598210189999998</v>
          </cell>
          <cell r="E52">
            <v>0.26042666510000001</v>
          </cell>
          <cell r="F52">
            <v>0.26522843899999998</v>
          </cell>
          <cell r="G52">
            <v>0.27019432040000002</v>
          </cell>
          <cell r="H52">
            <v>0.27516827399999999</v>
          </cell>
          <cell r="I52">
            <v>0.28007089930000001</v>
          </cell>
          <cell r="J52">
            <v>0.2848488797</v>
          </cell>
          <cell r="K52">
            <v>0.28946472750000002</v>
          </cell>
          <cell r="L52">
            <v>0.29392246100000002</v>
          </cell>
          <cell r="M52">
            <v>0.29817159199999999</v>
          </cell>
          <cell r="N52">
            <v>0.30220536930000003</v>
          </cell>
          <cell r="O52">
            <v>0.30601280860000002</v>
          </cell>
          <cell r="P52">
            <v>0.30958277200000001</v>
          </cell>
          <cell r="Q52">
            <v>0.31290497589999999</v>
          </cell>
          <cell r="R52">
            <v>0.3159691644</v>
          </cell>
          <cell r="S52">
            <v>0.31876696630000001</v>
          </cell>
          <cell r="T52">
            <v>0.32129177710000001</v>
          </cell>
          <cell r="U52">
            <v>0.32353861169999998</v>
          </cell>
          <cell r="V52">
            <v>0.32546895609999998</v>
          </cell>
          <cell r="W52">
            <v>0.32711930249999999</v>
          </cell>
          <cell r="X52">
            <v>0.32849000490000002</v>
          </cell>
          <cell r="Y52">
            <v>0.32958298200000002</v>
          </cell>
          <cell r="Z52">
            <v>0.33040096800000002</v>
          </cell>
          <cell r="AA52">
            <v>0.33085614390000001</v>
          </cell>
          <cell r="AB52">
            <v>0.33101094219999999</v>
          </cell>
          <cell r="AC52">
            <v>0.33087660320000001</v>
          </cell>
          <cell r="AD52">
            <v>0.33046587249999998</v>
          </cell>
          <cell r="AE52">
            <v>0.32979163509999998</v>
          </cell>
          <cell r="AF52">
            <v>0.32886626670000002</v>
          </cell>
          <cell r="AG52">
            <v>0.32770158240000002</v>
          </cell>
          <cell r="AH52">
            <v>0.3263083866</v>
          </cell>
          <cell r="AI52">
            <v>0.32469658509999999</v>
          </cell>
          <cell r="AJ52">
            <v>0.32287536950000001</v>
          </cell>
          <cell r="AK52">
            <v>0.32085336640000001</v>
          </cell>
          <cell r="AL52">
            <v>0.31862418100000001</v>
          </cell>
          <cell r="AM52">
            <v>0.31619840580000003</v>
          </cell>
          <cell r="AN52">
            <v>0.31358571730000001</v>
          </cell>
          <cell r="AO52">
            <v>0.31079555599999997</v>
          </cell>
          <cell r="AP52">
            <v>0.307837156</v>
          </cell>
          <cell r="AQ52">
            <v>0.30471968259999999</v>
          </cell>
          <cell r="AR52">
            <v>0.30145164419999998</v>
          </cell>
          <cell r="AS52">
            <v>0.29804089750000001</v>
          </cell>
          <cell r="AT52">
            <v>0.29449475790000001</v>
          </cell>
          <cell r="AU52">
            <v>0.29082009800000003</v>
          </cell>
          <cell r="AV52">
            <v>0.28702534359999998</v>
          </cell>
          <cell r="AW52">
            <v>0.28311685320000002</v>
          </cell>
          <cell r="AX52">
            <v>0.2791003681</v>
          </cell>
          <cell r="AY52">
            <v>0.27498137490000002</v>
          </cell>
          <cell r="AZ52">
            <v>0.27076529360000001</v>
          </cell>
          <cell r="BA52">
            <v>0.27581100089999999</v>
          </cell>
          <cell r="BB52">
            <v>0.27146094479999999</v>
          </cell>
          <cell r="BC52">
            <v>0.26701789739999998</v>
          </cell>
          <cell r="BD52">
            <v>0.26248832030000002</v>
          </cell>
          <cell r="BE52">
            <v>0.25787865199999999</v>
          </cell>
        </row>
        <row r="53">
          <cell r="A53" t="str">
            <v>auto_cd_cgas_0</v>
          </cell>
          <cell r="B53">
            <v>0.2495444651</v>
          </cell>
          <cell r="C53">
            <v>0.25242828470000001</v>
          </cell>
          <cell r="D53">
            <v>0.25660192170000001</v>
          </cell>
          <cell r="E53">
            <v>0.26152336469999998</v>
          </cell>
          <cell r="F53">
            <v>0.26683808040000001</v>
          </cell>
          <cell r="G53">
            <v>0.27231908830000001</v>
          </cell>
          <cell r="H53">
            <v>0.2777889838</v>
          </cell>
          <cell r="I53">
            <v>0.2831555368</v>
          </cell>
          <cell r="J53">
            <v>0.28835885900000002</v>
          </cell>
          <cell r="K53">
            <v>0.29335906750000001</v>
          </cell>
          <cell r="L53">
            <v>0.29818389769999998</v>
          </cell>
          <cell r="M53">
            <v>0.30275479529999999</v>
          </cell>
          <cell r="N53">
            <v>0.30705527490000001</v>
          </cell>
          <cell r="O53">
            <v>0.31107217840000001</v>
          </cell>
          <cell r="P53">
            <v>0.31479590839999999</v>
          </cell>
          <cell r="Q53">
            <v>0.31822002519999998</v>
          </cell>
          <cell r="R53">
            <v>0.32134071390000002</v>
          </cell>
          <cell r="S53">
            <v>0.32415628670000002</v>
          </cell>
          <cell r="T53">
            <v>0.3266667694</v>
          </cell>
          <cell r="U53">
            <v>0.32887358119999999</v>
          </cell>
          <cell r="V53">
            <v>0.3307440895</v>
          </cell>
          <cell r="W53">
            <v>0.3323199275</v>
          </cell>
          <cell r="X53">
            <v>0.33360632880000002</v>
          </cell>
          <cell r="Y53">
            <v>0.33460929519999999</v>
          </cell>
          <cell r="Z53">
            <v>0.33533487839999998</v>
          </cell>
          <cell r="AA53">
            <v>0.33569778119999999</v>
          </cell>
          <cell r="AB53">
            <v>0.33576115179999999</v>
          </cell>
          <cell r="AC53">
            <v>0.3355376746</v>
          </cell>
          <cell r="AD53">
            <v>0.33504132959999999</v>
          </cell>
          <cell r="AE53">
            <v>0.3342858802</v>
          </cell>
          <cell r="AF53">
            <v>0.33328421520000001</v>
          </cell>
          <cell r="AG53">
            <v>0.33204811670000001</v>
          </cell>
          <cell r="AH53">
            <v>0.33058826070000003</v>
          </cell>
          <cell r="AI53">
            <v>0.32891433710000001</v>
          </cell>
          <cell r="AJ53">
            <v>0.32703521410000003</v>
          </cell>
          <cell r="AK53">
            <v>0.32495910420000002</v>
          </cell>
          <cell r="AL53">
            <v>0.32267721500000002</v>
          </cell>
          <cell r="AM53">
            <v>0.32019884830000001</v>
          </cell>
          <cell r="AN53">
            <v>0.31753336650000002</v>
          </cell>
          <cell r="AO53">
            <v>0.31469022400000002</v>
          </cell>
          <cell r="AP53">
            <v>0.31167872400000002</v>
          </cell>
          <cell r="AQ53">
            <v>0.30850779789999999</v>
          </cell>
          <cell r="AR53">
            <v>0.305185875</v>
          </cell>
          <cell r="AS53">
            <v>0.30172084269999999</v>
          </cell>
          <cell r="AT53">
            <v>0.29812007010000002</v>
          </cell>
          <cell r="AU53">
            <v>0.2943904725</v>
          </cell>
          <cell r="AV53">
            <v>0.2905396616</v>
          </cell>
          <cell r="AW53">
            <v>0.28657374140000003</v>
          </cell>
          <cell r="AX53">
            <v>0.28249857880000001</v>
          </cell>
          <cell r="AY53">
            <v>0.27831985640000001</v>
          </cell>
          <cell r="AZ53">
            <v>0.27404314239999999</v>
          </cell>
          <cell r="BA53">
            <v>0.27612346450000003</v>
          </cell>
          <cell r="BB53">
            <v>0.2717945819</v>
          </cell>
          <cell r="BC53">
            <v>0.26737305779999998</v>
          </cell>
          <cell r="BD53">
            <v>0.26286532150000003</v>
          </cell>
          <cell r="BE53">
            <v>0.25827777819999997</v>
          </cell>
        </row>
        <row r="54">
          <cell r="A54" t="str">
            <v>auto_ce_cgas_2</v>
          </cell>
          <cell r="B54">
            <v>0.15020246549999999</v>
          </cell>
          <cell r="C54">
            <v>0.1519959998</v>
          </cell>
          <cell r="D54">
            <v>0.15439649550000001</v>
          </cell>
          <cell r="E54">
            <v>0.15710099590000001</v>
          </cell>
          <cell r="F54">
            <v>0.15991423560000001</v>
          </cell>
          <cell r="G54">
            <v>0.16271358380000001</v>
          </cell>
          <cell r="H54">
            <v>0.16540296339999999</v>
          </cell>
          <cell r="I54">
            <v>0.16793490599999999</v>
          </cell>
          <cell r="J54">
            <v>0.1702793467</v>
          </cell>
          <cell r="K54">
            <v>0.17241687580000001</v>
          </cell>
          <cell r="L54">
            <v>0.17435290440000001</v>
          </cell>
          <cell r="M54">
            <v>0.1760623909</v>
          </cell>
          <cell r="N54">
            <v>0.17754504260000001</v>
          </cell>
          <cell r="O54">
            <v>0.17879837879999999</v>
          </cell>
          <cell r="P54">
            <v>0.1798203048</v>
          </cell>
          <cell r="Q54">
            <v>0.1806097747</v>
          </cell>
          <cell r="R54">
            <v>0.1811663536</v>
          </cell>
          <cell r="S54">
            <v>0.1814911303</v>
          </cell>
          <cell r="T54">
            <v>0.18158655439999999</v>
          </cell>
          <cell r="U54">
            <v>0.18145625369999999</v>
          </cell>
          <cell r="V54">
            <v>0.18108763019999999</v>
          </cell>
          <cell r="W54">
            <v>0.18050567419999999</v>
          </cell>
          <cell r="X54">
            <v>0.17971723149999999</v>
          </cell>
          <cell r="Y54">
            <v>0.1787299004</v>
          </cell>
          <cell r="Z54">
            <v>0.1775516466</v>
          </cell>
          <cell r="AA54">
            <v>0.17614908379999999</v>
          </cell>
          <cell r="AB54">
            <v>0.17455883689999999</v>
          </cell>
          <cell r="AC54">
            <v>0.1727933438</v>
          </cell>
          <cell r="AD54">
            <v>0.17086534119999999</v>
          </cell>
          <cell r="AE54">
            <v>0.1687872369</v>
          </cell>
          <cell r="AF54">
            <v>0.16657084750000001</v>
          </cell>
          <cell r="AG54">
            <v>0.16422740220000001</v>
          </cell>
          <cell r="AH54">
            <v>0.16176738269999999</v>
          </cell>
          <cell r="AI54">
            <v>0.15920059780000001</v>
          </cell>
          <cell r="AJ54">
            <v>0.15653628789999999</v>
          </cell>
          <cell r="AK54">
            <v>0.15378321149999999</v>
          </cell>
          <cell r="AL54">
            <v>0.1509442262</v>
          </cell>
          <cell r="AM54">
            <v>0.14802866880000001</v>
          </cell>
          <cell r="AN54">
            <v>0.1450452548</v>
          </cell>
          <cell r="AO54">
            <v>0.1420023343</v>
          </cell>
          <cell r="AP54">
            <v>0.1389079188</v>
          </cell>
          <cell r="AQ54">
            <v>0.13576974789999999</v>
          </cell>
          <cell r="AR54">
            <v>0.13259510259999999</v>
          </cell>
          <cell r="AS54">
            <v>0.1293908241</v>
          </cell>
          <cell r="AT54">
            <v>0.1261633697</v>
          </cell>
          <cell r="AU54">
            <v>0.12291885950000001</v>
          </cell>
          <cell r="AV54">
            <v>0.1196637036</v>
          </cell>
          <cell r="AW54">
            <v>0.1164034685</v>
          </cell>
          <cell r="AX54">
            <v>0.11314334550000001</v>
          </cell>
          <cell r="AY54">
            <v>0.1098882747</v>
          </cell>
          <cell r="AZ54">
            <v>0.1066430104</v>
          </cell>
          <cell r="BA54">
            <v>0.1050646423</v>
          </cell>
          <cell r="BB54">
            <v>0.1018301482</v>
          </cell>
          <cell r="BC54">
            <v>9.8617462000000003E-2</v>
          </cell>
          <cell r="BD54">
            <v>9.5431064800000007E-2</v>
          </cell>
          <cell r="BE54">
            <v>9.2275199700000005E-2</v>
          </cell>
        </row>
        <row r="55">
          <cell r="A55" t="str">
            <v>auto_ce_cgas_0</v>
          </cell>
          <cell r="B55">
            <v>0.15020246549999999</v>
          </cell>
          <cell r="C55">
            <v>0.1521301739</v>
          </cell>
          <cell r="D55">
            <v>0.15475126280000001</v>
          </cell>
          <cell r="E55">
            <v>0.15771474069999999</v>
          </cell>
          <cell r="F55">
            <v>0.16079482749999999</v>
          </cell>
          <cell r="G55">
            <v>0.16384985220000001</v>
          </cell>
          <cell r="H55">
            <v>0.16677285550000001</v>
          </cell>
          <cell r="I55">
            <v>0.1695105767</v>
          </cell>
          <cell r="J55">
            <v>0.17203074360000001</v>
          </cell>
          <cell r="K55">
            <v>0.1743140363</v>
          </cell>
          <cell r="L55">
            <v>0.17637991350000001</v>
          </cell>
          <cell r="M55">
            <v>0.1781887053</v>
          </cell>
          <cell r="N55">
            <v>0.17973650960000001</v>
          </cell>
          <cell r="O55">
            <v>0.18102179260000001</v>
          </cell>
          <cell r="P55">
            <v>0.18204536860000001</v>
          </cell>
          <cell r="Q55">
            <v>0.1828100554</v>
          </cell>
          <cell r="R55">
            <v>0.1833202917</v>
          </cell>
          <cell r="S55">
            <v>0.18358179450000001</v>
          </cell>
          <cell r="T55">
            <v>0.1836012776</v>
          </cell>
          <cell r="U55">
            <v>0.18338622769999999</v>
          </cell>
          <cell r="V55">
            <v>0.18292756139999999</v>
          </cell>
          <cell r="W55">
            <v>0.1822528608</v>
          </cell>
          <cell r="X55">
            <v>0.18137143889999999</v>
          </cell>
          <cell r="Y55">
            <v>0.18029282429999999</v>
          </cell>
          <cell r="Z55">
            <v>0.1790264255</v>
          </cell>
          <cell r="AA55">
            <v>0.17754021440000001</v>
          </cell>
          <cell r="AB55">
            <v>0.17587063289999999</v>
          </cell>
          <cell r="AC55">
            <v>0.17403046210000001</v>
          </cell>
          <cell r="AD55">
            <v>0.17203266750000001</v>
          </cell>
          <cell r="AE55">
            <v>0.16988972499999999</v>
          </cell>
          <cell r="AF55">
            <v>0.16761336530000001</v>
          </cell>
          <cell r="AG55">
            <v>0.1652145136</v>
          </cell>
          <cell r="AH55">
            <v>0.1627033289</v>
          </cell>
          <cell r="AI55">
            <v>0.1600892884</v>
          </cell>
          <cell r="AJ55">
            <v>0.15738128700000001</v>
          </cell>
          <cell r="AK55">
            <v>0.15458773100000001</v>
          </cell>
          <cell r="AL55">
            <v>0.15171045920000001</v>
          </cell>
          <cell r="AM55">
            <v>0.1487581976</v>
          </cell>
          <cell r="AN55">
            <v>0.14573948010000001</v>
          </cell>
          <cell r="AO55">
            <v>0.1426626362</v>
          </cell>
          <cell r="AP55">
            <v>0.13953569430000001</v>
          </cell>
          <cell r="AQ55">
            <v>0.13636630890000001</v>
          </cell>
          <cell r="AR55">
            <v>0.13316172840000001</v>
          </cell>
          <cell r="AS55">
            <v>0.1299287965</v>
          </cell>
          <cell r="AT55">
            <v>0.12667397590000001</v>
          </cell>
          <cell r="AU55">
            <v>0.1234033824</v>
          </cell>
          <cell r="AV55">
            <v>0.120123145</v>
          </cell>
          <cell r="AW55">
            <v>0.1168387295</v>
          </cell>
          <cell r="AX55">
            <v>0.1135553514</v>
          </cell>
          <cell r="AY55">
            <v>0.110277998</v>
          </cell>
          <cell r="AZ55">
            <v>0.1070114523</v>
          </cell>
          <cell r="BA55">
            <v>0.1053358968</v>
          </cell>
          <cell r="BB55">
            <v>0.1021107666</v>
          </cell>
          <cell r="BC55">
            <v>9.8906918499999996E-2</v>
          </cell>
          <cell r="BD55">
            <v>9.5728802700000004E-2</v>
          </cell>
          <cell r="BE55">
            <v>9.2580637699999996E-2</v>
          </cell>
        </row>
        <row r="56">
          <cell r="A56" t="str">
            <v>auto_cf_cgas_2</v>
          </cell>
          <cell r="B56">
            <v>7.4609436000000001E-2</v>
          </cell>
          <cell r="C56">
            <v>7.5275209199999998E-2</v>
          </cell>
          <cell r="D56">
            <v>7.6118414800000006E-2</v>
          </cell>
          <cell r="E56">
            <v>7.6969741100000003E-2</v>
          </cell>
          <cell r="F56">
            <v>7.7725922399999994E-2</v>
          </cell>
          <cell r="G56">
            <v>7.8327308799999995E-2</v>
          </cell>
          <cell r="H56">
            <v>7.8733981999999994E-2</v>
          </cell>
          <cell r="I56">
            <v>7.8932262599999997E-2</v>
          </cell>
          <cell r="J56">
            <v>7.89191209E-2</v>
          </cell>
          <cell r="K56">
            <v>7.8697988499999996E-2</v>
          </cell>
          <cell r="L56">
            <v>7.8282998699999995E-2</v>
          </cell>
          <cell r="M56">
            <v>7.7677726700000005E-2</v>
          </cell>
          <cell r="N56">
            <v>7.68944721E-2</v>
          </cell>
          <cell r="O56">
            <v>7.5944762999999998E-2</v>
          </cell>
          <cell r="P56">
            <v>7.48404768E-2</v>
          </cell>
          <cell r="Q56">
            <v>7.3594047699999998E-2</v>
          </cell>
          <cell r="R56">
            <v>7.2218211300000001E-2</v>
          </cell>
          <cell r="S56">
            <v>7.0726075200000002E-2</v>
          </cell>
          <cell r="T56">
            <v>6.9130878699999995E-2</v>
          </cell>
          <cell r="U56">
            <v>6.7445771000000002E-2</v>
          </cell>
          <cell r="V56">
            <v>6.5679861500000006E-2</v>
          </cell>
          <cell r="W56">
            <v>6.3850221799999995E-2</v>
          </cell>
          <cell r="X56">
            <v>6.1968896900000001E-2</v>
          </cell>
          <cell r="Y56">
            <v>6.0047313800000002E-2</v>
          </cell>
          <cell r="Z56">
            <v>5.8096198500000001E-2</v>
          </cell>
          <cell r="AA56">
            <v>5.6118612999999998E-2</v>
          </cell>
          <cell r="AB56">
            <v>5.4129380300000002E-2</v>
          </cell>
          <cell r="AC56">
            <v>5.2138019299999998E-2</v>
          </cell>
          <cell r="AD56">
            <v>5.0153161100000003E-2</v>
          </cell>
          <cell r="AE56">
            <v>4.8182503600000003E-2</v>
          </cell>
          <cell r="AF56">
            <v>4.6232844400000001E-2</v>
          </cell>
          <cell r="AG56">
            <v>4.4310150899999998E-2</v>
          </cell>
          <cell r="AH56">
            <v>4.2419605899999997E-2</v>
          </cell>
          <cell r="AI56">
            <v>4.0565678899999999E-2</v>
          </cell>
          <cell r="AJ56">
            <v>3.8752195099999998E-2</v>
          </cell>
          <cell r="AK56">
            <v>3.6982397200000003E-2</v>
          </cell>
          <cell r="AL56">
            <v>3.5258537399999998E-2</v>
          </cell>
          <cell r="AM56">
            <v>3.35830487E-2</v>
          </cell>
          <cell r="AN56">
            <v>3.1957868700000003E-2</v>
          </cell>
          <cell r="AO56">
            <v>3.0384498400000001E-2</v>
          </cell>
          <cell r="AP56">
            <v>2.8864044200000001E-2</v>
          </cell>
          <cell r="AQ56">
            <v>2.73972598E-2</v>
          </cell>
          <cell r="AR56">
            <v>2.59845688E-2</v>
          </cell>
          <cell r="AS56">
            <v>2.4626098400000001E-2</v>
          </cell>
          <cell r="AT56">
            <v>2.3321712500000001E-2</v>
          </cell>
          <cell r="AU56">
            <v>2.2071042400000001E-2</v>
          </cell>
          <cell r="AV56">
            <v>2.0873537500000001E-2</v>
          </cell>
          <cell r="AW56">
            <v>1.9728438800000001E-2</v>
          </cell>
          <cell r="AX56">
            <v>1.8634822299999999E-2</v>
          </cell>
          <cell r="AY56">
            <v>1.7591626400000001E-2</v>
          </cell>
          <cell r="AZ56">
            <v>1.6597673100000002E-2</v>
          </cell>
          <cell r="BA56">
            <v>1.5214498E-2</v>
          </cell>
          <cell r="BB56">
            <v>1.4334256199999999E-2</v>
          </cell>
          <cell r="BC56">
            <v>1.34989068E-2</v>
          </cell>
          <cell r="BD56">
            <v>1.27069182E-2</v>
          </cell>
          <cell r="BE56">
            <v>1.1956719899999999E-2</v>
          </cell>
        </row>
        <row r="57">
          <cell r="A57" t="str">
            <v>auto_cf_cgas_0</v>
          </cell>
          <cell r="B57">
            <v>7.4609436000000001E-2</v>
          </cell>
          <cell r="C57">
            <v>7.5328545900000002E-2</v>
          </cell>
          <cell r="D57">
            <v>7.6246810400000004E-2</v>
          </cell>
          <cell r="E57">
            <v>7.7169642799999993E-2</v>
          </cell>
          <cell r="F57">
            <v>7.7981432399999995E-2</v>
          </cell>
          <cell r="G57">
            <v>7.86176861E-2</v>
          </cell>
          <cell r="H57">
            <v>7.9038013200000007E-2</v>
          </cell>
          <cell r="I57">
            <v>7.9230162500000006E-2</v>
          </cell>
          <cell r="J57">
            <v>7.9193570899999996E-2</v>
          </cell>
          <cell r="K57">
            <v>7.8934576699999995E-2</v>
          </cell>
          <cell r="L57">
            <v>7.8473965800000003E-2</v>
          </cell>
          <cell r="M57">
            <v>7.7812261300000005E-2</v>
          </cell>
          <cell r="N57">
            <v>7.6963139299999997E-2</v>
          </cell>
          <cell r="O57">
            <v>7.5941112500000005E-2</v>
          </cell>
          <cell r="P57">
            <v>7.4761250400000007E-2</v>
          </cell>
          <cell r="Q57">
            <v>7.3438858100000004E-2</v>
          </cell>
          <cell r="R57">
            <v>7.1989204000000001E-2</v>
          </cell>
          <cell r="S57">
            <v>7.0427304100000004E-2</v>
          </cell>
          <cell r="T57">
            <v>6.8767756799999996E-2</v>
          </cell>
          <cell r="U57">
            <v>6.7024618600000002E-2</v>
          </cell>
          <cell r="V57">
            <v>6.5207685799999998E-2</v>
          </cell>
          <cell r="W57">
            <v>6.3334029900000005E-2</v>
          </cell>
          <cell r="X57">
            <v>6.14156888E-2</v>
          </cell>
          <cell r="Y57">
            <v>5.9463879599999998E-2</v>
          </cell>
          <cell r="Z57">
            <v>5.7488969000000001E-2</v>
          </cell>
          <cell r="AA57">
            <v>5.5493850400000003E-2</v>
          </cell>
          <cell r="AB57">
            <v>5.3492491599999997E-2</v>
          </cell>
          <cell r="AC57">
            <v>5.1493832000000003E-2</v>
          </cell>
          <cell r="AD57">
            <v>4.9505950200000003E-2</v>
          </cell>
          <cell r="AE57">
            <v>4.7536018200000002E-2</v>
          </cell>
          <cell r="AF57">
            <v>4.5590338799999998E-2</v>
          </cell>
          <cell r="AG57">
            <v>4.3674407700000001E-2</v>
          </cell>
          <cell r="AH57">
            <v>4.1792984700000001E-2</v>
          </cell>
          <cell r="AI57">
            <v>3.9950163400000002E-2</v>
          </cell>
          <cell r="AJ57">
            <v>3.8149435299999999E-2</v>
          </cell>
          <cell r="AK57">
            <v>3.6393748599999998E-2</v>
          </cell>
          <cell r="AL57">
            <v>3.4685057499999998E-2</v>
          </cell>
          <cell r="AM57">
            <v>3.3025544900000002E-2</v>
          </cell>
          <cell r="AN57">
            <v>3.1416970099999997E-2</v>
          </cell>
          <cell r="AO57">
            <v>2.9860693099999999E-2</v>
          </cell>
          <cell r="AP57">
            <v>2.8357698800000001E-2</v>
          </cell>
          <cell r="AQ57">
            <v>2.69086243E-2</v>
          </cell>
          <cell r="AR57">
            <v>2.55137899E-2</v>
          </cell>
          <cell r="AS57">
            <v>2.41732305E-2</v>
          </cell>
          <cell r="AT57">
            <v>2.2886726600000001E-2</v>
          </cell>
          <cell r="AU57">
            <v>2.1653832599999999E-2</v>
          </cell>
          <cell r="AV57">
            <v>2.0473916599999999E-2</v>
          </cell>
          <cell r="AW57">
            <v>1.9346155300000001E-2</v>
          </cell>
          <cell r="AX57">
            <v>1.8269574199999999E-2</v>
          </cell>
          <cell r="AY57">
            <v>1.7243068899999998E-2</v>
          </cell>
          <cell r="AZ57">
            <v>1.6265423899999999E-2</v>
          </cell>
          <cell r="BA57">
            <v>1.52630786E-2</v>
          </cell>
          <cell r="BB57">
            <v>1.43817345E-2</v>
          </cell>
          <cell r="BC57">
            <v>1.35451741E-2</v>
          </cell>
          <cell r="BD57">
            <v>1.2751882000000001E-2</v>
          </cell>
          <cell r="BE57">
            <v>1.20003032E-2</v>
          </cell>
        </row>
        <row r="58">
          <cell r="A58" t="str">
            <v>auto_cg_cgas_2</v>
          </cell>
          <cell r="B58">
            <v>0.13435819299999999</v>
          </cell>
          <cell r="C58">
            <v>0.13583775479999999</v>
          </cell>
          <cell r="D58">
            <v>0.1374346806</v>
          </cell>
          <cell r="E58">
            <v>0.1388083625</v>
          </cell>
          <cell r="F58">
            <v>0.13976722389999999</v>
          </cell>
          <cell r="G58">
            <v>0.14021621100000001</v>
          </cell>
          <cell r="H58">
            <v>0.140107816</v>
          </cell>
          <cell r="I58">
            <v>0.1394469374</v>
          </cell>
          <cell r="J58">
            <v>0.13826015310000001</v>
          </cell>
          <cell r="K58">
            <v>0.136586071</v>
          </cell>
          <cell r="L58">
            <v>0.1344795325</v>
          </cell>
          <cell r="M58">
            <v>0.1319786929</v>
          </cell>
          <cell r="N58">
            <v>0.12913213979999999</v>
          </cell>
          <cell r="O58">
            <v>0.12598529059999999</v>
          </cell>
          <cell r="P58">
            <v>0.1225821065</v>
          </cell>
          <cell r="Q58">
            <v>0.1189652438</v>
          </cell>
          <cell r="R58">
            <v>0.11517552289999999</v>
          </cell>
          <cell r="S58">
            <v>0.1112517801</v>
          </cell>
          <cell r="T58">
            <v>0.10723042250000001</v>
          </cell>
          <cell r="U58">
            <v>0.1031450947</v>
          </cell>
          <cell r="V58">
            <v>9.9022962500000006E-2</v>
          </cell>
          <cell r="W58">
            <v>9.4896218500000004E-2</v>
          </cell>
          <cell r="X58">
            <v>9.07894863E-2</v>
          </cell>
          <cell r="Y58">
            <v>8.6724374699999995E-2</v>
          </cell>
          <cell r="Z58">
            <v>8.2719600000000004E-2</v>
          </cell>
          <cell r="AA58">
            <v>7.8786067599999995E-2</v>
          </cell>
          <cell r="AB58">
            <v>7.4941840699999998E-2</v>
          </cell>
          <cell r="AC58">
            <v>7.1198908300000002E-2</v>
          </cell>
          <cell r="AD58">
            <v>6.7566873E-2</v>
          </cell>
          <cell r="AE58">
            <v>6.4053154700000003E-2</v>
          </cell>
          <cell r="AF58">
            <v>6.0663240299999997E-2</v>
          </cell>
          <cell r="AG58">
            <v>5.7400935200000003E-2</v>
          </cell>
          <cell r="AH58">
            <v>5.4268577800000002E-2</v>
          </cell>
          <cell r="AI58">
            <v>5.1267248500000001E-2</v>
          </cell>
          <cell r="AJ58">
            <v>4.8396956300000002E-2</v>
          </cell>
          <cell r="AK58">
            <v>4.5656804000000002E-2</v>
          </cell>
          <cell r="AL58">
            <v>4.3044946799999997E-2</v>
          </cell>
          <cell r="AM58">
            <v>4.0559198099999999E-2</v>
          </cell>
          <cell r="AN58">
            <v>3.81968081E-2</v>
          </cell>
          <cell r="AO58">
            <v>3.5954574900000001E-2</v>
          </cell>
          <cell r="AP58">
            <v>3.3828938199999999E-2</v>
          </cell>
          <cell r="AQ58">
            <v>3.18160626E-2</v>
          </cell>
          <cell r="AR58">
            <v>2.99119051E-2</v>
          </cell>
          <cell r="AS58">
            <v>2.8112277799999998E-2</v>
          </cell>
          <cell r="AT58">
            <v>2.6412902200000001E-2</v>
          </cell>
          <cell r="AU58">
            <v>2.48094565E-2</v>
          </cell>
          <cell r="AV58">
            <v>2.3297619700000001E-2</v>
          </cell>
          <cell r="AW58">
            <v>2.1873093900000001E-2</v>
          </cell>
          <cell r="AX58">
            <v>2.0531637299999999E-2</v>
          </cell>
          <cell r="AY58">
            <v>1.92690893E-2</v>
          </cell>
          <cell r="AZ58">
            <v>1.80813895E-2</v>
          </cell>
          <cell r="BA58">
            <v>1.63579495E-2</v>
          </cell>
          <cell r="BB58">
            <v>1.5344181700000001E-2</v>
          </cell>
          <cell r="BC58">
            <v>1.4391943900000001E-2</v>
          </cell>
          <cell r="BD58">
            <v>1.3497753600000001E-2</v>
          </cell>
          <cell r="BE58">
            <v>1.2658279600000001E-2</v>
          </cell>
        </row>
        <row r="59">
          <cell r="A59" t="str">
            <v>auto_cg_cgas_0</v>
          </cell>
          <cell r="B59">
            <v>0.13435819299999999</v>
          </cell>
          <cell r="C59">
            <v>0.13591961969999999</v>
          </cell>
          <cell r="D59">
            <v>0.13760975519999999</v>
          </cell>
          <cell r="E59">
            <v>0.1390407229</v>
          </cell>
          <cell r="F59">
            <v>0.14000475649999999</v>
          </cell>
          <cell r="G59">
            <v>0.1404068983</v>
          </cell>
          <cell r="H59">
            <v>0.1402075686</v>
          </cell>
          <cell r="I59">
            <v>0.1394214382</v>
          </cell>
          <cell r="J59">
            <v>0.13808502959999999</v>
          </cell>
          <cell r="K59">
            <v>0.1362461355</v>
          </cell>
          <cell r="L59">
            <v>0.1339719221</v>
          </cell>
          <cell r="M59">
            <v>0.13129902290000001</v>
          </cell>
          <cell r="N59">
            <v>0.12828077630000001</v>
          </cell>
          <cell r="O59">
            <v>0.1249689707</v>
          </cell>
          <cell r="P59">
            <v>0.1214131556</v>
          </cell>
          <cell r="Q59">
            <v>0.1176600569</v>
          </cell>
          <cell r="R59">
            <v>0.1137531842</v>
          </cell>
          <cell r="S59">
            <v>0.1097326018</v>
          </cell>
          <cell r="T59">
            <v>0.105634826</v>
          </cell>
          <cell r="U59">
            <v>0.101492817</v>
          </cell>
          <cell r="V59">
            <v>9.7332758500000005E-2</v>
          </cell>
          <cell r="W59">
            <v>9.3184915500000007E-2</v>
          </cell>
          <cell r="X59">
            <v>8.9072153000000001E-2</v>
          </cell>
          <cell r="Y59">
            <v>8.50142287E-2</v>
          </cell>
          <cell r="Z59">
            <v>8.1028006799999996E-2</v>
          </cell>
          <cell r="AA59">
            <v>7.7122966000000001E-2</v>
          </cell>
          <cell r="AB59">
            <v>7.3315100899999999E-2</v>
          </cell>
          <cell r="AC59">
            <v>6.9614825399999997E-2</v>
          </cell>
          <cell r="AD59">
            <v>6.60303582E-2</v>
          </cell>
          <cell r="AE59">
            <v>6.2567914700000005E-2</v>
          </cell>
          <cell r="AF59">
            <v>5.9231940900000002E-2</v>
          </cell>
          <cell r="AG59">
            <v>5.60253452E-2</v>
          </cell>
          <cell r="AH59">
            <v>5.2949711400000002E-2</v>
          </cell>
          <cell r="AI59">
            <v>5.0005490600000001E-2</v>
          </cell>
          <cell r="AJ59">
            <v>4.7192170899999997E-2</v>
          </cell>
          <cell r="AK59">
            <v>4.4508428000000003E-2</v>
          </cell>
          <cell r="AL59">
            <v>4.1952060499999999E-2</v>
          </cell>
          <cell r="AM59">
            <v>3.9520592299999997E-2</v>
          </cell>
          <cell r="AN59">
            <v>3.7211063000000003E-2</v>
          </cell>
          <cell r="AO59">
            <v>3.5020113999999998E-2</v>
          </cell>
          <cell r="AP59">
            <v>3.2944067399999999E-2</v>
          </cell>
          <cell r="AQ59">
            <v>3.0978999100000001E-2</v>
          </cell>
          <cell r="AR59">
            <v>2.9120805100000001E-2</v>
          </cell>
          <cell r="AS59">
            <v>2.7365259400000001E-2</v>
          </cell>
          <cell r="AT59">
            <v>2.57080651E-2</v>
          </cell>
          <cell r="AU59">
            <v>2.41448984E-2</v>
          </cell>
          <cell r="AV59">
            <v>2.2671448399999999E-2</v>
          </cell>
          <cell r="AW59">
            <v>2.12834415E-2</v>
          </cell>
          <cell r="AX59">
            <v>1.9976672500000001E-2</v>
          </cell>
          <cell r="AY59">
            <v>1.8747025600000002E-2</v>
          </cell>
          <cell r="AZ59">
            <v>1.7590491900000001E-2</v>
          </cell>
          <cell r="BA59">
            <v>1.6384401199999999E-2</v>
          </cell>
          <cell r="BB59">
            <v>1.53693497E-2</v>
          </cell>
          <cell r="BC59">
            <v>1.44158467E-2</v>
          </cell>
          <cell r="BD59">
            <v>1.35204174E-2</v>
          </cell>
          <cell r="BE59">
            <v>1.26797366E-2</v>
          </cell>
        </row>
      </sheetData>
      <sheetData sheetId="18"/>
      <sheetData sheetId="19"/>
      <sheetData sheetId="20">
        <row r="100">
          <cell r="A100" t="str">
            <v>y_toe_2</v>
          </cell>
          <cell r="B100">
            <v>137.2201426</v>
          </cell>
          <cell r="C100">
            <v>137.76752350000001</v>
          </cell>
          <cell r="D100">
            <v>138.3664972</v>
          </cell>
          <cell r="E100">
            <v>139.07891839999999</v>
          </cell>
          <cell r="F100">
            <v>139.9474908</v>
          </cell>
          <cell r="G100">
            <v>140.97108030000001</v>
          </cell>
          <cell r="H100">
            <v>142.04699600000001</v>
          </cell>
          <cell r="I100">
            <v>143.2025275</v>
          </cell>
          <cell r="J100">
            <v>144.4212531</v>
          </cell>
          <cell r="K100">
            <v>145.68598789999999</v>
          </cell>
          <cell r="L100">
            <v>146.91709059999999</v>
          </cell>
          <cell r="M100">
            <v>148.36894290000001</v>
          </cell>
          <cell r="N100">
            <v>149.85773570000001</v>
          </cell>
          <cell r="O100">
            <v>151.36853590000001</v>
          </cell>
          <cell r="P100">
            <v>152.8956412</v>
          </cell>
          <cell r="Q100">
            <v>154.43542890000001</v>
          </cell>
          <cell r="R100">
            <v>155.97621040000001</v>
          </cell>
          <cell r="S100">
            <v>157.52370719999999</v>
          </cell>
          <cell r="T100">
            <v>159.07744500000001</v>
          </cell>
          <cell r="U100">
            <v>160.63724790000001</v>
          </cell>
          <cell r="V100">
            <v>162.1083294</v>
          </cell>
          <cell r="W100">
            <v>163.6521429</v>
          </cell>
          <cell r="X100">
            <v>165.21696499999999</v>
          </cell>
          <cell r="Y100">
            <v>166.7978626</v>
          </cell>
          <cell r="Z100">
            <v>168.3944631</v>
          </cell>
          <cell r="AA100">
            <v>169.7374336</v>
          </cell>
          <cell r="AB100">
            <v>171.16042780000001</v>
          </cell>
          <cell r="AC100">
            <v>172.59673900000001</v>
          </cell>
          <cell r="AD100">
            <v>174.04540600000001</v>
          </cell>
          <cell r="AE100">
            <v>175.50942209999999</v>
          </cell>
          <cell r="AF100">
            <v>176.9920516</v>
          </cell>
          <cell r="AG100">
            <v>178.49869910000001</v>
          </cell>
          <cell r="AH100">
            <v>180.0291655</v>
          </cell>
          <cell r="AI100">
            <v>181.58460700000001</v>
          </cell>
          <cell r="AJ100">
            <v>183.165773</v>
          </cell>
          <cell r="AK100">
            <v>184.77299479999999</v>
          </cell>
          <cell r="AL100">
            <v>186.36853489999999</v>
          </cell>
          <cell r="AM100">
            <v>187.9740133</v>
          </cell>
          <cell r="AN100">
            <v>189.59570679999999</v>
          </cell>
          <cell r="AO100">
            <v>191.23660229999999</v>
          </cell>
          <cell r="AP100">
            <v>192.8983144</v>
          </cell>
          <cell r="AQ100">
            <v>194.58607979999999</v>
          </cell>
          <cell r="AR100">
            <v>196.2969032</v>
          </cell>
          <cell r="AS100">
            <v>198.0308283</v>
          </cell>
          <cell r="AT100">
            <v>199.7878475</v>
          </cell>
          <cell r="AU100">
            <v>201.5677982</v>
          </cell>
          <cell r="AV100">
            <v>203.39138019999999</v>
          </cell>
          <cell r="AW100">
            <v>205.24189770000001</v>
          </cell>
          <cell r="AX100">
            <v>207.1175705</v>
          </cell>
          <cell r="AY100">
            <v>209.01753769999999</v>
          </cell>
          <cell r="AZ100">
            <v>210.94109040000001</v>
          </cell>
          <cell r="BA100">
            <v>246.2616218</v>
          </cell>
          <cell r="BB100">
            <v>249.59194579999999</v>
          </cell>
          <cell r="BC100">
            <v>252.97991350000001</v>
          </cell>
          <cell r="BD100">
            <v>256.42639680000002</v>
          </cell>
          <cell r="BE100">
            <v>259.93237049999999</v>
          </cell>
        </row>
        <row r="101">
          <cell r="A101" t="str">
            <v>m_toe_2</v>
          </cell>
          <cell r="B101">
            <v>148.73595789999999</v>
          </cell>
          <cell r="C101">
            <v>149.2126576</v>
          </cell>
          <cell r="D101">
            <v>149.84741249999999</v>
          </cell>
          <cell r="E101">
            <v>150.63016039999999</v>
          </cell>
          <cell r="F101">
            <v>151.6015184</v>
          </cell>
          <cell r="G101">
            <v>152.76316890000001</v>
          </cell>
          <cell r="H101">
            <v>154.00664420000001</v>
          </cell>
          <cell r="I101">
            <v>155.3573284</v>
          </cell>
          <cell r="J101">
            <v>156.79936710000001</v>
          </cell>
          <cell r="K101">
            <v>158.31319099999999</v>
          </cell>
          <cell r="L101">
            <v>159.8005785</v>
          </cell>
          <cell r="M101">
            <v>161.55139600000001</v>
          </cell>
          <cell r="N101">
            <v>163.37705539999999</v>
          </cell>
          <cell r="O101">
            <v>165.2475633</v>
          </cell>
          <cell r="P101">
            <v>167.15284</v>
          </cell>
          <cell r="Q101">
            <v>169.08686839999999</v>
          </cell>
          <cell r="R101">
            <v>171.03545700000001</v>
          </cell>
          <cell r="S101">
            <v>173.0023238</v>
          </cell>
          <cell r="T101">
            <v>174.985615</v>
          </cell>
          <cell r="U101">
            <v>176.98349709999999</v>
          </cell>
          <cell r="V101">
            <v>178.89186280000001</v>
          </cell>
          <cell r="W101">
            <v>180.87799419999999</v>
          </cell>
          <cell r="X101">
            <v>182.89257029999999</v>
          </cell>
          <cell r="Y101">
            <v>184.92731860000001</v>
          </cell>
          <cell r="Z101">
            <v>186.98082070000001</v>
          </cell>
          <cell r="AA101">
            <v>188.75965669999999</v>
          </cell>
          <cell r="AB101">
            <v>190.6086009</v>
          </cell>
          <cell r="AC101">
            <v>192.4698654</v>
          </cell>
          <cell r="AD101">
            <v>194.33937789999999</v>
          </cell>
          <cell r="AE101">
            <v>196.22030799999999</v>
          </cell>
          <cell r="AF101">
            <v>198.11667919999999</v>
          </cell>
          <cell r="AG101">
            <v>200.03482679999999</v>
          </cell>
          <cell r="AH101">
            <v>201.97526260000001</v>
          </cell>
          <cell r="AI101">
            <v>203.93958050000001</v>
          </cell>
          <cell r="AJ101">
            <v>205.92909839999999</v>
          </cell>
          <cell r="AK101">
            <v>207.94471379999999</v>
          </cell>
          <cell r="AL101">
            <v>209.94455400000001</v>
          </cell>
          <cell r="AM101">
            <v>211.951042</v>
          </cell>
          <cell r="AN101">
            <v>213.97195740000001</v>
          </cell>
          <cell r="AO101">
            <v>216.0112379</v>
          </cell>
          <cell r="AP101">
            <v>218.0713298</v>
          </cell>
          <cell r="AQ101">
            <v>220.15842739999999</v>
          </cell>
          <cell r="AR101">
            <v>222.27019859999999</v>
          </cell>
          <cell r="AS101">
            <v>224.40698169999999</v>
          </cell>
          <cell r="AT101">
            <v>226.56913750000001</v>
          </cell>
          <cell r="AU101">
            <v>228.75679500000001</v>
          </cell>
          <cell r="AV101">
            <v>230.99221919999999</v>
          </cell>
          <cell r="AW101">
            <v>233.2590309</v>
          </cell>
          <cell r="AX101">
            <v>235.55465699999999</v>
          </cell>
          <cell r="AY101">
            <v>237.87821919999999</v>
          </cell>
          <cell r="AZ101">
            <v>240.2290304</v>
          </cell>
          <cell r="BA101">
            <v>288.74522830000001</v>
          </cell>
          <cell r="BB101">
            <v>292.93593909999998</v>
          </cell>
          <cell r="BC101">
            <v>297.19389749999999</v>
          </cell>
          <cell r="BD101">
            <v>301.52066719999999</v>
          </cell>
          <cell r="BE101">
            <v>305.91793699999999</v>
          </cell>
        </row>
        <row r="102">
          <cell r="A102" t="str">
            <v>ci_toe_2</v>
          </cell>
          <cell r="B102">
            <v>189.80110540000001</v>
          </cell>
          <cell r="C102">
            <v>190.4531479</v>
          </cell>
          <cell r="D102">
            <v>191.5187933</v>
          </cell>
          <cell r="E102">
            <v>192.85962000000001</v>
          </cell>
          <cell r="F102">
            <v>194.4836056</v>
          </cell>
          <cell r="G102">
            <v>196.37560099999999</v>
          </cell>
          <cell r="H102">
            <v>198.3842564</v>
          </cell>
          <cell r="I102">
            <v>200.5328547</v>
          </cell>
          <cell r="J102">
            <v>202.79959869999999</v>
          </cell>
          <cell r="K102">
            <v>205.1576014</v>
          </cell>
          <cell r="L102">
            <v>207.48694829999999</v>
          </cell>
          <cell r="M102">
            <v>210.13944359999999</v>
          </cell>
          <cell r="N102">
            <v>212.89529970000001</v>
          </cell>
          <cell r="O102">
            <v>215.70647299999999</v>
          </cell>
          <cell r="P102">
            <v>218.55638999999999</v>
          </cell>
          <cell r="Q102">
            <v>221.4351498</v>
          </cell>
          <cell r="R102">
            <v>224.32327359999999</v>
          </cell>
          <cell r="S102">
            <v>227.22422979999999</v>
          </cell>
          <cell r="T102">
            <v>230.13644099999999</v>
          </cell>
          <cell r="U102">
            <v>233.0587879</v>
          </cell>
          <cell r="V102">
            <v>235.8532342</v>
          </cell>
          <cell r="W102">
            <v>238.73942869999999</v>
          </cell>
          <cell r="X102">
            <v>241.66247670000001</v>
          </cell>
          <cell r="Y102">
            <v>244.61209919999999</v>
          </cell>
          <cell r="Z102">
            <v>247.58798350000001</v>
          </cell>
          <cell r="AA102">
            <v>250.1970498</v>
          </cell>
          <cell r="AB102">
            <v>252.8845168</v>
          </cell>
          <cell r="AC102">
            <v>255.5922157</v>
          </cell>
          <cell r="AD102">
            <v>258.31570429999999</v>
          </cell>
          <cell r="AE102">
            <v>261.06116650000001</v>
          </cell>
          <cell r="AF102">
            <v>263.83566930000001</v>
          </cell>
          <cell r="AG102">
            <v>266.64874550000002</v>
          </cell>
          <cell r="AH102">
            <v>269.5023496</v>
          </cell>
          <cell r="AI102">
            <v>272.39909560000001</v>
          </cell>
          <cell r="AJ102">
            <v>275.34081900000001</v>
          </cell>
          <cell r="AK102">
            <v>278.328508</v>
          </cell>
          <cell r="AL102">
            <v>281.30329799999998</v>
          </cell>
          <cell r="AM102">
            <v>284.29449840000001</v>
          </cell>
          <cell r="AN102">
            <v>287.31291160000001</v>
          </cell>
          <cell r="AO102">
            <v>290.36373520000001</v>
          </cell>
          <cell r="AP102">
            <v>293.45009449999998</v>
          </cell>
          <cell r="AQ102">
            <v>296.57984540000001</v>
          </cell>
          <cell r="AR102">
            <v>299.75035150000002</v>
          </cell>
          <cell r="AS102">
            <v>302.96169659999998</v>
          </cell>
          <cell r="AT102">
            <v>306.21402490000003</v>
          </cell>
          <cell r="AU102">
            <v>309.50716640000002</v>
          </cell>
          <cell r="AV102">
            <v>312.86975630000001</v>
          </cell>
          <cell r="AW102">
            <v>316.28233039999998</v>
          </cell>
          <cell r="AX102">
            <v>319.74048829999998</v>
          </cell>
          <cell r="AY102">
            <v>323.2424378</v>
          </cell>
          <cell r="AZ102">
            <v>326.78678359999998</v>
          </cell>
          <cell r="BA102">
            <v>394.43394949999998</v>
          </cell>
          <cell r="BB102">
            <v>400.53157679999998</v>
          </cell>
          <cell r="BC102">
            <v>406.72715749999998</v>
          </cell>
          <cell r="BD102">
            <v>413.02284150000003</v>
          </cell>
          <cell r="BE102">
            <v>419.4208261</v>
          </cell>
        </row>
        <row r="103">
          <cell r="A103" t="str">
            <v>ch_toe_2</v>
          </cell>
          <cell r="B103">
            <v>64.301440170000006</v>
          </cell>
          <cell r="C103">
            <v>64.319194240000002</v>
          </cell>
          <cell r="D103">
            <v>64.090920629999999</v>
          </cell>
          <cell r="E103">
            <v>63.840260379999997</v>
          </cell>
          <cell r="F103">
            <v>63.644442939999998</v>
          </cell>
          <cell r="G103">
            <v>63.521041320000002</v>
          </cell>
          <cell r="H103">
            <v>63.447176939999999</v>
          </cell>
          <cell r="I103">
            <v>63.418667620000001</v>
          </cell>
          <cell r="J103">
            <v>63.425645359999997</v>
          </cell>
          <cell r="K103">
            <v>63.458544160000002</v>
          </cell>
          <cell r="L103">
            <v>63.53743411</v>
          </cell>
          <cell r="M103">
            <v>63.615291409999998</v>
          </cell>
          <cell r="N103">
            <v>63.698522330000003</v>
          </cell>
          <cell r="O103">
            <v>63.790269780000003</v>
          </cell>
          <cell r="P103">
            <v>63.891224999999999</v>
          </cell>
          <cell r="Q103">
            <v>64.001442620000006</v>
          </cell>
          <cell r="R103">
            <v>64.120860429999993</v>
          </cell>
          <cell r="S103">
            <v>64.248697030000002</v>
          </cell>
          <cell r="T103">
            <v>64.383835899999994</v>
          </cell>
          <cell r="U103">
            <v>64.525008970000002</v>
          </cell>
          <cell r="V103">
            <v>64.651412129999997</v>
          </cell>
          <cell r="W103">
            <v>64.790916150000001</v>
          </cell>
          <cell r="X103">
            <v>64.937365639999996</v>
          </cell>
          <cell r="Y103">
            <v>65.087534590000004</v>
          </cell>
          <cell r="Z103">
            <v>65.239669649999996</v>
          </cell>
          <cell r="AA103">
            <v>65.339255089999995</v>
          </cell>
          <cell r="AB103">
            <v>65.440056740000003</v>
          </cell>
          <cell r="AC103">
            <v>65.540104690000007</v>
          </cell>
          <cell r="AD103">
            <v>65.638616029999994</v>
          </cell>
          <cell r="AE103">
            <v>65.735428830000004</v>
          </cell>
          <cell r="AF103">
            <v>65.830663369999996</v>
          </cell>
          <cell r="AG103">
            <v>65.924494300000006</v>
          </cell>
          <cell r="AH103">
            <v>66.017158370000004</v>
          </cell>
          <cell r="AI103">
            <v>66.108788009999998</v>
          </cell>
          <cell r="AJ103">
            <v>66.199633289999994</v>
          </cell>
          <cell r="AK103">
            <v>66.28996626</v>
          </cell>
          <cell r="AL103">
            <v>66.367734530000007</v>
          </cell>
          <cell r="AM103">
            <v>66.43901812</v>
          </cell>
          <cell r="AN103">
            <v>66.507081700000001</v>
          </cell>
          <cell r="AO103">
            <v>66.573680280000005</v>
          </cell>
          <cell r="AP103">
            <v>66.639780099999996</v>
          </cell>
          <cell r="AQ103">
            <v>66.705815189999996</v>
          </cell>
          <cell r="AR103">
            <v>66.772185820000004</v>
          </cell>
          <cell r="AS103">
            <v>66.839202409999999</v>
          </cell>
          <cell r="AT103">
            <v>66.907081180000006</v>
          </cell>
          <cell r="AU103">
            <v>66.975959369999998</v>
          </cell>
          <cell r="AV103">
            <v>67.046400449999993</v>
          </cell>
          <cell r="AW103">
            <v>67.118159570000003</v>
          </cell>
          <cell r="AX103">
            <v>67.191278010000005</v>
          </cell>
          <cell r="AY103">
            <v>67.265799939999994</v>
          </cell>
          <cell r="AZ103">
            <v>67.341704649999997</v>
          </cell>
          <cell r="BA103">
            <v>64.419719540000003</v>
          </cell>
          <cell r="BB103">
            <v>64.521376770000003</v>
          </cell>
          <cell r="BC103">
            <v>64.626029189999997</v>
          </cell>
          <cell r="BD103">
            <v>64.733579050000003</v>
          </cell>
          <cell r="BE103">
            <v>64.844110799999996</v>
          </cell>
        </row>
        <row r="104">
          <cell r="A104" t="str">
            <v>x_toe_2</v>
          </cell>
          <cell r="B104">
            <v>31.853554859999999</v>
          </cell>
          <cell r="C104">
            <v>32.20783891</v>
          </cell>
          <cell r="D104">
            <v>32.604195709999999</v>
          </cell>
          <cell r="E104">
            <v>33.009198419999997</v>
          </cell>
          <cell r="F104">
            <v>33.420960729999997</v>
          </cell>
          <cell r="G104">
            <v>33.837606819999998</v>
          </cell>
          <cell r="H104">
            <v>34.22220678</v>
          </cell>
          <cell r="I104">
            <v>34.608333680000001</v>
          </cell>
          <cell r="J104">
            <v>34.99537617</v>
          </cell>
          <cell r="K104">
            <v>35.383033349999998</v>
          </cell>
          <cell r="L104">
            <v>35.693286669999999</v>
          </cell>
          <cell r="M104">
            <v>36.165603840000003</v>
          </cell>
          <cell r="N104">
            <v>36.640969040000002</v>
          </cell>
          <cell r="O104">
            <v>37.119356449999998</v>
          </cell>
          <cell r="P104">
            <v>37.600866189999998</v>
          </cell>
          <cell r="Q104">
            <v>38.085704890000002</v>
          </cell>
          <cell r="R104">
            <v>38.567533300000001</v>
          </cell>
          <cell r="S104">
            <v>39.053104130000001</v>
          </cell>
          <cell r="T104">
            <v>39.542783190000002</v>
          </cell>
          <cell r="U104">
            <v>40.036948080000002</v>
          </cell>
          <cell r="V104">
            <v>40.495545890000002</v>
          </cell>
          <cell r="W104">
            <v>40.999792159999998</v>
          </cell>
          <cell r="X104">
            <v>41.509692880000003</v>
          </cell>
          <cell r="Y104">
            <v>42.025547459999999</v>
          </cell>
          <cell r="Z104">
            <v>42.547630560000002</v>
          </cell>
          <cell r="AA104">
            <v>42.960785389999998</v>
          </cell>
          <cell r="AB104">
            <v>43.444455220000002</v>
          </cell>
          <cell r="AC104">
            <v>43.934283999999998</v>
          </cell>
          <cell r="AD104">
            <v>44.430463510000003</v>
          </cell>
          <cell r="AE104">
            <v>44.933134850000002</v>
          </cell>
          <cell r="AF104">
            <v>45.442398140000002</v>
          </cell>
          <cell r="AG104">
            <v>45.960286160000003</v>
          </cell>
          <cell r="AH104">
            <v>46.484920199999998</v>
          </cell>
          <cell r="AI104">
            <v>47.016303829999998</v>
          </cell>
          <cell r="AJ104">
            <v>47.55441914</v>
          </cell>
          <cell r="AK104">
            <v>48.099234379999999</v>
          </cell>
          <cell r="AL104">
            <v>48.642056340000003</v>
          </cell>
          <cell r="AM104">
            <v>49.191538729999998</v>
          </cell>
          <cell r="AN104">
            <v>49.747670800000002</v>
          </cell>
          <cell r="AO104">
            <v>50.310424740000002</v>
          </cell>
          <cell r="AP104">
            <v>50.879769609999997</v>
          </cell>
          <cell r="AQ104">
            <v>51.458846559999998</v>
          </cell>
          <cell r="AR104">
            <v>52.044564430000001</v>
          </cell>
          <cell r="AS104">
            <v>52.63691094</v>
          </cell>
          <cell r="AT104">
            <v>53.23587895</v>
          </cell>
          <cell r="AU104">
            <v>53.841467489999999</v>
          </cell>
          <cell r="AV104">
            <v>54.467442579999997</v>
          </cell>
          <cell r="AW104">
            <v>55.10043864</v>
          </cell>
          <cell r="AX104">
            <v>55.740461170000003</v>
          </cell>
          <cell r="AY104">
            <v>56.38751911</v>
          </cell>
          <cell r="AZ104">
            <v>57.041632540000002</v>
          </cell>
          <cell r="BA104">
            <v>76.153181029999999</v>
          </cell>
          <cell r="BB104">
            <v>77.474931299999994</v>
          </cell>
          <cell r="BC104">
            <v>78.820624289999998</v>
          </cell>
          <cell r="BD104">
            <v>80.190643519999995</v>
          </cell>
          <cell r="BE104">
            <v>81.585370549999993</v>
          </cell>
        </row>
        <row r="105">
          <cell r="A105" t="str">
            <v>y_toe_0</v>
          </cell>
          <cell r="B105">
            <v>139.60539019999999</v>
          </cell>
          <cell r="C105">
            <v>140.71595590000001</v>
          </cell>
          <cell r="D105">
            <v>141.75063510000001</v>
          </cell>
          <cell r="E105">
            <v>142.85682259999999</v>
          </cell>
          <cell r="F105">
            <v>144.07966579999999</v>
          </cell>
          <cell r="G105">
            <v>145.43149589999999</v>
          </cell>
          <cell r="H105">
            <v>146.8228154</v>
          </cell>
          <cell r="I105">
            <v>148.2883831</v>
          </cell>
          <cell r="J105">
            <v>149.81685479999999</v>
          </cell>
          <cell r="K105">
            <v>151.39436649999999</v>
          </cell>
          <cell r="L105">
            <v>153.1495674</v>
          </cell>
          <cell r="M105">
            <v>154.8389397</v>
          </cell>
          <cell r="N105">
            <v>156.5356572</v>
          </cell>
          <cell r="O105">
            <v>158.24582430000001</v>
          </cell>
          <cell r="P105">
            <v>159.97047040000001</v>
          </cell>
          <cell r="Q105">
            <v>161.70993770000001</v>
          </cell>
          <cell r="R105">
            <v>163.46483950000001</v>
          </cell>
          <cell r="S105">
            <v>165.23619339999999</v>
          </cell>
          <cell r="T105">
            <v>167.02535090000001</v>
          </cell>
          <cell r="U105">
            <v>168.8338876</v>
          </cell>
          <cell r="V105">
            <v>170.56150779999999</v>
          </cell>
          <cell r="W105">
            <v>172.3825014</v>
          </cell>
          <cell r="X105">
            <v>174.24083569999999</v>
          </cell>
          <cell r="Y105">
            <v>176.1314615</v>
          </cell>
          <cell r="Z105">
            <v>178.05380700000001</v>
          </cell>
          <cell r="AA105">
            <v>179.71602970000001</v>
          </cell>
          <cell r="AB105">
            <v>181.47503689999999</v>
          </cell>
          <cell r="AC105">
            <v>183.25965239999999</v>
          </cell>
          <cell r="AD105">
            <v>185.0681902</v>
          </cell>
          <cell r="AE105">
            <v>186.90300189999999</v>
          </cell>
          <cell r="AF105">
            <v>188.76686609999999</v>
          </cell>
          <cell r="AG105">
            <v>190.66209499999999</v>
          </cell>
          <cell r="AH105">
            <v>192.5903424</v>
          </cell>
          <cell r="AI105">
            <v>194.55263780000001</v>
          </cell>
          <cell r="AJ105">
            <v>196.54949690000001</v>
          </cell>
          <cell r="AK105">
            <v>198.5810535</v>
          </cell>
          <cell r="AL105">
            <v>200.57748280000001</v>
          </cell>
          <cell r="AM105">
            <v>202.5863512</v>
          </cell>
          <cell r="AN105">
            <v>204.61563409999999</v>
          </cell>
          <cell r="AO105">
            <v>206.6689543</v>
          </cell>
          <cell r="AP105">
            <v>208.7486486</v>
          </cell>
          <cell r="AQ105">
            <v>210.85650000000001</v>
          </cell>
          <cell r="AR105">
            <v>212.9939167</v>
          </cell>
          <cell r="AS105">
            <v>215.1619896</v>
          </cell>
          <cell r="AT105">
            <v>217.36149030000001</v>
          </cell>
          <cell r="AU105">
            <v>219.59277019999999</v>
          </cell>
          <cell r="AV105">
            <v>221.86126340000001</v>
          </cell>
          <cell r="AW105">
            <v>224.1585911</v>
          </cell>
          <cell r="AX105">
            <v>226.48209869999999</v>
          </cell>
          <cell r="AY105">
            <v>228.83547709999999</v>
          </cell>
          <cell r="AZ105">
            <v>231.22222640000001</v>
          </cell>
          <cell r="BA105">
            <v>248.76068989999999</v>
          </cell>
          <cell r="BB105">
            <v>252.16318720000001</v>
          </cell>
          <cell r="BC105">
            <v>255.6227614</v>
          </cell>
          <cell r="BD105">
            <v>259.14068689999999</v>
          </cell>
          <cell r="BE105">
            <v>262.7181764</v>
          </cell>
        </row>
        <row r="106">
          <cell r="A106" t="str">
            <v>m_toe_0</v>
          </cell>
          <cell r="B106">
            <v>151.4012845</v>
          </cell>
          <cell r="C106">
            <v>152.663352</v>
          </cell>
          <cell r="D106">
            <v>153.86342780000001</v>
          </cell>
          <cell r="E106">
            <v>155.1746109</v>
          </cell>
          <cell r="F106">
            <v>156.64782070000001</v>
          </cell>
          <cell r="G106">
            <v>158.2952325</v>
          </cell>
          <cell r="H106">
            <v>160.01514180000001</v>
          </cell>
          <cell r="I106">
            <v>161.8358709</v>
          </cell>
          <cell r="J106">
            <v>163.7439234</v>
          </cell>
          <cell r="K106">
            <v>165.72227570000001</v>
          </cell>
          <cell r="L106">
            <v>167.9078427</v>
          </cell>
          <cell r="M106">
            <v>170.0440404</v>
          </cell>
          <cell r="N106">
            <v>172.19674860000001</v>
          </cell>
          <cell r="O106">
            <v>174.37371049999999</v>
          </cell>
          <cell r="P106">
            <v>176.57467489999999</v>
          </cell>
          <cell r="Q106">
            <v>178.7985434</v>
          </cell>
          <cell r="R106">
            <v>181.044724</v>
          </cell>
          <cell r="S106">
            <v>183.3132511</v>
          </cell>
          <cell r="T106">
            <v>185.6046652</v>
          </cell>
          <cell r="U106">
            <v>187.9198681</v>
          </cell>
          <cell r="V106">
            <v>190.14875319999999</v>
          </cell>
          <cell r="W106">
            <v>192.47440359999999</v>
          </cell>
          <cell r="X106">
            <v>194.84393589999999</v>
          </cell>
          <cell r="Y106">
            <v>197.24937929999999</v>
          </cell>
          <cell r="Z106">
            <v>199.68975570000001</v>
          </cell>
          <cell r="AA106">
            <v>201.84526389999999</v>
          </cell>
          <cell r="AB106">
            <v>204.0881095</v>
          </cell>
          <cell r="AC106">
            <v>206.35688200000001</v>
          </cell>
          <cell r="AD106">
            <v>208.64680129999999</v>
          </cell>
          <cell r="AE106">
            <v>210.96047999999999</v>
          </cell>
          <cell r="AF106">
            <v>213.30156590000001</v>
          </cell>
          <cell r="AG106">
            <v>215.67329989999999</v>
          </cell>
          <cell r="AH106">
            <v>218.07820219999999</v>
          </cell>
          <cell r="AI106">
            <v>220.5180838</v>
          </cell>
          <cell r="AJ106">
            <v>222.99415590000001</v>
          </cell>
          <cell r="AK106">
            <v>225.50716489999999</v>
          </cell>
          <cell r="AL106">
            <v>227.9806159</v>
          </cell>
          <cell r="AM106">
            <v>230.46287810000001</v>
          </cell>
          <cell r="AN106">
            <v>232.96484570000001</v>
          </cell>
          <cell r="AO106">
            <v>235.4910605</v>
          </cell>
          <cell r="AP106">
            <v>238.04450840000001</v>
          </cell>
          <cell r="AQ106">
            <v>240.6275862</v>
          </cell>
          <cell r="AR106">
            <v>243.2422717</v>
          </cell>
          <cell r="AS106">
            <v>245.89014710000001</v>
          </cell>
          <cell r="AT106">
            <v>248.57239129999999</v>
          </cell>
          <cell r="AU106">
            <v>251.28969789999999</v>
          </cell>
          <cell r="AV106">
            <v>254.04866899999999</v>
          </cell>
          <cell r="AW106">
            <v>256.84328269999997</v>
          </cell>
          <cell r="AX106">
            <v>259.6702737</v>
          </cell>
          <cell r="AY106">
            <v>262.53378800000002</v>
          </cell>
          <cell r="AZ106">
            <v>265.43757290000002</v>
          </cell>
          <cell r="BA106">
            <v>289.18244320000002</v>
          </cell>
          <cell r="BB106">
            <v>293.36051500000002</v>
          </cell>
          <cell r="BC106">
            <v>297.60425559999999</v>
          </cell>
          <cell r="BD106">
            <v>301.9153384</v>
          </cell>
          <cell r="BE106">
            <v>306.29544920000001</v>
          </cell>
        </row>
        <row r="107">
          <cell r="A107" t="str">
            <v>ci_toe_0</v>
          </cell>
          <cell r="B107">
            <v>193.20841820000001</v>
          </cell>
          <cell r="C107">
            <v>195.11808260000001</v>
          </cell>
          <cell r="D107">
            <v>197.05250889999999</v>
          </cell>
          <cell r="E107">
            <v>199.16416559999999</v>
          </cell>
          <cell r="F107">
            <v>201.497919</v>
          </cell>
          <cell r="G107">
            <v>204.04660870000001</v>
          </cell>
          <cell r="H107">
            <v>206.67011199999999</v>
          </cell>
          <cell r="I107">
            <v>209.40289179999999</v>
          </cell>
          <cell r="J107">
            <v>212.2338766</v>
          </cell>
          <cell r="K107">
            <v>215.14567460000001</v>
          </cell>
          <cell r="L107">
            <v>218.32325370000001</v>
          </cell>
          <cell r="M107">
            <v>221.43877370000001</v>
          </cell>
          <cell r="N107">
            <v>224.56729010000001</v>
          </cell>
          <cell r="O107">
            <v>227.72169120000001</v>
          </cell>
          <cell r="P107">
            <v>230.9027519</v>
          </cell>
          <cell r="Q107">
            <v>234.1099816</v>
          </cell>
          <cell r="R107">
            <v>237.34366800000001</v>
          </cell>
          <cell r="S107">
            <v>240.6050444</v>
          </cell>
          <cell r="T107">
            <v>243.89608920000001</v>
          </cell>
          <cell r="U107">
            <v>247.2192852</v>
          </cell>
          <cell r="V107">
            <v>250.4293131</v>
          </cell>
          <cell r="W107">
            <v>253.76360310000001</v>
          </cell>
          <cell r="X107">
            <v>257.16320250000001</v>
          </cell>
          <cell r="Y107">
            <v>260.61725719999998</v>
          </cell>
          <cell r="Z107">
            <v>264.12507390000002</v>
          </cell>
          <cell r="AA107">
            <v>267.26079909999999</v>
          </cell>
          <cell r="AB107">
            <v>270.49915809999999</v>
          </cell>
          <cell r="AC107">
            <v>273.77822830000002</v>
          </cell>
          <cell r="AD107">
            <v>277.09190960000001</v>
          </cell>
          <cell r="AE107">
            <v>280.44524589999997</v>
          </cell>
          <cell r="AF107">
            <v>283.84438540000002</v>
          </cell>
          <cell r="AG107">
            <v>287.29442760000001</v>
          </cell>
          <cell r="AH107">
            <v>290.79906690000001</v>
          </cell>
          <cell r="AI107">
            <v>294.36069909999998</v>
          </cell>
          <cell r="AJ107">
            <v>297.98065789999998</v>
          </cell>
          <cell r="AK107">
            <v>301.65947629999999</v>
          </cell>
          <cell r="AL107">
            <v>305.29415289999997</v>
          </cell>
          <cell r="AM107">
            <v>308.94343270000002</v>
          </cell>
          <cell r="AN107">
            <v>312.62324860000001</v>
          </cell>
          <cell r="AO107">
            <v>316.34017779999999</v>
          </cell>
          <cell r="AP107">
            <v>320.09856719999999</v>
          </cell>
          <cell r="AQ107">
            <v>323.90190999999999</v>
          </cell>
          <cell r="AR107">
            <v>327.75306749999999</v>
          </cell>
          <cell r="AS107">
            <v>331.65431280000001</v>
          </cell>
          <cell r="AT107">
            <v>335.6073763</v>
          </cell>
          <cell r="AU107">
            <v>339.61350199999998</v>
          </cell>
          <cell r="AV107">
            <v>343.68269240000001</v>
          </cell>
          <cell r="AW107">
            <v>347.8074901</v>
          </cell>
          <cell r="AX107">
            <v>351.98570790000002</v>
          </cell>
          <cell r="AY107">
            <v>356.21853859999999</v>
          </cell>
          <cell r="AZ107">
            <v>360.50754439999997</v>
          </cell>
          <cell r="BA107">
            <v>395.34974249999999</v>
          </cell>
          <cell r="BB107">
            <v>401.4616911</v>
          </cell>
          <cell r="BC107">
            <v>407.67003840000001</v>
          </cell>
          <cell r="BD107">
            <v>413.97701210000002</v>
          </cell>
          <cell r="BE107">
            <v>420.38488769999998</v>
          </cell>
        </row>
        <row r="108">
          <cell r="A108" t="str">
            <v>ch_toe_0</v>
          </cell>
          <cell r="B108">
            <v>64.301440170000006</v>
          </cell>
          <cell r="C108">
            <v>64.244438369999997</v>
          </cell>
          <cell r="D108">
            <v>63.979054069999997</v>
          </cell>
          <cell r="E108">
            <v>63.707653280000002</v>
          </cell>
          <cell r="F108">
            <v>63.482470309999997</v>
          </cell>
          <cell r="G108">
            <v>63.336263119999998</v>
          </cell>
          <cell r="H108">
            <v>63.253989850000004</v>
          </cell>
          <cell r="I108">
            <v>63.230666900000003</v>
          </cell>
          <cell r="J108">
            <v>63.25270665</v>
          </cell>
          <cell r="K108">
            <v>63.306551339999999</v>
          </cell>
          <cell r="L108">
            <v>63.411263230000003</v>
          </cell>
          <cell r="M108">
            <v>63.516182059999998</v>
          </cell>
          <cell r="N108">
            <v>63.624458609999998</v>
          </cell>
          <cell r="O108">
            <v>63.736656080000003</v>
          </cell>
          <cell r="P108">
            <v>63.852380840000002</v>
          </cell>
          <cell r="Q108">
            <v>63.970976999999998</v>
          </cell>
          <cell r="R108">
            <v>64.091795399999995</v>
          </cell>
          <cell r="S108">
            <v>64.21427869</v>
          </cell>
          <cell r="T108">
            <v>64.337973930000004</v>
          </cell>
          <cell r="U108">
            <v>64.462521370000005</v>
          </cell>
          <cell r="V108">
            <v>64.568139410000001</v>
          </cell>
          <cell r="W108">
            <v>64.683683740000006</v>
          </cell>
          <cell r="X108">
            <v>64.803930500000007</v>
          </cell>
          <cell r="Y108">
            <v>64.926449059999996</v>
          </cell>
          <cell r="Z108">
            <v>65.050136710000004</v>
          </cell>
          <cell r="AA108">
            <v>65.121097719999995</v>
          </cell>
          <cell r="AB108">
            <v>65.193553199999997</v>
          </cell>
          <cell r="AC108">
            <v>65.265840109999999</v>
          </cell>
          <cell r="AD108">
            <v>65.33738142</v>
          </cell>
          <cell r="AE108">
            <v>65.407922630000002</v>
          </cell>
          <cell r="AF108">
            <v>65.477596759999997</v>
          </cell>
          <cell r="AG108">
            <v>65.546739720000005</v>
          </cell>
          <cell r="AH108">
            <v>65.615738050000004</v>
          </cell>
          <cell r="AI108">
            <v>65.684962580000004</v>
          </cell>
          <cell r="AJ108">
            <v>65.754746269999998</v>
          </cell>
          <cell r="AK108">
            <v>65.825382500000003</v>
          </cell>
          <cell r="AL108">
            <v>65.885647710000001</v>
          </cell>
          <cell r="AM108">
            <v>65.941297739999996</v>
          </cell>
          <cell r="AN108">
            <v>65.995158619999998</v>
          </cell>
          <cell r="AO108">
            <v>66.048711780000005</v>
          </cell>
          <cell r="AP108">
            <v>66.102831179999995</v>
          </cell>
          <cell r="AQ108">
            <v>66.158103019999999</v>
          </cell>
          <cell r="AR108">
            <v>66.214953059999999</v>
          </cell>
          <cell r="AS108">
            <v>66.273683539999993</v>
          </cell>
          <cell r="AT108">
            <v>66.334417869999996</v>
          </cell>
          <cell r="AU108">
            <v>66.396859019999994</v>
          </cell>
          <cell r="AV108">
            <v>66.460015470000002</v>
          </cell>
          <cell r="AW108">
            <v>66.519687619999999</v>
          </cell>
          <cell r="AX108">
            <v>66.57202814</v>
          </cell>
          <cell r="AY108">
            <v>66.623567550000004</v>
          </cell>
          <cell r="AZ108">
            <v>66.679879940000006</v>
          </cell>
          <cell r="BA108">
            <v>66.181774820000001</v>
          </cell>
          <cell r="BB108">
            <v>66.315964530000002</v>
          </cell>
          <cell r="BC108">
            <v>66.452371409999998</v>
          </cell>
          <cell r="BD108">
            <v>66.591310300000004</v>
          </cell>
          <cell r="BE108">
            <v>66.732995119999998</v>
          </cell>
        </row>
        <row r="109">
          <cell r="A109" t="str">
            <v>x_toe_0</v>
          </cell>
          <cell r="B109">
            <v>33.496816299999999</v>
          </cell>
          <cell r="C109">
            <v>34.016786949999997</v>
          </cell>
          <cell r="D109">
            <v>34.582499839999997</v>
          </cell>
          <cell r="E109">
            <v>35.159614650000002</v>
          </cell>
          <cell r="F109">
            <v>35.747097170000004</v>
          </cell>
          <cell r="G109">
            <v>36.343856629999998</v>
          </cell>
          <cell r="H109">
            <v>36.913855409999996</v>
          </cell>
          <cell r="I109">
            <v>37.49069532</v>
          </cell>
          <cell r="J109">
            <v>38.074194929999997</v>
          </cell>
          <cell r="K109">
            <v>38.664416279999998</v>
          </cell>
          <cell r="L109">
            <v>39.322893180000001</v>
          </cell>
          <cell r="M109">
            <v>39.928024360000002</v>
          </cell>
          <cell r="N109">
            <v>40.540657060000001</v>
          </cell>
          <cell r="O109">
            <v>41.161187570000003</v>
          </cell>
          <cell r="P109">
            <v>41.79001264</v>
          </cell>
          <cell r="Q109">
            <v>42.427522439999997</v>
          </cell>
          <cell r="R109">
            <v>43.074100129999998</v>
          </cell>
          <cell r="S109">
            <v>43.730121429999997</v>
          </cell>
          <cell r="T109">
            <v>44.395952889999997</v>
          </cell>
          <cell r="U109">
            <v>45.071949160000003</v>
          </cell>
          <cell r="V109">
            <v>45.712808469999999</v>
          </cell>
          <cell r="W109">
            <v>46.40961815</v>
          </cell>
          <cell r="X109">
            <v>47.117638650000004</v>
          </cell>
          <cell r="Y109">
            <v>47.837134499999998</v>
          </cell>
          <cell r="Z109">
            <v>48.568352070000003</v>
          </cell>
          <cell r="AA109">
            <v>49.179396750000002</v>
          </cell>
          <cell r="AB109">
            <v>49.870435129999997</v>
          </cell>
          <cell r="AC109">
            <v>50.572466079999998</v>
          </cell>
          <cell r="AD109">
            <v>51.285700509999998</v>
          </cell>
          <cell r="AE109">
            <v>52.010313379999999</v>
          </cell>
          <cell r="AF109">
            <v>52.746449830000003</v>
          </cell>
          <cell r="AG109">
            <v>53.494227530000003</v>
          </cell>
          <cell r="AH109">
            <v>54.253739699999997</v>
          </cell>
          <cell r="AI109">
            <v>55.025059949999999</v>
          </cell>
          <cell r="AJ109">
            <v>55.808248640000002</v>
          </cell>
          <cell r="AK109">
            <v>56.603359529999999</v>
          </cell>
          <cell r="AL109">
            <v>57.378298000000001</v>
          </cell>
          <cell r="AM109">
            <v>58.164498819999999</v>
          </cell>
          <cell r="AN109">
            <v>58.962072650000003</v>
          </cell>
          <cell r="AO109">
            <v>59.771125169999998</v>
          </cell>
          <cell r="AP109">
            <v>60.591758579999997</v>
          </cell>
          <cell r="AQ109">
            <v>61.424073180000001</v>
          </cell>
          <cell r="AR109">
            <v>62.268167890000001</v>
          </cell>
          <cell r="AS109">
            <v>63.124140349999998</v>
          </cell>
          <cell r="AT109">
            <v>63.992087490000003</v>
          </cell>
          <cell r="AU109">
            <v>64.872107130000003</v>
          </cell>
          <cell r="AV109">
            <v>65.767224490000004</v>
          </cell>
          <cell r="AW109">
            <v>66.674696119999993</v>
          </cell>
          <cell r="AX109">
            <v>67.594636359999996</v>
          </cell>
          <cell r="AY109">
            <v>68.527158959999994</v>
          </cell>
          <cell r="AZ109">
            <v>69.472374959999996</v>
          </cell>
          <cell r="BA109">
            <v>76.411615780000005</v>
          </cell>
          <cell r="BB109">
            <v>77.746046530000001</v>
          </cell>
          <cell r="BC109">
            <v>79.104607090000002</v>
          </cell>
          <cell r="BD109">
            <v>80.487702900000002</v>
          </cell>
          <cell r="BE109">
            <v>81.895742740000003</v>
          </cell>
        </row>
      </sheetData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"/>
  <dimension ref="A1:BF529"/>
  <sheetViews>
    <sheetView zoomScale="77" workbookViewId="0">
      <pane xSplit="2" ySplit="4" topLeftCell="C5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baseColWidth="10" defaultRowHeight="14.5" x14ac:dyDescent="0.35"/>
  <cols>
    <col min="1" max="1" width="26.90625" customWidth="1"/>
    <col min="2" max="2" width="43.08984375" customWidth="1"/>
    <col min="3" max="3" width="12.7265625" bestFit="1" customWidth="1"/>
    <col min="4" max="26" width="11.1796875" bestFit="1" customWidth="1"/>
    <col min="27" max="36" width="11.81640625" bestFit="1" customWidth="1"/>
    <col min="37" max="58" width="12.81640625" bestFit="1" customWidth="1"/>
  </cols>
  <sheetData>
    <row r="1" spans="1:58" x14ac:dyDescent="0.35">
      <c r="A1" t="s">
        <v>5</v>
      </c>
      <c r="B1" t="s">
        <v>6</v>
      </c>
    </row>
    <row r="4" spans="1:58" x14ac:dyDescent="0.35">
      <c r="A4" s="12" t="s">
        <v>0</v>
      </c>
      <c r="C4" s="2">
        <v>42005</v>
      </c>
      <c r="D4" s="2">
        <v>42370</v>
      </c>
      <c r="E4" s="2">
        <v>42736</v>
      </c>
      <c r="F4" s="2">
        <v>43101</v>
      </c>
      <c r="G4" s="2">
        <v>43466</v>
      </c>
      <c r="H4" s="2">
        <v>43831</v>
      </c>
      <c r="I4" s="2">
        <v>44197</v>
      </c>
      <c r="J4" s="2">
        <v>44562</v>
      </c>
      <c r="K4" s="2">
        <v>44927</v>
      </c>
      <c r="L4" s="2">
        <v>45292</v>
      </c>
      <c r="M4" s="2">
        <v>45658</v>
      </c>
      <c r="N4" s="2">
        <v>46023</v>
      </c>
      <c r="O4" s="2">
        <v>46388</v>
      </c>
      <c r="P4" s="2">
        <v>46753</v>
      </c>
      <c r="Q4" s="2">
        <v>47119</v>
      </c>
      <c r="R4" s="2">
        <v>47484</v>
      </c>
      <c r="S4" s="2">
        <v>47849</v>
      </c>
      <c r="T4" s="2">
        <v>48214</v>
      </c>
      <c r="U4" s="2">
        <v>48580</v>
      </c>
      <c r="V4" s="2">
        <v>48945</v>
      </c>
      <c r="W4" s="2">
        <v>49310</v>
      </c>
      <c r="X4" s="2">
        <v>49675</v>
      </c>
      <c r="Y4" s="2">
        <v>50041</v>
      </c>
      <c r="Z4" s="2">
        <v>50406</v>
      </c>
      <c r="AA4" s="2">
        <v>50771</v>
      </c>
      <c r="AB4" s="2">
        <v>51136</v>
      </c>
      <c r="AC4" s="2">
        <v>51502</v>
      </c>
      <c r="AD4" s="2">
        <v>51867</v>
      </c>
      <c r="AE4" s="2">
        <v>52232</v>
      </c>
      <c r="AF4" s="2">
        <v>52597</v>
      </c>
      <c r="AG4" s="2">
        <v>52963</v>
      </c>
      <c r="AH4" s="2">
        <v>53328</v>
      </c>
      <c r="AI4" s="2">
        <v>53693</v>
      </c>
      <c r="AJ4" s="2">
        <v>54058</v>
      </c>
      <c r="AK4" s="2">
        <v>54424</v>
      </c>
      <c r="AL4" s="2">
        <v>54789</v>
      </c>
      <c r="AM4" s="2">
        <v>55154</v>
      </c>
      <c r="AN4" s="2">
        <v>55519</v>
      </c>
      <c r="AO4" s="2">
        <v>55885</v>
      </c>
      <c r="AP4" s="2">
        <v>56250</v>
      </c>
      <c r="AQ4" s="2">
        <v>56615</v>
      </c>
      <c r="AR4" s="2">
        <v>56980</v>
      </c>
      <c r="AS4" s="2">
        <v>57346</v>
      </c>
      <c r="AT4" s="2">
        <v>57711</v>
      </c>
      <c r="AU4" s="2">
        <v>58076</v>
      </c>
      <c r="AV4" s="2">
        <v>58441</v>
      </c>
      <c r="AW4" s="2">
        <v>58807</v>
      </c>
      <c r="AX4" s="2">
        <v>59172</v>
      </c>
      <c r="AY4" s="2">
        <v>59537</v>
      </c>
      <c r="AZ4" s="2">
        <v>59902</v>
      </c>
      <c r="BA4" s="2">
        <v>60268</v>
      </c>
      <c r="BB4" s="2">
        <v>60633</v>
      </c>
      <c r="BC4" s="2">
        <v>60998</v>
      </c>
      <c r="BD4" s="2">
        <v>61363</v>
      </c>
      <c r="BE4" s="2">
        <v>61729</v>
      </c>
      <c r="BF4" s="2">
        <v>62094</v>
      </c>
    </row>
    <row r="5" spans="1:58" x14ac:dyDescent="0.35">
      <c r="A5" s="3" t="str">
        <f>[1]Results!E1365</f>
        <v>100*(GDP_2/GDP_0-1)</v>
      </c>
      <c r="B5" t="s">
        <v>18</v>
      </c>
      <c r="C5" s="1">
        <f>[1]Results!F1365</f>
        <v>-1.3734652863725771</v>
      </c>
      <c r="D5" s="1">
        <f>[1]Results!G1365</f>
        <v>-1.7298565048007308</v>
      </c>
      <c r="E5" s="1">
        <f>[1]Results!H1365</f>
        <v>-2.0645656708817461</v>
      </c>
      <c r="F5" s="1">
        <f>[1]Results!I1365</f>
        <v>-2.357633648455304</v>
      </c>
      <c r="G5" s="1">
        <f>[1]Results!J1365</f>
        <v>-2.6140093324245939</v>
      </c>
      <c r="H5" s="1">
        <f>[1]Results!K1365</f>
        <v>-2.8407767554473717</v>
      </c>
      <c r="I5" s="1">
        <f>[1]Results!L1365</f>
        <v>-3.0464601393956126</v>
      </c>
      <c r="J5" s="1">
        <f>[1]Results!M1365</f>
        <v>-3.2343626267274828</v>
      </c>
      <c r="K5" s="1">
        <f>[1]Results!N1365</f>
        <v>-3.4088044589155264</v>
      </c>
      <c r="L5" s="1">
        <f>[1]Results!O1365</f>
        <v>-3.5735780011471041</v>
      </c>
      <c r="M5" s="1">
        <f>[1]Results!P1365</f>
        <v>-3.8263746283537015</v>
      </c>
      <c r="N5" s="1">
        <f>[1]Results!Q1365</f>
        <v>-3.936158845468507</v>
      </c>
      <c r="O5" s="1">
        <f>[1]Results!R1365</f>
        <v>-4.0335630799199329</v>
      </c>
      <c r="P5" s="1">
        <f>[1]Results!S1365</f>
        <v>-4.1191956885294871</v>
      </c>
      <c r="Q5" s="1">
        <f>[1]Results!T1365</f>
        <v>-4.1960202976913274</v>
      </c>
      <c r="R5" s="1">
        <f>[1]Results!U1365</f>
        <v>-4.2668115222945557</v>
      </c>
      <c r="S5" s="1">
        <f>[1]Results!V1365</f>
        <v>-4.3385282847099305</v>
      </c>
      <c r="T5" s="1">
        <f>[1]Results!W1365</f>
        <v>-4.4095100887892924</v>
      </c>
      <c r="U5" s="1">
        <f>[1]Results!X1365</f>
        <v>-4.4812427552597729</v>
      </c>
      <c r="V5" s="1">
        <f>[1]Results!Y1365</f>
        <v>-4.5547781342819116</v>
      </c>
      <c r="W5" s="1">
        <f>[1]Results!Z1365</f>
        <v>-4.6311097941466812</v>
      </c>
      <c r="X5" s="1">
        <f>[1]Results!AA1365</f>
        <v>-4.7099938027228561</v>
      </c>
      <c r="Y5" s="1">
        <f>[1]Results!AB1365</f>
        <v>-4.7919176689637073</v>
      </c>
      <c r="Z5" s="1">
        <f>[1]Results!AC1365</f>
        <v>-4.8769777598748458</v>
      </c>
      <c r="AA5" s="1">
        <f>[1]Results!AD1365</f>
        <v>-4.965046439401311</v>
      </c>
      <c r="AB5" s="1">
        <f>[1]Results!AE1365</f>
        <v>-5.0564131786857036</v>
      </c>
      <c r="AC5" s="1">
        <f>[1]Results!AF1365</f>
        <v>-5.1476766199514916</v>
      </c>
      <c r="AD5" s="1">
        <f>[1]Results!AG1365</f>
        <v>-5.2402349400153199</v>
      </c>
      <c r="AE5" s="1">
        <f>[1]Results!AH1365</f>
        <v>-5.333927805019723</v>
      </c>
      <c r="AF5" s="1">
        <f>[1]Results!AI1365</f>
        <v>-5.4285754760130871</v>
      </c>
      <c r="AG5" s="1">
        <f>[1]Results!AJ1365</f>
        <v>-5.5239595975755229</v>
      </c>
      <c r="AH5" s="1">
        <f>[1]Results!AK1365</f>
        <v>-5.6187350233234508</v>
      </c>
      <c r="AI5" s="1">
        <f>[1]Results!AL1365</f>
        <v>-5.7135368368529278</v>
      </c>
      <c r="AJ5" s="1">
        <f>[1]Results!AM1365</f>
        <v>-5.808197333960619</v>
      </c>
      <c r="AK5" s="1">
        <f>[1]Results!AN1365</f>
        <v>-5.902594084908797</v>
      </c>
      <c r="AL5" s="1">
        <f>[1]Results!AO1365</f>
        <v>-5.9966256826181734</v>
      </c>
      <c r="AM5" s="1">
        <f>[1]Results!AP1365</f>
        <v>-6.0804467910879119</v>
      </c>
      <c r="AN5" s="1">
        <f>[1]Results!AQ1365</f>
        <v>-6.1616942705872919</v>
      </c>
      <c r="AO5" s="1">
        <f>[1]Results!AR1365</f>
        <v>-6.2406874762081284</v>
      </c>
      <c r="AP5" s="1">
        <f>[1]Results!AS1365</f>
        <v>-6.3179600181405</v>
      </c>
      <c r="AQ5" s="1">
        <f>[1]Results!AT1365</f>
        <v>-6.3939607803403353</v>
      </c>
      <c r="AR5" s="1">
        <f>[1]Results!AU1365</f>
        <v>-6.4674527934628916</v>
      </c>
      <c r="AS5" s="1">
        <f>[1]Results!AV1365</f>
        <v>-6.5399125774206368</v>
      </c>
      <c r="AT5" s="1">
        <f>[1]Results!AW1365</f>
        <v>-6.6116128037204565</v>
      </c>
      <c r="AU5" s="1">
        <f>[1]Results!AX1365</f>
        <v>-6.6828151577913664</v>
      </c>
      <c r="AV5" s="1">
        <f>[1]Results!AY1365</f>
        <v>-6.75374061275601</v>
      </c>
      <c r="AW5" s="1">
        <f>[1]Results!AZ1365</f>
        <v>-6.8192810107848505</v>
      </c>
      <c r="AX5" s="1">
        <f>[1]Results!BA1365</f>
        <v>-6.8837080079757857</v>
      </c>
      <c r="AY5" s="1">
        <f>[1]Results!BB1365</f>
        <v>-6.9474240648402024</v>
      </c>
      <c r="AZ5" s="1">
        <f>[1]Results!BC1365</f>
        <v>-7.0108335681959062</v>
      </c>
      <c r="BA5" s="1">
        <f>[1]Results!BD1365</f>
        <v>-7.0742357919410859</v>
      </c>
      <c r="BB5" s="1">
        <f>[1]Results!BE1365</f>
        <v>-0.17309504926293906</v>
      </c>
      <c r="BC5" s="1">
        <f>[1]Results!BF1365</f>
        <v>-0.17504737969170625</v>
      </c>
      <c r="BD5" s="1">
        <f>[1]Results!BG1365</f>
        <v>-0.17671713472687811</v>
      </c>
      <c r="BE5" s="1">
        <f>[1]Results!BH1365</f>
        <v>-0.17817411467598854</v>
      </c>
      <c r="BF5" s="1">
        <f>[1]Results!BI1365</f>
        <v>-0.17947550510799548</v>
      </c>
    </row>
    <row r="6" spans="1:58" x14ac:dyDescent="0.35">
      <c r="A6" s="3" t="str">
        <f>[1]Results!E1366</f>
        <v>100*((VA_2-VA_spub_2)/(VA_0-VA_spub_0)-1)</v>
      </c>
      <c r="B6" t="str">
        <f>[1]Results!C1366</f>
        <v>VA du secteur marchand</v>
      </c>
      <c r="C6" s="1">
        <f>[1]Results!F1366</f>
        <v>-1.7200374417430608</v>
      </c>
      <c r="D6" s="1">
        <f>[1]Results!G1366</f>
        <v>-2.1092918090200752</v>
      </c>
      <c r="E6" s="1">
        <f>[1]Results!H1366</f>
        <v>-2.4827537792660115</v>
      </c>
      <c r="F6" s="1">
        <f>[1]Results!I1366</f>
        <v>-2.8105382441615312</v>
      </c>
      <c r="G6" s="1">
        <f>[1]Results!J1366</f>
        <v>-3.0983291283854797</v>
      </c>
      <c r="H6" s="1">
        <f>[1]Results!K1366</f>
        <v>-3.3543235935452276</v>
      </c>
      <c r="I6" s="1">
        <f>[1]Results!L1366</f>
        <v>-3.5882042999577202</v>
      </c>
      <c r="J6" s="1">
        <f>[1]Results!M1366</f>
        <v>-3.803578294356047</v>
      </c>
      <c r="K6" s="1">
        <f>[1]Results!N1366</f>
        <v>-4.0051699333833124</v>
      </c>
      <c r="L6" s="1">
        <f>[1]Results!O1366</f>
        <v>-4.1971211594134639</v>
      </c>
      <c r="M6" s="1">
        <f>[1]Results!P1366</f>
        <v>-4.5019793778900308</v>
      </c>
      <c r="N6" s="1">
        <f>[1]Results!Q1366</f>
        <v>-4.6241439606573014</v>
      </c>
      <c r="O6" s="1">
        <f>[1]Results!R1366</f>
        <v>-4.7357877854921293</v>
      </c>
      <c r="P6" s="1">
        <f>[1]Results!S1366</f>
        <v>-4.8363329173529257</v>
      </c>
      <c r="Q6" s="1">
        <f>[1]Results!T1366</f>
        <v>-4.9288682461351208</v>
      </c>
      <c r="R6" s="1">
        <f>[1]Results!U1366</f>
        <v>-5.0163111705401997</v>
      </c>
      <c r="S6" s="1">
        <f>[1]Results!V1366</f>
        <v>-5.1068689167936938</v>
      </c>
      <c r="T6" s="1">
        <f>[1]Results!W1366</f>
        <v>-5.1977411167469345</v>
      </c>
      <c r="U6" s="1">
        <f>[1]Results!X1366</f>
        <v>-5.290394458348735</v>
      </c>
      <c r="V6" s="1">
        <f>[1]Results!Y1366</f>
        <v>-5.3857981065073108</v>
      </c>
      <c r="W6" s="1">
        <f>[1]Results!Z1366</f>
        <v>-5.484571006119543</v>
      </c>
      <c r="X6" s="1">
        <f>[1]Results!AA1366</f>
        <v>-5.5870395354350899</v>
      </c>
      <c r="Y6" s="1">
        <f>[1]Results!AB1366</f>
        <v>-5.6930671041684811</v>
      </c>
      <c r="Z6" s="1">
        <f>[1]Results!AC1366</f>
        <v>-5.8026580681931783</v>
      </c>
      <c r="AA6" s="1">
        <f>[1]Results!AD1366</f>
        <v>-5.9155599554662537</v>
      </c>
      <c r="AB6" s="1">
        <f>[1]Results!AE1366</f>
        <v>-6.0311124556078788</v>
      </c>
      <c r="AC6" s="1">
        <f>[1]Results!AF1366</f>
        <v>-6.1470340624102837</v>
      </c>
      <c r="AD6" s="1">
        <f>[1]Results!AG1366</f>
        <v>-6.264224260306694</v>
      </c>
      <c r="AE6" s="1">
        <f>[1]Results!AH1366</f>
        <v>-6.3824453642912999</v>
      </c>
      <c r="AF6" s="1">
        <f>[1]Results!AI1366</f>
        <v>-6.5014372104148954</v>
      </c>
      <c r="AG6" s="1">
        <f>[1]Results!AJ1366</f>
        <v>-6.6209131802054344</v>
      </c>
      <c r="AH6" s="1">
        <f>[1]Results!AK1366</f>
        <v>-6.7391895029004107</v>
      </c>
      <c r="AI6" s="1">
        <f>[1]Results!AL1366</f>
        <v>-6.85712965244758</v>
      </c>
      <c r="AJ6" s="1">
        <f>[1]Results!AM1366</f>
        <v>-6.9745369018853971</v>
      </c>
      <c r="AK6" s="1">
        <f>[1]Results!AN1366</f>
        <v>-7.091282886932337</v>
      </c>
      <c r="AL6" s="1">
        <f>[1]Results!AO1366</f>
        <v>-7.2072714420248207</v>
      </c>
      <c r="AM6" s="1">
        <f>[1]Results!AP1366</f>
        <v>-7.309936879052148</v>
      </c>
      <c r="AN6" s="1">
        <f>[1]Results!AQ1366</f>
        <v>-7.409674605380479</v>
      </c>
      <c r="AO6" s="1">
        <f>[1]Results!AR1366</f>
        <v>-7.5067513643559014</v>
      </c>
      <c r="AP6" s="1">
        <f>[1]Results!AS1366</f>
        <v>-7.6017634282371631</v>
      </c>
      <c r="AQ6" s="1">
        <f>[1]Results!AT1366</f>
        <v>-7.6952238129964883</v>
      </c>
      <c r="AR6" s="1">
        <f>[1]Results!AU1366</f>
        <v>-7.7855443803001574</v>
      </c>
      <c r="AS6" s="1">
        <f>[1]Results!AV1366</f>
        <v>-7.8746167453460298</v>
      </c>
      <c r="AT6" s="1">
        <f>[1]Results!AW1366</f>
        <v>-7.9627429658681415</v>
      </c>
      <c r="AU6" s="1">
        <f>[1]Results!AX1366</f>
        <v>-8.050222928384354</v>
      </c>
      <c r="AV6" s="1">
        <f>[1]Results!AY1366</f>
        <v>-8.1373128149462062</v>
      </c>
      <c r="AW6" s="1">
        <f>[1]Results!AZ1366</f>
        <v>-8.2176073101556497</v>
      </c>
      <c r="AX6" s="1">
        <f>[1]Results!BA1366</f>
        <v>-8.2966250260011485</v>
      </c>
      <c r="AY6" s="1">
        <f>[1]Results!BB1366</f>
        <v>-8.3747941546832081</v>
      </c>
      <c r="AZ6" s="1">
        <f>[1]Results!BC1366</f>
        <v>-8.4525602773989679</v>
      </c>
      <c r="BA6" s="1">
        <f>[1]Results!BD1366</f>
        <v>-8.5302578918805096</v>
      </c>
      <c r="BB6" s="1">
        <f>[1]Results!BE1366</f>
        <v>-0.23572931163051702</v>
      </c>
      <c r="BC6" s="1">
        <f>[1]Results!BF1366</f>
        <v>-0.23913277799035848</v>
      </c>
      <c r="BD6" s="1">
        <f>[1]Results!BG1366</f>
        <v>-0.24217281316902817</v>
      </c>
      <c r="BE6" s="1">
        <f>[1]Results!BH1366</f>
        <v>-0.24492995704027409</v>
      </c>
      <c r="BF6" s="1">
        <f>[1]Results!BI1366</f>
        <v>-0.24747210843392153</v>
      </c>
    </row>
    <row r="7" spans="1:58" x14ac:dyDescent="0.35">
      <c r="A7" s="3" t="str">
        <f>[1]Results!E1367</f>
        <v>100*((CH_2-CH_0)/GDP_0)</v>
      </c>
      <c r="B7" t="s">
        <v>19</v>
      </c>
      <c r="C7" s="1">
        <f>[1]Results!F1367</f>
        <v>-0.25349993310914692</v>
      </c>
      <c r="D7" s="1">
        <f>[1]Results!G1367</f>
        <v>-0.55820546753204225</v>
      </c>
      <c r="E7" s="1">
        <f>[1]Results!H1367</f>
        <v>-0.8451056209479344</v>
      </c>
      <c r="F7" s="1">
        <f>[1]Results!I1367</f>
        <v>-1.096312673034505</v>
      </c>
      <c r="G7" s="1">
        <f>[1]Results!J1367</f>
        <v>-1.3101014119216667</v>
      </c>
      <c r="H7" s="1">
        <f>[1]Results!K1367</f>
        <v>-1.4898914520720428</v>
      </c>
      <c r="I7" s="1">
        <f>[1]Results!L1367</f>
        <v>-1.6415562464252413</v>
      </c>
      <c r="J7" s="1">
        <f>[1]Results!M1367</f>
        <v>-1.7693167349294219</v>
      </c>
      <c r="K7" s="1">
        <f>[1]Results!N1367</f>
        <v>-1.8777603733670754</v>
      </c>
      <c r="L7" s="1">
        <f>[1]Results!O1367</f>
        <v>-1.9709943315202718</v>
      </c>
      <c r="M7" s="1">
        <f>[1]Results!P1367</f>
        <v>-2.0673698302730399</v>
      </c>
      <c r="N7" s="1">
        <f>[1]Results!Q1367</f>
        <v>-2.1490538343784582</v>
      </c>
      <c r="O7" s="1">
        <f>[1]Results!R1367</f>
        <v>-2.2101879639452178</v>
      </c>
      <c r="P7" s="1">
        <f>[1]Results!S1367</f>
        <v>-2.2519384582132185</v>
      </c>
      <c r="Q7" s="1">
        <f>[1]Results!T1367</f>
        <v>-2.2770778095652848</v>
      </c>
      <c r="R7" s="1">
        <f>[1]Results!U1367</f>
        <v>-2.2887703653548996</v>
      </c>
      <c r="S7" s="1">
        <f>[1]Results!V1367</f>
        <v>-2.2910571257198828</v>
      </c>
      <c r="T7" s="1">
        <f>[1]Results!W1367</f>
        <v>-2.2869521895194063</v>
      </c>
      <c r="U7" s="1">
        <f>[1]Results!X1367</f>
        <v>-2.2788776759401488</v>
      </c>
      <c r="V7" s="1">
        <f>[1]Results!Y1367</f>
        <v>-2.2688195681676366</v>
      </c>
      <c r="W7" s="1">
        <f>[1]Results!Z1367</f>
        <v>-2.2591178044581985</v>
      </c>
      <c r="X7" s="1">
        <f>[1]Results!AA1367</f>
        <v>-2.2490630684457544</v>
      </c>
      <c r="Y7" s="1">
        <f>[1]Results!AB1367</f>
        <v>-2.2407853717781685</v>
      </c>
      <c r="Z7" s="1">
        <f>[1]Results!AC1367</f>
        <v>-2.2350096358845053</v>
      </c>
      <c r="AA7" s="1">
        <f>[1]Results!AD1367</f>
        <v>-2.23218749974499</v>
      </c>
      <c r="AB7" s="1">
        <f>[1]Results!AE1367</f>
        <v>-2.2344883853530919</v>
      </c>
      <c r="AC7" s="1">
        <f>[1]Results!AF1367</f>
        <v>-2.2373717118322745</v>
      </c>
      <c r="AD7" s="1">
        <f>[1]Results!AG1367</f>
        <v>-2.2425049362198255</v>
      </c>
      <c r="AE7" s="1">
        <f>[1]Results!AH1367</f>
        <v>-2.2501111571028698</v>
      </c>
      <c r="AF7" s="1">
        <f>[1]Results!AI1367</f>
        <v>-2.2603146279243993</v>
      </c>
      <c r="AG7" s="1">
        <f>[1]Results!AJ1367</f>
        <v>-2.2731165742037729</v>
      </c>
      <c r="AH7" s="1">
        <f>[1]Results!AK1367</f>
        <v>-2.2882026531722253</v>
      </c>
      <c r="AI7" s="1">
        <f>[1]Results!AL1367</f>
        <v>-2.3054148067870064</v>
      </c>
      <c r="AJ7" s="1">
        <f>[1]Results!AM1367</f>
        <v>-2.3246272684858518</v>
      </c>
      <c r="AK7" s="1">
        <f>[1]Results!AN1367</f>
        <v>-2.3457040900077386</v>
      </c>
      <c r="AL7" s="1">
        <f>[1]Results!AO1367</f>
        <v>-2.3684946864135541</v>
      </c>
      <c r="AM7" s="1">
        <f>[1]Results!AP1367</f>
        <v>-2.3912546579922793</v>
      </c>
      <c r="AN7" s="1">
        <f>[1]Results!AQ1367</f>
        <v>-2.4130529057477452</v>
      </c>
      <c r="AO7" s="1">
        <f>[1]Results!AR1367</f>
        <v>-2.4342303757643857</v>
      </c>
      <c r="AP7" s="1">
        <f>[1]Results!AS1367</f>
        <v>-2.4552000761161481</v>
      </c>
      <c r="AQ7" s="1">
        <f>[1]Results!AT1367</f>
        <v>-2.4762769906457085</v>
      </c>
      <c r="AR7" s="1">
        <f>[1]Results!AU1367</f>
        <v>-2.4973531578316743</v>
      </c>
      <c r="AS7" s="1">
        <f>[1]Results!AV1367</f>
        <v>-2.5185602647292979</v>
      </c>
      <c r="AT7" s="1">
        <f>[1]Results!AW1367</f>
        <v>-2.5400805599254799</v>
      </c>
      <c r="AU7" s="1">
        <f>[1]Results!AX1367</f>
        <v>-2.5620759139605429</v>
      </c>
      <c r="AV7" s="1">
        <f>[1]Results!AY1367</f>
        <v>-2.5846736083364883</v>
      </c>
      <c r="AW7" s="1">
        <f>[1]Results!AZ1367</f>
        <v>-2.6068682595768604</v>
      </c>
      <c r="AX7" s="1">
        <f>[1]Results!BA1367</f>
        <v>-2.6287756366810795</v>
      </c>
      <c r="AY7" s="1">
        <f>[1]Results!BB1367</f>
        <v>-2.6507322766072168</v>
      </c>
      <c r="AZ7" s="1">
        <f>[1]Results!BC1367</f>
        <v>-2.6730419780536034</v>
      </c>
      <c r="BA7" s="1">
        <f>[1]Results!BD1367</f>
        <v>-2.6959058505531894</v>
      </c>
      <c r="BB7" s="1">
        <f>[1]Results!BE1367</f>
        <v>2.4627260846567238E-2</v>
      </c>
      <c r="BC7" s="1">
        <f>[1]Results!BF1367</f>
        <v>2.6598171712759654E-2</v>
      </c>
      <c r="BD7" s="1">
        <f>[1]Results!BG1367</f>
        <v>2.8484324639781216E-2</v>
      </c>
      <c r="BE7" s="1">
        <f>[1]Results!BH1367</f>
        <v>3.0234981441569546E-2</v>
      </c>
      <c r="BF7" s="1">
        <f>[1]Results!BI1367</f>
        <v>3.1819722090826522E-2</v>
      </c>
    </row>
    <row r="8" spans="1:58" x14ac:dyDescent="0.35">
      <c r="A8" s="3" t="str">
        <f>[1]Results!E1368</f>
        <v>100*((CH_cveh_2-CH_cveh_0)/GDP_0)</v>
      </c>
      <c r="B8" t="str">
        <f>[1]Results!C1368</f>
        <v>Consommation des ménages automobile</v>
      </c>
      <c r="C8" s="1">
        <f>[1]Results!F1368</f>
        <v>-2.1955260541659265E-4</v>
      </c>
      <c r="D8" s="1">
        <f>[1]Results!G1368</f>
        <v>-2.037141425645846E-2</v>
      </c>
      <c r="E8" s="1">
        <f>[1]Results!H1368</f>
        <v>-4.4896180148261758E-2</v>
      </c>
      <c r="F8" s="1">
        <f>[1]Results!I1368</f>
        <v>-6.5657767400436842E-2</v>
      </c>
      <c r="G8" s="1">
        <f>[1]Results!J1368</f>
        <v>-8.04615199797067E-2</v>
      </c>
      <c r="H8" s="1">
        <f>[1]Results!K1368</f>
        <v>-8.9718601541706688E-2</v>
      </c>
      <c r="I8" s="1">
        <f>[1]Results!L1368</f>
        <v>-9.4833073758625527E-2</v>
      </c>
      <c r="J8" s="1">
        <f>[1]Results!M1368</f>
        <v>-9.7138979670547965E-2</v>
      </c>
      <c r="K8" s="1">
        <f>[1]Results!N1368</f>
        <v>-9.7755729581654571E-2</v>
      </c>
      <c r="L8" s="1">
        <f>[1]Results!O1368</f>
        <v>-9.7476740650710561E-2</v>
      </c>
      <c r="M8" s="1">
        <f>[1]Results!P1368</f>
        <v>-9.8678791975510216E-2</v>
      </c>
      <c r="N8" s="1">
        <f>[1]Results!Q1368</f>
        <v>-9.8401554470021857E-2</v>
      </c>
      <c r="O8" s="1">
        <f>[1]Results!R1368</f>
        <v>-9.6492680315387491E-2</v>
      </c>
      <c r="P8" s="1">
        <f>[1]Results!S1368</f>
        <v>-9.3429965327512007E-2</v>
      </c>
      <c r="Q8" s="1">
        <f>[1]Results!T1368</f>
        <v>-8.9678371648628838E-2</v>
      </c>
      <c r="R8" s="1">
        <f>[1]Results!U1368</f>
        <v>-8.5612649360315818E-2</v>
      </c>
      <c r="S8" s="1">
        <f>[1]Results!V1368</f>
        <v>-8.1606401394372419E-2</v>
      </c>
      <c r="T8" s="1">
        <f>[1]Results!W1368</f>
        <v>-7.7860279508500246E-2</v>
      </c>
      <c r="U8" s="1">
        <f>[1]Results!X1368</f>
        <v>-7.4481376937247809E-2</v>
      </c>
      <c r="V8" s="1">
        <f>[1]Results!Y1368</f>
        <v>-7.1525691103988556E-2</v>
      </c>
      <c r="W8" s="1">
        <f>[1]Results!Z1368</f>
        <v>-6.9027224329298115E-2</v>
      </c>
      <c r="X8" s="1">
        <f>[1]Results!AA1368</f>
        <v>-6.6923660733810633E-2</v>
      </c>
      <c r="Y8" s="1">
        <f>[1]Results!AB1368</f>
        <v>-6.5242544045294351E-2</v>
      </c>
      <c r="Z8" s="1">
        <f>[1]Results!AC1368</f>
        <v>-6.3952983077210285E-2</v>
      </c>
      <c r="AA8" s="1">
        <f>[1]Results!AD1368</f>
        <v>-6.3013704061591375E-2</v>
      </c>
      <c r="AB8" s="1">
        <f>[1]Results!AE1368</f>
        <v>-6.2414939163930795E-2</v>
      </c>
      <c r="AC8" s="1">
        <f>[1]Results!AF1368</f>
        <v>-6.195302229153013E-2</v>
      </c>
      <c r="AD8" s="1">
        <f>[1]Results!AG1368</f>
        <v>-6.1678931603275367E-2</v>
      </c>
      <c r="AE8" s="1">
        <f>[1]Results!AH1368</f>
        <v>-6.1596672740200031E-2</v>
      </c>
      <c r="AF8" s="1">
        <f>[1]Results!AI1368</f>
        <v>-6.1693467604625171E-2</v>
      </c>
      <c r="AG8" s="1">
        <f>[1]Results!AJ1368</f>
        <v>-6.1945630610675928E-2</v>
      </c>
      <c r="AH8" s="1">
        <f>[1]Results!AK1368</f>
        <v>-6.230768832858135E-2</v>
      </c>
      <c r="AI8" s="1">
        <f>[1]Results!AL1368</f>
        <v>-6.2757586817668895E-2</v>
      </c>
      <c r="AJ8" s="1">
        <f>[1]Results!AM1368</f>
        <v>-6.3281853893616347E-2</v>
      </c>
      <c r="AK8" s="1">
        <f>[1]Results!AN1368</f>
        <v>-6.3867678911643341E-2</v>
      </c>
      <c r="AL8" s="1">
        <f>[1]Results!AO1368</f>
        <v>-6.4502454105597296E-2</v>
      </c>
      <c r="AM8" s="1">
        <f>[1]Results!AP1368</f>
        <v>-6.5021340071055797E-2</v>
      </c>
      <c r="AN8" s="1">
        <f>[1]Results!AQ1368</f>
        <v>-6.5422013687429267E-2</v>
      </c>
      <c r="AO8" s="1">
        <f>[1]Results!AR1368</f>
        <v>-6.5778407264372313E-2</v>
      </c>
      <c r="AP8" s="1">
        <f>[1]Results!AS1368</f>
        <v>-6.6140832169806277E-2</v>
      </c>
      <c r="AQ8" s="1">
        <f>[1]Results!AT1368</f>
        <v>-6.6530930501553134E-2</v>
      </c>
      <c r="AR8" s="1">
        <f>[1]Results!AU1368</f>
        <v>-6.6929992084857684E-2</v>
      </c>
      <c r="AS8" s="1">
        <f>[1]Results!AV1368</f>
        <v>-6.7343176158708218E-2</v>
      </c>
      <c r="AT8" s="1">
        <f>[1]Results!AW1368</f>
        <v>-6.7782815734040269E-2</v>
      </c>
      <c r="AU8" s="1">
        <f>[1]Results!AX1368</f>
        <v>-6.8258059050221198E-2</v>
      </c>
      <c r="AV8" s="1">
        <f>[1]Results!AY1368</f>
        <v>-6.877454324319271E-2</v>
      </c>
      <c r="AW8" s="1">
        <f>[1]Results!AZ1368</f>
        <v>-6.925668754843313E-2</v>
      </c>
      <c r="AX8" s="1">
        <f>[1]Results!BA1368</f>
        <v>-6.9724658583385501E-2</v>
      </c>
      <c r="AY8" s="1">
        <f>[1]Results!BB1368</f>
        <v>-7.0220069396418061E-2</v>
      </c>
      <c r="AZ8" s="1">
        <f>[1]Results!BC1368</f>
        <v>-7.076768676710303E-2</v>
      </c>
      <c r="BA8" s="1">
        <f>[1]Results!BD1368</f>
        <v>-7.1376216447356047E-2</v>
      </c>
      <c r="BB8" s="1">
        <f>[1]Results!BE1368</f>
        <v>6.2562576488679683E-3</v>
      </c>
      <c r="BC8" s="1">
        <f>[1]Results!BF1368</f>
        <v>6.4977563843595931E-3</v>
      </c>
      <c r="BD8" s="1">
        <f>[1]Results!BG1368</f>
        <v>6.7405093711651069E-3</v>
      </c>
      <c r="BE8" s="1">
        <f>[1]Results!BH1368</f>
        <v>6.9831096687923509E-3</v>
      </c>
      <c r="BF8" s="1">
        <f>[1]Results!BI1368</f>
        <v>7.2267607524996134E-3</v>
      </c>
    </row>
    <row r="9" spans="1:58" x14ac:dyDescent="0.35">
      <c r="A9" s="3" t="str">
        <f>[1]Results!E1369</f>
        <v>100*((G_2-G_0)/GDP_0)</v>
      </c>
      <c r="B9" t="str">
        <f>[1]Results!C1369</f>
        <v>Dépenses publiques</v>
      </c>
      <c r="C9" s="1">
        <f>[1]Results!F1369</f>
        <v>0</v>
      </c>
      <c r="D9" s="1">
        <f>[1]Results!G1369</f>
        <v>0</v>
      </c>
      <c r="E9" s="1">
        <f>[1]Results!H1369</f>
        <v>0</v>
      </c>
      <c r="F9" s="1">
        <f>[1]Results!I1369</f>
        <v>0</v>
      </c>
      <c r="G9" s="1">
        <f>[1]Results!J1369</f>
        <v>0</v>
      </c>
      <c r="H9" s="1">
        <f>[1]Results!K1369</f>
        <v>0</v>
      </c>
      <c r="I9" s="1">
        <f>[1]Results!L1369</f>
        <v>0</v>
      </c>
      <c r="J9" s="1">
        <f>[1]Results!M1369</f>
        <v>0</v>
      </c>
      <c r="K9" s="1">
        <f>[1]Results!N1369</f>
        <v>0</v>
      </c>
      <c r="L9" s="1">
        <f>[1]Results!O1369</f>
        <v>0</v>
      </c>
      <c r="M9" s="1">
        <f>[1]Results!P1369</f>
        <v>0</v>
      </c>
      <c r="N9" s="1">
        <f>[1]Results!Q1369</f>
        <v>0</v>
      </c>
      <c r="O9" s="1">
        <f>[1]Results!R1369</f>
        <v>0</v>
      </c>
      <c r="P9" s="1">
        <f>[1]Results!S1369</f>
        <v>0</v>
      </c>
      <c r="Q9" s="1">
        <f>[1]Results!T1369</f>
        <v>0</v>
      </c>
      <c r="R9" s="1">
        <f>[1]Results!U1369</f>
        <v>0</v>
      </c>
      <c r="S9" s="1">
        <f>[1]Results!V1369</f>
        <v>0</v>
      </c>
      <c r="T9" s="1">
        <f>[1]Results!W1369</f>
        <v>0</v>
      </c>
      <c r="U9" s="1">
        <f>[1]Results!X1369</f>
        <v>0</v>
      </c>
      <c r="V9" s="1">
        <f>[1]Results!Y1369</f>
        <v>0</v>
      </c>
      <c r="W9" s="1">
        <f>[1]Results!Z1369</f>
        <v>0</v>
      </c>
      <c r="X9" s="1">
        <f>[1]Results!AA1369</f>
        <v>0</v>
      </c>
      <c r="Y9" s="1">
        <f>[1]Results!AB1369</f>
        <v>0</v>
      </c>
      <c r="Z9" s="1">
        <f>[1]Results!AC1369</f>
        <v>0</v>
      </c>
      <c r="AA9" s="1">
        <f>[1]Results!AD1369</f>
        <v>0</v>
      </c>
      <c r="AB9" s="1">
        <f>[1]Results!AE1369</f>
        <v>0</v>
      </c>
      <c r="AC9" s="1">
        <f>[1]Results!AF1369</f>
        <v>0</v>
      </c>
      <c r="AD9" s="1">
        <f>[1]Results!AG1369</f>
        <v>0</v>
      </c>
      <c r="AE9" s="1">
        <f>[1]Results!AH1369</f>
        <v>0</v>
      </c>
      <c r="AF9" s="1">
        <f>[1]Results!AI1369</f>
        <v>0</v>
      </c>
      <c r="AG9" s="1">
        <f>[1]Results!AJ1369</f>
        <v>0</v>
      </c>
      <c r="AH9" s="1">
        <f>[1]Results!AK1369</f>
        <v>0</v>
      </c>
      <c r="AI9" s="1">
        <f>[1]Results!AL1369</f>
        <v>0</v>
      </c>
      <c r="AJ9" s="1">
        <f>[1]Results!AM1369</f>
        <v>0</v>
      </c>
      <c r="AK9" s="1">
        <f>[1]Results!AN1369</f>
        <v>0</v>
      </c>
      <c r="AL9" s="1">
        <f>[1]Results!AO1369</f>
        <v>0</v>
      </c>
      <c r="AM9" s="1">
        <f>[1]Results!AP1369</f>
        <v>0</v>
      </c>
      <c r="AN9" s="1">
        <f>[1]Results!AQ1369</f>
        <v>0</v>
      </c>
      <c r="AO9" s="1">
        <f>[1]Results!AR1369</f>
        <v>0</v>
      </c>
      <c r="AP9" s="1">
        <f>[1]Results!AS1369</f>
        <v>0</v>
      </c>
      <c r="AQ9" s="1">
        <f>[1]Results!AT1369</f>
        <v>0</v>
      </c>
      <c r="AR9" s="1">
        <f>[1]Results!AU1369</f>
        <v>0</v>
      </c>
      <c r="AS9" s="1">
        <f>[1]Results!AV1369</f>
        <v>0</v>
      </c>
      <c r="AT9" s="1">
        <f>[1]Results!AW1369</f>
        <v>0</v>
      </c>
      <c r="AU9" s="1">
        <f>[1]Results!AX1369</f>
        <v>0</v>
      </c>
      <c r="AV9" s="1">
        <f>[1]Results!AY1369</f>
        <v>0</v>
      </c>
      <c r="AW9" s="1">
        <f>[1]Results!AZ1369</f>
        <v>0</v>
      </c>
      <c r="AX9" s="1">
        <f>[1]Results!BA1369</f>
        <v>0</v>
      </c>
      <c r="AY9" s="1">
        <f>[1]Results!BB1369</f>
        <v>0</v>
      </c>
      <c r="AZ9" s="1">
        <f>[1]Results!BC1369</f>
        <v>0</v>
      </c>
      <c r="BA9" s="1">
        <f>[1]Results!BD1369</f>
        <v>0</v>
      </c>
      <c r="BB9" s="1">
        <f>[1]Results!BE1369</f>
        <v>0</v>
      </c>
      <c r="BC9" s="1">
        <f>[1]Results!BF1369</f>
        <v>0</v>
      </c>
      <c r="BD9" s="1">
        <f>[1]Results!BG1369</f>
        <v>0</v>
      </c>
      <c r="BE9" s="1">
        <f>[1]Results!BH1369</f>
        <v>0</v>
      </c>
      <c r="BF9" s="1">
        <f>[1]Results!BI1369</f>
        <v>0</v>
      </c>
    </row>
    <row r="10" spans="1:58" x14ac:dyDescent="0.35">
      <c r="A10" s="3" t="str">
        <f>[1]Results!E1370</f>
        <v>100*((I_2-I_0)/GDP_0)</v>
      </c>
      <c r="B10" t="s">
        <v>21</v>
      </c>
      <c r="C10" s="1">
        <f>[1]Results!F1370</f>
        <v>-0.20564416411976044</v>
      </c>
      <c r="D10" s="1">
        <f>[1]Results!G1370</f>
        <v>-0.34570085463578221</v>
      </c>
      <c r="E10" s="1">
        <f>[1]Results!H1370</f>
        <v>-0.44966903021153598</v>
      </c>
      <c r="F10" s="1">
        <f>[1]Results!I1370</f>
        <v>-0.53639982613231607</v>
      </c>
      <c r="G10" s="1">
        <f>[1]Results!J1370</f>
        <v>-0.6147585425587424</v>
      </c>
      <c r="H10" s="1">
        <f>[1]Results!K1370</f>
        <v>-0.68891481342461203</v>
      </c>
      <c r="I10" s="1">
        <f>[1]Results!L1370</f>
        <v>-0.76137314945572909</v>
      </c>
      <c r="J10" s="1">
        <f>[1]Results!M1370</f>
        <v>-0.83271080442397571</v>
      </c>
      <c r="K10" s="1">
        <f>[1]Results!N1370</f>
        <v>-0.90336520119326269</v>
      </c>
      <c r="L10" s="1">
        <f>[1]Results!O1370</f>
        <v>-0.97361919302601851</v>
      </c>
      <c r="M10" s="1">
        <f>[1]Results!P1370</f>
        <v>-1.0573687346501632</v>
      </c>
      <c r="N10" s="1">
        <f>[1]Results!Q1370</f>
        <v>-1.126869030368512</v>
      </c>
      <c r="O10" s="1">
        <f>[1]Results!R1370</f>
        <v>-1.188217081701064</v>
      </c>
      <c r="P10" s="1">
        <f>[1]Results!S1370</f>
        <v>-1.2451981643446242</v>
      </c>
      <c r="Q10" s="1">
        <f>[1]Results!T1370</f>
        <v>-1.2994446519331644</v>
      </c>
      <c r="R10" s="1">
        <f>[1]Results!U1370</f>
        <v>-1.3516284582422586</v>
      </c>
      <c r="S10" s="1">
        <f>[1]Results!V1370</f>
        <v>-1.4027124801813082</v>
      </c>
      <c r="T10" s="1">
        <f>[1]Results!W1370</f>
        <v>-1.4525989756497069</v>
      </c>
      <c r="U10" s="1">
        <f>[1]Results!X1370</f>
        <v>-1.5012361023938816</v>
      </c>
      <c r="V10" s="1">
        <f>[1]Results!Y1370</f>
        <v>-1.5486143524803258</v>
      </c>
      <c r="W10" s="1">
        <f>[1]Results!Z1370</f>
        <v>-1.5952491329096015</v>
      </c>
      <c r="X10" s="1">
        <f>[1]Results!AA1370</f>
        <v>-1.6399613376951765</v>
      </c>
      <c r="Y10" s="1">
        <f>[1]Results!AB1370</f>
        <v>-1.6834421352939568</v>
      </c>
      <c r="Z10" s="1">
        <f>[1]Results!AC1370</f>
        <v>-1.7256593740316624</v>
      </c>
      <c r="AA10" s="1">
        <f>[1]Results!AD1370</f>
        <v>-1.7665910647481586</v>
      </c>
      <c r="AB10" s="1">
        <f>[1]Results!AE1370</f>
        <v>-1.807750557881765</v>
      </c>
      <c r="AC10" s="1">
        <f>[1]Results!AF1370</f>
        <v>-1.8459653117493771</v>
      </c>
      <c r="AD10" s="1">
        <f>[1]Results!AG1370</f>
        <v>-1.8824609586016277</v>
      </c>
      <c r="AE10" s="1">
        <f>[1]Results!AH1370</f>
        <v>-1.9172356003215694</v>
      </c>
      <c r="AF10" s="1">
        <f>[1]Results!AI1370</f>
        <v>-1.9503008451330481</v>
      </c>
      <c r="AG10" s="1">
        <f>[1]Results!AJ1370</f>
        <v>-1.9816737997600646</v>
      </c>
      <c r="AH10" s="1">
        <f>[1]Results!AK1370</f>
        <v>-2.0112071813859465</v>
      </c>
      <c r="AI10" s="1">
        <f>[1]Results!AL1370</f>
        <v>-2.038980456488626</v>
      </c>
      <c r="AJ10" s="1">
        <f>[1]Results!AM1370</f>
        <v>-2.0650610999349448</v>
      </c>
      <c r="AK10" s="1">
        <f>[1]Results!AN1370</f>
        <v>-2.0895114520860956</v>
      </c>
      <c r="AL10" s="1">
        <f>[1]Results!AO1370</f>
        <v>-2.1123942179229873</v>
      </c>
      <c r="AM10" s="1">
        <f>[1]Results!AP1370</f>
        <v>-2.1326471518355974</v>
      </c>
      <c r="AN10" s="1">
        <f>[1]Results!AQ1370</f>
        <v>-2.1503342941667043</v>
      </c>
      <c r="AO10" s="1">
        <f>[1]Results!AR1370</f>
        <v>-2.1658806680754217</v>
      </c>
      <c r="AP10" s="1">
        <f>[1]Results!AS1370</f>
        <v>-2.1795806234600525</v>
      </c>
      <c r="AQ10" s="1">
        <f>[1]Results!AT1370</f>
        <v>-2.1916572939967036</v>
      </c>
      <c r="AR10" s="1">
        <f>[1]Results!AU1370</f>
        <v>-2.2020467133666073</v>
      </c>
      <c r="AS10" s="1">
        <f>[1]Results!AV1370</f>
        <v>-2.2109720922876188</v>
      </c>
      <c r="AT10" s="1">
        <f>[1]Results!AW1370</f>
        <v>-2.2186165957329553</v>
      </c>
      <c r="AU10" s="1">
        <f>[1]Results!AX1370</f>
        <v>-2.2251375058759724</v>
      </c>
      <c r="AV10" s="1">
        <f>[1]Results!AY1370</f>
        <v>-2.2306770954986268</v>
      </c>
      <c r="AW10" s="1">
        <f>[1]Results!AZ1370</f>
        <v>-2.2345253634236348</v>
      </c>
      <c r="AX10" s="1">
        <f>[1]Results!BA1370</f>
        <v>-2.2371048354117256</v>
      </c>
      <c r="AY10" s="1">
        <f>[1]Results!BB1370</f>
        <v>-2.2387161488849863</v>
      </c>
      <c r="AZ10" s="1">
        <f>[1]Results!BC1370</f>
        <v>-2.2395918727492226</v>
      </c>
      <c r="BA10" s="1">
        <f>[1]Results!BD1370</f>
        <v>-2.2399170641839548</v>
      </c>
      <c r="BB10" s="1">
        <f>[1]Results!BE1370</f>
        <v>-4.521236430945175E-3</v>
      </c>
      <c r="BC10" s="1">
        <f>[1]Results!BF1370</f>
        <v>7.2949558812879342E-4</v>
      </c>
      <c r="BD10" s="1">
        <f>[1]Results!BG1370</f>
        <v>6.3874356486643144E-3</v>
      </c>
      <c r="BE10" s="1">
        <f>[1]Results!BH1370</f>
        <v>1.2419202628000638E-2</v>
      </c>
      <c r="BF10" s="1">
        <f>[1]Results!BI1370</f>
        <v>1.8789179124359609E-2</v>
      </c>
    </row>
    <row r="11" spans="1:58" x14ac:dyDescent="0.35">
      <c r="A11" s="3" t="str">
        <f>[1]Results!E1371</f>
        <v>100*((DS_2-DS_0)/GDP_0)</v>
      </c>
      <c r="B11" t="str">
        <f>[1]Results!C1371</f>
        <v>Variations de stocks</v>
      </c>
      <c r="C11" s="1">
        <f>[1]Results!F1371</f>
        <v>0</v>
      </c>
      <c r="D11" s="1">
        <f>[1]Results!G1371</f>
        <v>0</v>
      </c>
      <c r="E11" s="1">
        <f>[1]Results!H1371</f>
        <v>0</v>
      </c>
      <c r="F11" s="1">
        <f>[1]Results!I1371</f>
        <v>0</v>
      </c>
      <c r="G11" s="1">
        <f>[1]Results!J1371</f>
        <v>0</v>
      </c>
      <c r="H11" s="1">
        <f>[1]Results!K1371</f>
        <v>0</v>
      </c>
      <c r="I11" s="1">
        <f>[1]Results!L1371</f>
        <v>0</v>
      </c>
      <c r="J11" s="1">
        <f>[1]Results!M1371</f>
        <v>0</v>
      </c>
      <c r="K11" s="1">
        <f>[1]Results!N1371</f>
        <v>0</v>
      </c>
      <c r="L11" s="1">
        <f>[1]Results!O1371</f>
        <v>0</v>
      </c>
      <c r="M11" s="1">
        <f>[1]Results!P1371</f>
        <v>0</v>
      </c>
      <c r="N11" s="1">
        <f>[1]Results!Q1371</f>
        <v>0</v>
      </c>
      <c r="O11" s="1">
        <f>[1]Results!R1371</f>
        <v>0</v>
      </c>
      <c r="P11" s="1">
        <f>[1]Results!S1371</f>
        <v>0</v>
      </c>
      <c r="Q11" s="1">
        <f>[1]Results!T1371</f>
        <v>0</v>
      </c>
      <c r="R11" s="1">
        <f>[1]Results!U1371</f>
        <v>0</v>
      </c>
      <c r="S11" s="1">
        <f>[1]Results!V1371</f>
        <v>0</v>
      </c>
      <c r="T11" s="1">
        <f>[1]Results!W1371</f>
        <v>0</v>
      </c>
      <c r="U11" s="1">
        <f>[1]Results!X1371</f>
        <v>0</v>
      </c>
      <c r="V11" s="1">
        <f>[1]Results!Y1371</f>
        <v>0</v>
      </c>
      <c r="W11" s="1">
        <f>[1]Results!Z1371</f>
        <v>0</v>
      </c>
      <c r="X11" s="1">
        <f>[1]Results!AA1371</f>
        <v>0</v>
      </c>
      <c r="Y11" s="1">
        <f>[1]Results!AB1371</f>
        <v>0</v>
      </c>
      <c r="Z11" s="1">
        <f>[1]Results!AC1371</f>
        <v>0</v>
      </c>
      <c r="AA11" s="1">
        <f>[1]Results!AD1371</f>
        <v>0</v>
      </c>
      <c r="AB11" s="1">
        <f>[1]Results!AE1371</f>
        <v>0</v>
      </c>
      <c r="AC11" s="1">
        <f>[1]Results!AF1371</f>
        <v>0</v>
      </c>
      <c r="AD11" s="1">
        <f>[1]Results!AG1371</f>
        <v>0</v>
      </c>
      <c r="AE11" s="1">
        <f>[1]Results!AH1371</f>
        <v>0</v>
      </c>
      <c r="AF11" s="1">
        <f>[1]Results!AI1371</f>
        <v>0</v>
      </c>
      <c r="AG11" s="1">
        <f>[1]Results!AJ1371</f>
        <v>0</v>
      </c>
      <c r="AH11" s="1">
        <f>[1]Results!AK1371</f>
        <v>0</v>
      </c>
      <c r="AI11" s="1">
        <f>[1]Results!AL1371</f>
        <v>0</v>
      </c>
      <c r="AJ11" s="1">
        <f>[1]Results!AM1371</f>
        <v>0</v>
      </c>
      <c r="AK11" s="1">
        <f>[1]Results!AN1371</f>
        <v>0</v>
      </c>
      <c r="AL11" s="1">
        <f>[1]Results!AO1371</f>
        <v>0</v>
      </c>
      <c r="AM11" s="1">
        <f>[1]Results!AP1371</f>
        <v>0</v>
      </c>
      <c r="AN11" s="1">
        <f>[1]Results!AQ1371</f>
        <v>0</v>
      </c>
      <c r="AO11" s="1">
        <f>[1]Results!AR1371</f>
        <v>0</v>
      </c>
      <c r="AP11" s="1">
        <f>[1]Results!AS1371</f>
        <v>0</v>
      </c>
      <c r="AQ11" s="1">
        <f>[1]Results!AT1371</f>
        <v>0</v>
      </c>
      <c r="AR11" s="1">
        <f>[1]Results!AU1371</f>
        <v>0</v>
      </c>
      <c r="AS11" s="1">
        <f>[1]Results!AV1371</f>
        <v>0</v>
      </c>
      <c r="AT11" s="1">
        <f>[1]Results!AW1371</f>
        <v>0</v>
      </c>
      <c r="AU11" s="1">
        <f>[1]Results!AX1371</f>
        <v>0</v>
      </c>
      <c r="AV11" s="1">
        <f>[1]Results!AY1371</f>
        <v>0</v>
      </c>
      <c r="AW11" s="1">
        <f>[1]Results!AZ1371</f>
        <v>0</v>
      </c>
      <c r="AX11" s="1">
        <f>[1]Results!BA1371</f>
        <v>0</v>
      </c>
      <c r="AY11" s="1">
        <f>[1]Results!BB1371</f>
        <v>0</v>
      </c>
      <c r="AZ11" s="1">
        <f>[1]Results!BC1371</f>
        <v>0</v>
      </c>
      <c r="BA11" s="1">
        <f>[1]Results!BD1371</f>
        <v>0</v>
      </c>
      <c r="BB11" s="1">
        <f>[1]Results!BE1371</f>
        <v>0</v>
      </c>
      <c r="BC11" s="1">
        <f>[1]Results!BF1371</f>
        <v>0</v>
      </c>
      <c r="BD11" s="1">
        <f>[1]Results!BG1371</f>
        <v>0</v>
      </c>
      <c r="BE11" s="1">
        <f>[1]Results!BH1371</f>
        <v>0</v>
      </c>
      <c r="BF11" s="1">
        <f>[1]Results!BI1371</f>
        <v>0</v>
      </c>
    </row>
    <row r="12" spans="1:58" x14ac:dyDescent="0.35">
      <c r="A12" s="3" t="str">
        <f>[1]Results!E1372</f>
        <v>100*((X_2-X_0)/GDP_0)-100*((M_2-M_0)/GDP_0)</v>
      </c>
      <c r="B12" t="s">
        <v>20</v>
      </c>
      <c r="C12" s="1">
        <f>[1]Results!F1372</f>
        <v>-0.91432121186443971</v>
      </c>
      <c r="D12" s="1">
        <f>[1]Results!G1372</f>
        <v>-0.82595014224634145</v>
      </c>
      <c r="E12" s="1">
        <f>[1]Results!H1372</f>
        <v>-0.76979102857482262</v>
      </c>
      <c r="F12" s="1">
        <f>[1]Results!I1372</f>
        <v>-0.72492112747295112</v>
      </c>
      <c r="G12" s="1">
        <f>[1]Results!J1372</f>
        <v>-0.68914939513792639</v>
      </c>
      <c r="H12" s="1">
        <f>[1]Results!K1372</f>
        <v>-0.66197048148517057</v>
      </c>
      <c r="I12" s="1">
        <f>[1]Results!L1372</f>
        <v>-0.64353076853037305</v>
      </c>
      <c r="J12" s="1">
        <f>[1]Results!M1372</f>
        <v>-0.6323350832678396</v>
      </c>
      <c r="K12" s="1">
        <f>[1]Results!N1372</f>
        <v>-0.62767893287951604</v>
      </c>
      <c r="L12" s="1">
        <f>[1]Results!O1372</f>
        <v>-0.62896447261902688</v>
      </c>
      <c r="M12" s="1">
        <f>[1]Results!P1372</f>
        <v>-0.70163603209967684</v>
      </c>
      <c r="N12" s="1">
        <f>[1]Results!Q1372</f>
        <v>-0.66023596530177198</v>
      </c>
      <c r="O12" s="1">
        <f>[1]Results!R1372</f>
        <v>-0.63515803047897412</v>
      </c>
      <c r="P12" s="1">
        <f>[1]Results!S1372</f>
        <v>-0.62205907717839759</v>
      </c>
      <c r="Q12" s="1">
        <f>[1]Results!T1372</f>
        <v>-0.61949781044938956</v>
      </c>
      <c r="R12" s="1">
        <f>[1]Results!U1372</f>
        <v>-0.62641266610996116</v>
      </c>
      <c r="S12" s="1">
        <f>[1]Results!V1372</f>
        <v>-0.64475867880874183</v>
      </c>
      <c r="T12" s="1">
        <f>[1]Results!W1372</f>
        <v>-0.66995894117216959</v>
      </c>
      <c r="U12" s="1">
        <f>[1]Results!X1372</f>
        <v>-0.70112898383913302</v>
      </c>
      <c r="V12" s="1">
        <f>[1]Results!Y1372</f>
        <v>-0.73734422384576925</v>
      </c>
      <c r="W12" s="1">
        <f>[1]Results!Z1372</f>
        <v>-0.77674285342446936</v>
      </c>
      <c r="X12" s="1">
        <f>[1]Results!AA1372</f>
        <v>-0.82096941640586829</v>
      </c>
      <c r="Y12" s="1">
        <f>[1]Results!AB1372</f>
        <v>-0.8676901456202688</v>
      </c>
      <c r="Z12" s="1">
        <f>[1]Results!AC1372</f>
        <v>-0.91630874995867106</v>
      </c>
      <c r="AA12" s="1">
        <f>[1]Results!AD1372</f>
        <v>-0.96626788122178819</v>
      </c>
      <c r="AB12" s="1">
        <f>[1]Results!AE1372</f>
        <v>-1.0141742167615142</v>
      </c>
      <c r="AC12" s="1">
        <f>[1]Results!AF1372</f>
        <v>-1.0643395748662456</v>
      </c>
      <c r="AD12" s="1">
        <f>[1]Results!AG1372</f>
        <v>-1.1152690451938647</v>
      </c>
      <c r="AE12" s="1">
        <f>[1]Results!AH1372</f>
        <v>-1.1665810625386022</v>
      </c>
      <c r="AF12" s="1">
        <f>[1]Results!AI1372</f>
        <v>-1.2179600000075688</v>
      </c>
      <c r="AG12" s="1">
        <f>[1]Results!AJ1372</f>
        <v>-1.2691692148875675</v>
      </c>
      <c r="AH12" s="1">
        <f>[1]Results!AK1372</f>
        <v>-1.319325194502365</v>
      </c>
      <c r="AI12" s="1">
        <f>[1]Results!AL1372</f>
        <v>-1.3691415848954738</v>
      </c>
      <c r="AJ12" s="1">
        <f>[1]Results!AM1372</f>
        <v>-1.4185089990321726</v>
      </c>
      <c r="AK12" s="1">
        <f>[1]Results!AN1372</f>
        <v>-1.4673785593329454</v>
      </c>
      <c r="AL12" s="1">
        <f>[1]Results!AO1372</f>
        <v>-1.51573682715973</v>
      </c>
      <c r="AM12" s="1">
        <f>[1]Results!AP1372</f>
        <v>-1.556544981260032</v>
      </c>
      <c r="AN12" s="1">
        <f>[1]Results!AQ1372</f>
        <v>-1.5983070574521041</v>
      </c>
      <c r="AO12" s="1">
        <f>[1]Results!AR1372</f>
        <v>-1.6405764558541049</v>
      </c>
      <c r="AP12" s="1">
        <f>[1]Results!AS1372</f>
        <v>-1.6831793262908472</v>
      </c>
      <c r="AQ12" s="1">
        <f>[1]Results!AT1372</f>
        <v>-1.7260265287445158</v>
      </c>
      <c r="AR12" s="1">
        <f>[1]Results!AU1372</f>
        <v>-1.768052959900769</v>
      </c>
      <c r="AS12" s="1">
        <f>[1]Results!AV1372</f>
        <v>-1.8103802080208369</v>
      </c>
      <c r="AT12" s="1">
        <f>[1]Results!AW1372</f>
        <v>-1.8529156725071694</v>
      </c>
      <c r="AU12" s="1">
        <f>[1]Results!AX1372</f>
        <v>-1.8956017644965546</v>
      </c>
      <c r="AV12" s="1">
        <f>[1]Results!AY1372</f>
        <v>-1.9383899160658831</v>
      </c>
      <c r="AW12" s="1">
        <f>[1]Results!AZ1372</f>
        <v>-1.9778873971874482</v>
      </c>
      <c r="AX12" s="1">
        <f>[1]Results!BA1372</f>
        <v>-2.0178275173208853</v>
      </c>
      <c r="AY12" s="1">
        <f>[1]Results!BB1372</f>
        <v>-2.0579756278973296</v>
      </c>
      <c r="AZ12" s="1">
        <f>[1]Results!BC1372</f>
        <v>-2.0981997219138853</v>
      </c>
      <c r="BA12" s="1">
        <f>[1]Results!BD1372</f>
        <v>-2.1384128682798478</v>
      </c>
      <c r="BB12" s="1">
        <f>[1]Results!BE1372</f>
        <v>-0.19320109391079338</v>
      </c>
      <c r="BC12" s="1">
        <f>[1]Results!BF1372</f>
        <v>-0.20237502709255517</v>
      </c>
      <c r="BD12" s="1">
        <f>[1]Results!BG1372</f>
        <v>-0.21158891458899307</v>
      </c>
      <c r="BE12" s="1">
        <f>[1]Results!BH1372</f>
        <v>-0.22082829874555396</v>
      </c>
      <c r="BF12" s="1">
        <f>[1]Results!BI1372</f>
        <v>-0.23008438738529277</v>
      </c>
    </row>
    <row r="13" spans="1:58" x14ac:dyDescent="0.35">
      <c r="A13" s="3" t="str">
        <f>[1]Results!E1373</f>
        <v>100*((CH_2-CH_ccon_2-(CH_0-CH_ccon_0))/GDP_0)</v>
      </c>
      <c r="B13" t="str">
        <f>[1]Results!C1373</f>
        <v>Consommation des ménages</v>
      </c>
      <c r="C13" s="1">
        <f>[1]Results!F1373</f>
        <v>-0.24947326351086105</v>
      </c>
      <c r="D13" s="1">
        <f>[1]Results!G1373</f>
        <v>-0.55012888790273196</v>
      </c>
      <c r="E13" s="1">
        <f>[1]Results!H1373</f>
        <v>-0.83373110611594892</v>
      </c>
      <c r="F13" s="1">
        <f>[1]Results!I1373</f>
        <v>-1.0822218378719421</v>
      </c>
      <c r="G13" s="1">
        <f>[1]Results!J1373</f>
        <v>-1.2936308993914838</v>
      </c>
      <c r="H13" s="1">
        <f>[1]Results!K1373</f>
        <v>-1.471253110116916</v>
      </c>
      <c r="I13" s="1">
        <f>[1]Results!L1373</f>
        <v>-1.620906376671744</v>
      </c>
      <c r="J13" s="1">
        <f>[1]Results!M1373</f>
        <v>-1.746818795401929</v>
      </c>
      <c r="K13" s="1">
        <f>[1]Results!N1373</f>
        <v>-1.8535822757655771</v>
      </c>
      <c r="L13" s="1">
        <f>[1]Results!O1373</f>
        <v>-1.9452994897833895</v>
      </c>
      <c r="M13" s="1">
        <f>[1]Results!P1373</f>
        <v>-2.0401193399454227</v>
      </c>
      <c r="N13" s="1">
        <f>[1]Results!Q1373</f>
        <v>-2.1204707701871999</v>
      </c>
      <c r="O13" s="1">
        <f>[1]Results!R1373</f>
        <v>-2.1805537672794983</v>
      </c>
      <c r="P13" s="1">
        <f>[1]Results!S1373</f>
        <v>-2.2214990203100862</v>
      </c>
      <c r="Q13" s="1">
        <f>[1]Results!T1373</f>
        <v>-2.2460392419461614</v>
      </c>
      <c r="R13" s="1">
        <f>[1]Results!U1373</f>
        <v>-2.2573063692517974</v>
      </c>
      <c r="S13" s="1">
        <f>[1]Results!V1373</f>
        <v>-2.2592986654642035</v>
      </c>
      <c r="T13" s="1">
        <f>[1]Results!W1373</f>
        <v>-2.2550009371378068</v>
      </c>
      <c r="U13" s="1">
        <f>[1]Results!X1373</f>
        <v>-2.2468096325961961</v>
      </c>
      <c r="V13" s="1">
        <f>[1]Results!Y1373</f>
        <v>-2.2366859007078763</v>
      </c>
      <c r="W13" s="1">
        <f>[1]Results!Z1373</f>
        <v>-2.2269350174453439</v>
      </c>
      <c r="X13" s="1">
        <f>[1]Results!AA1373</f>
        <v>-2.2168551666429375</v>
      </c>
      <c r="Y13" s="1">
        <f>[1]Results!AB1373</f>
        <v>-2.2085414733298996</v>
      </c>
      <c r="Z13" s="1">
        <f>[1]Results!AC1373</f>
        <v>-2.2027041403711456</v>
      </c>
      <c r="AA13" s="1">
        <f>[1]Results!AD1373</f>
        <v>-2.1997845740950588</v>
      </c>
      <c r="AB13" s="1">
        <f>[1]Results!AE1373</f>
        <v>-2.2019160515882956</v>
      </c>
      <c r="AC13" s="1">
        <f>[1]Results!AF1373</f>
        <v>-2.2046222618124447</v>
      </c>
      <c r="AD13" s="1">
        <f>[1]Results!AG1373</f>
        <v>-2.2095427659842826</v>
      </c>
      <c r="AE13" s="1">
        <f>[1]Results!AH1373</f>
        <v>-2.2168940380200493</v>
      </c>
      <c r="AF13" s="1">
        <f>[1]Results!AI1373</f>
        <v>-2.2267961713099091</v>
      </c>
      <c r="AG13" s="1">
        <f>[1]Results!AJ1373</f>
        <v>-2.2392493570026168</v>
      </c>
      <c r="AH13" s="1">
        <f>[1]Results!AK1373</f>
        <v>-2.253944227023168</v>
      </c>
      <c r="AI13" s="1">
        <f>[1]Results!AL1373</f>
        <v>-2.2707255037718821</v>
      </c>
      <c r="AJ13" s="1">
        <f>[1]Results!AM1373</f>
        <v>-2.289469818576737</v>
      </c>
      <c r="AK13" s="1">
        <f>[1]Results!AN1373</f>
        <v>-2.3100439028783839</v>
      </c>
      <c r="AL13" s="1">
        <f>[1]Results!AO1373</f>
        <v>-2.3323002822519259</v>
      </c>
      <c r="AM13" s="1">
        <f>[1]Results!AP1373</f>
        <v>-2.3545241997707098</v>
      </c>
      <c r="AN13" s="1">
        <f>[1]Results!AQ1373</f>
        <v>-2.3757977910942558</v>
      </c>
      <c r="AO13" s="1">
        <f>[1]Results!AR1373</f>
        <v>-2.3964538035545315</v>
      </c>
      <c r="AP13" s="1">
        <f>[1]Results!AS1373</f>
        <v>-2.4168969364565052</v>
      </c>
      <c r="AQ13" s="1">
        <f>[1]Results!AT1373</f>
        <v>-2.4374377820687556</v>
      </c>
      <c r="AR13" s="1">
        <f>[1]Results!AU1373</f>
        <v>-2.4579730407217006</v>
      </c>
      <c r="AS13" s="1">
        <f>[1]Results!AV1373</f>
        <v>-2.4786358215429392</v>
      </c>
      <c r="AT13" s="1">
        <f>[1]Results!AW1373</f>
        <v>-2.499608843258815</v>
      </c>
      <c r="AU13" s="1">
        <f>[1]Results!AX1373</f>
        <v>-2.5210544260628871</v>
      </c>
      <c r="AV13" s="1">
        <f>[1]Results!AY1373</f>
        <v>-2.543100366494587</v>
      </c>
      <c r="AW13" s="1">
        <f>[1]Results!AZ1373</f>
        <v>-2.564759803470114</v>
      </c>
      <c r="AX13" s="1">
        <f>[1]Results!BA1373</f>
        <v>-2.5861459270604419</v>
      </c>
      <c r="AY13" s="1">
        <f>[1]Results!BB1373</f>
        <v>-2.6075882958952095</v>
      </c>
      <c r="AZ13" s="1">
        <f>[1]Results!BC1373</f>
        <v>-2.6293873432036396</v>
      </c>
      <c r="BA13" s="1">
        <f>[1]Results!BD1373</f>
        <v>-2.6517430357552096</v>
      </c>
      <c r="BB13" s="1">
        <f>[1]Results!BE1373</f>
        <v>2.6026198978007193E-2</v>
      </c>
      <c r="BC13" s="1">
        <f>[1]Results!BF1373</f>
        <v>2.8054577078108104E-2</v>
      </c>
      <c r="BD13" s="1">
        <f>[1]Results!BG1373</f>
        <v>2.9998808361020476E-2</v>
      </c>
      <c r="BE13" s="1">
        <f>[1]Results!BH1373</f>
        <v>3.1809355117782684E-2</v>
      </c>
      <c r="BF13" s="1">
        <f>[1]Results!BI1373</f>
        <v>3.3456583928692905E-2</v>
      </c>
    </row>
    <row r="14" spans="1:58" x14ac:dyDescent="0.35">
      <c r="A14" s="3" t="str">
        <f>[1]Results!E1374</f>
        <v>100*((I_2+CH_ccon_2-(I_0+CH_ccon_0))/GDP_0)</v>
      </c>
      <c r="B14" t="s">
        <v>21</v>
      </c>
      <c r="C14" s="1">
        <f>[1]Results!F1374</f>
        <v>-0.20967083371804893</v>
      </c>
      <c r="D14" s="1">
        <f>[1]Results!G1374</f>
        <v>-0.35377743426509239</v>
      </c>
      <c r="E14" s="1">
        <f>[1]Results!H1374</f>
        <v>-0.46104354504351885</v>
      </c>
      <c r="F14" s="1">
        <f>[1]Results!I1374</f>
        <v>-0.550490661294879</v>
      </c>
      <c r="G14" s="1">
        <f>[1]Results!J1374</f>
        <v>-0.63122905508892024</v>
      </c>
      <c r="H14" s="1">
        <f>[1]Results!K1374</f>
        <v>-0.70755315537973651</v>
      </c>
      <c r="I14" s="1">
        <f>[1]Results!L1374</f>
        <v>-0.78202301920922401</v>
      </c>
      <c r="J14" s="1">
        <f>[1]Results!M1374</f>
        <v>-0.85520874395147306</v>
      </c>
      <c r="K14" s="1">
        <f>[1]Results!N1374</f>
        <v>-0.92754329879475872</v>
      </c>
      <c r="L14" s="1">
        <f>[1]Results!O1374</f>
        <v>-0.99931403476289826</v>
      </c>
      <c r="M14" s="1">
        <f>[1]Results!P1374</f>
        <v>-1.0846192249777851</v>
      </c>
      <c r="N14" s="1">
        <f>[1]Results!Q1374</f>
        <v>-1.1554520945597793</v>
      </c>
      <c r="O14" s="1">
        <f>[1]Results!R1374</f>
        <v>-1.2178512783667792</v>
      </c>
      <c r="P14" s="1">
        <f>[1]Results!S1374</f>
        <v>-1.2756376022477516</v>
      </c>
      <c r="Q14" s="1">
        <f>[1]Results!T1374</f>
        <v>-1.3304832195522793</v>
      </c>
      <c r="R14" s="1">
        <f>[1]Results!U1374</f>
        <v>-1.3830924543453567</v>
      </c>
      <c r="S14" s="1">
        <f>[1]Results!V1374</f>
        <v>-1.4344709404369917</v>
      </c>
      <c r="T14" s="1">
        <f>[1]Results!W1374</f>
        <v>-1.4845502280313059</v>
      </c>
      <c r="U14" s="1">
        <f>[1]Results!X1374</f>
        <v>-1.533304145737834</v>
      </c>
      <c r="V14" s="1">
        <f>[1]Results!Y1374</f>
        <v>-1.5807480199400818</v>
      </c>
      <c r="W14" s="1">
        <f>[1]Results!Z1374</f>
        <v>-1.6274319199224518</v>
      </c>
      <c r="X14" s="1">
        <f>[1]Results!AA1374</f>
        <v>-1.6721692394980014</v>
      </c>
      <c r="Y14" s="1">
        <f>[1]Results!AB1374</f>
        <v>-1.7156860337422259</v>
      </c>
      <c r="Z14" s="1">
        <f>[1]Results!AC1374</f>
        <v>-1.7579648695450221</v>
      </c>
      <c r="AA14" s="1">
        <f>[1]Results!AD1374</f>
        <v>-1.79899399039809</v>
      </c>
      <c r="AB14" s="1">
        <f>[1]Results!AE1374</f>
        <v>-1.8403228916465613</v>
      </c>
      <c r="AC14" s="1">
        <f>[1]Results!AF1374</f>
        <v>-1.8787147617692104</v>
      </c>
      <c r="AD14" s="1">
        <f>[1]Results!AG1374</f>
        <v>-1.9154231288371708</v>
      </c>
      <c r="AE14" s="1">
        <f>[1]Results!AH1374</f>
        <v>-1.9504527194043892</v>
      </c>
      <c r="AF14" s="1">
        <f>[1]Results!AI1374</f>
        <v>-1.9838193017475345</v>
      </c>
      <c r="AG14" s="1">
        <f>[1]Results!AJ1374</f>
        <v>-2.0155410169612207</v>
      </c>
      <c r="AH14" s="1">
        <f>[1]Results!AK1374</f>
        <v>-2.0454656075350042</v>
      </c>
      <c r="AI14" s="1">
        <f>[1]Results!AL1374</f>
        <v>-2.0736697595037539</v>
      </c>
      <c r="AJ14" s="1">
        <f>[1]Results!AM1374</f>
        <v>-2.1002185498440635</v>
      </c>
      <c r="AK14" s="1">
        <f>[1]Results!AN1374</f>
        <v>-2.1251716392154472</v>
      </c>
      <c r="AL14" s="1">
        <f>[1]Results!AO1374</f>
        <v>-2.1485886220846151</v>
      </c>
      <c r="AM14" s="1">
        <f>[1]Results!AP1374</f>
        <v>-2.16937761005717</v>
      </c>
      <c r="AN14" s="1">
        <f>[1]Results!AQ1374</f>
        <v>-2.1875894088201937</v>
      </c>
      <c r="AO14" s="1">
        <f>[1]Results!AR1374</f>
        <v>-2.203657240285279</v>
      </c>
      <c r="AP14" s="1">
        <f>[1]Results!AS1374</f>
        <v>-2.2178837631196955</v>
      </c>
      <c r="AQ14" s="1">
        <f>[1]Results!AT1374</f>
        <v>-2.2304965025736574</v>
      </c>
      <c r="AR14" s="1">
        <f>[1]Results!AU1374</f>
        <v>-2.2414268304765783</v>
      </c>
      <c r="AS14" s="1">
        <f>[1]Results!AV1374</f>
        <v>-2.2508965354739803</v>
      </c>
      <c r="AT14" s="1">
        <f>[1]Results!AW1374</f>
        <v>-2.2590883123996206</v>
      </c>
      <c r="AU14" s="1">
        <f>[1]Results!AX1374</f>
        <v>-2.2661589937736255</v>
      </c>
      <c r="AV14" s="1">
        <f>[1]Results!AY1374</f>
        <v>-2.2722503373405254</v>
      </c>
      <c r="AW14" s="1">
        <f>[1]Results!AZ1374</f>
        <v>-2.2766338195303786</v>
      </c>
      <c r="AX14" s="1">
        <f>[1]Results!BA1374</f>
        <v>-2.2797345450323632</v>
      </c>
      <c r="AY14" s="1">
        <f>[1]Results!BB1374</f>
        <v>-2.2818601295969962</v>
      </c>
      <c r="AZ14" s="1">
        <f>[1]Results!BC1374</f>
        <v>-2.2832465075991837</v>
      </c>
      <c r="BA14" s="1">
        <f>[1]Results!BD1374</f>
        <v>-2.2840798789819319</v>
      </c>
      <c r="BB14" s="1">
        <f>[1]Results!BE1374</f>
        <v>-5.9201745623804168E-3</v>
      </c>
      <c r="BC14" s="1">
        <f>[1]Results!BF1374</f>
        <v>-7.2690977721502409E-4</v>
      </c>
      <c r="BD14" s="1">
        <f>[1]Results!BG1374</f>
        <v>4.8729519274250564E-3</v>
      </c>
      <c r="BE14" s="1">
        <f>[1]Results!BH1374</f>
        <v>1.0844828951787504E-2</v>
      </c>
      <c r="BF14" s="1">
        <f>[1]Results!BI1374</f>
        <v>1.7152317286497642E-2</v>
      </c>
    </row>
    <row r="15" spans="1:58" x14ac:dyDescent="0.35">
      <c r="A15" s="3" t="str">
        <f>[1]Results!E1375</f>
        <v>100*((I_2-IA_spub_2-(I_0-IA_spub_0))/GDP_0)</v>
      </c>
      <c r="B15" t="str">
        <f>[1]Results!C1375</f>
        <v>Investissement entreprises</v>
      </c>
      <c r="C15" s="1">
        <f>[1]Results!F1375</f>
        <v>-0.20284518444659061</v>
      </c>
      <c r="D15" s="1">
        <f>[1]Results!G1375</f>
        <v>-0.3411956172628568</v>
      </c>
      <c r="E15" s="1">
        <f>[1]Results!H1375</f>
        <v>-0.44419850932038879</v>
      </c>
      <c r="F15" s="1">
        <f>[1]Results!I1375</f>
        <v>-0.53023151876949515</v>
      </c>
      <c r="G15" s="1">
        <f>[1]Results!J1375</f>
        <v>-0.60788749383031193</v>
      </c>
      <c r="H15" s="1">
        <f>[1]Results!K1375</f>
        <v>-0.68122028311411664</v>
      </c>
      <c r="I15" s="1">
        <f>[1]Results!L1375</f>
        <v>-0.7526972866752023</v>
      </c>
      <c r="J15" s="1">
        <f>[1]Results!M1375</f>
        <v>-0.82291204813111984</v>
      </c>
      <c r="K15" s="1">
        <f>[1]Results!N1375</f>
        <v>-0.89232446692837764</v>
      </c>
      <c r="L15" s="1">
        <f>[1]Results!O1375</f>
        <v>-0.96123876590147228</v>
      </c>
      <c r="M15" s="1">
        <f>[1]Results!P1375</f>
        <v>-1.0434105796208155</v>
      </c>
      <c r="N15" s="1">
        <f>[1]Results!Q1375</f>
        <v>-1.111455725271302</v>
      </c>
      <c r="O15" s="1">
        <f>[1]Results!R1375</f>
        <v>-1.171387356854501</v>
      </c>
      <c r="P15" s="1">
        <f>[1]Results!S1375</f>
        <v>-1.2269427963950343</v>
      </c>
      <c r="Q15" s="1">
        <f>[1]Results!T1375</f>
        <v>-1.2797534788993294</v>
      </c>
      <c r="R15" s="1">
        <f>[1]Results!U1375</f>
        <v>-1.3305096167258943</v>
      </c>
      <c r="S15" s="1">
        <f>[1]Results!V1375</f>
        <v>-1.3801834812234623</v>
      </c>
      <c r="T15" s="1">
        <f>[1]Results!W1375</f>
        <v>-1.4286984710555461</v>
      </c>
      <c r="U15" s="1">
        <f>[1]Results!X1375</f>
        <v>-1.4760193883204205</v>
      </c>
      <c r="V15" s="1">
        <f>[1]Results!Y1375</f>
        <v>-1.5221479081781086</v>
      </c>
      <c r="W15" s="1">
        <f>[1]Results!Z1375</f>
        <v>-1.567599815549555</v>
      </c>
      <c r="X15" s="1">
        <f>[1]Results!AA1375</f>
        <v>-1.6112165754394843</v>
      </c>
      <c r="Y15" s="1">
        <f>[1]Results!AB1375</f>
        <v>-1.6536792147895025</v>
      </c>
      <c r="Z15" s="1">
        <f>[1]Results!AC1375</f>
        <v>-1.6949558669204432</v>
      </c>
      <c r="AA15" s="1">
        <f>[1]Results!AD1375</f>
        <v>-1.7350230593383067</v>
      </c>
      <c r="AB15" s="1">
        <f>[1]Results!AE1375</f>
        <v>-1.7753727890105586</v>
      </c>
      <c r="AC15" s="1">
        <f>[1]Results!AF1375</f>
        <v>-1.8128740791954943</v>
      </c>
      <c r="AD15" s="1">
        <f>[1]Results!AG1375</f>
        <v>-1.8487258098655999</v>
      </c>
      <c r="AE15" s="1">
        <f>[1]Results!AH1375</f>
        <v>-1.8829188142184958</v>
      </c>
      <c r="AF15" s="1">
        <f>[1]Results!AI1375</f>
        <v>-1.9154566963917632</v>
      </c>
      <c r="AG15" s="1">
        <f>[1]Results!AJ1375</f>
        <v>-1.9463489131710958</v>
      </c>
      <c r="AH15" s="1">
        <f>[1]Results!AK1375</f>
        <v>-1.9754442751861494</v>
      </c>
      <c r="AI15" s="1">
        <f>[1]Results!AL1375</f>
        <v>-2.0028149343426458</v>
      </c>
      <c r="AJ15" s="1">
        <f>[1]Results!AM1375</f>
        <v>-2.0285211283693325</v>
      </c>
      <c r="AK15" s="1">
        <f>[1]Results!AN1375</f>
        <v>-2.0526185769334391</v>
      </c>
      <c r="AL15" s="1">
        <f>[1]Results!AO1375</f>
        <v>-2.0751640773715803</v>
      </c>
      <c r="AM15" s="1">
        <f>[1]Results!AP1375</f>
        <v>-2.095114550174729</v>
      </c>
      <c r="AN15" s="1">
        <f>[1]Results!AQ1375</f>
        <v>-2.1125297429311147</v>
      </c>
      <c r="AO15" s="1">
        <f>[1]Results!AR1375</f>
        <v>-2.1278194265715111</v>
      </c>
      <c r="AP15" s="1">
        <f>[1]Results!AS1375</f>
        <v>-2.1412664361292726</v>
      </c>
      <c r="AQ15" s="1">
        <f>[1]Results!AT1375</f>
        <v>-2.1530865068046303</v>
      </c>
      <c r="AR15" s="1">
        <f>[1]Results!AU1375</f>
        <v>-2.1632163366336274</v>
      </c>
      <c r="AS15" s="1">
        <f>[1]Results!AV1375</f>
        <v>-2.171876300666189</v>
      </c>
      <c r="AT15" s="1">
        <f>[1]Results!AW1375</f>
        <v>-2.1792474316882409</v>
      </c>
      <c r="AU15" s="1">
        <f>[1]Results!AX1375</f>
        <v>-2.1854859511146443</v>
      </c>
      <c r="AV15" s="1">
        <f>[1]Results!AY1375</f>
        <v>-2.1907339365007217</v>
      </c>
      <c r="AW15" s="1">
        <f>[1]Results!AZ1375</f>
        <v>-2.1942981870647169</v>
      </c>
      <c r="AX15" s="1">
        <f>[1]Results!BA1375</f>
        <v>-2.1965975052220585</v>
      </c>
      <c r="AY15" s="1">
        <f>[1]Results!BB1375</f>
        <v>-2.1979274199606809</v>
      </c>
      <c r="AZ15" s="1">
        <f>[1]Results!BC1375</f>
        <v>-2.1985172286129182</v>
      </c>
      <c r="BA15" s="1">
        <f>[1]Results!BD1375</f>
        <v>-2.1985508096222137</v>
      </c>
      <c r="BB15" s="1">
        <f>[1]Results!BE1375</f>
        <v>-3.6374125724455979E-3</v>
      </c>
      <c r="BC15" s="1">
        <f>[1]Results!BF1375</f>
        <v>1.4909450650637188E-3</v>
      </c>
      <c r="BD15" s="1">
        <f>[1]Results!BG1375</f>
        <v>7.0179858722023399E-3</v>
      </c>
      <c r="BE15" s="1">
        <f>[1]Results!BH1375</f>
        <v>1.2911954943280624E-2</v>
      </c>
      <c r="BF15" s="1">
        <f>[1]Results!BI1375</f>
        <v>1.9138570094063296E-2</v>
      </c>
    </row>
    <row r="16" spans="1:58" x14ac:dyDescent="0.35">
      <c r="A16" s="3" t="str">
        <f>[1]Results!E1376</f>
        <v>100*((CH_ccon_2-CH_ccon_0)/GDP_0)</v>
      </c>
      <c r="B16" t="str">
        <f>[1]Results!C1376</f>
        <v>Investissement ménages</v>
      </c>
      <c r="C16" s="1">
        <f>[1]Results!F1376</f>
        <v>-4.0266695982880086E-3</v>
      </c>
      <c r="D16" s="1">
        <f>[1]Results!G1376</f>
        <v>-8.0765796293110273E-3</v>
      </c>
      <c r="E16" s="1">
        <f>[1]Results!H1376</f>
        <v>-1.1374514831984922E-2</v>
      </c>
      <c r="F16" s="1">
        <f>[1]Results!I1376</f>
        <v>-1.4090835162562725E-2</v>
      </c>
      <c r="G16" s="1">
        <f>[1]Results!J1376</f>
        <v>-1.6470512530179681E-2</v>
      </c>
      <c r="H16" s="1">
        <f>[1]Results!K1376</f>
        <v>-1.8638341955124961E-2</v>
      </c>
      <c r="I16" s="1">
        <f>[1]Results!L1376</f>
        <v>-2.0649869753496253E-2</v>
      </c>
      <c r="J16" s="1">
        <f>[1]Results!M1376</f>
        <v>-2.2497939527496701E-2</v>
      </c>
      <c r="K16" s="1">
        <f>[1]Results!N1376</f>
        <v>-2.4178097601492528E-2</v>
      </c>
      <c r="L16" s="1">
        <f>[1]Results!O1376</f>
        <v>-2.5694841736883221E-2</v>
      </c>
      <c r="M16" s="1">
        <f>[1]Results!P1376</f>
        <v>-2.7250490327620922E-2</v>
      </c>
      <c r="N16" s="1">
        <f>[1]Results!Q1376</f>
        <v>-2.8583064191263479E-2</v>
      </c>
      <c r="O16" s="1">
        <f>[1]Results!R1376</f>
        <v>-2.9634196665718322E-2</v>
      </c>
      <c r="P16" s="1">
        <f>[1]Results!S1376</f>
        <v>-3.0439437903128676E-2</v>
      </c>
      <c r="Q16" s="1">
        <f>[1]Results!T1376</f>
        <v>-3.1038567619118197E-2</v>
      </c>
      <c r="R16" s="1">
        <f>[1]Results!U1376</f>
        <v>-3.1463996103099225E-2</v>
      </c>
      <c r="S16" s="1">
        <f>[1]Results!V1376</f>
        <v>-3.175846025568381E-2</v>
      </c>
      <c r="T16" s="1">
        <f>[1]Results!W1376</f>
        <v>-3.1951252381599848E-2</v>
      </c>
      <c r="U16" s="1">
        <f>[1]Results!X1376</f>
        <v>-3.2068043343952544E-2</v>
      </c>
      <c r="V16" s="1">
        <f>[1]Results!Y1376</f>
        <v>-3.2133667459755794E-2</v>
      </c>
      <c r="W16" s="1">
        <f>[1]Results!Z1376</f>
        <v>-3.2182787012851134E-2</v>
      </c>
      <c r="X16" s="1">
        <f>[1]Results!AA1376</f>
        <v>-3.220790180282284E-2</v>
      </c>
      <c r="Y16" s="1">
        <f>[1]Results!AB1376</f>
        <v>-3.2243898448266528E-2</v>
      </c>
      <c r="Z16" s="1">
        <f>[1]Results!AC1376</f>
        <v>-3.2305495513360732E-2</v>
      </c>
      <c r="AA16" s="1">
        <f>[1]Results!AD1376</f>
        <v>-3.240292564993244E-2</v>
      </c>
      <c r="AB16" s="1">
        <f>[1]Results!AE1376</f>
        <v>-3.2572333764796069E-2</v>
      </c>
      <c r="AC16" s="1">
        <f>[1]Results!AF1376</f>
        <v>-3.2749450019831976E-2</v>
      </c>
      <c r="AD16" s="1">
        <f>[1]Results!AG1376</f>
        <v>-3.2962170235544437E-2</v>
      </c>
      <c r="AE16" s="1">
        <f>[1]Results!AH1376</f>
        <v>-3.3217119082820996E-2</v>
      </c>
      <c r="AF16" s="1">
        <f>[1]Results!AI1376</f>
        <v>-3.3518456614486797E-2</v>
      </c>
      <c r="AG16" s="1">
        <f>[1]Results!AJ1376</f>
        <v>-3.3867217201155188E-2</v>
      </c>
      <c r="AH16" s="1">
        <f>[1]Results!AK1376</f>
        <v>-3.4258426149057018E-2</v>
      </c>
      <c r="AI16" s="1">
        <f>[1]Results!AL1376</f>
        <v>-3.4689303015126904E-2</v>
      </c>
      <c r="AJ16" s="1">
        <f>[1]Results!AM1376</f>
        <v>-3.5157449909118114E-2</v>
      </c>
      <c r="AK16" s="1">
        <f>[1]Results!AN1376</f>
        <v>-3.5660187129354044E-2</v>
      </c>
      <c r="AL16" s="1">
        <f>[1]Results!AO1376</f>
        <v>-3.61944041616283E-2</v>
      </c>
      <c r="AM16" s="1">
        <f>[1]Results!AP1376</f>
        <v>-3.6730458221571644E-2</v>
      </c>
      <c r="AN16" s="1">
        <f>[1]Results!AQ1376</f>
        <v>-3.7255114653487825E-2</v>
      </c>
      <c r="AO16" s="1">
        <f>[1]Results!AR1376</f>
        <v>-3.7776572209857077E-2</v>
      </c>
      <c r="AP16" s="1">
        <f>[1]Results!AS1376</f>
        <v>-3.8303139659642445E-2</v>
      </c>
      <c r="AQ16" s="1">
        <f>[1]Results!AT1376</f>
        <v>-3.8839208576954512E-2</v>
      </c>
      <c r="AR16" s="1">
        <f>[1]Results!AU1376</f>
        <v>-3.9380117109972843E-2</v>
      </c>
      <c r="AS16" s="1">
        <f>[1]Results!AV1376</f>
        <v>-3.9924443186361964E-2</v>
      </c>
      <c r="AT16" s="1">
        <f>[1]Results!AW1376</f>
        <v>-4.0471716666666921E-2</v>
      </c>
      <c r="AU16" s="1">
        <f>[1]Results!AX1376</f>
        <v>-4.1021487897652469E-2</v>
      </c>
      <c r="AV16" s="1">
        <f>[1]Results!AY1376</f>
        <v>-4.1573241841899283E-2</v>
      </c>
      <c r="AW16" s="1">
        <f>[1]Results!AZ1376</f>
        <v>-4.2108456106746475E-2</v>
      </c>
      <c r="AX16" s="1">
        <f>[1]Results!BA1376</f>
        <v>-4.2629709620637515E-2</v>
      </c>
      <c r="AY16" s="1">
        <f>[1]Results!BB1376</f>
        <v>-4.3143980712010574E-2</v>
      </c>
      <c r="AZ16" s="1">
        <f>[1]Results!BC1376</f>
        <v>-4.3654634849961155E-2</v>
      </c>
      <c r="BA16" s="1">
        <f>[1]Results!BD1376</f>
        <v>-4.4162814797978553E-2</v>
      </c>
      <c r="BB16" s="1">
        <f>[1]Results!BE1376</f>
        <v>-1.3989381314381863E-3</v>
      </c>
      <c r="BC16" s="1">
        <f>[1]Results!BF1376</f>
        <v>-1.4564053653442521E-3</v>
      </c>
      <c r="BD16" s="1">
        <f>[1]Results!BG1376</f>
        <v>-1.5144837212395438E-3</v>
      </c>
      <c r="BE16" s="1">
        <f>[1]Results!BH1376</f>
        <v>-1.5743736762150961E-3</v>
      </c>
      <c r="BF16" s="1">
        <f>[1]Results!BI1376</f>
        <v>-1.6368618378615565E-3</v>
      </c>
    </row>
    <row r="17" spans="1:58" x14ac:dyDescent="0.35">
      <c r="A17" s="3" t="str">
        <f>[1]Results!E1377</f>
        <v>100*((IA_spub_2-IA_spub_0)/GDP_0)</v>
      </c>
      <c r="B17" t="str">
        <f>[1]Results!C1377</f>
        <v>Investissement public</v>
      </c>
      <c r="C17" s="1">
        <f>[1]Results!F1377</f>
        <v>-2.7989796731698446E-3</v>
      </c>
      <c r="D17" s="1">
        <f>[1]Results!G1377</f>
        <v>-4.5052373729260473E-3</v>
      </c>
      <c r="E17" s="1">
        <f>[1]Results!H1377</f>
        <v>-5.4705208911459517E-3</v>
      </c>
      <c r="F17" s="1">
        <f>[1]Results!I1377</f>
        <v>-6.1683073628218919E-3</v>
      </c>
      <c r="G17" s="1">
        <f>[1]Results!J1377</f>
        <v>-6.8710487284313485E-3</v>
      </c>
      <c r="H17" s="1">
        <f>[1]Results!K1377</f>
        <v>-7.6945303104954269E-3</v>
      </c>
      <c r="I17" s="1">
        <f>[1]Results!L1377</f>
        <v>-8.6758627805276819E-3</v>
      </c>
      <c r="J17" s="1">
        <f>[1]Results!M1377</f>
        <v>-9.7987562928552787E-3</v>
      </c>
      <c r="K17" s="1">
        <f>[1]Results!N1377</f>
        <v>-1.1040734264884415E-2</v>
      </c>
      <c r="L17" s="1">
        <f>[1]Results!O1377</f>
        <v>-1.238042712454465E-2</v>
      </c>
      <c r="M17" s="1">
        <f>[1]Results!P1377</f>
        <v>-1.3958155029348057E-2</v>
      </c>
      <c r="N17" s="1">
        <f>[1]Results!Q1377</f>
        <v>-1.5413305097208943E-2</v>
      </c>
      <c r="O17" s="1">
        <f>[1]Results!R1377</f>
        <v>-1.6829724846561235E-2</v>
      </c>
      <c r="P17" s="1">
        <f>[1]Results!S1377</f>
        <v>-1.8255367949588413E-2</v>
      </c>
      <c r="Q17" s="1">
        <f>[1]Results!T1377</f>
        <v>-1.9691173033836735E-2</v>
      </c>
      <c r="R17" s="1">
        <f>[1]Results!U1377</f>
        <v>-2.1118841516364152E-2</v>
      </c>
      <c r="S17" s="1">
        <f>[1]Results!V1377</f>
        <v>-2.2528998957847466E-2</v>
      </c>
      <c r="T17" s="1">
        <f>[1]Results!W1377</f>
        <v>-2.390050459415901E-2</v>
      </c>
      <c r="U17" s="1">
        <f>[1]Results!X1377</f>
        <v>-2.5216714073464607E-2</v>
      </c>
      <c r="V17" s="1">
        <f>[1]Results!Y1377</f>
        <v>-2.6466444302216573E-2</v>
      </c>
      <c r="W17" s="1">
        <f>[1]Results!Z1377</f>
        <v>-2.7649317360044664E-2</v>
      </c>
      <c r="X17" s="1">
        <f>[1]Results!AA1377</f>
        <v>-2.874476225569346E-2</v>
      </c>
      <c r="Y17" s="1">
        <f>[1]Results!AB1377</f>
        <v>-2.9762920504453141E-2</v>
      </c>
      <c r="Z17" s="1">
        <f>[1]Results!AC1377</f>
        <v>-3.0703507111221811E-2</v>
      </c>
      <c r="AA17" s="1">
        <f>[1]Results!AD1377</f>
        <v>-3.1568005409849414E-2</v>
      </c>
      <c r="AB17" s="1">
        <f>[1]Results!AE1377</f>
        <v>-3.2377768871207371E-2</v>
      </c>
      <c r="AC17" s="1">
        <f>[1]Results!AF1377</f>
        <v>-3.3091232553883056E-2</v>
      </c>
      <c r="AD17" s="1">
        <f>[1]Results!AG1377</f>
        <v>-3.3735148736028335E-2</v>
      </c>
      <c r="AE17" s="1">
        <f>[1]Results!AH1377</f>
        <v>-3.4316786103073378E-2</v>
      </c>
      <c r="AF17" s="1">
        <f>[1]Results!AI1377</f>
        <v>-3.4844148741285136E-2</v>
      </c>
      <c r="AG17" s="1">
        <f>[1]Results!AJ1377</f>
        <v>-3.5324886588968783E-2</v>
      </c>
      <c r="AH17" s="1">
        <f>[1]Results!AK1377</f>
        <v>-3.5762906199796808E-2</v>
      </c>
      <c r="AI17" s="1">
        <f>[1]Results!AL1377</f>
        <v>-3.6165522145980664E-2</v>
      </c>
      <c r="AJ17" s="1">
        <f>[1]Results!AM1377</f>
        <v>-3.6539971565611576E-2</v>
      </c>
      <c r="AK17" s="1">
        <f>[1]Results!AN1377</f>
        <v>-3.6892875152659085E-2</v>
      </c>
      <c r="AL17" s="1">
        <f>[1]Results!AO1377</f>
        <v>-3.7230140551405243E-2</v>
      </c>
      <c r="AM17" s="1">
        <f>[1]Results!AP1377</f>
        <v>-3.7532601660867616E-2</v>
      </c>
      <c r="AN17" s="1">
        <f>[1]Results!AQ1377</f>
        <v>-3.7804551235587687E-2</v>
      </c>
      <c r="AO17" s="1">
        <f>[1]Results!AR1377</f>
        <v>-3.806124150391102E-2</v>
      </c>
      <c r="AP17" s="1">
        <f>[1]Results!AS1377</f>
        <v>-3.8314187330779473E-2</v>
      </c>
      <c r="AQ17" s="1">
        <f>[1]Results!AT1377</f>
        <v>-3.8570787192073339E-2</v>
      </c>
      <c r="AR17" s="1">
        <f>[1]Results!AU1377</f>
        <v>-3.8830376732981071E-2</v>
      </c>
      <c r="AS17" s="1">
        <f>[1]Results!AV1377</f>
        <v>-3.9095791621430544E-2</v>
      </c>
      <c r="AT17" s="1">
        <f>[1]Results!AW1377</f>
        <v>-3.9369164044714744E-2</v>
      </c>
      <c r="AU17" s="1">
        <f>[1]Results!AX1377</f>
        <v>-3.9651554761327014E-2</v>
      </c>
      <c r="AV17" s="1">
        <f>[1]Results!AY1377</f>
        <v>-3.9943158997904314E-2</v>
      </c>
      <c r="AW17" s="1">
        <f>[1]Results!AZ1377</f>
        <v>-4.0227176358916726E-2</v>
      </c>
      <c r="AX17" s="1">
        <f>[1]Results!BA1377</f>
        <v>-4.0507330189667748E-2</v>
      </c>
      <c r="AY17" s="1">
        <f>[1]Results!BB1377</f>
        <v>-4.078872892430379E-2</v>
      </c>
      <c r="AZ17" s="1">
        <f>[1]Results!BC1377</f>
        <v>-4.1074644136303788E-2</v>
      </c>
      <c r="BA17" s="1">
        <f>[1]Results!BD1377</f>
        <v>-4.1366254561741103E-2</v>
      </c>
      <c r="BB17" s="1">
        <f>[1]Results!BE1377</f>
        <v>-8.8382385850016597E-4</v>
      </c>
      <c r="BC17" s="1">
        <f>[1]Results!BF1377</f>
        <v>-7.614494769360836E-4</v>
      </c>
      <c r="BD17" s="1">
        <f>[1]Results!BG1377</f>
        <v>-6.3055022354030314E-4</v>
      </c>
      <c r="BE17" s="1">
        <f>[1]Results!BH1377</f>
        <v>-4.9275231527942524E-4</v>
      </c>
      <c r="BF17" s="1">
        <f>[1]Results!BI1377</f>
        <v>-3.4939096970396073E-4</v>
      </c>
    </row>
    <row r="18" spans="1:58" x14ac:dyDescent="0.35">
      <c r="A18" s="3" t="str">
        <f>[1]Results!E1378</f>
        <v>100*(CH_2/CH_0-1)</v>
      </c>
      <c r="B18" t="str">
        <f>[1]Results!C1378</f>
        <v>Consommation des ménages</v>
      </c>
      <c r="C18" s="1">
        <f>[1]Results!F1378</f>
        <v>-0.46372941833520143</v>
      </c>
      <c r="D18" s="1">
        <f>[1]Results!G1378</f>
        <v>-1.0209383332001276</v>
      </c>
      <c r="E18" s="1">
        <f>[1]Results!H1378</f>
        <v>-1.5459908415211276</v>
      </c>
      <c r="F18" s="1">
        <f>[1]Results!I1378</f>
        <v>-2.0062124618875798</v>
      </c>
      <c r="G18" s="1">
        <f>[1]Results!J1378</f>
        <v>-2.3985314341839703</v>
      </c>
      <c r="H18" s="1">
        <f>[1]Results!K1378</f>
        <v>-2.7289939974833755</v>
      </c>
      <c r="I18" s="1">
        <f>[1]Results!L1378</f>
        <v>-3.007416502229121</v>
      </c>
      <c r="J18" s="1">
        <f>[1]Results!M1378</f>
        <v>-3.2422707224020408</v>
      </c>
      <c r="K18" s="1">
        <f>[1]Results!N1378</f>
        <v>-3.4417187951860218</v>
      </c>
      <c r="L18" s="1">
        <f>[1]Results!O1378</f>
        <v>-3.6131501809045563</v>
      </c>
      <c r="M18" s="1">
        <f>[1]Results!P1378</f>
        <v>-3.7913842883887661</v>
      </c>
      <c r="N18" s="1">
        <f>[1]Results!Q1378</f>
        <v>-3.9402256446499972</v>
      </c>
      <c r="O18" s="1">
        <f>[1]Results!R1378</f>
        <v>-4.051526852977938</v>
      </c>
      <c r="P18" s="1">
        <f>[1]Results!S1378</f>
        <v>-4.1274715721228432</v>
      </c>
      <c r="Q18" s="1">
        <f>[1]Results!T1378</f>
        <v>-4.1732126733798331</v>
      </c>
      <c r="R18" s="1">
        <f>[1]Results!U1378</f>
        <v>-4.1946005246410678</v>
      </c>
      <c r="S18" s="1">
        <f>[1]Results!V1378</f>
        <v>-4.1990694461192852</v>
      </c>
      <c r="T18" s="1">
        <f>[1]Results!W1378</f>
        <v>-4.1921562954457592</v>
      </c>
      <c r="U18" s="1">
        <f>[1]Results!X1378</f>
        <v>-4.1783043149464572</v>
      </c>
      <c r="V18" s="1">
        <f>[1]Results!Y1378</f>
        <v>-4.1611531508594979</v>
      </c>
      <c r="W18" s="1">
        <f>[1]Results!Z1378</f>
        <v>-4.1441365046868128</v>
      </c>
      <c r="X18" s="1">
        <f>[1]Results!AA1378</f>
        <v>-4.1284004581212619</v>
      </c>
      <c r="Y18" s="1">
        <f>[1]Results!AB1378</f>
        <v>-4.1160291364014228</v>
      </c>
      <c r="Z18" s="1">
        <f>[1]Results!AC1378</f>
        <v>-4.1084004320024796</v>
      </c>
      <c r="AA18" s="1">
        <f>[1]Results!AD1378</f>
        <v>-4.1063669773196203</v>
      </c>
      <c r="AB18" s="1">
        <f>[1]Results!AE1378</f>
        <v>-4.1116761886929361</v>
      </c>
      <c r="AC18" s="1">
        <f>[1]Results!AF1378</f>
        <v>-4.1214513499495116</v>
      </c>
      <c r="AD18" s="1">
        <f>[1]Results!AG1378</f>
        <v>-4.1359456462205513</v>
      </c>
      <c r="AE18" s="1">
        <f>[1]Results!AH1378</f>
        <v>-4.1554460143786498</v>
      </c>
      <c r="AF18" s="1">
        <f>[1]Results!AI1378</f>
        <v>-4.1800541917596963</v>
      </c>
      <c r="AG18" s="1">
        <f>[1]Results!AJ1378</f>
        <v>-4.2096766984856648</v>
      </c>
      <c r="AH18" s="1">
        <f>[1]Results!AK1378</f>
        <v>-4.2436667504687779</v>
      </c>
      <c r="AI18" s="1">
        <f>[1]Results!AL1378</f>
        <v>-4.2816893523110133</v>
      </c>
      <c r="AJ18" s="1">
        <f>[1]Results!AM1378</f>
        <v>-4.3234849502345014</v>
      </c>
      <c r="AK18" s="1">
        <f>[1]Results!AN1378</f>
        <v>-4.3687843163410456</v>
      </c>
      <c r="AL18" s="1">
        <f>[1]Results!AO1378</f>
        <v>-4.4172954721645841</v>
      </c>
      <c r="AM18" s="1">
        <f>[1]Results!AP1378</f>
        <v>-4.4652391123155999</v>
      </c>
      <c r="AN18" s="1">
        <f>[1]Results!AQ1378</f>
        <v>-4.5118155621522877</v>
      </c>
      <c r="AO18" s="1">
        <f>[1]Results!AR1378</f>
        <v>-4.5575176768667962</v>
      </c>
      <c r="AP18" s="1">
        <f>[1]Results!AS1378</f>
        <v>-4.6030024568185501</v>
      </c>
      <c r="AQ18" s="1">
        <f>[1]Results!AT1378</f>
        <v>-4.6487609115775879</v>
      </c>
      <c r="AR18" s="1">
        <f>[1]Results!AU1378</f>
        <v>-4.6945083414247861</v>
      </c>
      <c r="AS18" s="1">
        <f>[1]Results!AV1378</f>
        <v>-4.740427846438422</v>
      </c>
      <c r="AT18" s="1">
        <f>[1]Results!AW1378</f>
        <v>-4.7868160633157348</v>
      </c>
      <c r="AU18" s="1">
        <f>[1]Results!AX1378</f>
        <v>-4.8339473878182382</v>
      </c>
      <c r="AV18" s="1">
        <f>[1]Results!AY1378</f>
        <v>-4.8820436803889695</v>
      </c>
      <c r="AW18" s="1">
        <f>[1]Results!AZ1378</f>
        <v>-4.9292395590653904</v>
      </c>
      <c r="AX18" s="1">
        <f>[1]Results!BA1378</f>
        <v>-4.9756593034048109</v>
      </c>
      <c r="AY18" s="1">
        <f>[1]Results!BB1378</f>
        <v>-5.0219467139066669</v>
      </c>
      <c r="AZ18" s="1">
        <f>[1]Results!BC1378</f>
        <v>-5.0686859303455956</v>
      </c>
      <c r="BA18" s="1">
        <f>[1]Results!BD1378</f>
        <v>-5.1162695851703184</v>
      </c>
      <c r="BB18" s="1">
        <f>[1]Results!BE1378</f>
        <v>4.7232767887850358E-2</v>
      </c>
      <c r="BC18" s="1">
        <f>[1]Results!BF1378</f>
        <v>5.1108035496394422E-2</v>
      </c>
      <c r="BD18" s="1">
        <f>[1]Results!BG1378</f>
        <v>5.4834125176528303E-2</v>
      </c>
      <c r="BE18" s="1">
        <f>[1]Results!BH1378</f>
        <v>5.8312033652341277E-2</v>
      </c>
      <c r="BF18" s="1">
        <f>[1]Results!BI1378</f>
        <v>6.1481245551497921E-2</v>
      </c>
    </row>
    <row r="19" spans="1:58" x14ac:dyDescent="0.35">
      <c r="A19" s="3" t="str">
        <f>[1]Results!E1379</f>
        <v>100*(CH_cveh_2/CH_cveh_0-1)</v>
      </c>
      <c r="B19" t="str">
        <f>[1]Results!C1379</f>
        <v>Consommation des ménages automobile</v>
      </c>
      <c r="C19" s="1">
        <f>[1]Results!F1379</f>
        <v>-7.7741662879660112E-3</v>
      </c>
      <c r="D19" s="1">
        <f>[1]Results!G1379</f>
        <v>-0.68455266381969304</v>
      </c>
      <c r="E19" s="1">
        <f>[1]Results!H1379</f>
        <v>-1.4315238046128997</v>
      </c>
      <c r="F19" s="1">
        <f>[1]Results!I1379</f>
        <v>-2.0144614731902433</v>
      </c>
      <c r="G19" s="1">
        <f>[1]Results!J1379</f>
        <v>-2.410328279740348</v>
      </c>
      <c r="H19" s="1">
        <f>[1]Results!K1379</f>
        <v>-2.6536428649920007</v>
      </c>
      <c r="I19" s="1">
        <f>[1]Results!L1379</f>
        <v>-2.79079213998914</v>
      </c>
      <c r="J19" s="1">
        <f>[1]Results!M1379</f>
        <v>-2.8582159945982011</v>
      </c>
      <c r="K19" s="1">
        <f>[1]Results!N1379</f>
        <v>-2.8840467180826668</v>
      </c>
      <c r="L19" s="1">
        <f>[1]Results!O1379</f>
        <v>-2.8880504392626682</v>
      </c>
      <c r="M19" s="1">
        <f>[1]Results!P1379</f>
        <v>-2.9379259262173107</v>
      </c>
      <c r="N19" s="1">
        <f>[1]Results!Q1379</f>
        <v>-2.9453348622392572</v>
      </c>
      <c r="O19" s="1">
        <f>[1]Results!R1379</f>
        <v>-2.9055167753426758</v>
      </c>
      <c r="P19" s="1">
        <f>[1]Results!S1379</f>
        <v>-2.8312969644650576</v>
      </c>
      <c r="Q19" s="1">
        <f>[1]Results!T1379</f>
        <v>-2.7357773553564502</v>
      </c>
      <c r="R19" s="1">
        <f>[1]Results!U1379</f>
        <v>-2.6297938641416163</v>
      </c>
      <c r="S19" s="1">
        <f>[1]Results!V1379</f>
        <v>-2.5245293192525775</v>
      </c>
      <c r="T19" s="1">
        <f>[1]Results!W1379</f>
        <v>-2.4261472684949825</v>
      </c>
      <c r="U19" s="1">
        <f>[1]Results!X1379</f>
        <v>-2.3380879112178787</v>
      </c>
      <c r="V19" s="1">
        <f>[1]Results!Y1379</f>
        <v>-2.2622998706840813</v>
      </c>
      <c r="W19" s="1">
        <f>[1]Results!Z1379</f>
        <v>-2.2005259991529025</v>
      </c>
      <c r="X19" s="1">
        <f>[1]Results!AA1379</f>
        <v>-2.150611947151726</v>
      </c>
      <c r="Y19" s="1">
        <f>[1]Results!AB1379</f>
        <v>-2.1132548019431319</v>
      </c>
      <c r="Z19" s="1">
        <f>[1]Results!AC1379</f>
        <v>-2.0879849280011298</v>
      </c>
      <c r="AA19" s="1">
        <f>[1]Results!AD1379</f>
        <v>-2.0738336064454743</v>
      </c>
      <c r="AB19" s="1">
        <f>[1]Results!AE1379</f>
        <v>-2.0719199834800639</v>
      </c>
      <c r="AC19" s="1">
        <f>[1]Results!AF1379</f>
        <v>-2.0750943251183651</v>
      </c>
      <c r="AD19" s="1">
        <f>[1]Results!AG1379</f>
        <v>-2.084025815555024</v>
      </c>
      <c r="AE19" s="1">
        <f>[1]Results!AH1379</f>
        <v>-2.0990778576898572</v>
      </c>
      <c r="AF19" s="1">
        <f>[1]Results!AI1379</f>
        <v>-2.1200139990480094</v>
      </c>
      <c r="AG19" s="1">
        <f>[1]Results!AJ1379</f>
        <v>-2.1462148553029414</v>
      </c>
      <c r="AH19" s="1">
        <f>[1]Results!AK1379</f>
        <v>-2.1762813045561047</v>
      </c>
      <c r="AI19" s="1">
        <f>[1]Results!AL1379</f>
        <v>-2.2095870744241353</v>
      </c>
      <c r="AJ19" s="1">
        <f>[1]Results!AM1379</f>
        <v>-2.2457778926152305</v>
      </c>
      <c r="AK19" s="1">
        <f>[1]Results!AN1379</f>
        <v>-2.2844963974479993</v>
      </c>
      <c r="AL19" s="1">
        <f>[1]Results!AO1379</f>
        <v>-2.3253659263977267</v>
      </c>
      <c r="AM19" s="1">
        <f>[1]Results!AP1379</f>
        <v>-2.3627494759679069</v>
      </c>
      <c r="AN19" s="1">
        <f>[1]Results!AQ1379</f>
        <v>-2.3964596474821076</v>
      </c>
      <c r="AO19" s="1">
        <f>[1]Results!AR1379</f>
        <v>-2.4288381530106151</v>
      </c>
      <c r="AP19" s="1">
        <f>[1]Results!AS1379</f>
        <v>-2.4615781257221969</v>
      </c>
      <c r="AQ19" s="1">
        <f>[1]Results!AT1379</f>
        <v>-2.4954320571359156</v>
      </c>
      <c r="AR19" s="1">
        <f>[1]Results!AU1379</f>
        <v>-2.5296986589866344</v>
      </c>
      <c r="AS19" s="1">
        <f>[1]Results!AV1379</f>
        <v>-2.5645929390348599</v>
      </c>
      <c r="AT19" s="1">
        <f>[1]Results!AW1379</f>
        <v>-2.600627391730248</v>
      </c>
      <c r="AU19" s="1">
        <f>[1]Results!AX1379</f>
        <v>-2.6382124389568773</v>
      </c>
      <c r="AV19" s="1">
        <f>[1]Results!AY1379</f>
        <v>-2.6776327237024722</v>
      </c>
      <c r="AW19" s="1">
        <f>[1]Results!AZ1379</f>
        <v>-2.7159628821332604</v>
      </c>
      <c r="AX19" s="1">
        <f>[1]Results!BA1379</f>
        <v>-2.753998581209649</v>
      </c>
      <c r="AY19" s="1">
        <f>[1]Results!BB1379</f>
        <v>-2.7934315641396368</v>
      </c>
      <c r="AZ19" s="1">
        <f>[1]Results!BC1379</f>
        <v>-2.8353084254527205</v>
      </c>
      <c r="BA19" s="1">
        <f>[1]Results!BD1379</f>
        <v>-2.8800464516509527</v>
      </c>
      <c r="BB19" s="1">
        <f>[1]Results!BE1379</f>
        <v>0.26267238400008441</v>
      </c>
      <c r="BC19" s="1">
        <f>[1]Results!BF1379</f>
        <v>0.27538704170322337</v>
      </c>
      <c r="BD19" s="1">
        <f>[1]Results!BG1379</f>
        <v>0.28836276144614814</v>
      </c>
      <c r="BE19" s="1">
        <f>[1]Results!BH1379</f>
        <v>0.30153980159357552</v>
      </c>
      <c r="BF19" s="1">
        <f>[1]Results!BI1379</f>
        <v>0.31496987515489128</v>
      </c>
    </row>
    <row r="20" spans="1:58" x14ac:dyDescent="0.35">
      <c r="A20" s="3" t="str">
        <f>[1]Results!E1380</f>
        <v>100*(G_2/G_0-1)</v>
      </c>
      <c r="B20" t="str">
        <f>[1]Results!C1380</f>
        <v>Dépenses publiques</v>
      </c>
      <c r="C20" s="1">
        <f>[1]Results!F1380</f>
        <v>0</v>
      </c>
      <c r="D20" s="1">
        <f>[1]Results!G1380</f>
        <v>0</v>
      </c>
      <c r="E20" s="1">
        <f>[1]Results!H1380</f>
        <v>0</v>
      </c>
      <c r="F20" s="1">
        <f>[1]Results!I1380</f>
        <v>0</v>
      </c>
      <c r="G20" s="1">
        <f>[1]Results!J1380</f>
        <v>0</v>
      </c>
      <c r="H20" s="1">
        <f>[1]Results!K1380</f>
        <v>0</v>
      </c>
      <c r="I20" s="1">
        <f>[1]Results!L1380</f>
        <v>0</v>
      </c>
      <c r="J20" s="1">
        <f>[1]Results!M1380</f>
        <v>0</v>
      </c>
      <c r="K20" s="1">
        <f>[1]Results!N1380</f>
        <v>0</v>
      </c>
      <c r="L20" s="1">
        <f>[1]Results!O1380</f>
        <v>0</v>
      </c>
      <c r="M20" s="1">
        <f>[1]Results!P1380</f>
        <v>0</v>
      </c>
      <c r="N20" s="1">
        <f>[1]Results!Q1380</f>
        <v>0</v>
      </c>
      <c r="O20" s="1">
        <f>[1]Results!R1380</f>
        <v>0</v>
      </c>
      <c r="P20" s="1">
        <f>[1]Results!S1380</f>
        <v>0</v>
      </c>
      <c r="Q20" s="1">
        <f>[1]Results!T1380</f>
        <v>0</v>
      </c>
      <c r="R20" s="1">
        <f>[1]Results!U1380</f>
        <v>0</v>
      </c>
      <c r="S20" s="1">
        <f>[1]Results!V1380</f>
        <v>0</v>
      </c>
      <c r="T20" s="1">
        <f>[1]Results!W1380</f>
        <v>0</v>
      </c>
      <c r="U20" s="1">
        <f>[1]Results!X1380</f>
        <v>0</v>
      </c>
      <c r="V20" s="1">
        <f>[1]Results!Y1380</f>
        <v>0</v>
      </c>
      <c r="W20" s="1">
        <f>[1]Results!Z1380</f>
        <v>0</v>
      </c>
      <c r="X20" s="1">
        <f>[1]Results!AA1380</f>
        <v>0</v>
      </c>
      <c r="Y20" s="1">
        <f>[1]Results!AB1380</f>
        <v>0</v>
      </c>
      <c r="Z20" s="1">
        <f>[1]Results!AC1380</f>
        <v>0</v>
      </c>
      <c r="AA20" s="1">
        <f>[1]Results!AD1380</f>
        <v>0</v>
      </c>
      <c r="AB20" s="1">
        <f>[1]Results!AE1380</f>
        <v>0</v>
      </c>
      <c r="AC20" s="1">
        <f>[1]Results!AF1380</f>
        <v>0</v>
      </c>
      <c r="AD20" s="1">
        <f>[1]Results!AG1380</f>
        <v>0</v>
      </c>
      <c r="AE20" s="1">
        <f>[1]Results!AH1380</f>
        <v>0</v>
      </c>
      <c r="AF20" s="1">
        <f>[1]Results!AI1380</f>
        <v>0</v>
      </c>
      <c r="AG20" s="1">
        <f>[1]Results!AJ1380</f>
        <v>0</v>
      </c>
      <c r="AH20" s="1">
        <f>[1]Results!AK1380</f>
        <v>0</v>
      </c>
      <c r="AI20" s="1">
        <f>[1]Results!AL1380</f>
        <v>0</v>
      </c>
      <c r="AJ20" s="1">
        <f>[1]Results!AM1380</f>
        <v>0</v>
      </c>
      <c r="AK20" s="1">
        <f>[1]Results!AN1380</f>
        <v>0</v>
      </c>
      <c r="AL20" s="1">
        <f>[1]Results!AO1380</f>
        <v>0</v>
      </c>
      <c r="AM20" s="1">
        <f>[1]Results!AP1380</f>
        <v>0</v>
      </c>
      <c r="AN20" s="1">
        <f>[1]Results!AQ1380</f>
        <v>0</v>
      </c>
      <c r="AO20" s="1">
        <f>[1]Results!AR1380</f>
        <v>0</v>
      </c>
      <c r="AP20" s="1">
        <f>[1]Results!AS1380</f>
        <v>0</v>
      </c>
      <c r="AQ20" s="1">
        <f>[1]Results!AT1380</f>
        <v>0</v>
      </c>
      <c r="AR20" s="1">
        <f>[1]Results!AU1380</f>
        <v>0</v>
      </c>
      <c r="AS20" s="1">
        <f>[1]Results!AV1380</f>
        <v>0</v>
      </c>
      <c r="AT20" s="1">
        <f>[1]Results!AW1380</f>
        <v>0</v>
      </c>
      <c r="AU20" s="1">
        <f>[1]Results!AX1380</f>
        <v>0</v>
      </c>
      <c r="AV20" s="1">
        <f>[1]Results!AY1380</f>
        <v>0</v>
      </c>
      <c r="AW20" s="1">
        <f>[1]Results!AZ1380</f>
        <v>0</v>
      </c>
      <c r="AX20" s="1">
        <f>[1]Results!BA1380</f>
        <v>0</v>
      </c>
      <c r="AY20" s="1">
        <f>[1]Results!BB1380</f>
        <v>0</v>
      </c>
      <c r="AZ20" s="1">
        <f>[1]Results!BC1380</f>
        <v>0</v>
      </c>
      <c r="BA20" s="1">
        <f>[1]Results!BD1380</f>
        <v>0</v>
      </c>
      <c r="BB20" s="1">
        <f>[1]Results!BE1380</f>
        <v>0</v>
      </c>
      <c r="BC20" s="1">
        <f>[1]Results!BF1380</f>
        <v>0</v>
      </c>
      <c r="BD20" s="1">
        <f>[1]Results!BG1380</f>
        <v>0</v>
      </c>
      <c r="BE20" s="1">
        <f>[1]Results!BH1380</f>
        <v>0</v>
      </c>
      <c r="BF20" s="1">
        <f>[1]Results!BI1380</f>
        <v>0</v>
      </c>
    </row>
    <row r="21" spans="1:58" x14ac:dyDescent="0.35">
      <c r="A21" s="3" t="str">
        <f>[1]Results!E1381</f>
        <v>100*(I_2/I_0-1)</v>
      </c>
      <c r="B21" t="str">
        <f>[1]Results!C1381</f>
        <v>Investissement</v>
      </c>
      <c r="C21" s="1">
        <f>[1]Results!F1381</f>
        <v>-0.95630903557907265</v>
      </c>
      <c r="D21" s="1">
        <f>[1]Results!G1381</f>
        <v>-1.6065164931051035</v>
      </c>
      <c r="E21" s="1">
        <f>[1]Results!H1381</f>
        <v>-2.0886139267803583</v>
      </c>
      <c r="F21" s="1">
        <f>[1]Results!I1381</f>
        <v>-2.4898876150409199</v>
      </c>
      <c r="G21" s="1">
        <f>[1]Results!J1381</f>
        <v>-2.8516847120305888</v>
      </c>
      <c r="H21" s="1">
        <f>[1]Results!K1381</f>
        <v>-3.1934312933205589</v>
      </c>
      <c r="I21" s="1">
        <f>[1]Results!L1381</f>
        <v>-3.5257326903397002</v>
      </c>
      <c r="J21" s="1">
        <f>[1]Results!M1381</f>
        <v>-3.8523600413834846</v>
      </c>
      <c r="K21" s="1">
        <f>[1]Results!N1381</f>
        <v>-4.1751071847530907</v>
      </c>
      <c r="L21" s="1">
        <f>[1]Results!O1381</f>
        <v>-4.4950749505176084</v>
      </c>
      <c r="M21" s="1">
        <f>[1]Results!P1381</f>
        <v>-4.8783623124795117</v>
      </c>
      <c r="N21" s="1">
        <f>[1]Results!Q1381</f>
        <v>-5.1915399286354358</v>
      </c>
      <c r="O21" s="1">
        <f>[1]Results!R1381</f>
        <v>-5.4659626369980678</v>
      </c>
      <c r="P21" s="1">
        <f>[1]Results!S1381</f>
        <v>-5.7188900119342634</v>
      </c>
      <c r="Q21" s="1">
        <f>[1]Results!T1381</f>
        <v>-5.9577554684096974</v>
      </c>
      <c r="R21" s="1">
        <f>[1]Results!U1381</f>
        <v>-6.1856326689438301</v>
      </c>
      <c r="S21" s="1">
        <f>[1]Results!V1381</f>
        <v>-6.4069513399972022</v>
      </c>
      <c r="T21" s="1">
        <f>[1]Results!W1381</f>
        <v>-6.6213010281496842</v>
      </c>
      <c r="U21" s="1">
        <f>[1]Results!X1381</f>
        <v>-6.8285024891010409</v>
      </c>
      <c r="V21" s="1">
        <f>[1]Results!Y1381</f>
        <v>-7.0285853643946794</v>
      </c>
      <c r="W21" s="1">
        <f>[1]Results!Z1381</f>
        <v>-7.2218737852178361</v>
      </c>
      <c r="X21" s="1">
        <f>[1]Results!AA1381</f>
        <v>-7.4081221868674607</v>
      </c>
      <c r="Y21" s="1">
        <f>[1]Results!AB1381</f>
        <v>-7.5874518065174197</v>
      </c>
      <c r="Z21" s="1">
        <f>[1]Results!AC1381</f>
        <v>-7.7600067232405419</v>
      </c>
      <c r="AA21" s="1">
        <f>[1]Results!AD1381</f>
        <v>-7.9258703589325519</v>
      </c>
      <c r="AB21" s="1">
        <f>[1]Results!AE1381</f>
        <v>-8.0856211212347979</v>
      </c>
      <c r="AC21" s="1">
        <f>[1]Results!AF1381</f>
        <v>-8.2372534757339739</v>
      </c>
      <c r="AD21" s="1">
        <f>[1]Results!AG1381</f>
        <v>-8.3811057643263691</v>
      </c>
      <c r="AE21" s="1">
        <f>[1]Results!AH1381</f>
        <v>-8.5175295033840257</v>
      </c>
      <c r="AF21" s="1">
        <f>[1]Results!AI1381</f>
        <v>-8.6468250859647817</v>
      </c>
      <c r="AG21" s="1">
        <f>[1]Results!AJ1381</f>
        <v>-8.7692470729924032</v>
      </c>
      <c r="AH21" s="1">
        <f>[1]Results!AK1381</f>
        <v>-8.8842786263581885</v>
      </c>
      <c r="AI21" s="1">
        <f>[1]Results!AL1381</f>
        <v>-8.9923787216373956</v>
      </c>
      <c r="AJ21" s="1">
        <f>[1]Results!AM1381</f>
        <v>-9.093932560368545</v>
      </c>
      <c r="AK21" s="1">
        <f>[1]Results!AN1381</f>
        <v>-9.1892881825013646</v>
      </c>
      <c r="AL21" s="1">
        <f>[1]Results!AO1381</f>
        <v>-9.2787836539534485</v>
      </c>
      <c r="AM21" s="1">
        <f>[1]Results!AP1381</f>
        <v>-9.3562625295307011</v>
      </c>
      <c r="AN21" s="1">
        <f>[1]Results!AQ1381</f>
        <v>-9.4241942673021324</v>
      </c>
      <c r="AO21" s="1">
        <f>[1]Results!AR1381</f>
        <v>-9.4843226003609065</v>
      </c>
      <c r="AP21" s="1">
        <f>[1]Results!AS1381</f>
        <v>-9.5379204932546369</v>
      </c>
      <c r="AQ21" s="1">
        <f>[1]Results!AT1381</f>
        <v>-9.5859703617418024</v>
      </c>
      <c r="AR21" s="1">
        <f>[1]Results!AU1381</f>
        <v>-9.6281891339152779</v>
      </c>
      <c r="AS21" s="1">
        <f>[1]Results!AV1381</f>
        <v>-9.6655307335097866</v>
      </c>
      <c r="AT21" s="1">
        <f>[1]Results!AW1381</f>
        <v>-9.6987542280796983</v>
      </c>
      <c r="AU21" s="1">
        <f>[1]Results!AX1381</f>
        <v>-9.7284899154565068</v>
      </c>
      <c r="AV21" s="1">
        <f>[1]Results!AY1381</f>
        <v>-9.7552912306586812</v>
      </c>
      <c r="AW21" s="1">
        <f>[1]Results!AZ1381</f>
        <v>-9.7761041127811694</v>
      </c>
      <c r="AX21" s="1">
        <f>[1]Results!BA1381</f>
        <v>-9.7925106417705248</v>
      </c>
      <c r="AY21" s="1">
        <f>[1]Results!BB1381</f>
        <v>-9.8057515744886192</v>
      </c>
      <c r="AZ21" s="1">
        <f>[1]Results!BC1381</f>
        <v>-9.8167592805804453</v>
      </c>
      <c r="BA21" s="1">
        <f>[1]Results!BD1381</f>
        <v>-9.8262561360446199</v>
      </c>
      <c r="BB21" s="1">
        <f>[1]Results!BE1381</f>
        <v>-1.8968324761670097E-2</v>
      </c>
      <c r="BC21" s="1">
        <f>[1]Results!BF1381</f>
        <v>3.056175197979627E-3</v>
      </c>
      <c r="BD21" s="1">
        <f>[1]Results!BG1381</f>
        <v>2.6725331404020558E-2</v>
      </c>
      <c r="BE21" s="1">
        <f>[1]Results!BH1381</f>
        <v>5.1902589871888338E-2</v>
      </c>
      <c r="BF21" s="1">
        <f>[1]Results!BI1381</f>
        <v>7.8444032673608E-2</v>
      </c>
    </row>
    <row r="22" spans="1:58" x14ac:dyDescent="0.35">
      <c r="A22" s="3" t="str">
        <f>[1]Results!E1382</f>
        <v>100*((I_2-IA_spub_2)/(I_0-IA_spub_0)-1)</v>
      </c>
      <c r="B22" t="str">
        <f>[1]Results!C1382</f>
        <v>Investissement entreprises</v>
      </c>
      <c r="C22" s="1">
        <f>[1]Results!F1382</f>
        <v>-1.0293779895981903</v>
      </c>
      <c r="D22" s="1">
        <f>[1]Results!G1382</f>
        <v>-1.7304838873461348</v>
      </c>
      <c r="E22" s="1">
        <f>[1]Results!H1382</f>
        <v>-2.2520577598848956</v>
      </c>
      <c r="F22" s="1">
        <f>[1]Results!I1382</f>
        <v>-2.6868415372012455</v>
      </c>
      <c r="G22" s="1">
        <f>[1]Results!J1382</f>
        <v>-3.0785094702549864</v>
      </c>
      <c r="H22" s="1">
        <f>[1]Results!K1382</f>
        <v>-3.4476392754791974</v>
      </c>
      <c r="I22" s="1">
        <f>[1]Results!L1382</f>
        <v>-3.805537047823504</v>
      </c>
      <c r="J22" s="1">
        <f>[1]Results!M1382</f>
        <v>-4.1564429575473909</v>
      </c>
      <c r="K22" s="1">
        <f>[1]Results!N1382</f>
        <v>-4.5024446907237614</v>
      </c>
      <c r="L22" s="1">
        <f>[1]Results!O1382</f>
        <v>-4.844853753456202</v>
      </c>
      <c r="M22" s="1">
        <f>[1]Results!P1382</f>
        <v>-5.2552475957220786</v>
      </c>
      <c r="N22" s="1">
        <f>[1]Results!Q1382</f>
        <v>-5.5895163252943529</v>
      </c>
      <c r="O22" s="1">
        <f>[1]Results!R1382</f>
        <v>-5.8815603389549498</v>
      </c>
      <c r="P22" s="1">
        <f>[1]Results!S1382</f>
        <v>-6.1500368068804541</v>
      </c>
      <c r="Q22" s="1">
        <f>[1]Results!T1382</f>
        <v>-6.4030776876241262</v>
      </c>
      <c r="R22" s="1">
        <f>[1]Results!U1382</f>
        <v>-6.6441404759922111</v>
      </c>
      <c r="S22" s="1">
        <f>[1]Results!V1382</f>
        <v>-6.878112037687611</v>
      </c>
      <c r="T22" s="1">
        <f>[1]Results!W1382</f>
        <v>-7.1046532361763726</v>
      </c>
      <c r="U22" s="1">
        <f>[1]Results!X1382</f>
        <v>-7.3236529941214767</v>
      </c>
      <c r="V22" s="1">
        <f>[1]Results!Y1382</f>
        <v>-7.5351996046283842</v>
      </c>
      <c r="W22" s="1">
        <f>[1]Results!Z1382</f>
        <v>-7.7395367523254937</v>
      </c>
      <c r="X22" s="1">
        <f>[1]Results!AA1382</f>
        <v>-7.936729285447619</v>
      </c>
      <c r="Y22" s="1">
        <f>[1]Results!AB1382</f>
        <v>-8.1267859328170822</v>
      </c>
      <c r="Z22" s="1">
        <f>[1]Results!AC1382</f>
        <v>-8.3098194265495025</v>
      </c>
      <c r="AA22" s="1">
        <f>[1]Results!AD1382</f>
        <v>-8.4859012657496287</v>
      </c>
      <c r="AB22" s="1">
        <f>[1]Results!AE1382</f>
        <v>-8.6552244365529436</v>
      </c>
      <c r="AC22" s="1">
        <f>[1]Results!AF1382</f>
        <v>-8.8163381253159816</v>
      </c>
      <c r="AD22" s="1">
        <f>[1]Results!AG1382</f>
        <v>-8.969438427766141</v>
      </c>
      <c r="AE22" s="1">
        <f>[1]Results!AH1382</f>
        <v>-9.1148106284979491</v>
      </c>
      <c r="AF22" s="1">
        <f>[1]Results!AI1382</f>
        <v>-9.2527186473152501</v>
      </c>
      <c r="AG22" s="1">
        <f>[1]Results!AJ1382</f>
        <v>-9.383391673440034</v>
      </c>
      <c r="AH22" s="1">
        <f>[1]Results!AK1382</f>
        <v>-9.5062427536677383</v>
      </c>
      <c r="AI22" s="1">
        <f>[1]Results!AL1382</f>
        <v>-9.6217354154462971</v>
      </c>
      <c r="AJ22" s="1">
        <f>[1]Results!AM1382</f>
        <v>-9.730255874980454</v>
      </c>
      <c r="AK22" s="1">
        <f>[1]Results!AN1382</f>
        <v>-9.8321548151839018</v>
      </c>
      <c r="AL22" s="1">
        <f>[1]Results!AO1382</f>
        <v>-9.9277768289708579</v>
      </c>
      <c r="AM22" s="1">
        <f>[1]Results!AP1382</f>
        <v>-10.010433481679115</v>
      </c>
      <c r="AN22" s="1">
        <f>[1]Results!AQ1382</f>
        <v>-10.082886499917642</v>
      </c>
      <c r="AO22" s="1">
        <f>[1]Results!AR1382</f>
        <v>-10.147001970912207</v>
      </c>
      <c r="AP22" s="1">
        <f>[1]Results!AS1382</f>
        <v>-10.20411799916735</v>
      </c>
      <c r="AQ22" s="1">
        <f>[1]Results!AT1382</f>
        <v>-10.255266993186163</v>
      </c>
      <c r="AR22" s="1">
        <f>[1]Results!AU1382</f>
        <v>-10.300139682969988</v>
      </c>
      <c r="AS22" s="1">
        <f>[1]Results!AV1382</f>
        <v>-10.339757109251613</v>
      </c>
      <c r="AT22" s="1">
        <f>[1]Results!AW1382</f>
        <v>-10.374931883056004</v>
      </c>
      <c r="AU22" s="1">
        <f>[1]Results!AX1382</f>
        <v>-10.406341951258113</v>
      </c>
      <c r="AV22" s="1">
        <f>[1]Results!AY1382</f>
        <v>-10.434586038465044</v>
      </c>
      <c r="AW22" s="1">
        <f>[1]Results!AZ1382</f>
        <v>-10.456421380673076</v>
      </c>
      <c r="AX22" s="1">
        <f>[1]Results!BA1382</f>
        <v>-10.473542863754492</v>
      </c>
      <c r="AY22" s="1">
        <f>[1]Results!BB1382</f>
        <v>-10.487271397806442</v>
      </c>
      <c r="AZ22" s="1">
        <f>[1]Results!BC1382</f>
        <v>-10.498603462130207</v>
      </c>
      <c r="BA22" s="1">
        <f>[1]Results!BD1382</f>
        <v>-10.508317349648244</v>
      </c>
      <c r="BB22" s="1">
        <f>[1]Results!BE1382</f>
        <v>-1.6590830803153711E-2</v>
      </c>
      <c r="BC22" s="1">
        <f>[1]Results!BF1382</f>
        <v>6.790661820388344E-3</v>
      </c>
      <c r="BD22" s="1">
        <f>[1]Results!BG1382</f>
        <v>3.1922676942941486E-2</v>
      </c>
      <c r="BE22" s="1">
        <f>[1]Results!BH1382</f>
        <v>5.8664753424508831E-2</v>
      </c>
      <c r="BF22" s="1">
        <f>[1]Results!BI1382</f>
        <v>8.686713636258947E-2</v>
      </c>
    </row>
    <row r="23" spans="1:58" x14ac:dyDescent="0.35">
      <c r="A23" s="3" t="str">
        <f>[1]Results!E1383</f>
        <v>100*(X_2/X_0-1)</v>
      </c>
      <c r="B23" t="s">
        <v>22</v>
      </c>
      <c r="C23" s="1">
        <f>[1]Results!F1383</f>
        <v>-4.8627019971890668</v>
      </c>
      <c r="D23" s="1">
        <f>[1]Results!G1383</f>
        <v>-5.1927728488800007</v>
      </c>
      <c r="E23" s="1">
        <f>[1]Results!H1383</f>
        <v>-5.4876423011123387</v>
      </c>
      <c r="F23" s="1">
        <f>[1]Results!I1383</f>
        <v>-5.7613001271961899</v>
      </c>
      <c r="G23" s="1">
        <f>[1]Results!J1383</f>
        <v>-6.0243923924694247</v>
      </c>
      <c r="H23" s="1">
        <f>[1]Results!K1383</f>
        <v>-6.2841744950865586</v>
      </c>
      <c r="I23" s="1">
        <f>[1]Results!L1383</f>
        <v>-6.5529911987945999</v>
      </c>
      <c r="J23" s="1">
        <f>[1]Results!M1383</f>
        <v>-6.8263703435521901</v>
      </c>
      <c r="K23" s="1">
        <f>[1]Results!N1383</f>
        <v>-7.1066001594981891</v>
      </c>
      <c r="L23" s="1">
        <f>[1]Results!O1383</f>
        <v>-7.3954593377077993</v>
      </c>
      <c r="M23" s="1">
        <f>[1]Results!P1383</f>
        <v>-8.0354217415250506</v>
      </c>
      <c r="N23" s="1">
        <f>[1]Results!Q1383</f>
        <v>-8.1253278333962005</v>
      </c>
      <c r="O23" s="1">
        <f>[1]Results!R1383</f>
        <v>-8.2296517144174413</v>
      </c>
      <c r="P23" s="1">
        <f>[1]Results!S1383</f>
        <v>-8.3512422886906972</v>
      </c>
      <c r="Q23" s="1">
        <f>[1]Results!T1383</f>
        <v>-8.491231853438908</v>
      </c>
      <c r="R23" s="1">
        <f>[1]Results!U1383</f>
        <v>-8.6495440491279005</v>
      </c>
      <c r="S23" s="1">
        <f>[1]Results!V1383</f>
        <v>-8.8410194747171378</v>
      </c>
      <c r="T23" s="1">
        <f>[1]Results!W1383</f>
        <v>-9.0487449347922855</v>
      </c>
      <c r="U23" s="1">
        <f>[1]Results!X1383</f>
        <v>-9.2711863276821234</v>
      </c>
      <c r="V23" s="1">
        <f>[1]Results!Y1383</f>
        <v>-9.5066925410854033</v>
      </c>
      <c r="W23" s="1">
        <f>[1]Results!Z1383</f>
        <v>-9.7535295249826852</v>
      </c>
      <c r="X23" s="1">
        <f>[1]Results!AA1383</f>
        <v>-10.009260335267388</v>
      </c>
      <c r="Y23" s="1">
        <f>[1]Results!AB1383</f>
        <v>-10.272962014525922</v>
      </c>
      <c r="Z23" s="1">
        <f>[1]Results!AC1383</f>
        <v>-10.543041714338363</v>
      </c>
      <c r="AA23" s="1">
        <f>[1]Results!AD1383</f>
        <v>-10.817990880743933</v>
      </c>
      <c r="AB23" s="1">
        <f>[1]Results!AE1383</f>
        <v>-11.096329466144262</v>
      </c>
      <c r="AC23" s="1">
        <f>[1]Results!AF1383</f>
        <v>-11.368471546729708</v>
      </c>
      <c r="AD23" s="1">
        <f>[1]Results!AG1383</f>
        <v>-11.641620353430016</v>
      </c>
      <c r="AE23" s="1">
        <f>[1]Results!AH1383</f>
        <v>-11.914915428544404</v>
      </c>
      <c r="AF23" s="1">
        <f>[1]Results!AI1383</f>
        <v>-12.187663756195398</v>
      </c>
      <c r="AG23" s="1">
        <f>[1]Results!AJ1383</f>
        <v>-12.459311608396629</v>
      </c>
      <c r="AH23" s="1">
        <f>[1]Results!AK1383</f>
        <v>-12.725678454544864</v>
      </c>
      <c r="AI23" s="1">
        <f>[1]Results!AL1383</f>
        <v>-12.990186723521946</v>
      </c>
      <c r="AJ23" s="1">
        <f>[1]Results!AM1383</f>
        <v>-13.252634543549579</v>
      </c>
      <c r="AK23" s="1">
        <f>[1]Results!AN1383</f>
        <v>-13.512912343478778</v>
      </c>
      <c r="AL23" s="1">
        <f>[1]Results!AO1383</f>
        <v>-13.770986733256517</v>
      </c>
      <c r="AM23" s="1">
        <f>[1]Results!AP1383</f>
        <v>-13.993893395807422</v>
      </c>
      <c r="AN23" s="1">
        <f>[1]Results!AQ1383</f>
        <v>-14.214581632400469</v>
      </c>
      <c r="AO23" s="1">
        <f>[1]Results!AR1383</f>
        <v>-14.433337278347025</v>
      </c>
      <c r="AP23" s="1">
        <f>[1]Results!AS1383</f>
        <v>-14.650498068220729</v>
      </c>
      <c r="AQ23" s="1">
        <f>[1]Results!AT1383</f>
        <v>-14.86638649492582</v>
      </c>
      <c r="AR23" s="1">
        <f>[1]Results!AU1383</f>
        <v>-15.076029591036711</v>
      </c>
      <c r="AS23" s="1">
        <f>[1]Results!AV1383</f>
        <v>-15.284873040686442</v>
      </c>
      <c r="AT23" s="1">
        <f>[1]Results!AW1383</f>
        <v>-15.493114359064741</v>
      </c>
      <c r="AU23" s="1">
        <f>[1]Results!AX1383</f>
        <v>-15.700911117326633</v>
      </c>
      <c r="AV23" s="1">
        <f>[1]Results!AY1383</f>
        <v>-15.908379339459843</v>
      </c>
      <c r="AW23" s="1">
        <f>[1]Results!AZ1383</f>
        <v>-16.09804480212269</v>
      </c>
      <c r="AX23" s="1">
        <f>[1]Results!BA1383</f>
        <v>-16.287409914333761</v>
      </c>
      <c r="AY23" s="1">
        <f>[1]Results!BB1383</f>
        <v>-16.476586238965041</v>
      </c>
      <c r="AZ23" s="1">
        <f>[1]Results!BC1383</f>
        <v>-16.665675211812992</v>
      </c>
      <c r="BA23" s="1">
        <f>[1]Results!BD1383</f>
        <v>-16.8547411790409</v>
      </c>
      <c r="BB23" s="1">
        <f>[1]Results!BE1383</f>
        <v>-0.54398262451842427</v>
      </c>
      <c r="BC23" s="1">
        <f>[1]Results!BF1383</f>
        <v>-0.56541867023395254</v>
      </c>
      <c r="BD23" s="1">
        <f>[1]Results!BG1383</f>
        <v>-0.5866946144340468</v>
      </c>
      <c r="BE23" s="1">
        <f>[1]Results!BH1383</f>
        <v>-0.60781986002279575</v>
      </c>
      <c r="BF23" s="1">
        <f>[1]Results!BI1383</f>
        <v>-0.62881021150971161</v>
      </c>
    </row>
    <row r="24" spans="1:58" x14ac:dyDescent="0.35">
      <c r="A24" s="3" t="str">
        <f>[1]Results!E1384</f>
        <v>100*(M_2/M_0-1)</v>
      </c>
      <c r="B24" t="s">
        <v>23</v>
      </c>
      <c r="C24" s="1">
        <f>[1]Results!F1384</f>
        <v>-1.6271920438172716</v>
      </c>
      <c r="D24" s="1">
        <f>[1]Results!G1384</f>
        <v>-2.2603035354201384</v>
      </c>
      <c r="E24" s="1">
        <f>[1]Results!H1384</f>
        <v>-2.7529917348438793</v>
      </c>
      <c r="F24" s="1">
        <f>[1]Results!I1384</f>
        <v>-3.1863595554120994</v>
      </c>
      <c r="G24" s="1">
        <f>[1]Results!J1384</f>
        <v>-3.578258682660751</v>
      </c>
      <c r="H24" s="1">
        <f>[1]Results!K1384</f>
        <v>-3.9370499024646288</v>
      </c>
      <c r="I24" s="1">
        <f>[1]Results!L1384</f>
        <v>-4.2716300637080202</v>
      </c>
      <c r="J24" s="1">
        <f>[1]Results!M1384</f>
        <v>-4.5854769372161375</v>
      </c>
      <c r="K24" s="1">
        <f>[1]Results!N1384</f>
        <v>-4.8824823869242913</v>
      </c>
      <c r="L24" s="1">
        <f>[1]Results!O1384</f>
        <v>-5.1659971867308974</v>
      </c>
      <c r="M24" s="1">
        <f>[1]Results!P1384</f>
        <v>-5.5564339338645681</v>
      </c>
      <c r="N24" s="1">
        <f>[1]Results!Q1384</f>
        <v>-5.7806711763294221</v>
      </c>
      <c r="O24" s="1">
        <f>[1]Results!R1384</f>
        <v>-5.9628545388002667</v>
      </c>
      <c r="P24" s="1">
        <f>[1]Results!S1384</f>
        <v>-6.1203870882520661</v>
      </c>
      <c r="Q24" s="1">
        <f>[1]Results!T1384</f>
        <v>-6.2593927929144311</v>
      </c>
      <c r="R24" s="1">
        <f>[1]Results!U1384</f>
        <v>-6.3835651418284627</v>
      </c>
      <c r="S24" s="1">
        <f>[1]Results!V1384</f>
        <v>-6.5010404524255989</v>
      </c>
      <c r="T24" s="1">
        <f>[1]Results!W1384</f>
        <v>-6.6108469579808755</v>
      </c>
      <c r="U24" s="1">
        <f>[1]Results!X1384</f>
        <v>-6.7146480680414395</v>
      </c>
      <c r="V24" s="1">
        <f>[1]Results!Y1384</f>
        <v>-6.8141268967833124</v>
      </c>
      <c r="W24" s="1">
        <f>[1]Results!Z1384</f>
        <v>-6.910826906236089</v>
      </c>
      <c r="X24" s="1">
        <f>[1]Results!AA1384</f>
        <v>-7.005812947404932</v>
      </c>
      <c r="Y24" s="1">
        <f>[1]Results!AB1384</f>
        <v>-7.0999818408503774</v>
      </c>
      <c r="Z24" s="1">
        <f>[1]Results!AC1384</f>
        <v>-7.1941749932554977</v>
      </c>
      <c r="AA24" s="1">
        <f>[1]Results!AD1384</f>
        <v>-7.2890072250147986</v>
      </c>
      <c r="AB24" s="1">
        <f>[1]Results!AE1384</f>
        <v>-7.3848829356904737</v>
      </c>
      <c r="AC24" s="1">
        <f>[1]Results!AF1384</f>
        <v>-7.4801161544810535</v>
      </c>
      <c r="AD24" s="1">
        <f>[1]Results!AG1384</f>
        <v>-7.5760927598929495</v>
      </c>
      <c r="AE24" s="1">
        <f>[1]Results!AH1384</f>
        <v>-7.6732284960412507</v>
      </c>
      <c r="AF24" s="1">
        <f>[1]Results!AI1384</f>
        <v>-7.7717116655397378</v>
      </c>
      <c r="AG24" s="1">
        <f>[1]Results!AJ1384</f>
        <v>-7.871600512956789</v>
      </c>
      <c r="AH24" s="1">
        <f>[1]Results!AK1384</f>
        <v>-7.9716351193026336</v>
      </c>
      <c r="AI24" s="1">
        <f>[1]Results!AL1384</f>
        <v>-8.0726012014123665</v>
      </c>
      <c r="AJ24" s="1">
        <f>[1]Results!AM1384</f>
        <v>-8.1745604760311785</v>
      </c>
      <c r="AK24" s="1">
        <f>[1]Results!AN1384</f>
        <v>-8.2774740837893379</v>
      </c>
      <c r="AL24" s="1">
        <f>[1]Results!AO1384</f>
        <v>-8.3812642021994463</v>
      </c>
      <c r="AM24" s="1">
        <f>[1]Results!AP1384</f>
        <v>-8.4747802455703898</v>
      </c>
      <c r="AN24" s="1">
        <f>[1]Results!AQ1384</f>
        <v>-8.5657760654418773</v>
      </c>
      <c r="AO24" s="1">
        <f>[1]Results!AR1384</f>
        <v>-8.6555027109046492</v>
      </c>
      <c r="AP24" s="1">
        <f>[1]Results!AS1384</f>
        <v>-8.7444976706543827</v>
      </c>
      <c r="AQ24" s="1">
        <f>[1]Results!AT1384</f>
        <v>-8.8330564842318164</v>
      </c>
      <c r="AR24" s="1">
        <f>[1]Results!AU1384</f>
        <v>-8.9195999432239663</v>
      </c>
      <c r="AS24" s="1">
        <f>[1]Results!AV1384</f>
        <v>-9.0054500789189422</v>
      </c>
      <c r="AT24" s="1">
        <f>[1]Results!AW1384</f>
        <v>-9.0909231353552009</v>
      </c>
      <c r="AU24" s="1">
        <f>[1]Results!AX1384</f>
        <v>-9.1762135417278294</v>
      </c>
      <c r="AV24" s="1">
        <f>[1]Results!AY1384</f>
        <v>-9.2614737824683218</v>
      </c>
      <c r="AW24" s="1">
        <f>[1]Results!AZ1384</f>
        <v>-9.3409588430215411</v>
      </c>
      <c r="AX24" s="1">
        <f>[1]Results!BA1384</f>
        <v>-9.4188556640195422</v>
      </c>
      <c r="AY24" s="1">
        <f>[1]Results!BB1384</f>
        <v>-9.4960413098012513</v>
      </c>
      <c r="AZ24" s="1">
        <f>[1]Results!BC1384</f>
        <v>-9.5730250143270084</v>
      </c>
      <c r="BA24" s="1">
        <f>[1]Results!BD1384</f>
        <v>-9.6501294713552959</v>
      </c>
      <c r="BB24" s="1">
        <f>[1]Results!BE1384</f>
        <v>0.12102451906113032</v>
      </c>
      <c r="BC24" s="1">
        <f>[1]Results!BF1384</f>
        <v>0.1305828611516846</v>
      </c>
      <c r="BD24" s="1">
        <f>[1]Results!BG1384</f>
        <v>0.14036785952271646</v>
      </c>
      <c r="BE24" s="1">
        <f>[1]Results!BH1384</f>
        <v>0.15031976500954336</v>
      </c>
      <c r="BF24" s="1">
        <f>[1]Results!BI1384</f>
        <v>0.1603921557421506</v>
      </c>
    </row>
    <row r="25" spans="1:58" x14ac:dyDescent="0.35">
      <c r="A25" s="3" t="str">
        <f>[1]Results!E1385</f>
        <v>100*((CH_2-CH_ccon_2)/(CH_0-CH_ccon_0)-1)</v>
      </c>
      <c r="B25" t="str">
        <f>[1]Results!C1385</f>
        <v>Consommation des ménages</v>
      </c>
      <c r="C25" s="1">
        <f>[1]Results!F1385</f>
        <v>-0.46326566045484796</v>
      </c>
      <c r="D25" s="1">
        <f>[1]Results!G1385</f>
        <v>-1.0213559216053825</v>
      </c>
      <c r="E25" s="1">
        <f>[1]Results!H1385</f>
        <v>-1.5481664192374178</v>
      </c>
      <c r="F25" s="1">
        <f>[1]Results!I1385</f>
        <v>-2.0102358821493582</v>
      </c>
      <c r="G25" s="1">
        <f>[1]Results!J1385</f>
        <v>-2.4040048528280011</v>
      </c>
      <c r="H25" s="1">
        <f>[1]Results!K1385</f>
        <v>-2.735383465983765</v>
      </c>
      <c r="I25" s="1">
        <f>[1]Results!L1385</f>
        <v>-3.0142423356754988</v>
      </c>
      <c r="J25" s="1">
        <f>[1]Results!M1385</f>
        <v>-3.2491820198837562</v>
      </c>
      <c r="K25" s="1">
        <f>[1]Results!N1385</f>
        <v>-3.4484984118330786</v>
      </c>
      <c r="L25" s="1">
        <f>[1]Results!O1385</f>
        <v>-3.61968644582914</v>
      </c>
      <c r="M25" s="1">
        <f>[1]Results!P1385</f>
        <v>-3.7976961264947429</v>
      </c>
      <c r="N25" s="1">
        <f>[1]Results!Q1385</f>
        <v>-3.9463253297234435</v>
      </c>
      <c r="O25" s="1">
        <f>[1]Results!R1385</f>
        <v>-4.0573777063035994</v>
      </c>
      <c r="P25" s="1">
        <f>[1]Results!S1385</f>
        <v>-4.1330028670705126</v>
      </c>
      <c r="Q25" s="1">
        <f>[1]Results!T1385</f>
        <v>-4.1783559678446274</v>
      </c>
      <c r="R25" s="1">
        <f>[1]Results!U1385</f>
        <v>-4.1993138330624902</v>
      </c>
      <c r="S25" s="1">
        <f>[1]Results!V1385</f>
        <v>-4.2033420333980391</v>
      </c>
      <c r="T25" s="1">
        <f>[1]Results!W1385</f>
        <v>-4.1960053045006385</v>
      </c>
      <c r="U25" s="1">
        <f>[1]Results!X1385</f>
        <v>-4.181765235097723</v>
      </c>
      <c r="V25" s="1">
        <f>[1]Results!Y1385</f>
        <v>-4.1642694693813986</v>
      </c>
      <c r="W25" s="1">
        <f>[1]Results!Z1385</f>
        <v>-4.1469525588428198</v>
      </c>
      <c r="X25" s="1">
        <f>[1]Results!AA1385</f>
        <v>-4.130954049486812</v>
      </c>
      <c r="Y25" s="1">
        <f>[1]Results!AB1385</f>
        <v>-4.118351196505488</v>
      </c>
      <c r="Z25" s="1">
        <f>[1]Results!AC1385</f>
        <v>-4.1105143247721969</v>
      </c>
      <c r="AA25" s="1">
        <f>[1]Results!AD1385</f>
        <v>-4.1082892255659864</v>
      </c>
      <c r="AB25" s="1">
        <f>[1]Results!AE1385</f>
        <v>-4.1134200502751632</v>
      </c>
      <c r="AC25" s="1">
        <f>[1]Results!AF1385</f>
        <v>-4.1230222464585076</v>
      </c>
      <c r="AD25" s="1">
        <f>[1]Results!AG1385</f>
        <v>-4.137343493268153</v>
      </c>
      <c r="AE25" s="1">
        <f>[1]Results!AH1385</f>
        <v>-4.1566645859786195</v>
      </c>
      <c r="AF25" s="1">
        <f>[1]Results!AI1385</f>
        <v>-4.1810824630022729</v>
      </c>
      <c r="AG25" s="1">
        <f>[1]Results!AJ1385</f>
        <v>-4.2105011593907005</v>
      </c>
      <c r="AH25" s="1">
        <f>[1]Results!AK1385</f>
        <v>-4.2442738299796829</v>
      </c>
      <c r="AI25" s="1">
        <f>[1]Results!AL1385</f>
        <v>-4.2820658403600165</v>
      </c>
      <c r="AJ25" s="1">
        <f>[1]Results!AM1385</f>
        <v>-4.3236183261388668</v>
      </c>
      <c r="AK25" s="1">
        <f>[1]Results!AN1385</f>
        <v>-4.3686631104139284</v>
      </c>
      <c r="AL25" s="1">
        <f>[1]Results!AO1385</f>
        <v>-4.4169097639188637</v>
      </c>
      <c r="AM25" s="1">
        <f>[1]Results!AP1385</f>
        <v>-4.4645861083668636</v>
      </c>
      <c r="AN25" s="1">
        <f>[1]Results!AQ1385</f>
        <v>-4.510890434580606</v>
      </c>
      <c r="AO25" s="1">
        <f>[1]Results!AR1385</f>
        <v>-4.5563099980969639</v>
      </c>
      <c r="AP25" s="1">
        <f>[1]Results!AS1385</f>
        <v>-4.601498024499973</v>
      </c>
      <c r="AQ25" s="1">
        <f>[1]Results!AT1385</f>
        <v>-4.6469462186438548</v>
      </c>
      <c r="AR25" s="1">
        <f>[1]Results!AU1385</f>
        <v>-4.6923754032837</v>
      </c>
      <c r="AS25" s="1">
        <f>[1]Results!AV1385</f>
        <v>-4.7379749728169385</v>
      </c>
      <c r="AT25" s="1">
        <f>[1]Results!AW1385</f>
        <v>-4.7840475488581387</v>
      </c>
      <c r="AU25" s="1">
        <f>[1]Results!AX1385</f>
        <v>-4.8308729345230228</v>
      </c>
      <c r="AV25" s="1">
        <f>[1]Results!AY1385</f>
        <v>-4.8786775801896054</v>
      </c>
      <c r="AW25" s="1">
        <f>[1]Results!AZ1385</f>
        <v>-4.9256017134115755</v>
      </c>
      <c r="AX25" s="1">
        <f>[1]Results!BA1385</f>
        <v>-4.9717681119355372</v>
      </c>
      <c r="AY25" s="1">
        <f>[1]Results!BB1385</f>
        <v>-5.0178170584972426</v>
      </c>
      <c r="AZ25" s="1">
        <f>[1]Results!BC1385</f>
        <v>-5.0643349332731624</v>
      </c>
      <c r="BA25" s="1">
        <f>[1]Results!BD1385</f>
        <v>-5.1117179332846652</v>
      </c>
      <c r="BB25" s="1">
        <f>[1]Results!BE1385</f>
        <v>5.0694879674284543E-2</v>
      </c>
      <c r="BC25" s="1">
        <f>[1]Results!BF1385</f>
        <v>5.4749036903967152E-2</v>
      </c>
      <c r="BD25" s="1">
        <f>[1]Results!BG1385</f>
        <v>5.8653461274560392E-2</v>
      </c>
      <c r="BE25" s="1">
        <f>[1]Results!BH1385</f>
        <v>6.230993204430213E-2</v>
      </c>
      <c r="BF25" s="1">
        <f>[1]Results!BI1385</f>
        <v>6.5658514727173767E-2</v>
      </c>
    </row>
    <row r="26" spans="1:58" x14ac:dyDescent="0.35">
      <c r="A26" s="3" t="str">
        <f>[1]Results!E1386</f>
        <v>100*((I_2+CH_ccon_2)/(I_0+CH_ccon_0)-1)</v>
      </c>
      <c r="B26" t="str">
        <f>[1]Results!C1386</f>
        <v>Investissement</v>
      </c>
      <c r="C26" s="1">
        <f>[1]Results!F1386</f>
        <v>-0.93945224223519475</v>
      </c>
      <c r="D26" s="1">
        <f>[1]Results!G1386</f>
        <v>-1.5841877572723817</v>
      </c>
      <c r="E26" s="1">
        <f>[1]Results!H1386</f>
        <v>-2.0636592592774061</v>
      </c>
      <c r="F26" s="1">
        <f>[1]Results!I1386</f>
        <v>-2.4626641889440859</v>
      </c>
      <c r="G26" s="1">
        <f>[1]Results!J1386</f>
        <v>-2.8221166535671305</v>
      </c>
      <c r="H26" s="1">
        <f>[1]Results!K1386</f>
        <v>-3.1612913175777857</v>
      </c>
      <c r="I26" s="1">
        <f>[1]Results!L1386</f>
        <v>-3.4906393194320873</v>
      </c>
      <c r="J26" s="1">
        <f>[1]Results!M1386</f>
        <v>-3.8137935991354288</v>
      </c>
      <c r="K26" s="1">
        <f>[1]Results!N1386</f>
        <v>-4.1324584705836447</v>
      </c>
      <c r="L26" s="1">
        <f>[1]Results!O1386</f>
        <v>-4.4477102082610802</v>
      </c>
      <c r="M26" s="1">
        <f>[1]Results!P1386</f>
        <v>-4.8242079045757169</v>
      </c>
      <c r="N26" s="1">
        <f>[1]Results!Q1386</f>
        <v>-5.1320420323348053</v>
      </c>
      <c r="O26" s="1">
        <f>[1]Results!R1386</f>
        <v>-5.4012645206218064</v>
      </c>
      <c r="P26" s="1">
        <f>[1]Results!S1386</f>
        <v>-5.6486783219872327</v>
      </c>
      <c r="Q26" s="1">
        <f>[1]Results!T1386</f>
        <v>-5.8816330065314837</v>
      </c>
      <c r="R26" s="1">
        <f>[1]Results!U1386</f>
        <v>-6.1032418273382794</v>
      </c>
      <c r="S26" s="1">
        <f>[1]Results!V1386</f>
        <v>-6.3179706813759946</v>
      </c>
      <c r="T26" s="1">
        <f>[1]Results!W1386</f>
        <v>-6.5255582417176328</v>
      </c>
      <c r="U26" s="1">
        <f>[1]Results!X1386</f>
        <v>-6.7259490809397864</v>
      </c>
      <c r="V26" s="1">
        <f>[1]Results!Y1386</f>
        <v>-6.9192843678158367</v>
      </c>
      <c r="W26" s="1">
        <f>[1]Results!Z1386</f>
        <v>-7.1060045578883795</v>
      </c>
      <c r="X26" s="1">
        <f>[1]Results!AA1386</f>
        <v>-7.285921367925285</v>
      </c>
      <c r="Y26" s="1">
        <f>[1]Results!AB1386</f>
        <v>-7.4592402715405681</v>
      </c>
      <c r="Z26" s="1">
        <f>[1]Results!AC1386</f>
        <v>-7.6261635994088088</v>
      </c>
      <c r="AA26" s="1">
        <f>[1]Results!AD1386</f>
        <v>-7.7868155145045082</v>
      </c>
      <c r="AB26" s="1">
        <f>[1]Results!AE1386</f>
        <v>-7.9418430992240001</v>
      </c>
      <c r="AC26" s="1">
        <f>[1]Results!AF1386</f>
        <v>-8.0892085663044959</v>
      </c>
      <c r="AD26" s="1">
        <f>[1]Results!AG1386</f>
        <v>-8.229251299023888</v>
      </c>
      <c r="AE26" s="1">
        <f>[1]Results!AH1386</f>
        <v>-8.3623220939650125</v>
      </c>
      <c r="AF26" s="1">
        <f>[1]Results!AI1386</f>
        <v>-8.4887152249154774</v>
      </c>
      <c r="AG26" s="1">
        <f>[1]Results!AJ1386</f>
        <v>-8.6086710795682091</v>
      </c>
      <c r="AH26" s="1">
        <f>[1]Results!AK1386</f>
        <v>-8.7216626526682717</v>
      </c>
      <c r="AI26" s="1">
        <f>[1]Results!AL1386</f>
        <v>-8.8281161337668497</v>
      </c>
      <c r="AJ26" s="1">
        <f>[1]Results!AM1386</f>
        <v>-8.9283894433627164</v>
      </c>
      <c r="AK26" s="1">
        <f>[1]Results!AN1386</f>
        <v>-9.0228041929968477</v>
      </c>
      <c r="AL26" s="1">
        <f>[1]Results!AO1386</f>
        <v>-9.1116709711011605</v>
      </c>
      <c r="AM26" s="1">
        <f>[1]Results!AP1386</f>
        <v>-9.1889032130545338</v>
      </c>
      <c r="AN26" s="1">
        <f>[1]Results!AQ1386</f>
        <v>-9.2568586558013486</v>
      </c>
      <c r="AO26" s="1">
        <f>[1]Results!AR1386</f>
        <v>-9.317247006671991</v>
      </c>
      <c r="AP26" s="1">
        <f>[1]Results!AS1386</f>
        <v>-9.3713245872670381</v>
      </c>
      <c r="AQ26" s="1">
        <f>[1]Results!AT1386</f>
        <v>-9.4200523435117205</v>
      </c>
      <c r="AR26" s="1">
        <f>[1]Results!AU1386</f>
        <v>-9.463133269813472</v>
      </c>
      <c r="AS26" s="1">
        <f>[1]Results!AV1386</f>
        <v>-9.5014806021747944</v>
      </c>
      <c r="AT26" s="1">
        <f>[1]Results!AW1386</f>
        <v>-9.535825216631844</v>
      </c>
      <c r="AU26" s="1">
        <f>[1]Results!AX1386</f>
        <v>-9.5667750312358191</v>
      </c>
      <c r="AV26" s="1">
        <f>[1]Results!AY1386</f>
        <v>-9.594864294886186</v>
      </c>
      <c r="AW26" s="1">
        <f>[1]Results!AZ1386</f>
        <v>-9.6170697088214236</v>
      </c>
      <c r="AX26" s="1">
        <f>[1]Results!BA1386</f>
        <v>-9.6349292223026346</v>
      </c>
      <c r="AY26" s="1">
        <f>[1]Results!BB1386</f>
        <v>-9.6496736867472279</v>
      </c>
      <c r="AZ26" s="1">
        <f>[1]Results!BC1386</f>
        <v>-9.6622220386631152</v>
      </c>
      <c r="BA26" s="1">
        <f>[1]Results!BD1386</f>
        <v>-9.6732807555783396</v>
      </c>
      <c r="BB26" s="1">
        <f>[1]Results!BE1386</f>
        <v>-2.4029598338692892E-2</v>
      </c>
      <c r="BC26" s="1">
        <f>[1]Results!BF1386</f>
        <v>-2.9464789680022641E-3</v>
      </c>
      <c r="BD26" s="1">
        <f>[1]Results!BG1386</f>
        <v>1.9727906363664616E-2</v>
      </c>
      <c r="BE26" s="1">
        <f>[1]Results!BH1386</f>
        <v>4.3856441714518191E-2</v>
      </c>
      <c r="BF26" s="1">
        <f>[1]Results!BI1386</f>
        <v>6.9296504480398369E-2</v>
      </c>
    </row>
    <row r="27" spans="1:58" x14ac:dyDescent="0.35">
      <c r="A27" s="3" t="str">
        <f>[1]Results!E1387</f>
        <v>100*((CH_ccon_2)/(CH_ccon_0)-1)</v>
      </c>
      <c r="B27" t="str">
        <f>[1]Results!C1387</f>
        <v>Investissement ménages</v>
      </c>
      <c r="C27" s="1">
        <f>[1]Results!F1387</f>
        <v>-0.49439214469993997</v>
      </c>
      <c r="D27" s="1">
        <f>[1]Results!G1387</f>
        <v>-0.99327665527088049</v>
      </c>
      <c r="E27" s="1">
        <f>[1]Results!H1387</f>
        <v>-1.4016197346349624</v>
      </c>
      <c r="F27" s="1">
        <f>[1]Results!I1387</f>
        <v>-1.738908888774493</v>
      </c>
      <c r="G27" s="1">
        <f>[1]Results!J1387</f>
        <v>-2.0346809815139699</v>
      </c>
      <c r="H27" s="1">
        <f>[1]Results!K1387</f>
        <v>-2.3041434782120285</v>
      </c>
      <c r="I27" s="1">
        <f>[1]Results!L1387</f>
        <v>-2.5535194999362076</v>
      </c>
      <c r="J27" s="1">
        <f>[1]Results!M1387</f>
        <v>-2.7826957396832164</v>
      </c>
      <c r="K27" s="1">
        <f>[1]Results!N1387</f>
        <v>-2.9909318176576161</v>
      </c>
      <c r="L27" s="1">
        <f>[1]Results!O1387</f>
        <v>-3.178604256196671</v>
      </c>
      <c r="M27" s="1">
        <f>[1]Results!P1387</f>
        <v>-3.3718348137790621</v>
      </c>
      <c r="N27" s="1">
        <f>[1]Results!Q1387</f>
        <v>-3.5348907194951762</v>
      </c>
      <c r="O27" s="1">
        <f>[1]Results!R1387</f>
        <v>-3.6628679053714586</v>
      </c>
      <c r="P27" s="1">
        <f>[1]Results!S1387</f>
        <v>-3.7602044381712441</v>
      </c>
      <c r="Q27" s="1">
        <f>[1]Results!T1387</f>
        <v>-3.8318903486241007</v>
      </c>
      <c r="R27" s="1">
        <f>[1]Results!U1387</f>
        <v>-3.8820066729968072</v>
      </c>
      <c r="S27" s="1">
        <f>[1]Results!V1387</f>
        <v>-3.9159026625635973</v>
      </c>
      <c r="T27" s="1">
        <f>[1]Results!W1387</f>
        <v>-3.9372587231921607</v>
      </c>
      <c r="U27" s="1">
        <f>[1]Results!X1387</f>
        <v>-3.9492989001729595</v>
      </c>
      <c r="V27" s="1">
        <f>[1]Results!Y1387</f>
        <v>-3.9551334001789895</v>
      </c>
      <c r="W27" s="1">
        <f>[1]Results!Z1387</f>
        <v>-3.9581472821497599</v>
      </c>
      <c r="X27" s="1">
        <f>[1]Results!AA1387</f>
        <v>-3.9599152364121482</v>
      </c>
      <c r="Y27" s="1">
        <f>[1]Results!AB1387</f>
        <v>-3.9629803088738424</v>
      </c>
      <c r="Z27" s="1">
        <f>[1]Results!AC1387</f>
        <v>-3.9692220002862433</v>
      </c>
      <c r="AA27" s="1">
        <f>[1]Results!AD1387</f>
        <v>-3.9799453152630671</v>
      </c>
      <c r="AB27" s="1">
        <f>[1]Results!AE1387</f>
        <v>-3.9971227024092282</v>
      </c>
      <c r="AC27" s="1">
        <f>[1]Results!AF1387</f>
        <v>-4.0183857584834222</v>
      </c>
      <c r="AD27" s="1">
        <f>[1]Results!AG1387</f>
        <v>-4.0443502907446582</v>
      </c>
      <c r="AE27" s="1">
        <f>[1]Results!AH1387</f>
        <v>-4.0757031938751798</v>
      </c>
      <c r="AF27" s="1">
        <f>[1]Results!AI1387</f>
        <v>-4.1128557979173035</v>
      </c>
      <c r="AG27" s="1">
        <f>[1]Results!AJ1387</f>
        <v>-4.1558718554945422</v>
      </c>
      <c r="AH27" s="1">
        <f>[1]Results!AK1387</f>
        <v>-4.2041035567055633</v>
      </c>
      <c r="AI27" s="1">
        <f>[1]Results!AL1387</f>
        <v>-4.257188017273994</v>
      </c>
      <c r="AJ27" s="1">
        <f>[1]Results!AM1387</f>
        <v>-4.3148171283514003</v>
      </c>
      <c r="AK27" s="1">
        <f>[1]Results!AN1387</f>
        <v>-4.3766503131722363</v>
      </c>
      <c r="AL27" s="1">
        <f>[1]Results!AO1387</f>
        <v>-4.4422926277464692</v>
      </c>
      <c r="AM27" s="1">
        <f>[1]Results!AP1387</f>
        <v>-4.5075008385328186</v>
      </c>
      <c r="AN27" s="1">
        <f>[1]Results!AQ1387</f>
        <v>-4.571605996656503</v>
      </c>
      <c r="AO27" s="1">
        <f>[1]Results!AR1387</f>
        <v>-4.6354607616073684</v>
      </c>
      <c r="AP27" s="1">
        <f>[1]Results!AS1387</f>
        <v>-4.6999622183198086</v>
      </c>
      <c r="AQ27" s="1">
        <f>[1]Results!AT1387</f>
        <v>-4.7655525998355985</v>
      </c>
      <c r="AR27" s="1">
        <f>[1]Results!AU1387</f>
        <v>-4.8315888129453866</v>
      </c>
      <c r="AS27" s="1">
        <f>[1]Results!AV1387</f>
        <v>-4.8978484628284358</v>
      </c>
      <c r="AT27" s="1">
        <f>[1]Results!AW1387</f>
        <v>-4.9642452084461279</v>
      </c>
      <c r="AU27" s="1">
        <f>[1]Results!AX1387</f>
        <v>-5.0307099064440415</v>
      </c>
      <c r="AV27" s="1">
        <f>[1]Results!AY1387</f>
        <v>-5.0971752244095665</v>
      </c>
      <c r="AW27" s="1">
        <f>[1]Results!AZ1387</f>
        <v>-5.1614233174060109</v>
      </c>
      <c r="AX27" s="1">
        <f>[1]Results!BA1387</f>
        <v>-5.223680617937287</v>
      </c>
      <c r="AY27" s="1">
        <f>[1]Results!BB1387</f>
        <v>-5.2848209850490662</v>
      </c>
      <c r="AZ27" s="1">
        <f>[1]Results!BC1387</f>
        <v>-5.3452922067487307</v>
      </c>
      <c r="BA27" s="1">
        <f>[1]Results!BD1387</f>
        <v>-5.4052670298238459</v>
      </c>
      <c r="BB27" s="1">
        <f>[1]Results!BE1387</f>
        <v>-0.17458533209651073</v>
      </c>
      <c r="BC27" s="1">
        <f>[1]Results!BF1387</f>
        <v>-0.18184727266860046</v>
      </c>
      <c r="BD27" s="1">
        <f>[1]Results!BG1387</f>
        <v>-0.18919186420462974</v>
      </c>
      <c r="BE27" s="1">
        <f>[1]Results!BH1387</f>
        <v>-0.19676894095761455</v>
      </c>
      <c r="BF27" s="1">
        <f>[1]Results!BI1387</f>
        <v>-0.20467680295104262</v>
      </c>
    </row>
    <row r="28" spans="1:58" x14ac:dyDescent="0.35">
      <c r="A28" s="3" t="str">
        <f>[1]Results!E1388</f>
        <v>100*((IA_spub_2)/(IA_spub_0)-1)</v>
      </c>
      <c r="B28" t="str">
        <f>[1]Results!C1388</f>
        <v>Investissement public</v>
      </c>
      <c r="C28" s="1">
        <f>[1]Results!F1388</f>
        <v>-0.15564265276163392</v>
      </c>
      <c r="D28" s="1">
        <f>[1]Results!G1388</f>
        <v>-0.25002886949615499</v>
      </c>
      <c r="E28" s="1">
        <f>[1]Results!H1388</f>
        <v>-0.30300447723794477</v>
      </c>
      <c r="F28" s="1">
        <f>[1]Results!I1388</f>
        <v>-0.34102521591784507</v>
      </c>
      <c r="G28" s="1">
        <f>[1]Results!J1388</f>
        <v>-0.37928717609906348</v>
      </c>
      <c r="H28" s="1">
        <f>[1]Results!K1388</f>
        <v>-0.4242133380319868</v>
      </c>
      <c r="I28" s="1">
        <f>[1]Results!L1388</f>
        <v>-0.47781239384405705</v>
      </c>
      <c r="J28" s="1">
        <f>[1]Results!M1388</f>
        <v>-0.53924257380720819</v>
      </c>
      <c r="K28" s="1">
        <f>[1]Results!N1388</f>
        <v>-0.60721142063787648</v>
      </c>
      <c r="L28" s="1">
        <f>[1]Results!O1388</f>
        <v>-0.68051271037405936</v>
      </c>
      <c r="M28" s="1">
        <f>[1]Results!P1388</f>
        <v>-0.76692137229050772</v>
      </c>
      <c r="N28" s="1">
        <f>[1]Results!Q1388</f>
        <v>-0.84631621559940751</v>
      </c>
      <c r="O28" s="1">
        <f>[1]Results!R1388</f>
        <v>-0.92358900985062276</v>
      </c>
      <c r="P28" s="1">
        <f>[1]Results!S1388</f>
        <v>-1.0012520878242448</v>
      </c>
      <c r="Q28" s="1">
        <f>[1]Results!T1388</f>
        <v>-1.0792996826864742</v>
      </c>
      <c r="R28" s="1">
        <f>[1]Results!U1388</f>
        <v>-1.1566983323833435</v>
      </c>
      <c r="S28" s="1">
        <f>[1]Results!V1388</f>
        <v>-1.2329186625784194</v>
      </c>
      <c r="T28" s="1">
        <f>[1]Results!W1388</f>
        <v>-1.3067976778775581</v>
      </c>
      <c r="U28" s="1">
        <f>[1]Results!X1388</f>
        <v>-1.3774284402346293</v>
      </c>
      <c r="V28" s="1">
        <f>[1]Results!Y1388</f>
        <v>-1.4442109682585968</v>
      </c>
      <c r="W28" s="1">
        <f>[1]Results!Z1388</f>
        <v>-1.5070287506552593</v>
      </c>
      <c r="X28" s="1">
        <f>[1]Results!AA1388</f>
        <v>-1.5651250707215625</v>
      </c>
      <c r="Y28" s="1">
        <f>[1]Results!AB1388</f>
        <v>-1.6187068884305988</v>
      </c>
      <c r="Z28" s="1">
        <f>[1]Results!AC1388</f>
        <v>-1.6679117644049279</v>
      </c>
      <c r="AA28" s="1">
        <f>[1]Results!AD1388</f>
        <v>-1.7128849820244874</v>
      </c>
      <c r="AB28" s="1">
        <f>[1]Results!AE1388</f>
        <v>-1.7544697417483768</v>
      </c>
      <c r="AC28" s="1">
        <f>[1]Results!AF1388</f>
        <v>-1.7913333426480049</v>
      </c>
      <c r="AD28" s="1">
        <f>[1]Results!AG1388</f>
        <v>-1.8241306895457887</v>
      </c>
      <c r="AE28" s="1">
        <f>[1]Results!AH1388</f>
        <v>-1.8534605752955846</v>
      </c>
      <c r="AF28" s="1">
        <f>[1]Results!AI1388</f>
        <v>-1.8798565065925477</v>
      </c>
      <c r="AG28" s="1">
        <f>[1]Results!AJ1388</f>
        <v>-1.9037889731388313</v>
      </c>
      <c r="AH28" s="1">
        <f>[1]Results!AK1388</f>
        <v>-1.9255037566262012</v>
      </c>
      <c r="AI28" s="1">
        <f>[1]Results!AL1388</f>
        <v>-1.9454158728476334</v>
      </c>
      <c r="AJ28" s="1">
        <f>[1]Results!AM1388</f>
        <v>-1.9639256609850997</v>
      </c>
      <c r="AK28" s="1">
        <f>[1]Results!AN1388</f>
        <v>-1.9813926733217913</v>
      </c>
      <c r="AL28" s="1">
        <f>[1]Results!AO1388</f>
        <v>-1.9981326809272004</v>
      </c>
      <c r="AM28" s="1">
        <f>[1]Results!AP1388</f>
        <v>-2.0130283940035354</v>
      </c>
      <c r="AN28" s="1">
        <f>[1]Results!AQ1388</f>
        <v>-2.0264756857427568</v>
      </c>
      <c r="AO28" s="1">
        <f>[1]Results!AR1388</f>
        <v>-2.0391797485070695</v>
      </c>
      <c r="AP28" s="1">
        <f>[1]Results!AS1388</f>
        <v>-2.0517375779381175</v>
      </c>
      <c r="AQ28" s="1">
        <f>[1]Results!AT1388</f>
        <v>-2.0645492981052005</v>
      </c>
      <c r="AR28" s="1">
        <f>[1]Results!AU1388</f>
        <v>-2.0775863192696975</v>
      </c>
      <c r="AS28" s="1">
        <f>[1]Results!AV1388</f>
        <v>-2.0910046142258443</v>
      </c>
      <c r="AT28" s="1">
        <f>[1]Results!AW1388</f>
        <v>-2.1049185092988032</v>
      </c>
      <c r="AU28" s="1">
        <f>[1]Results!AX1388</f>
        <v>-2.1193815868755794</v>
      </c>
      <c r="AV28" s="1">
        <f>[1]Results!AY1388</f>
        <v>-2.1343986694092432</v>
      </c>
      <c r="AW28" s="1">
        <f>[1]Results!AZ1388</f>
        <v>-2.1490723718957438</v>
      </c>
      <c r="AX28" s="1">
        <f>[1]Results!BA1388</f>
        <v>-2.1635792100309303</v>
      </c>
      <c r="AY28" s="1">
        <f>[1]Results!BB1388</f>
        <v>-2.1781931276709576</v>
      </c>
      <c r="AZ28" s="1">
        <f>[1]Results!BC1388</f>
        <v>-2.1930818558699938</v>
      </c>
      <c r="BA28" s="1">
        <f>[1]Results!BD1388</f>
        <v>-2.2082996652802778</v>
      </c>
      <c r="BB28" s="1">
        <f>[1]Results!BE1388</f>
        <v>-4.6237572208673861E-2</v>
      </c>
      <c r="BC28" s="1">
        <f>[1]Results!BF1388</f>
        <v>-3.9788414709518438E-2</v>
      </c>
      <c r="BD28" s="1">
        <f>[1]Results!BG1388</f>
        <v>-3.2910111721817792E-2</v>
      </c>
      <c r="BE28" s="1">
        <f>[1]Results!BH1388</f>
        <v>-2.5688620004793439E-2</v>
      </c>
      <c r="BF28" s="1">
        <f>[1]Results!BI1388</f>
        <v>-1.8194280593819556E-2</v>
      </c>
    </row>
    <row r="29" spans="1:58" x14ac:dyDescent="0.35">
      <c r="A29" s="3" t="str">
        <f>[1]Results!E1389</f>
        <v>100*(DISPINC_AT_VAL_2/DISPINC_AT_VAL_0-1)</v>
      </c>
      <c r="B29" t="str">
        <f>[1]Results!C1389</f>
        <v>Revenu disponible des ménages</v>
      </c>
      <c r="C29" s="1">
        <f>[1]Results!F1389</f>
        <v>-0.81133681086925646</v>
      </c>
      <c r="D29" s="1">
        <f>[1]Results!G1389</f>
        <v>-1.5806422090885563</v>
      </c>
      <c r="E29" s="1">
        <f>[1]Results!H1389</f>
        <v>-2.2993709675628526</v>
      </c>
      <c r="F29" s="1">
        <f>[1]Results!I1389</f>
        <v>-2.9630161943668964</v>
      </c>
      <c r="G29" s="1">
        <f>[1]Results!J1389</f>
        <v>-3.568877379464841</v>
      </c>
      <c r="H29" s="1">
        <f>[1]Results!K1389</f>
        <v>-4.1174331060273346</v>
      </c>
      <c r="I29" s="1">
        <f>[1]Results!L1389</f>
        <v>-4.6138105835147991</v>
      </c>
      <c r="J29" s="1">
        <f>[1]Results!M1389</f>
        <v>-5.0611073263896795</v>
      </c>
      <c r="K29" s="1">
        <f>[1]Results!N1389</f>
        <v>-5.463893927218388</v>
      </c>
      <c r="L29" s="1">
        <f>[1]Results!O1389</f>
        <v>-5.8265637737807356</v>
      </c>
      <c r="M29" s="1">
        <f>[1]Results!P1389</f>
        <v>-6.2073142930022644</v>
      </c>
      <c r="N29" s="1">
        <f>[1]Results!Q1389</f>
        <v>-6.5157619232771413</v>
      </c>
      <c r="O29" s="1">
        <f>[1]Results!R1389</f>
        <v>-6.756241325291934</v>
      </c>
      <c r="P29" s="1">
        <f>[1]Results!S1389</f>
        <v>-6.9357756250974507</v>
      </c>
      <c r="Q29" s="1">
        <f>[1]Results!T1389</f>
        <v>-7.061783127916943</v>
      </c>
      <c r="R29" s="1">
        <f>[1]Results!U1389</f>
        <v>-7.1418957595571486</v>
      </c>
      <c r="S29" s="1">
        <f>[1]Results!V1389</f>
        <v>-7.185619289107148</v>
      </c>
      <c r="T29" s="1">
        <f>[1]Results!W1389</f>
        <v>-7.1997310270150887</v>
      </c>
      <c r="U29" s="1">
        <f>[1]Results!X1389</f>
        <v>-7.1905323400100363</v>
      </c>
      <c r="V29" s="1">
        <f>[1]Results!Y1389</f>
        <v>-7.1637333509197436</v>
      </c>
      <c r="W29" s="1">
        <f>[1]Results!Z1389</f>
        <v>-7.1253084847578751</v>
      </c>
      <c r="X29" s="1">
        <f>[1]Results!AA1389</f>
        <v>-7.0775438347777104</v>
      </c>
      <c r="Y29" s="1">
        <f>[1]Results!AB1389</f>
        <v>-7.0254725640486519</v>
      </c>
      <c r="Z29" s="1">
        <f>[1]Results!AC1389</f>
        <v>-6.9723008796802599</v>
      </c>
      <c r="AA29" s="1">
        <f>[1]Results!AD1389</f>
        <v>-6.9206974543918882</v>
      </c>
      <c r="AB29" s="1">
        <f>[1]Results!AE1389</f>
        <v>-6.875131099467291</v>
      </c>
      <c r="AC29" s="1">
        <f>[1]Results!AF1389</f>
        <v>-6.8320385790738181</v>
      </c>
      <c r="AD29" s="1">
        <f>[1]Results!AG1389</f>
        <v>-6.7945761738311568</v>
      </c>
      <c r="AE29" s="1">
        <f>[1]Results!AH1389</f>
        <v>-6.7637518055185026</v>
      </c>
      <c r="AF29" s="1">
        <f>[1]Results!AI1389</f>
        <v>-6.740178864410062</v>
      </c>
      <c r="AG29" s="1">
        <f>[1]Results!AJ1389</f>
        <v>-6.7241788438454853</v>
      </c>
      <c r="AH29" s="1">
        <f>[1]Results!AK1389</f>
        <v>-6.7154002039408685</v>
      </c>
      <c r="AI29" s="1">
        <f>[1]Results!AL1389</f>
        <v>-6.7138402878972325</v>
      </c>
      <c r="AJ29" s="1">
        <f>[1]Results!AM1389</f>
        <v>-6.7193076760617476</v>
      </c>
      <c r="AK29" s="1">
        <f>[1]Results!AN1389</f>
        <v>-6.7314701910195733</v>
      </c>
      <c r="AL29" s="1">
        <f>[1]Results!AO1389</f>
        <v>-6.7498987740352572</v>
      </c>
      <c r="AM29" s="1">
        <f>[1]Results!AP1389</f>
        <v>-6.7706730159227231</v>
      </c>
      <c r="AN29" s="1">
        <f>[1]Results!AQ1389</f>
        <v>-6.7933692311262899</v>
      </c>
      <c r="AO29" s="1">
        <f>[1]Results!AR1389</f>
        <v>-6.8179085910616166</v>
      </c>
      <c r="AP29" s="1">
        <f>[1]Results!AS1389</f>
        <v>-6.8440626724760367</v>
      </c>
      <c r="AQ29" s="1">
        <f>[1]Results!AT1389</f>
        <v>-6.8716028930283617</v>
      </c>
      <c r="AR29" s="1">
        <f>[1]Results!AU1389</f>
        <v>-6.8997721599941215</v>
      </c>
      <c r="AS29" s="1">
        <f>[1]Results!AV1389</f>
        <v>-6.9286191738896719</v>
      </c>
      <c r="AT29" s="1">
        <f>[1]Results!AW1389</f>
        <v>-6.9582039373728861</v>
      </c>
      <c r="AU29" s="1">
        <f>[1]Results!AX1389</f>
        <v>-6.9886057982760708</v>
      </c>
      <c r="AV29" s="1">
        <f>[1]Results!AY1389</f>
        <v>-7.0199319928211379</v>
      </c>
      <c r="AW29" s="1">
        <f>[1]Results!AZ1389</f>
        <v>-7.0503227354244409</v>
      </c>
      <c r="AX29" s="1">
        <f>[1]Results!BA1389</f>
        <v>-7.0804082857556239</v>
      </c>
      <c r="AY29" s="1">
        <f>[1]Results!BB1389</f>
        <v>-7.1105799143260988</v>
      </c>
      <c r="AZ29" s="1">
        <f>[1]Results!BC1389</f>
        <v>-7.1410984566756985</v>
      </c>
      <c r="BA29" s="1">
        <f>[1]Results!BD1389</f>
        <v>-7.172186986102802</v>
      </c>
      <c r="BB29" s="1">
        <f>[1]Results!BE1389</f>
        <v>0.8125431429759411</v>
      </c>
      <c r="BC29" s="1">
        <f>[1]Results!BF1389</f>
        <v>0.84413600174433334</v>
      </c>
      <c r="BD29" s="1">
        <f>[1]Results!BG1389</f>
        <v>0.87530829797670684</v>
      </c>
      <c r="BE29" s="1">
        <f>[1]Results!BH1389</f>
        <v>0.90604525289521565</v>
      </c>
      <c r="BF29" s="1">
        <f>[1]Results!BI1389</f>
        <v>0.93634214291802298</v>
      </c>
    </row>
    <row r="30" spans="1:58" x14ac:dyDescent="0.35">
      <c r="A30" s="3" t="str">
        <f>[1]Results!E1390</f>
        <v>100*(DISPINC_AT_VAL_2/DISPINC_AT_VAL_0-1)-100*(PCH_2/PCH_0-1)</v>
      </c>
      <c r="B30" t="str">
        <f>[1]Results!C1390</f>
        <v>Revenu disponible réel des ménages</v>
      </c>
      <c r="C30" s="1">
        <f>[1]Results!F1390</f>
        <v>-0.68020275820835918</v>
      </c>
      <c r="D30" s="1">
        <f>[1]Results!G1390</f>
        <v>-1.2212617607557319</v>
      </c>
      <c r="E30" s="1">
        <f>[1]Results!H1390</f>
        <v>-1.6717044898100553</v>
      </c>
      <c r="F30" s="1">
        <f>[1]Results!I1390</f>
        <v>-2.0574491469610101</v>
      </c>
      <c r="G30" s="1">
        <f>[1]Results!J1390</f>
        <v>-2.3900528030316504</v>
      </c>
      <c r="H30" s="1">
        <f>[1]Results!K1390</f>
        <v>-2.676066806300947</v>
      </c>
      <c r="I30" s="1">
        <f>[1]Results!L1390</f>
        <v>-2.9230782203573225</v>
      </c>
      <c r="J30" s="1">
        <f>[1]Results!M1390</f>
        <v>-3.1356018505973577</v>
      </c>
      <c r="K30" s="1">
        <f>[1]Results!N1390</f>
        <v>-3.3194585578139142</v>
      </c>
      <c r="L30" s="1">
        <f>[1]Results!O1390</f>
        <v>-3.4801349282927778</v>
      </c>
      <c r="M30" s="1">
        <f>[1]Results!P1390</f>
        <v>-3.6627481960814783</v>
      </c>
      <c r="N30" s="1">
        <f>[1]Results!Q1390</f>
        <v>-3.7961013216008976</v>
      </c>
      <c r="O30" s="1">
        <f>[1]Results!R1390</f>
        <v>-3.891175322696161</v>
      </c>
      <c r="P30" s="1">
        <f>[1]Results!S1390</f>
        <v>-3.9557908529980863</v>
      </c>
      <c r="Q30" s="1">
        <f>[1]Results!T1390</f>
        <v>-3.995661883452839</v>
      </c>
      <c r="R30" s="1">
        <f>[1]Results!U1390</f>
        <v>-4.0158667097691563</v>
      </c>
      <c r="S30" s="1">
        <f>[1]Results!V1390</f>
        <v>-4.0235280828832876</v>
      </c>
      <c r="T30" s="1">
        <f>[1]Results!W1390</f>
        <v>-4.0222782337828953</v>
      </c>
      <c r="U30" s="1">
        <f>[1]Results!X1390</f>
        <v>-4.0154725485691767</v>
      </c>
      <c r="V30" s="1">
        <f>[1]Results!Y1390</f>
        <v>-4.0060376561855797</v>
      </c>
      <c r="W30" s="1">
        <f>[1]Results!Z1390</f>
        <v>-3.9971099032948931</v>
      </c>
      <c r="X30" s="1">
        <f>[1]Results!AA1390</f>
        <v>-3.9886366166401173</v>
      </c>
      <c r="Y30" s="1">
        <f>[1]Results!AB1390</f>
        <v>-3.9833281797532987</v>
      </c>
      <c r="Z30" s="1">
        <f>[1]Results!AC1390</f>
        <v>-3.9822065619691593</v>
      </c>
      <c r="AA30" s="1">
        <f>[1]Results!AD1390</f>
        <v>-3.9859436750142248</v>
      </c>
      <c r="AB30" s="1">
        <f>[1]Results!AE1390</f>
        <v>-3.9967825395649248</v>
      </c>
      <c r="AC30" s="1">
        <f>[1]Results!AF1390</f>
        <v>-4.0096784497600124</v>
      </c>
      <c r="AD30" s="1">
        <f>[1]Results!AG1390</f>
        <v>-4.0269588572339972</v>
      </c>
      <c r="AE30" s="1">
        <f>[1]Results!AH1390</f>
        <v>-4.0489366307463133</v>
      </c>
      <c r="AF30" s="1">
        <f>[1]Results!AI1390</f>
        <v>-4.0756350794980518</v>
      </c>
      <c r="AG30" s="1">
        <f>[1]Results!AJ1390</f>
        <v>-4.1069023242631069</v>
      </c>
      <c r="AH30" s="1">
        <f>[1]Results!AK1390</f>
        <v>-4.1418927544030861</v>
      </c>
      <c r="AI30" s="1">
        <f>[1]Results!AL1390</f>
        <v>-4.1805300442918858</v>
      </c>
      <c r="AJ30" s="1">
        <f>[1]Results!AM1390</f>
        <v>-4.2226389255050734</v>
      </c>
      <c r="AK30" s="1">
        <f>[1]Results!AN1390</f>
        <v>-4.2679778209374302</v>
      </c>
      <c r="AL30" s="1">
        <f>[1]Results!AO1390</f>
        <v>-4.3162744379437576</v>
      </c>
      <c r="AM30" s="1">
        <f>[1]Results!AP1390</f>
        <v>-4.3621945110050575</v>
      </c>
      <c r="AN30" s="1">
        <f>[1]Results!AQ1390</f>
        <v>-4.4068061676166508</v>
      </c>
      <c r="AO30" s="1">
        <f>[1]Results!AR1390</f>
        <v>-4.4511995969185092</v>
      </c>
      <c r="AP30" s="1">
        <f>[1]Results!AS1390</f>
        <v>-4.4959401055568176</v>
      </c>
      <c r="AQ30" s="1">
        <f>[1]Results!AT1390</f>
        <v>-4.541294685025866</v>
      </c>
      <c r="AR30" s="1">
        <f>[1]Results!AU1390</f>
        <v>-4.5865321317298804</v>
      </c>
      <c r="AS30" s="1">
        <f>[1]Results!AV1390</f>
        <v>-4.6320870361742266</v>
      </c>
      <c r="AT30" s="1">
        <f>[1]Results!AW1390</f>
        <v>-4.6782732668270821</v>
      </c>
      <c r="AU30" s="1">
        <f>[1]Results!AX1390</f>
        <v>-4.7253125049106277</v>
      </c>
      <c r="AV30" s="1">
        <f>[1]Results!AY1390</f>
        <v>-4.7733715724099675</v>
      </c>
      <c r="AW30" s="1">
        <f>[1]Results!AZ1390</f>
        <v>-4.8196013693908348</v>
      </c>
      <c r="AX30" s="1">
        <f>[1]Results!BA1390</f>
        <v>-4.8653158132635266</v>
      </c>
      <c r="AY30" s="1">
        <f>[1]Results!BB1390</f>
        <v>-4.9113402286853791</v>
      </c>
      <c r="AZ30" s="1">
        <f>[1]Results!BC1390</f>
        <v>-4.9581176013038686</v>
      </c>
      <c r="BA30" s="1">
        <f>[1]Results!BD1390</f>
        <v>-5.0058733452914002</v>
      </c>
      <c r="BB30" s="1">
        <f>[1]Results!BE1390</f>
        <v>4.7498446736571331E-2</v>
      </c>
      <c r="BC30" s="1">
        <f>[1]Results!BF1390</f>
        <v>5.1407209653087094E-2</v>
      </c>
      <c r="BD30" s="1">
        <f>[1]Results!BG1390</f>
        <v>5.5114852930970848E-2</v>
      </c>
      <c r="BE30" s="1">
        <f>[1]Results!BH1390</f>
        <v>5.8544590700004839E-2</v>
      </c>
      <c r="BF30" s="1">
        <f>[1]Results!BI1390</f>
        <v>6.1660941499108723E-2</v>
      </c>
    </row>
    <row r="31" spans="1:58" x14ac:dyDescent="0.35">
      <c r="A31" s="3" t="str">
        <f>[1]Results!E1391</f>
        <v>100*(DISPINC_AT_VAL_2/DISPINC_AT_VAL_0-1)-100*((F_L_2/F_L_0)-1)</v>
      </c>
      <c r="B31" t="str">
        <f>[1]Results!C1391</f>
        <v>Revenu disponible par emploi en valeur</v>
      </c>
      <c r="C31" s="1">
        <f>[1]Results!F1391</f>
        <v>-0.14417919864342377</v>
      </c>
      <c r="D31" s="1">
        <f>[1]Results!G1391</f>
        <v>-0.31854579813765938</v>
      </c>
      <c r="E31" s="1">
        <f>[1]Results!H1391</f>
        <v>-0.55692893589047721</v>
      </c>
      <c r="F31" s="1">
        <f>[1]Results!I1391</f>
        <v>-0.84348616393463693</v>
      </c>
      <c r="G31" s="1">
        <f>[1]Results!J1391</f>
        <v>-1.1551189321951982</v>
      </c>
      <c r="H31" s="1">
        <f>[1]Results!K1391</f>
        <v>-1.4729426033196265</v>
      </c>
      <c r="I31" s="1">
        <f>[1]Results!L1391</f>
        <v>-1.7847230220890631</v>
      </c>
      <c r="J31" s="1">
        <f>[1]Results!M1391</f>
        <v>-2.080620389792875</v>
      </c>
      <c r="K31" s="1">
        <f>[1]Results!N1391</f>
        <v>-2.3551317586911642</v>
      </c>
      <c r="L31" s="1">
        <f>[1]Results!O1391</f>
        <v>-2.6048339972645445</v>
      </c>
      <c r="M31" s="1">
        <f>[1]Results!P1391</f>
        <v>-2.8311302923900166</v>
      </c>
      <c r="N31" s="1">
        <f>[1]Results!Q1391</f>
        <v>-3.0346292117930607</v>
      </c>
      <c r="O31" s="1">
        <f>[1]Results!R1391</f>
        <v>-3.209066003381511</v>
      </c>
      <c r="P31" s="1">
        <f>[1]Results!S1391</f>
        <v>-3.3487614729714283</v>
      </c>
      <c r="Q31" s="1">
        <f>[1]Results!T1391</f>
        <v>-3.4511842314054464</v>
      </c>
      <c r="R31" s="1">
        <f>[1]Results!U1391</f>
        <v>-3.5167885180750202</v>
      </c>
      <c r="S31" s="1">
        <f>[1]Results!V1391</f>
        <v>-3.5489205710481642</v>
      </c>
      <c r="T31" s="1">
        <f>[1]Results!W1391</f>
        <v>-3.5507217119576167</v>
      </c>
      <c r="U31" s="1">
        <f>[1]Results!X1391</f>
        <v>-3.5262826628075228</v>
      </c>
      <c r="V31" s="1">
        <f>[1]Results!Y1391</f>
        <v>-3.4800069533250548</v>
      </c>
      <c r="W31" s="1">
        <f>[1]Results!Z1391</f>
        <v>-3.4169668933280772</v>
      </c>
      <c r="X31" s="1">
        <f>[1]Results!AA1391</f>
        <v>-3.3396181840748658</v>
      </c>
      <c r="Y31" s="1">
        <f>[1]Results!AB1391</f>
        <v>-3.2530945524167247</v>
      </c>
      <c r="Z31" s="1">
        <f>[1]Results!AC1391</f>
        <v>-3.1609154878677659</v>
      </c>
      <c r="AA31" s="1">
        <f>[1]Results!AD1391</f>
        <v>-3.0662358900528259</v>
      </c>
      <c r="AB31" s="1">
        <f>[1]Results!AE1391</f>
        <v>-2.9735926726503381</v>
      </c>
      <c r="AC31" s="1">
        <f>[1]Results!AF1391</f>
        <v>-2.8810621110826773</v>
      </c>
      <c r="AD31" s="1">
        <f>[1]Results!AG1391</f>
        <v>-2.7927686797203917</v>
      </c>
      <c r="AE31" s="1">
        <f>[1]Results!AH1391</f>
        <v>-2.710387431821859</v>
      </c>
      <c r="AF31" s="1">
        <f>[1]Results!AI1391</f>
        <v>-2.6350414011816259</v>
      </c>
      <c r="AG31" s="1">
        <f>[1]Results!AJ1391</f>
        <v>-2.5674801391004083</v>
      </c>
      <c r="AH31" s="1">
        <f>[1]Results!AK1391</f>
        <v>-2.5078725680879987</v>
      </c>
      <c r="AI31" s="1">
        <f>[1]Results!AL1391</f>
        <v>-2.4566521332934466</v>
      </c>
      <c r="AJ31" s="1">
        <f>[1]Results!AM1391</f>
        <v>-2.4139138100212403</v>
      </c>
      <c r="AK31" s="1">
        <f>[1]Results!AN1391</f>
        <v>-2.3795282258309296</v>
      </c>
      <c r="AL31" s="1">
        <f>[1]Results!AO1391</f>
        <v>-2.3532117351661839</v>
      </c>
      <c r="AM31" s="1">
        <f>[1]Results!AP1391</f>
        <v>-2.3319788828435879</v>
      </c>
      <c r="AN31" s="1">
        <f>[1]Results!AQ1391</f>
        <v>-2.316546757181615</v>
      </c>
      <c r="AO31" s="1">
        <f>[1]Results!AR1391</f>
        <v>-2.3068791690636248</v>
      </c>
      <c r="AP31" s="1">
        <f>[1]Results!AS1391</f>
        <v>-2.3023589716286157</v>
      </c>
      <c r="AQ31" s="1">
        <f>[1]Results!AT1391</f>
        <v>-2.3022293623573784</v>
      </c>
      <c r="AR31" s="1">
        <f>[1]Results!AU1391</f>
        <v>-2.3053121845356017</v>
      </c>
      <c r="AS31" s="1">
        <f>[1]Results!AV1391</f>
        <v>-2.3113853579335375</v>
      </c>
      <c r="AT31" s="1">
        <f>[1]Results!AW1391</f>
        <v>-2.3201305847927003</v>
      </c>
      <c r="AU31" s="1">
        <f>[1]Results!AX1391</f>
        <v>-2.331247269127168</v>
      </c>
      <c r="AV31" s="1">
        <f>[1]Results!AY1391</f>
        <v>-2.3444971421612832</v>
      </c>
      <c r="AW31" s="1">
        <f>[1]Results!AZ1391</f>
        <v>-2.3579242127972018</v>
      </c>
      <c r="AX31" s="1">
        <f>[1]Results!BA1391</f>
        <v>-2.3725973614623364</v>
      </c>
      <c r="AY31" s="1">
        <f>[1]Results!BB1391</f>
        <v>-2.3887344455501012</v>
      </c>
      <c r="AZ31" s="1">
        <f>[1]Results!BC1391</f>
        <v>-2.4062681827147996</v>
      </c>
      <c r="BA31" s="1">
        <f>[1]Results!BD1391</f>
        <v>-2.425089620213627</v>
      </c>
      <c r="BB31" s="1">
        <f>[1]Results!BE1391</f>
        <v>0.67226973873200091</v>
      </c>
      <c r="BC31" s="1">
        <f>[1]Results!BF1391</f>
        <v>0.69672447596293985</v>
      </c>
      <c r="BD31" s="1">
        <f>[1]Results!BG1391</f>
        <v>0.72048719210395795</v>
      </c>
      <c r="BE31" s="1">
        <f>[1]Results!BH1391</f>
        <v>0.74351876459619604</v>
      </c>
      <c r="BF31" s="1">
        <f>[1]Results!BI1391</f>
        <v>0.76583071177447337</v>
      </c>
    </row>
    <row r="32" spans="1:58" x14ac:dyDescent="0.35">
      <c r="A32" s="3" t="str">
        <f>[1]Results!E1392</f>
        <v>100*(DISPINC_AT_VAL_2/DISPINC_AT_VAL_0-1)-100*((F_L_2/F_L_0)-1)-100*(PCH_2/PCH_0-1)</v>
      </c>
      <c r="B32" t="str">
        <f>[1]Results!C1392</f>
        <v>Revenu disponible réel par emploi</v>
      </c>
      <c r="C32" s="1">
        <f>[1]Results!F1392</f>
        <v>-1.3045145982526485E-2</v>
      </c>
      <c r="D32" s="1">
        <f>[1]Results!G1392</f>
        <v>4.0834650195165079E-2</v>
      </c>
      <c r="E32" s="1">
        <f>[1]Results!H1392</f>
        <v>7.0737541862320175E-2</v>
      </c>
      <c r="F32" s="1">
        <f>[1]Results!I1392</f>
        <v>6.2080883471249404E-2</v>
      </c>
      <c r="G32" s="1">
        <f>[1]Results!J1392</f>
        <v>2.3705644237992374E-2</v>
      </c>
      <c r="H32" s="1">
        <f>[1]Results!K1392</f>
        <v>-3.1576303593238819E-2</v>
      </c>
      <c r="I32" s="1">
        <f>[1]Results!L1392</f>
        <v>-9.3990658931586424E-2</v>
      </c>
      <c r="J32" s="1">
        <f>[1]Results!M1392</f>
        <v>-0.15511491400055322</v>
      </c>
      <c r="K32" s="1">
        <f>[1]Results!N1392</f>
        <v>-0.21069638928669043</v>
      </c>
      <c r="L32" s="1">
        <f>[1]Results!O1392</f>
        <v>-0.25840515177658663</v>
      </c>
      <c r="M32" s="1">
        <f>[1]Results!P1392</f>
        <v>-0.2865641954692304</v>
      </c>
      <c r="N32" s="1">
        <f>[1]Results!Q1392</f>
        <v>-0.31496861011681698</v>
      </c>
      <c r="O32" s="1">
        <f>[1]Results!R1392</f>
        <v>-0.344000000785738</v>
      </c>
      <c r="P32" s="1">
        <f>[1]Results!S1392</f>
        <v>-0.36877670087206393</v>
      </c>
      <c r="Q32" s="1">
        <f>[1]Results!T1392</f>
        <v>-0.38506298694134244</v>
      </c>
      <c r="R32" s="1">
        <f>[1]Results!U1392</f>
        <v>-0.39075946828702746</v>
      </c>
      <c r="S32" s="1">
        <f>[1]Results!V1392</f>
        <v>-0.38682936482430375</v>
      </c>
      <c r="T32" s="1">
        <f>[1]Results!W1392</f>
        <v>-0.37326891872542278</v>
      </c>
      <c r="U32" s="1">
        <f>[1]Results!X1392</f>
        <v>-0.35122287136666319</v>
      </c>
      <c r="V32" s="1">
        <f>[1]Results!Y1392</f>
        <v>-0.32231125859089094</v>
      </c>
      <c r="W32" s="1">
        <f>[1]Results!Z1392</f>
        <v>-0.28876831186509522</v>
      </c>
      <c r="X32" s="1">
        <f>[1]Results!AA1392</f>
        <v>-0.2507109659372726</v>
      </c>
      <c r="Y32" s="1">
        <f>[1]Results!AB1392</f>
        <v>-0.21095016812137146</v>
      </c>
      <c r="Z32" s="1">
        <f>[1]Results!AC1392</f>
        <v>-0.17082117015666531</v>
      </c>
      <c r="AA32" s="1">
        <f>[1]Results!AD1392</f>
        <v>-0.13148211067516247</v>
      </c>
      <c r="AB32" s="1">
        <f>[1]Results!AE1392</f>
        <v>-9.5244112747971954E-2</v>
      </c>
      <c r="AC32" s="1">
        <f>[1]Results!AF1392</f>
        <v>-5.8701981768871647E-2</v>
      </c>
      <c r="AD32" s="1">
        <f>[1]Results!AG1392</f>
        <v>-2.5151363123232073E-2</v>
      </c>
      <c r="AE32" s="1">
        <f>[1]Results!AH1392</f>
        <v>4.4277429503303267E-3</v>
      </c>
      <c r="AF32" s="1">
        <f>[1]Results!AI1392</f>
        <v>2.9502383730384274E-2</v>
      </c>
      <c r="AG32" s="1">
        <f>[1]Results!AJ1392</f>
        <v>4.9796380481970548E-2</v>
      </c>
      <c r="AH32" s="1">
        <f>[1]Results!AK1392</f>
        <v>6.5634881449783133E-2</v>
      </c>
      <c r="AI32" s="1">
        <f>[1]Results!AL1392</f>
        <v>7.6658110311900174E-2</v>
      </c>
      <c r="AJ32" s="1">
        <f>[1]Results!AM1392</f>
        <v>8.2754940535433974E-2</v>
      </c>
      <c r="AK32" s="1">
        <f>[1]Results!AN1392</f>
        <v>8.3964144251213568E-2</v>
      </c>
      <c r="AL32" s="1">
        <f>[1]Results!AO1392</f>
        <v>8.0412600925316102E-2</v>
      </c>
      <c r="AM32" s="1">
        <f>[1]Results!AP1392</f>
        <v>7.6499622074078122E-2</v>
      </c>
      <c r="AN32" s="1">
        <f>[1]Results!AQ1392</f>
        <v>7.0016306328024136E-2</v>
      </c>
      <c r="AO32" s="1">
        <f>[1]Results!AR1392</f>
        <v>5.9829825079482646E-2</v>
      </c>
      <c r="AP32" s="1">
        <f>[1]Results!AS1392</f>
        <v>4.576359529060392E-2</v>
      </c>
      <c r="AQ32" s="1">
        <f>[1]Results!AT1392</f>
        <v>2.8078845645117756E-2</v>
      </c>
      <c r="AR32" s="1">
        <f>[1]Results!AU1392</f>
        <v>7.9278437286389725E-3</v>
      </c>
      <c r="AS32" s="1">
        <f>[1]Results!AV1392</f>
        <v>-1.4853220218091767E-2</v>
      </c>
      <c r="AT32" s="1">
        <f>[1]Results!AW1392</f>
        <v>-4.019991424689584E-2</v>
      </c>
      <c r="AU32" s="1">
        <f>[1]Results!AX1392</f>
        <v>-6.7953975761725349E-2</v>
      </c>
      <c r="AV32" s="1">
        <f>[1]Results!AY1392</f>
        <v>-9.7936721750113254E-2</v>
      </c>
      <c r="AW32" s="1">
        <f>[1]Results!AZ1392</f>
        <v>-0.12720284676359617</v>
      </c>
      <c r="AX32" s="1">
        <f>[1]Results!BA1392</f>
        <v>-0.15750488897023907</v>
      </c>
      <c r="AY32" s="1">
        <f>[1]Results!BB1392</f>
        <v>-0.18949475990938192</v>
      </c>
      <c r="AZ32" s="1">
        <f>[1]Results!BC1392</f>
        <v>-0.22328732734296963</v>
      </c>
      <c r="BA32" s="1">
        <f>[1]Results!BD1392</f>
        <v>-0.25877597940222552</v>
      </c>
      <c r="BB32" s="1">
        <f>[1]Results!BE1392</f>
        <v>-9.277495750736886E-2</v>
      </c>
      <c r="BC32" s="1">
        <f>[1]Results!BF1392</f>
        <v>-9.6004316128306399E-2</v>
      </c>
      <c r="BD32" s="1">
        <f>[1]Results!BG1392</f>
        <v>-9.970625294177804E-2</v>
      </c>
      <c r="BE32" s="1">
        <f>[1]Results!BH1392</f>
        <v>-0.10398189759901477</v>
      </c>
      <c r="BF32" s="1">
        <f>[1]Results!BI1392</f>
        <v>-0.10885048964444088</v>
      </c>
    </row>
    <row r="33" spans="1:58" x14ac:dyDescent="0.35">
      <c r="A33" s="3" t="str">
        <f>[1]Results!E1393</f>
        <v>100*(MPS_n_2-MPS_n_0)</v>
      </c>
      <c r="B33" t="str">
        <f>[1]Results!C1393</f>
        <v>Taux d'épargne</v>
      </c>
      <c r="C33" s="1">
        <f>[1]Results!F1393</f>
        <v>0</v>
      </c>
      <c r="D33" s="1">
        <f>[1]Results!G1393</f>
        <v>0</v>
      </c>
      <c r="E33" s="1">
        <f>[1]Results!H1393</f>
        <v>0</v>
      </c>
      <c r="F33" s="1">
        <f>[1]Results!I1393</f>
        <v>0</v>
      </c>
      <c r="G33" s="1">
        <f>[1]Results!J1393</f>
        <v>0</v>
      </c>
      <c r="H33" s="1">
        <f>[1]Results!K1393</f>
        <v>0</v>
      </c>
      <c r="I33" s="1">
        <f>[1]Results!L1393</f>
        <v>0</v>
      </c>
      <c r="J33" s="1">
        <f>[1]Results!M1393</f>
        <v>0</v>
      </c>
      <c r="K33" s="1">
        <f>[1]Results!N1393</f>
        <v>0</v>
      </c>
      <c r="L33" s="1">
        <f>[1]Results!O1393</f>
        <v>0</v>
      </c>
      <c r="M33" s="1">
        <f>[1]Results!P1393</f>
        <v>0</v>
      </c>
      <c r="N33" s="1">
        <f>[1]Results!Q1393</f>
        <v>0</v>
      </c>
      <c r="O33" s="1">
        <f>[1]Results!R1393</f>
        <v>0</v>
      </c>
      <c r="P33" s="1">
        <f>[1]Results!S1393</f>
        <v>0</v>
      </c>
      <c r="Q33" s="1">
        <f>[1]Results!T1393</f>
        <v>0</v>
      </c>
      <c r="R33" s="1">
        <f>[1]Results!U1393</f>
        <v>0</v>
      </c>
      <c r="S33" s="1">
        <f>[1]Results!V1393</f>
        <v>0</v>
      </c>
      <c r="T33" s="1">
        <f>[1]Results!W1393</f>
        <v>0</v>
      </c>
      <c r="U33" s="1">
        <f>[1]Results!X1393</f>
        <v>0</v>
      </c>
      <c r="V33" s="1">
        <f>[1]Results!Y1393</f>
        <v>0</v>
      </c>
      <c r="W33" s="1">
        <f>[1]Results!Z1393</f>
        <v>0</v>
      </c>
      <c r="X33" s="1">
        <f>[1]Results!AA1393</f>
        <v>0</v>
      </c>
      <c r="Y33" s="1">
        <f>[1]Results!AB1393</f>
        <v>0</v>
      </c>
      <c r="Z33" s="1">
        <f>[1]Results!AC1393</f>
        <v>0</v>
      </c>
      <c r="AA33" s="1">
        <f>[1]Results!AD1393</f>
        <v>0</v>
      </c>
      <c r="AB33" s="1">
        <f>[1]Results!AE1393</f>
        <v>0</v>
      </c>
      <c r="AC33" s="1">
        <f>[1]Results!AF1393</f>
        <v>0</v>
      </c>
      <c r="AD33" s="1">
        <f>[1]Results!AG1393</f>
        <v>0</v>
      </c>
      <c r="AE33" s="1">
        <f>[1]Results!AH1393</f>
        <v>0</v>
      </c>
      <c r="AF33" s="1">
        <f>[1]Results!AI1393</f>
        <v>0</v>
      </c>
      <c r="AG33" s="1">
        <f>[1]Results!AJ1393</f>
        <v>0</v>
      </c>
      <c r="AH33" s="1">
        <f>[1]Results!AK1393</f>
        <v>0</v>
      </c>
      <c r="AI33" s="1">
        <f>[1]Results!AL1393</f>
        <v>0</v>
      </c>
      <c r="AJ33" s="1">
        <f>[1]Results!AM1393</f>
        <v>0</v>
      </c>
      <c r="AK33" s="1">
        <f>[1]Results!AN1393</f>
        <v>0</v>
      </c>
      <c r="AL33" s="1">
        <f>[1]Results!AO1393</f>
        <v>0</v>
      </c>
      <c r="AM33" s="1">
        <f>[1]Results!AP1393</f>
        <v>0</v>
      </c>
      <c r="AN33" s="1">
        <f>[1]Results!AQ1393</f>
        <v>0</v>
      </c>
      <c r="AO33" s="1">
        <f>[1]Results!AR1393</f>
        <v>0</v>
      </c>
      <c r="AP33" s="1">
        <f>[1]Results!AS1393</f>
        <v>0</v>
      </c>
      <c r="AQ33" s="1">
        <f>[1]Results!AT1393</f>
        <v>0</v>
      </c>
      <c r="AR33" s="1">
        <f>[1]Results!AU1393</f>
        <v>0</v>
      </c>
      <c r="AS33" s="1">
        <f>[1]Results!AV1393</f>
        <v>0</v>
      </c>
      <c r="AT33" s="1">
        <f>[1]Results!AW1393</f>
        <v>0</v>
      </c>
      <c r="AU33" s="1">
        <f>[1]Results!AX1393</f>
        <v>0</v>
      </c>
      <c r="AV33" s="1">
        <f>[1]Results!AY1393</f>
        <v>0</v>
      </c>
      <c r="AW33" s="1">
        <f>[1]Results!AZ1393</f>
        <v>0</v>
      </c>
      <c r="AX33" s="1">
        <f>[1]Results!BA1393</f>
        <v>0</v>
      </c>
      <c r="AY33" s="1">
        <f>[1]Results!BB1393</f>
        <v>0</v>
      </c>
      <c r="AZ33" s="1">
        <f>[1]Results!BC1393</f>
        <v>0</v>
      </c>
      <c r="BA33" s="1">
        <f>[1]Results!BD1393</f>
        <v>0</v>
      </c>
      <c r="BB33" s="1">
        <f>[1]Results!BE1393</f>
        <v>0</v>
      </c>
      <c r="BC33" s="1">
        <f>[1]Results!BF1393</f>
        <v>0</v>
      </c>
      <c r="BD33" s="1">
        <f>[1]Results!BG1393</f>
        <v>0</v>
      </c>
      <c r="BE33" s="1">
        <f>[1]Results!BH1393</f>
        <v>0</v>
      </c>
      <c r="BF33" s="1">
        <f>[1]Results!BI1393</f>
        <v>0</v>
      </c>
    </row>
    <row r="34" spans="1:58" x14ac:dyDescent="0.35">
      <c r="A34" s="3" t="str">
        <f>[1]Results!E1394</f>
        <v>100*(PCH_2/PCH_0-1)</v>
      </c>
      <c r="B34" t="str">
        <f>[1]Results!C1394</f>
        <v>Prix à la consommation des ménages</v>
      </c>
      <c r="C34" s="1">
        <f>[1]Results!F1394</f>
        <v>-0.68020275820835918</v>
      </c>
      <c r="D34" s="1">
        <f>[1]Results!G1394</f>
        <v>-1.2212617607557319</v>
      </c>
      <c r="E34" s="1">
        <f>[1]Results!H1394</f>
        <v>-1.6717044898100553</v>
      </c>
      <c r="F34" s="1">
        <f>[1]Results!I1394</f>
        <v>-2.0574491469610101</v>
      </c>
      <c r="G34" s="1">
        <f>[1]Results!J1394</f>
        <v>-2.3900528030316504</v>
      </c>
      <c r="H34" s="1">
        <f>[1]Results!K1394</f>
        <v>-2.676066806300947</v>
      </c>
      <c r="I34" s="1">
        <f>[1]Results!L1394</f>
        <v>-2.9230782203573225</v>
      </c>
      <c r="J34" s="1">
        <f>[1]Results!M1394</f>
        <v>-3.1356018505973577</v>
      </c>
      <c r="K34" s="1">
        <f>[1]Results!N1394</f>
        <v>-3.3194585578139142</v>
      </c>
      <c r="L34" s="1">
        <f>[1]Results!O1394</f>
        <v>-3.4801349282927778</v>
      </c>
      <c r="M34" s="1">
        <f>[1]Results!P1394</f>
        <v>-3.6627481960814783</v>
      </c>
      <c r="N34" s="1">
        <f>[1]Results!Q1394</f>
        <v>-3.7961013216008976</v>
      </c>
      <c r="O34" s="1">
        <f>[1]Results!R1394</f>
        <v>-3.891175322696161</v>
      </c>
      <c r="P34" s="1">
        <f>[1]Results!S1394</f>
        <v>-3.9557908529980863</v>
      </c>
      <c r="Q34" s="1">
        <f>[1]Results!T1394</f>
        <v>-3.995661883452839</v>
      </c>
      <c r="R34" s="1">
        <f>[1]Results!U1394</f>
        <v>-4.0158667097691563</v>
      </c>
      <c r="S34" s="1">
        <f>[1]Results!V1394</f>
        <v>-4.0235280828832876</v>
      </c>
      <c r="T34" s="1">
        <f>[1]Results!W1394</f>
        <v>-4.0222782337828953</v>
      </c>
      <c r="U34" s="1">
        <f>[1]Results!X1394</f>
        <v>-4.0154725485691767</v>
      </c>
      <c r="V34" s="1">
        <f>[1]Results!Y1394</f>
        <v>-4.0060376561855797</v>
      </c>
      <c r="W34" s="1">
        <f>[1]Results!Z1394</f>
        <v>-3.9971099032948931</v>
      </c>
      <c r="X34" s="1">
        <f>[1]Results!AA1394</f>
        <v>-3.9886366166401173</v>
      </c>
      <c r="Y34" s="1">
        <f>[1]Results!AB1394</f>
        <v>-3.9833281797532987</v>
      </c>
      <c r="Z34" s="1">
        <f>[1]Results!AC1394</f>
        <v>-3.9822065619691593</v>
      </c>
      <c r="AA34" s="1">
        <f>[1]Results!AD1394</f>
        <v>-3.9859436750142248</v>
      </c>
      <c r="AB34" s="1">
        <f>[1]Results!AE1394</f>
        <v>-3.9967825395649248</v>
      </c>
      <c r="AC34" s="1">
        <f>[1]Results!AF1394</f>
        <v>-4.0096784497600124</v>
      </c>
      <c r="AD34" s="1">
        <f>[1]Results!AG1394</f>
        <v>-4.0269588572339972</v>
      </c>
      <c r="AE34" s="1">
        <f>[1]Results!AH1394</f>
        <v>-4.0489366307463133</v>
      </c>
      <c r="AF34" s="1">
        <f>[1]Results!AI1394</f>
        <v>-4.0756350794980518</v>
      </c>
      <c r="AG34" s="1">
        <f>[1]Results!AJ1394</f>
        <v>-4.1069023242631069</v>
      </c>
      <c r="AH34" s="1">
        <f>[1]Results!AK1394</f>
        <v>-4.1418927544030861</v>
      </c>
      <c r="AI34" s="1">
        <f>[1]Results!AL1394</f>
        <v>-4.1805300442918858</v>
      </c>
      <c r="AJ34" s="1">
        <f>[1]Results!AM1394</f>
        <v>-4.2226389255050734</v>
      </c>
      <c r="AK34" s="1">
        <f>[1]Results!AN1394</f>
        <v>-4.2679778209374302</v>
      </c>
      <c r="AL34" s="1">
        <f>[1]Results!AO1394</f>
        <v>-4.3162744379437576</v>
      </c>
      <c r="AM34" s="1">
        <f>[1]Results!AP1394</f>
        <v>-4.3621945110050575</v>
      </c>
      <c r="AN34" s="1">
        <f>[1]Results!AQ1394</f>
        <v>-4.4068061676166508</v>
      </c>
      <c r="AO34" s="1">
        <f>[1]Results!AR1394</f>
        <v>-4.4511995969185092</v>
      </c>
      <c r="AP34" s="1">
        <f>[1]Results!AS1394</f>
        <v>-4.4959401055568176</v>
      </c>
      <c r="AQ34" s="1">
        <f>[1]Results!AT1394</f>
        <v>-4.541294685025866</v>
      </c>
      <c r="AR34" s="1">
        <f>[1]Results!AU1394</f>
        <v>-4.5865321317298804</v>
      </c>
      <c r="AS34" s="1">
        <f>[1]Results!AV1394</f>
        <v>-4.6320870361742266</v>
      </c>
      <c r="AT34" s="1">
        <f>[1]Results!AW1394</f>
        <v>-4.6782732668270821</v>
      </c>
      <c r="AU34" s="1">
        <f>[1]Results!AX1394</f>
        <v>-4.7253125049106277</v>
      </c>
      <c r="AV34" s="1">
        <f>[1]Results!AY1394</f>
        <v>-4.7733715724099675</v>
      </c>
      <c r="AW34" s="1">
        <f>[1]Results!AZ1394</f>
        <v>-4.8196013693908348</v>
      </c>
      <c r="AX34" s="1">
        <f>[1]Results!BA1394</f>
        <v>-4.8653158132635266</v>
      </c>
      <c r="AY34" s="1">
        <f>[1]Results!BB1394</f>
        <v>-4.9113402286853791</v>
      </c>
      <c r="AZ34" s="1">
        <f>[1]Results!BC1394</f>
        <v>-4.9581176013038686</v>
      </c>
      <c r="BA34" s="1">
        <f>[1]Results!BD1394</f>
        <v>-5.0058733452914002</v>
      </c>
      <c r="BB34" s="1">
        <f>[1]Results!BE1394</f>
        <v>4.7498446736571331E-2</v>
      </c>
      <c r="BC34" s="1">
        <f>[1]Results!BF1394</f>
        <v>5.1407209653087094E-2</v>
      </c>
      <c r="BD34" s="1">
        <f>[1]Results!BG1394</f>
        <v>5.5114852930970848E-2</v>
      </c>
      <c r="BE34" s="1">
        <f>[1]Results!BH1394</f>
        <v>5.8544590700004839E-2</v>
      </c>
      <c r="BF34" s="1">
        <f>[1]Results!BI1394</f>
        <v>6.1660941499108723E-2</v>
      </c>
    </row>
    <row r="35" spans="1:58" x14ac:dyDescent="0.35">
      <c r="A35" s="3" t="str">
        <f>[1]Results!E1395</f>
        <v>100*(PY_2/PY_0-1)</v>
      </c>
      <c r="B35" t="str">
        <f>[1]Results!C1395</f>
        <v>Prix à la production marchande</v>
      </c>
      <c r="C35" s="1">
        <f>[1]Results!F1395</f>
        <v>-0.17939160791615727</v>
      </c>
      <c r="D35" s="1">
        <f>[1]Results!G1395</f>
        <v>-0.4711556747525103</v>
      </c>
      <c r="E35" s="1">
        <f>[1]Results!H1395</f>
        <v>-0.80645617676167181</v>
      </c>
      <c r="F35" s="1">
        <f>[1]Results!I1395</f>
        <v>-1.1489157787040405</v>
      </c>
      <c r="G35" s="1">
        <f>[1]Results!J1395</f>
        <v>-1.4819838825660181</v>
      </c>
      <c r="H35" s="1">
        <f>[1]Results!K1395</f>
        <v>-1.799212603488376</v>
      </c>
      <c r="I35" s="1">
        <f>[1]Results!L1395</f>
        <v>-2.0985608337720008</v>
      </c>
      <c r="J35" s="1">
        <f>[1]Results!M1395</f>
        <v>-2.3790189545285556</v>
      </c>
      <c r="K35" s="1">
        <f>[1]Results!N1395</f>
        <v>-2.6396187544648897</v>
      </c>
      <c r="L35" s="1">
        <f>[1]Results!O1395</f>
        <v>-2.8794315579471319</v>
      </c>
      <c r="M35" s="1">
        <f>[1]Results!P1395</f>
        <v>-3.1152437379025399</v>
      </c>
      <c r="N35" s="1">
        <f>[1]Results!Q1395</f>
        <v>-3.3227845732358263</v>
      </c>
      <c r="O35" s="1">
        <f>[1]Results!R1395</f>
        <v>-3.4943412858987055</v>
      </c>
      <c r="P35" s="1">
        <f>[1]Results!S1395</f>
        <v>-3.6291620975876349</v>
      </c>
      <c r="Q35" s="1">
        <f>[1]Results!T1395</f>
        <v>-3.7295986301064343</v>
      </c>
      <c r="R35" s="1">
        <f>[1]Results!U1395</f>
        <v>-3.7989863460877071</v>
      </c>
      <c r="S35" s="1">
        <f>[1]Results!V1395</f>
        <v>-3.8404772449604052</v>
      </c>
      <c r="T35" s="1">
        <f>[1]Results!W1395</f>
        <v>-3.8578918806804197</v>
      </c>
      <c r="U35" s="1">
        <f>[1]Results!X1395</f>
        <v>-3.8547436208244412</v>
      </c>
      <c r="V35" s="1">
        <f>[1]Results!Y1395</f>
        <v>-3.8343028457414108</v>
      </c>
      <c r="W35" s="1">
        <f>[1]Results!Z1395</f>
        <v>-3.7998562759960941</v>
      </c>
      <c r="X35" s="1">
        <f>[1]Results!AA1395</f>
        <v>-3.7541511231730662</v>
      </c>
      <c r="Y35" s="1">
        <f>[1]Results!AB1395</f>
        <v>-3.6998555741356021</v>
      </c>
      <c r="Z35" s="1">
        <f>[1]Results!AC1395</f>
        <v>-3.6394922394638596</v>
      </c>
      <c r="AA35" s="1">
        <f>[1]Results!AD1395</f>
        <v>-3.5753680184143599</v>
      </c>
      <c r="AB35" s="1">
        <f>[1]Results!AE1395</f>
        <v>-3.5099905121326547</v>
      </c>
      <c r="AC35" s="1">
        <f>[1]Results!AF1395</f>
        <v>-3.445118722174445</v>
      </c>
      <c r="AD35" s="1">
        <f>[1]Results!AG1395</f>
        <v>-3.3816541694901892</v>
      </c>
      <c r="AE35" s="1">
        <f>[1]Results!AH1395</f>
        <v>-3.3203851575655641</v>
      </c>
      <c r="AF35" s="1">
        <f>[1]Results!AI1395</f>
        <v>-3.2619948743741523</v>
      </c>
      <c r="AG35" s="1">
        <f>[1]Results!AJ1395</f>
        <v>-3.2070388822277862</v>
      </c>
      <c r="AH35" s="1">
        <f>[1]Results!AK1395</f>
        <v>-3.1560808184211031</v>
      </c>
      <c r="AI35" s="1">
        <f>[1]Results!AL1395</f>
        <v>-3.1092114198513876</v>
      </c>
      <c r="AJ35" s="1">
        <f>[1]Results!AM1395</f>
        <v>-3.0664185423171397</v>
      </c>
      <c r="AK35" s="1">
        <f>[1]Results!AN1395</f>
        <v>-3.0276061754816896</v>
      </c>
      <c r="AL35" s="1">
        <f>[1]Results!AO1395</f>
        <v>-2.9926036722297544</v>
      </c>
      <c r="AM35" s="1">
        <f>[1]Results!AP1395</f>
        <v>-2.9628964021196857</v>
      </c>
      <c r="AN35" s="1">
        <f>[1]Results!AQ1395</f>
        <v>-2.9367477124570218</v>
      </c>
      <c r="AO35" s="1">
        <f>[1]Results!AR1395</f>
        <v>-2.9127986449509091</v>
      </c>
      <c r="AP35" s="1">
        <f>[1]Results!AS1395</f>
        <v>-2.8901672224326602</v>
      </c>
      <c r="AQ35" s="1">
        <f>[1]Results!AT1395</f>
        <v>-2.868345168007902</v>
      </c>
      <c r="AR35" s="1">
        <f>[1]Results!AU1395</f>
        <v>-2.8473546708257191</v>
      </c>
      <c r="AS35" s="1">
        <f>[1]Results!AV1395</f>
        <v>-2.8268092888138696</v>
      </c>
      <c r="AT35" s="1">
        <f>[1]Results!AW1395</f>
        <v>-2.8064657010478666</v>
      </c>
      <c r="AU35" s="1">
        <f>[1]Results!AX1395</f>
        <v>-2.7862023621694876</v>
      </c>
      <c r="AV35" s="1">
        <f>[1]Results!AY1395</f>
        <v>-2.7659858058008413</v>
      </c>
      <c r="AW35" s="1">
        <f>[1]Results!AZ1395</f>
        <v>-2.7469204267268621</v>
      </c>
      <c r="AX35" s="1">
        <f>[1]Results!BA1395</f>
        <v>-2.7282040385207096</v>
      </c>
      <c r="AY35" s="1">
        <f>[1]Results!BB1395</f>
        <v>-2.7093302560128318</v>
      </c>
      <c r="AZ35" s="1">
        <f>[1]Results!BC1395</f>
        <v>-2.6901057558504249</v>
      </c>
      <c r="BA35" s="1">
        <f>[1]Results!BD1395</f>
        <v>-2.6705592765940755</v>
      </c>
      <c r="BB35" s="1">
        <f>[1]Results!BE1395</f>
        <v>0.92349145427912394</v>
      </c>
      <c r="BC35" s="1">
        <f>[1]Results!BF1395</f>
        <v>0.95712879840108567</v>
      </c>
      <c r="BD35" s="1">
        <f>[1]Results!BG1395</f>
        <v>0.99049300470144264</v>
      </c>
      <c r="BE35" s="1">
        <f>[1]Results!BH1395</f>
        <v>1.0236628073144516</v>
      </c>
      <c r="BF35" s="1">
        <f>[1]Results!BI1395</f>
        <v>1.0566729836185118</v>
      </c>
    </row>
    <row r="36" spans="1:58" x14ac:dyDescent="0.35">
      <c r="A36" s="3" t="str">
        <f>[1]Results!E1396</f>
        <v>100*(PX_2/PX_0-1)</v>
      </c>
      <c r="B36" t="str">
        <f>[1]Results!C1396</f>
        <v>Prix des exportations</v>
      </c>
      <c r="C36" s="1">
        <f>[1]Results!F1396</f>
        <v>-0.22223846991448193</v>
      </c>
      <c r="D36" s="1">
        <f>[1]Results!G1396</f>
        <v>-0.50876195363859233</v>
      </c>
      <c r="E36" s="1">
        <f>[1]Results!H1396</f>
        <v>-0.80139255065644344</v>
      </c>
      <c r="F36" s="1">
        <f>[1]Results!I1396</f>
        <v>-1.0811063709478486</v>
      </c>
      <c r="G36" s="1">
        <f>[1]Results!J1396</f>
        <v>-1.3434889282924689</v>
      </c>
      <c r="H36" s="1">
        <f>[1]Results!K1396</f>
        <v>-1.5890338898043477</v>
      </c>
      <c r="I36" s="1">
        <f>[1]Results!L1396</f>
        <v>-1.8192405561438862</v>
      </c>
      <c r="J36" s="1">
        <f>[1]Results!M1396</f>
        <v>-2.0346567173319619</v>
      </c>
      <c r="K36" s="1">
        <f>[1]Results!N1396</f>
        <v>-2.2348829238449608</v>
      </c>
      <c r="L36" s="1">
        <f>[1]Results!O1396</f>
        <v>-2.4191152685845818</v>
      </c>
      <c r="M36" s="1">
        <f>[1]Results!P1396</f>
        <v>-2.6064332206901075</v>
      </c>
      <c r="N36" s="1">
        <f>[1]Results!Q1396</f>
        <v>-2.7656154913330067</v>
      </c>
      <c r="O36" s="1">
        <f>[1]Results!R1396</f>
        <v>-2.8912204265472363</v>
      </c>
      <c r="P36" s="1">
        <f>[1]Results!S1396</f>
        <v>-2.9851126206628664</v>
      </c>
      <c r="Q36" s="1">
        <f>[1]Results!T1396</f>
        <v>-3.0510664261173881</v>
      </c>
      <c r="R36" s="1">
        <f>[1]Results!U1396</f>
        <v>-3.0928534632792215</v>
      </c>
      <c r="S36" s="1">
        <f>[1]Results!V1396</f>
        <v>-3.1136798363996299</v>
      </c>
      <c r="T36" s="1">
        <f>[1]Results!W1396</f>
        <v>-3.1166566133620455</v>
      </c>
      <c r="U36" s="1">
        <f>[1]Results!X1396</f>
        <v>-3.1044817504650601</v>
      </c>
      <c r="V36" s="1">
        <f>[1]Results!Y1396</f>
        <v>-3.0796332867801701</v>
      </c>
      <c r="W36" s="1">
        <f>[1]Results!Z1396</f>
        <v>-3.0446141546265237</v>
      </c>
      <c r="X36" s="1">
        <f>[1]Results!AA1396</f>
        <v>-3.0015635863178569</v>
      </c>
      <c r="Y36" s="1">
        <f>[1]Results!AB1396</f>
        <v>-2.9525135222100207</v>
      </c>
      <c r="Z36" s="1">
        <f>[1]Results!AC1396</f>
        <v>-2.8993999053607333</v>
      </c>
      <c r="AA36" s="1">
        <f>[1]Results!AD1396</f>
        <v>-2.8440007497851139</v>
      </c>
      <c r="AB36" s="1">
        <f>[1]Results!AE1396</f>
        <v>-2.7882569966445669</v>
      </c>
      <c r="AC36" s="1">
        <f>[1]Results!AF1396</f>
        <v>-2.7335137123605691</v>
      </c>
      <c r="AD36" s="1">
        <f>[1]Results!AG1396</f>
        <v>-2.680459156005266</v>
      </c>
      <c r="AE36" s="1">
        <f>[1]Results!AH1396</f>
        <v>-2.6296493221991901</v>
      </c>
      <c r="AF36" s="1">
        <f>[1]Results!AI1396</f>
        <v>-2.5815434073977239</v>
      </c>
      <c r="AG36" s="1">
        <f>[1]Results!AJ1396</f>
        <v>-2.5365023063439573</v>
      </c>
      <c r="AH36" s="1">
        <f>[1]Results!AK1396</f>
        <v>-2.4948579035988239</v>
      </c>
      <c r="AI36" s="1">
        <f>[1]Results!AL1396</f>
        <v>-2.4566464740481186</v>
      </c>
      <c r="AJ36" s="1">
        <f>[1]Results!AM1396</f>
        <v>-2.4218236014782346</v>
      </c>
      <c r="AK36" s="1">
        <f>[1]Results!AN1396</f>
        <v>-2.3902754541966775</v>
      </c>
      <c r="AL36" s="1">
        <f>[1]Results!AO1396</f>
        <v>-2.3618291220571908</v>
      </c>
      <c r="AM36" s="1">
        <f>[1]Results!AP1396</f>
        <v>-2.3372327163983297</v>
      </c>
      <c r="AN36" s="1">
        <f>[1]Results!AQ1396</f>
        <v>-2.3153206229867496</v>
      </c>
      <c r="AO36" s="1">
        <f>[1]Results!AR1396</f>
        <v>-2.2951507817848049</v>
      </c>
      <c r="AP36" s="1">
        <f>[1]Results!AS1396</f>
        <v>-2.2760584605520218</v>
      </c>
      <c r="AQ36" s="1">
        <f>[1]Results!AT1396</f>
        <v>-2.2576286639124588</v>
      </c>
      <c r="AR36" s="1">
        <f>[1]Results!AU1396</f>
        <v>-2.239792277535857</v>
      </c>
      <c r="AS36" s="1">
        <f>[1]Results!AV1396</f>
        <v>-2.2222596888029966</v>
      </c>
      <c r="AT36" s="1">
        <f>[1]Results!AW1396</f>
        <v>-2.2048482914889367</v>
      </c>
      <c r="AU36" s="1">
        <f>[1]Results!AX1396</f>
        <v>-2.1874625399722736</v>
      </c>
      <c r="AV36" s="1">
        <f>[1]Results!AY1396</f>
        <v>-2.1700732990327265</v>
      </c>
      <c r="AW36" s="1">
        <f>[1]Results!AZ1396</f>
        <v>-2.1533415101942399</v>
      </c>
      <c r="AX36" s="1">
        <f>[1]Results!BA1396</f>
        <v>-2.1367554007662881</v>
      </c>
      <c r="AY36" s="1">
        <f>[1]Results!BB1396</f>
        <v>-2.1199925550534737</v>
      </c>
      <c r="AZ36" s="1">
        <f>[1]Results!BC1396</f>
        <v>-2.1029289381513605</v>
      </c>
      <c r="BA36" s="1">
        <f>[1]Results!BD1396</f>
        <v>-2.0855935275011728</v>
      </c>
      <c r="BB36" s="1">
        <f>[1]Results!BE1396</f>
        <v>0.76004335846093785</v>
      </c>
      <c r="BC36" s="1">
        <f>[1]Results!BF1396</f>
        <v>0.7871795426503958</v>
      </c>
      <c r="BD36" s="1">
        <f>[1]Results!BG1396</f>
        <v>0.81408310092607739</v>
      </c>
      <c r="BE36" s="1">
        <f>[1]Results!BH1396</f>
        <v>0.8408317434181356</v>
      </c>
      <c r="BF36" s="1">
        <f>[1]Results!BI1396</f>
        <v>0.86746467176475051</v>
      </c>
    </row>
    <row r="37" spans="1:58" x14ac:dyDescent="0.35">
      <c r="A37" s="3" t="str">
        <f>[1]Results!E1397</f>
        <v>100*(PM_2/PM_0-1)</v>
      </c>
      <c r="B37" t="str">
        <f>[1]Results!C1397</f>
        <v>Prix des importations</v>
      </c>
      <c r="C37" s="1">
        <f>[1]Results!F1397</f>
        <v>0</v>
      </c>
      <c r="D37" s="1">
        <f>[1]Results!G1397</f>
        <v>0</v>
      </c>
      <c r="E37" s="1">
        <f>[1]Results!H1397</f>
        <v>0</v>
      </c>
      <c r="F37" s="1">
        <f>[1]Results!I1397</f>
        <v>0</v>
      </c>
      <c r="G37" s="1">
        <f>[1]Results!J1397</f>
        <v>0</v>
      </c>
      <c r="H37" s="1">
        <f>[1]Results!K1397</f>
        <v>0</v>
      </c>
      <c r="I37" s="1">
        <f>[1]Results!L1397</f>
        <v>0</v>
      </c>
      <c r="J37" s="1">
        <f>[1]Results!M1397</f>
        <v>0</v>
      </c>
      <c r="K37" s="1">
        <f>[1]Results!N1397</f>
        <v>0</v>
      </c>
      <c r="L37" s="1">
        <f>[1]Results!O1397</f>
        <v>0</v>
      </c>
      <c r="M37" s="1">
        <f>[1]Results!P1397</f>
        <v>0</v>
      </c>
      <c r="N37" s="1">
        <f>[1]Results!Q1397</f>
        <v>0</v>
      </c>
      <c r="O37" s="1">
        <f>[1]Results!R1397</f>
        <v>0</v>
      </c>
      <c r="P37" s="1">
        <f>[1]Results!S1397</f>
        <v>0</v>
      </c>
      <c r="Q37" s="1">
        <f>[1]Results!T1397</f>
        <v>0</v>
      </c>
      <c r="R37" s="1">
        <f>[1]Results!U1397</f>
        <v>0</v>
      </c>
      <c r="S37" s="1">
        <f>[1]Results!V1397</f>
        <v>0</v>
      </c>
      <c r="T37" s="1">
        <f>[1]Results!W1397</f>
        <v>0</v>
      </c>
      <c r="U37" s="1">
        <f>[1]Results!X1397</f>
        <v>0</v>
      </c>
      <c r="V37" s="1">
        <f>[1]Results!Y1397</f>
        <v>0</v>
      </c>
      <c r="W37" s="1">
        <f>[1]Results!Z1397</f>
        <v>0</v>
      </c>
      <c r="X37" s="1">
        <f>[1]Results!AA1397</f>
        <v>0</v>
      </c>
      <c r="Y37" s="1">
        <f>[1]Results!AB1397</f>
        <v>0</v>
      </c>
      <c r="Z37" s="1">
        <f>[1]Results!AC1397</f>
        <v>0</v>
      </c>
      <c r="AA37" s="1">
        <f>[1]Results!AD1397</f>
        <v>0</v>
      </c>
      <c r="AB37" s="1">
        <f>[1]Results!AE1397</f>
        <v>0</v>
      </c>
      <c r="AC37" s="1">
        <f>[1]Results!AF1397</f>
        <v>0</v>
      </c>
      <c r="AD37" s="1">
        <f>[1]Results!AG1397</f>
        <v>0</v>
      </c>
      <c r="AE37" s="1">
        <f>[1]Results!AH1397</f>
        <v>0</v>
      </c>
      <c r="AF37" s="1">
        <f>[1]Results!AI1397</f>
        <v>0</v>
      </c>
      <c r="AG37" s="1">
        <f>[1]Results!AJ1397</f>
        <v>0</v>
      </c>
      <c r="AH37" s="1">
        <f>[1]Results!AK1397</f>
        <v>0</v>
      </c>
      <c r="AI37" s="1">
        <f>[1]Results!AL1397</f>
        <v>0</v>
      </c>
      <c r="AJ37" s="1">
        <f>[1]Results!AM1397</f>
        <v>0</v>
      </c>
      <c r="AK37" s="1">
        <f>[1]Results!AN1397</f>
        <v>0</v>
      </c>
      <c r="AL37" s="1">
        <f>[1]Results!AO1397</f>
        <v>0</v>
      </c>
      <c r="AM37" s="1">
        <f>[1]Results!AP1397</f>
        <v>0</v>
      </c>
      <c r="AN37" s="1">
        <f>[1]Results!AQ1397</f>
        <v>0</v>
      </c>
      <c r="AO37" s="1">
        <f>[1]Results!AR1397</f>
        <v>0</v>
      </c>
      <c r="AP37" s="1">
        <f>[1]Results!AS1397</f>
        <v>0</v>
      </c>
      <c r="AQ37" s="1">
        <f>[1]Results!AT1397</f>
        <v>0</v>
      </c>
      <c r="AR37" s="1">
        <f>[1]Results!AU1397</f>
        <v>0</v>
      </c>
      <c r="AS37" s="1">
        <f>[1]Results!AV1397</f>
        <v>0</v>
      </c>
      <c r="AT37" s="1">
        <f>[1]Results!AW1397</f>
        <v>0</v>
      </c>
      <c r="AU37" s="1">
        <f>[1]Results!AX1397</f>
        <v>0</v>
      </c>
      <c r="AV37" s="1">
        <f>[1]Results!AY1397</f>
        <v>0</v>
      </c>
      <c r="AW37" s="1">
        <f>[1]Results!AZ1397</f>
        <v>0</v>
      </c>
      <c r="AX37" s="1">
        <f>[1]Results!BA1397</f>
        <v>0</v>
      </c>
      <c r="AY37" s="1">
        <f>[1]Results!BB1397</f>
        <v>0</v>
      </c>
      <c r="AZ37" s="1">
        <f>[1]Results!BC1397</f>
        <v>0</v>
      </c>
      <c r="BA37" s="1">
        <f>[1]Results!BD1397</f>
        <v>0</v>
      </c>
      <c r="BB37" s="1">
        <f>[1]Results!BE1397</f>
        <v>0</v>
      </c>
      <c r="BC37" s="1">
        <f>[1]Results!BF1397</f>
        <v>0</v>
      </c>
      <c r="BD37" s="1">
        <f>[1]Results!BG1397</f>
        <v>0</v>
      </c>
      <c r="BE37" s="1">
        <f>[1]Results!BH1397</f>
        <v>0</v>
      </c>
      <c r="BF37" s="1">
        <f>[1]Results!BI1397</f>
        <v>0</v>
      </c>
    </row>
    <row r="38" spans="1:58" x14ac:dyDescent="0.35">
      <c r="A38" s="3" t="str">
        <f>[1]Results!E1398</f>
        <v>100*(W_2/W_0-1)</v>
      </c>
      <c r="B38" t="str">
        <f>[1]Results!C1398</f>
        <v>Salaire net nominal (hors cotisations employeurs et employés, unitaire)</v>
      </c>
      <c r="C38" s="1">
        <f>[1]Results!F1398</f>
        <v>-0.1847901755674175</v>
      </c>
      <c r="D38" s="1">
        <f>[1]Results!G1398</f>
        <v>-0.4374415743158333</v>
      </c>
      <c r="E38" s="1">
        <f>[1]Results!H1398</f>
        <v>-0.75259473630140405</v>
      </c>
      <c r="F38" s="1">
        <f>[1]Results!I1398</f>
        <v>-1.114853575822139</v>
      </c>
      <c r="G38" s="1">
        <f>[1]Results!J1398</f>
        <v>-1.5043716320907397</v>
      </c>
      <c r="H38" s="1">
        <f>[1]Results!K1398</f>
        <v>-1.9029455437168941</v>
      </c>
      <c r="I38" s="1">
        <f>[1]Results!L1398</f>
        <v>-2.297331868169139</v>
      </c>
      <c r="J38" s="1">
        <f>[1]Results!M1398</f>
        <v>-2.6782415943363058</v>
      </c>
      <c r="K38" s="1">
        <f>[1]Results!N1398</f>
        <v>-3.040170047988433</v>
      </c>
      <c r="L38" s="1">
        <f>[1]Results!O1398</f>
        <v>-3.3801944751866486</v>
      </c>
      <c r="M38" s="1">
        <f>[1]Results!P1398</f>
        <v>-3.7067499306873142</v>
      </c>
      <c r="N38" s="1">
        <f>[1]Results!Q1398</f>
        <v>-4.0102134013994206</v>
      </c>
      <c r="O38" s="1">
        <f>[1]Results!R1398</f>
        <v>-4.28500067970079</v>
      </c>
      <c r="P38" s="1">
        <f>[1]Results!S1398</f>
        <v>-4.5267712254928423</v>
      </c>
      <c r="Q38" s="1">
        <f>[1]Results!T1398</f>
        <v>-4.7332721285740842</v>
      </c>
      <c r="R38" s="1">
        <f>[1]Results!U1398</f>
        <v>-4.9043946118954684</v>
      </c>
      <c r="S38" s="1">
        <f>[1]Results!V1398</f>
        <v>-5.0428281784667295</v>
      </c>
      <c r="T38" s="1">
        <f>[1]Results!W1398</f>
        <v>-5.1509975827677916</v>
      </c>
      <c r="U38" s="1">
        <f>[1]Results!X1398</f>
        <v>-5.2321172190478276</v>
      </c>
      <c r="V38" s="1">
        <f>[1]Results!Y1398</f>
        <v>-5.2897942333978705</v>
      </c>
      <c r="W38" s="1">
        <f>[1]Results!Z1398</f>
        <v>-5.3280191915631274</v>
      </c>
      <c r="X38" s="1">
        <f>[1]Results!AA1398</f>
        <v>-5.3498829785356694</v>
      </c>
      <c r="Y38" s="1">
        <f>[1]Results!AB1398</f>
        <v>-5.3589645740458103</v>
      </c>
      <c r="Z38" s="1">
        <f>[1]Results!AC1398</f>
        <v>-5.358504232410322</v>
      </c>
      <c r="AA38" s="1">
        <f>[1]Results!AD1398</f>
        <v>-5.3514236089424516</v>
      </c>
      <c r="AB38" s="1">
        <f>[1]Results!AE1398</f>
        <v>-5.3411214981198718</v>
      </c>
      <c r="AC38" s="1">
        <f>[1]Results!AF1398</f>
        <v>-5.3282230986696932</v>
      </c>
      <c r="AD38" s="1">
        <f>[1]Results!AG1398</f>
        <v>-5.3150029798550991</v>
      </c>
      <c r="AE38" s="1">
        <f>[1]Results!AH1398</f>
        <v>-5.3032217637636103</v>
      </c>
      <c r="AF38" s="1">
        <f>[1]Results!AI1398</f>
        <v>-5.2942047432633199</v>
      </c>
      <c r="AG38" s="1">
        <f>[1]Results!AJ1398</f>
        <v>-5.2889325284711237</v>
      </c>
      <c r="AH38" s="1">
        <f>[1]Results!AK1398</f>
        <v>-5.2877816641563431</v>
      </c>
      <c r="AI38" s="1">
        <f>[1]Results!AL1398</f>
        <v>-5.2913447833310645</v>
      </c>
      <c r="AJ38" s="1">
        <f>[1]Results!AM1398</f>
        <v>-5.2999584634739421</v>
      </c>
      <c r="AK38" s="1">
        <f>[1]Results!AN1398</f>
        <v>-5.3137445880901417</v>
      </c>
      <c r="AL38" s="1">
        <f>[1]Results!AO1398</f>
        <v>-5.332659122241445</v>
      </c>
      <c r="AM38" s="1">
        <f>[1]Results!AP1398</f>
        <v>-5.3536363401122111</v>
      </c>
      <c r="AN38" s="1">
        <f>[1]Results!AQ1398</f>
        <v>-5.3774346090540988</v>
      </c>
      <c r="AO38" s="1">
        <f>[1]Results!AR1398</f>
        <v>-5.4042457193210991</v>
      </c>
      <c r="AP38" s="1">
        <f>[1]Results!AS1398</f>
        <v>-5.4338189564876016</v>
      </c>
      <c r="AQ38" s="1">
        <f>[1]Results!AT1398</f>
        <v>-5.4656954897408401</v>
      </c>
      <c r="AR38" s="1">
        <f>[1]Results!AU1398</f>
        <v>-5.4988679817741692</v>
      </c>
      <c r="AS38" s="1">
        <f>[1]Results!AV1398</f>
        <v>-5.5331084179315209</v>
      </c>
      <c r="AT38" s="1">
        <f>[1]Results!AW1398</f>
        <v>-5.5681791829267251</v>
      </c>
      <c r="AU38" s="1">
        <f>[1]Results!AX1398</f>
        <v>-5.6038607717592503</v>
      </c>
      <c r="AV38" s="1">
        <f>[1]Results!AY1398</f>
        <v>-5.6399808392930906</v>
      </c>
      <c r="AW38" s="1">
        <f>[1]Results!AZ1398</f>
        <v>-5.6746063100857054</v>
      </c>
      <c r="AX38" s="1">
        <f>[1]Results!BA1398</f>
        <v>-5.7084427288789819</v>
      </c>
      <c r="AY38" s="1">
        <f>[1]Results!BB1398</f>
        <v>-5.7418748422580883</v>
      </c>
      <c r="AZ38" s="1">
        <f>[1]Results!BC1398</f>
        <v>-5.775059769153545</v>
      </c>
      <c r="BA38" s="1">
        <f>[1]Results!BD1398</f>
        <v>-5.808056437073672</v>
      </c>
      <c r="BB38" s="1">
        <f>[1]Results!BE1398</f>
        <v>0.52299662863573015</v>
      </c>
      <c r="BC38" s="1">
        <f>[1]Results!BF1398</f>
        <v>0.54651107442689195</v>
      </c>
      <c r="BD38" s="1">
        <f>[1]Results!BG1398</f>
        <v>0.5699060909814424</v>
      </c>
      <c r="BE38" s="1">
        <f>[1]Results!BH1398</f>
        <v>0.5931206808498013</v>
      </c>
      <c r="BF38" s="1">
        <f>[1]Results!BI1398</f>
        <v>0.61613815686294426</v>
      </c>
    </row>
    <row r="39" spans="1:58" x14ac:dyDescent="0.35">
      <c r="A39" s="3" t="str">
        <f>[1]Results!E1399</f>
        <v>100*((W_2/PCH_2)/(W_0/PCH_0)-1)</v>
      </c>
      <c r="B39" t="str">
        <f>[1]Results!C1399</f>
        <v>Salaire net réel (hors cotisations employeurs et employés, unitaire)</v>
      </c>
      <c r="C39" s="1">
        <f>[1]Results!F1399</f>
        <v>-5.3726576743973187E-2</v>
      </c>
      <c r="D39" s="1">
        <f>[1]Results!G1399</f>
        <v>-7.8342674236919763E-2</v>
      </c>
      <c r="E39" s="1">
        <f>[1]Results!H1399</f>
        <v>-0.12571734417472502</v>
      </c>
      <c r="F39" s="1">
        <f>[1]Results!I1399</f>
        <v>-0.21119907766804502</v>
      </c>
      <c r="G39" s="1">
        <f>[1]Results!J1399</f>
        <v>-0.32943046291666889</v>
      </c>
      <c r="H39" s="1">
        <f>[1]Results!K1399</f>
        <v>-0.46832958885592024</v>
      </c>
      <c r="I39" s="1">
        <f>[1]Results!L1399</f>
        <v>-0.61703186240025243</v>
      </c>
      <c r="J39" s="1">
        <f>[1]Results!M1399</f>
        <v>-0.76751465525848328</v>
      </c>
      <c r="K39" s="1">
        <f>[1]Results!N1399</f>
        <v>-0.9153640694480214</v>
      </c>
      <c r="L39" s="1">
        <f>[1]Results!O1399</f>
        <v>-1.0586050438063488</v>
      </c>
      <c r="M39" s="1">
        <f>[1]Results!P1399</f>
        <v>-1.1925285099262162</v>
      </c>
      <c r="N39" s="1">
        <f>[1]Results!Q1399</f>
        <v>-1.3266327067783745</v>
      </c>
      <c r="O39" s="1">
        <f>[1]Results!R1399</f>
        <v>-1.4618166901137375</v>
      </c>
      <c r="P39" s="1">
        <f>[1]Results!S1399</f>
        <v>-1.5942962385236292</v>
      </c>
      <c r="Q39" s="1">
        <f>[1]Results!T1399</f>
        <v>-1.7198846321980765</v>
      </c>
      <c r="R39" s="1">
        <f>[1]Results!U1399</f>
        <v>-1.835751693322718</v>
      </c>
      <c r="S39" s="1">
        <f>[1]Results!V1399</f>
        <v>-1.9421495111465403</v>
      </c>
      <c r="T39" s="1">
        <f>[1]Results!W1399</f>
        <v>-2.0383111645689622</v>
      </c>
      <c r="U39" s="1">
        <f>[1]Results!X1399</f>
        <v>-2.1245119523710665</v>
      </c>
      <c r="V39" s="1">
        <f>[1]Results!Y1399</f>
        <v>-2.2016189659664898</v>
      </c>
      <c r="W39" s="1">
        <f>[1]Results!Z1399</f>
        <v>-2.2708575435649858</v>
      </c>
      <c r="X39" s="1">
        <f>[1]Results!AA1399</f>
        <v>-2.3330412396518008</v>
      </c>
      <c r="Y39" s="1">
        <f>[1]Results!AB1399</f>
        <v>-2.3895126135351386</v>
      </c>
      <c r="Z39" s="1">
        <f>[1]Results!AC1399</f>
        <v>-2.4414103879822902</v>
      </c>
      <c r="AA39" s="1">
        <f>[1]Results!AD1399</f>
        <v>-2.4897374947897011</v>
      </c>
      <c r="AB39" s="1">
        <f>[1]Results!AE1399</f>
        <v>-2.5357609778047019</v>
      </c>
      <c r="AC39" s="1">
        <f>[1]Results!AF1399</f>
        <v>-2.5786415194796075</v>
      </c>
      <c r="AD39" s="1">
        <f>[1]Results!AG1399</f>
        <v>-2.6198943119109308</v>
      </c>
      <c r="AE39" s="1">
        <f>[1]Results!AH1399</f>
        <v>-2.6606379929703272</v>
      </c>
      <c r="AF39" s="1">
        <f>[1]Results!AI1399</f>
        <v>-2.7016475399677331</v>
      </c>
      <c r="AG39" s="1">
        <f>[1]Results!AJ1399</f>
        <v>-2.743459941768811</v>
      </c>
      <c r="AH39" s="1">
        <f>[1]Results!AK1399</f>
        <v>-2.7859713960375787</v>
      </c>
      <c r="AI39" s="1">
        <f>[1]Results!AL1399</f>
        <v>-2.829720129635116</v>
      </c>
      <c r="AJ39" s="1">
        <f>[1]Results!AM1399</f>
        <v>-2.8750707047594082</v>
      </c>
      <c r="AK39" s="1">
        <f>[1]Results!AN1399</f>
        <v>-2.9222414122337392</v>
      </c>
      <c r="AL39" s="1">
        <f>[1]Results!AO1399</f>
        <v>-2.9713461901427873</v>
      </c>
      <c r="AM39" s="1">
        <f>[1]Results!AP1399</f>
        <v>-3.0178419088823794</v>
      </c>
      <c r="AN39" s="1">
        <f>[1]Results!AQ1399</f>
        <v>-3.0639957360485082</v>
      </c>
      <c r="AO39" s="1">
        <f>[1]Results!AR1399</f>
        <v>-3.1111690427353955</v>
      </c>
      <c r="AP39" s="1">
        <f>[1]Results!AS1399</f>
        <v>-3.159894587467571</v>
      </c>
      <c r="AQ39" s="1">
        <f>[1]Results!AT1399</f>
        <v>-3.2101947126193853</v>
      </c>
      <c r="AR39" s="1">
        <f>[1]Results!AU1399</f>
        <v>-3.2610641958353725</v>
      </c>
      <c r="AS39" s="1">
        <f>[1]Results!AV1399</f>
        <v>-3.312652407361949</v>
      </c>
      <c r="AT39" s="1">
        <f>[1]Results!AW1399</f>
        <v>-3.364967437031674</v>
      </c>
      <c r="AU39" s="1">
        <f>[1]Results!AX1399</f>
        <v>-3.4179251490648488</v>
      </c>
      <c r="AV39" s="1">
        <f>[1]Results!AY1399</f>
        <v>-3.471407690078343</v>
      </c>
      <c r="AW39" s="1">
        <f>[1]Results!AZ1399</f>
        <v>-3.5224612395326038</v>
      </c>
      <c r="AX39" s="1">
        <f>[1]Results!BA1399</f>
        <v>-3.5724840823765924</v>
      </c>
      <c r="AY39" s="1">
        <f>[1]Results!BB1399</f>
        <v>-3.6222981756280137</v>
      </c>
      <c r="AZ39" s="1">
        <f>[1]Results!BC1399</f>
        <v>-3.6722432815813</v>
      </c>
      <c r="BA39" s="1">
        <f>[1]Results!BD1399</f>
        <v>-3.7223812490228658</v>
      </c>
      <c r="BB39" s="1">
        <f>[1]Results!BE1399</f>
        <v>-0.24021035105309396</v>
      </c>
      <c r="BC39" s="1">
        <f>[1]Results!BF1399</f>
        <v>-0.24428123002031565</v>
      </c>
      <c r="BD39" s="1">
        <f>[1]Results!BG1399</f>
        <v>-0.24825121388079019</v>
      </c>
      <c r="BE39" s="1">
        <f>[1]Results!BH1399</f>
        <v>-0.25224222680291231</v>
      </c>
      <c r="BF39" s="1">
        <f>[1]Results!BI1399</f>
        <v>-0.25630122591391302</v>
      </c>
    </row>
    <row r="40" spans="1:58" x14ac:dyDescent="0.35">
      <c r="A40" s="3" t="str">
        <f>[1]Results!E1400</f>
        <v>100*(C_L_2/C_L_0-1)</v>
      </c>
      <c r="B40" t="str">
        <f>[1]Results!C1400</f>
        <v>Coût du travail nominal (yc. Cotisations employeurs et employés, unitaire)</v>
      </c>
      <c r="C40" s="1">
        <f>[1]Results!F1400</f>
        <v>-0.18479017210337734</v>
      </c>
      <c r="D40" s="1">
        <f>[1]Results!G1400</f>
        <v>-0.43744158139276124</v>
      </c>
      <c r="E40" s="1">
        <f>[1]Results!H1400</f>
        <v>-0.75259475390866415</v>
      </c>
      <c r="F40" s="1">
        <f>[1]Results!I1400</f>
        <v>-1.1148535742414256</v>
      </c>
      <c r="G40" s="1">
        <f>[1]Results!J1400</f>
        <v>-1.5043716287810094</v>
      </c>
      <c r="H40" s="1">
        <f>[1]Results!K1400</f>
        <v>-1.902945530277389</v>
      </c>
      <c r="I40" s="1">
        <f>[1]Results!L1400</f>
        <v>-2.2973318548718091</v>
      </c>
      <c r="J40" s="1">
        <f>[1]Results!M1400</f>
        <v>-2.6782415797451775</v>
      </c>
      <c r="K40" s="1">
        <f>[1]Results!N1400</f>
        <v>-3.040170040664858</v>
      </c>
      <c r="L40" s="1">
        <f>[1]Results!O1400</f>
        <v>-3.3801944629446412</v>
      </c>
      <c r="M40" s="1">
        <f>[1]Results!P1400</f>
        <v>-3.7067499257335657</v>
      </c>
      <c r="N40" s="1">
        <f>[1]Results!Q1400</f>
        <v>-4.0102134026663077</v>
      </c>
      <c r="O40" s="1">
        <f>[1]Results!R1400</f>
        <v>-4.2850006770381093</v>
      </c>
      <c r="P40" s="1">
        <f>[1]Results!S1400</f>
        <v>-4.5267712348648459</v>
      </c>
      <c r="Q40" s="1">
        <f>[1]Results!T1400</f>
        <v>-4.7332721242982263</v>
      </c>
      <c r="R40" s="1">
        <f>[1]Results!U1400</f>
        <v>-4.9043946010102974</v>
      </c>
      <c r="S40" s="1">
        <f>[1]Results!V1400</f>
        <v>-5.0428281757815547</v>
      </c>
      <c r="T40" s="1">
        <f>[1]Results!W1400</f>
        <v>-5.1509975943025417</v>
      </c>
      <c r="U40" s="1">
        <f>[1]Results!X1400</f>
        <v>-5.2321172214059075</v>
      </c>
      <c r="V40" s="1">
        <f>[1]Results!Y1400</f>
        <v>-5.2897942430796157</v>
      </c>
      <c r="W40" s="1">
        <f>[1]Results!Z1400</f>
        <v>-5.328019193876365</v>
      </c>
      <c r="X40" s="1">
        <f>[1]Results!AA1400</f>
        <v>-5.3498829882593801</v>
      </c>
      <c r="Y40" s="1">
        <f>[1]Results!AB1400</f>
        <v>-5.3589645853821866</v>
      </c>
      <c r="Z40" s="1">
        <f>[1]Results!AC1400</f>
        <v>-5.3585042439582615</v>
      </c>
      <c r="AA40" s="1">
        <f>[1]Results!AD1400</f>
        <v>-5.3514236322970916</v>
      </c>
      <c r="AB40" s="1">
        <f>[1]Results!AE1400</f>
        <v>-5.3411214770501143</v>
      </c>
      <c r="AC40" s="1">
        <f>[1]Results!AF1400</f>
        <v>-5.3282231471095347</v>
      </c>
      <c r="AD40" s="1">
        <f>[1]Results!AG1400</f>
        <v>-5.3150029386717756</v>
      </c>
      <c r="AE40" s="1">
        <f>[1]Results!AH1400</f>
        <v>-5.3032218504564632</v>
      </c>
      <c r="AF40" s="1">
        <f>[1]Results!AI1400</f>
        <v>-5.2942047756779242</v>
      </c>
      <c r="AG40" s="1">
        <f>[1]Results!AJ1400</f>
        <v>-5.2889325281909816</v>
      </c>
      <c r="AH40" s="1">
        <f>[1]Results!AK1400</f>
        <v>-5.2877816959153385</v>
      </c>
      <c r="AI40" s="1">
        <f>[1]Results!AL1400</f>
        <v>-5.2913448074065066</v>
      </c>
      <c r="AJ40" s="1">
        <f>[1]Results!AM1400</f>
        <v>-5.2999584107655924</v>
      </c>
      <c r="AK40" s="1">
        <f>[1]Results!AN1400</f>
        <v>-5.3137445905536262</v>
      </c>
      <c r="AL40" s="1">
        <f>[1]Results!AO1400</f>
        <v>-5.3326591658360734</v>
      </c>
      <c r="AM40" s="1">
        <f>[1]Results!AP1400</f>
        <v>-5.3536363240942357</v>
      </c>
      <c r="AN40" s="1">
        <f>[1]Results!AQ1400</f>
        <v>-5.3774346603778111</v>
      </c>
      <c r="AO40" s="1">
        <f>[1]Results!AR1400</f>
        <v>-5.4042457064249589</v>
      </c>
      <c r="AP40" s="1">
        <f>[1]Results!AS1400</f>
        <v>-5.4338189837962902</v>
      </c>
      <c r="AQ40" s="1">
        <f>[1]Results!AT1400</f>
        <v>-5.465695542755844</v>
      </c>
      <c r="AR40" s="1">
        <f>[1]Results!AU1400</f>
        <v>-5.4988679223024199</v>
      </c>
      <c r="AS40" s="1">
        <f>[1]Results!AV1400</f>
        <v>-5.5331084318156805</v>
      </c>
      <c r="AT40" s="1">
        <f>[1]Results!AW1400</f>
        <v>-5.5681791424152856</v>
      </c>
      <c r="AU40" s="1">
        <f>[1]Results!AX1400</f>
        <v>-5.6038607750334313</v>
      </c>
      <c r="AV40" s="1">
        <f>[1]Results!AY1400</f>
        <v>-5.6399808850065352</v>
      </c>
      <c r="AW40" s="1">
        <f>[1]Results!AZ1400</f>
        <v>-5.6746062917694795</v>
      </c>
      <c r="AX40" s="1">
        <f>[1]Results!BA1400</f>
        <v>-5.7084427172075731</v>
      </c>
      <c r="AY40" s="1">
        <f>[1]Results!BB1400</f>
        <v>-5.7418748421894428</v>
      </c>
      <c r="AZ40" s="1">
        <f>[1]Results!BC1400</f>
        <v>-5.7750598123626258</v>
      </c>
      <c r="BA40" s="1">
        <f>[1]Results!BD1400</f>
        <v>-5.8080564506376557</v>
      </c>
      <c r="BB40" s="1">
        <f>[1]Results!BE1400</f>
        <v>0.52299658260768211</v>
      </c>
      <c r="BC40" s="1">
        <f>[1]Results!BF1400</f>
        <v>0.54651106337506583</v>
      </c>
      <c r="BD40" s="1">
        <f>[1]Results!BG1400</f>
        <v>0.5699060494213759</v>
      </c>
      <c r="BE40" s="1">
        <f>[1]Results!BH1400</f>
        <v>0.59312071470607464</v>
      </c>
      <c r="BF40" s="1">
        <f>[1]Results!BI1400</f>
        <v>0.61613814107257525</v>
      </c>
    </row>
    <row r="41" spans="1:58" x14ac:dyDescent="0.35">
      <c r="A41" s="3" t="str">
        <f>[1]Results!E1401</f>
        <v>100*((C_L_2/PVA_2)/(C_L_0/PVA_0)-1)</v>
      </c>
      <c r="B41" t="str">
        <f>[1]Results!C1401</f>
        <v>Coût réel du travail (yc. Cotisations employeurs et employés, unitaire)</v>
      </c>
      <c r="C41" s="1">
        <f>[1]Results!F1401</f>
        <v>2.6664396902198462E-2</v>
      </c>
      <c r="D41" s="1">
        <f>[1]Results!G1401</f>
        <v>0.12256182373562297</v>
      </c>
      <c r="E41" s="1">
        <f>[1]Results!H1401</f>
        <v>0.21062087784735617</v>
      </c>
      <c r="F41" s="1">
        <f>[1]Results!I1401</f>
        <v>0.26070752959073129</v>
      </c>
      <c r="G41" s="1">
        <f>[1]Results!J1401</f>
        <v>0.27123497876890834</v>
      </c>
      <c r="H41" s="1">
        <f>[1]Results!K1401</f>
        <v>0.25198186940420531</v>
      </c>
      <c r="I41" s="1">
        <f>[1]Results!L1401</f>
        <v>0.21377735217151805</v>
      </c>
      <c r="J41" s="1">
        <f>[1]Results!M1401</f>
        <v>0.16492749870162804</v>
      </c>
      <c r="K41" s="1">
        <f>[1]Results!N1401</f>
        <v>0.11018920667438259</v>
      </c>
      <c r="L41" s="1">
        <f>[1]Results!O1401</f>
        <v>5.1729999884786437E-2</v>
      </c>
      <c r="M41" s="1">
        <f>[1]Results!P1401</f>
        <v>1.4901043659198976E-3</v>
      </c>
      <c r="N41" s="1">
        <f>[1]Results!Q1401</f>
        <v>-5.9661774290209468E-2</v>
      </c>
      <c r="O41" s="1">
        <f>[1]Results!R1401</f>
        <v>-0.13544812726158373</v>
      </c>
      <c r="P41" s="1">
        <f>[1]Results!S1401</f>
        <v>-0.22241371925026954</v>
      </c>
      <c r="Q41" s="1">
        <f>[1]Results!T1401</f>
        <v>-0.31520041909565144</v>
      </c>
      <c r="R41" s="1">
        <f>[1]Results!U1401</f>
        <v>-0.40938838150472723</v>
      </c>
      <c r="S41" s="1">
        <f>[1]Results!V1401</f>
        <v>-0.50368820345352283</v>
      </c>
      <c r="T41" s="1">
        <f>[1]Results!W1401</f>
        <v>-0.59578375520519256</v>
      </c>
      <c r="U41" s="1">
        <f>[1]Results!X1401</f>
        <v>-0.68459999461415455</v>
      </c>
      <c r="V41" s="1">
        <f>[1]Results!Y1401</f>
        <v>-0.76982917973243969</v>
      </c>
      <c r="W41" s="1">
        <f>[1]Results!Z1401</f>
        <v>-0.85150150918996692</v>
      </c>
      <c r="X41" s="1">
        <f>[1]Results!AA1401</f>
        <v>-0.92972098265161618</v>
      </c>
      <c r="Y41" s="1">
        <f>[1]Results!AB1401</f>
        <v>-1.004794544941201</v>
      </c>
      <c r="Z41" s="1">
        <f>[1]Results!AC1401</f>
        <v>-1.0770840112104385</v>
      </c>
      <c r="AA41" s="1">
        <f>[1]Results!AD1401</f>
        <v>-1.1468604659671144</v>
      </c>
      <c r="AB41" s="1">
        <f>[1]Results!AE1401</f>
        <v>-1.2144511855000761</v>
      </c>
      <c r="AC41" s="1">
        <f>[1]Results!AF1401</f>
        <v>-1.2788963922332308</v>
      </c>
      <c r="AD41" s="1">
        <f>[1]Results!AG1401</f>
        <v>-1.3412174429205836</v>
      </c>
      <c r="AE41" s="1">
        <f>[1]Results!AH1401</f>
        <v>-1.4023528806438867</v>
      </c>
      <c r="AF41" s="1">
        <f>[1]Results!AI1401</f>
        <v>-1.4628705061914271</v>
      </c>
      <c r="AG41" s="1">
        <f>[1]Results!AJ1401</f>
        <v>-1.5231247723996755</v>
      </c>
      <c r="AH41" s="1">
        <f>[1]Results!AK1401</f>
        <v>-1.5828363725070571</v>
      </c>
      <c r="AI41" s="1">
        <f>[1]Results!AL1401</f>
        <v>-1.6425142400496973</v>
      </c>
      <c r="AJ41" s="1">
        <f>[1]Results!AM1401</f>
        <v>-1.7025271022729549</v>
      </c>
      <c r="AK41" s="1">
        <f>[1]Results!AN1401</f>
        <v>-1.7631186205476879</v>
      </c>
      <c r="AL41" s="1">
        <f>[1]Results!AO1401</f>
        <v>-1.824447113100125</v>
      </c>
      <c r="AM41" s="1">
        <f>[1]Results!AP1401</f>
        <v>-1.8815685960693496</v>
      </c>
      <c r="AN41" s="1">
        <f>[1]Results!AQ1401</f>
        <v>-1.9374130027436043</v>
      </c>
      <c r="AO41" s="1">
        <f>[1]Results!AR1401</f>
        <v>-1.9938064236252329</v>
      </c>
      <c r="AP41" s="1">
        <f>[1]Results!AS1401</f>
        <v>-2.0515330293772505</v>
      </c>
      <c r="AQ41" s="1">
        <f>[1]Results!AT1401</f>
        <v>-2.1106986668391392</v>
      </c>
      <c r="AR41" s="1">
        <f>[1]Results!AU1401</f>
        <v>-2.1702096268414572</v>
      </c>
      <c r="AS41" s="1">
        <f>[1]Results!AV1401</f>
        <v>-2.2302616125449148</v>
      </c>
      <c r="AT41" s="1">
        <f>[1]Results!AW1401</f>
        <v>-2.2908782143128747</v>
      </c>
      <c r="AU41" s="1">
        <f>[1]Results!AX1401</f>
        <v>-2.3519596562539213</v>
      </c>
      <c r="AV41" s="1">
        <f>[1]Results!AY1401</f>
        <v>-2.413352978056893</v>
      </c>
      <c r="AW41" s="1">
        <f>[1]Results!AZ1401</f>
        <v>-2.4717615893467881</v>
      </c>
      <c r="AX41" s="1">
        <f>[1]Results!BA1401</f>
        <v>-2.5288538607604938</v>
      </c>
      <c r="AY41" s="1">
        <f>[1]Results!BB1401</f>
        <v>-2.5856376063599362</v>
      </c>
      <c r="AZ41" s="1">
        <f>[1]Results!BC1401</f>
        <v>-2.642503910882954</v>
      </c>
      <c r="BA41" s="1">
        <f>[1]Results!BD1401</f>
        <v>-2.6994736948675602</v>
      </c>
      <c r="BB41" s="1">
        <f>[1]Results!BE1401</f>
        <v>-0.55346485136600343</v>
      </c>
      <c r="BC41" s="1">
        <f>[1]Results!BF1401</f>
        <v>-0.56941968367145712</v>
      </c>
      <c r="BD41" s="1">
        <f>[1]Results!BG1401</f>
        <v>-0.58518679972733301</v>
      </c>
      <c r="BE41" s="1">
        <f>[1]Results!BH1401</f>
        <v>-0.60091463051668015</v>
      </c>
      <c r="BF41" s="1">
        <f>[1]Results!BI1401</f>
        <v>-0.61665616465492734</v>
      </c>
    </row>
    <row r="42" spans="1:58" x14ac:dyDescent="0.35">
      <c r="A42" s="3" t="str">
        <f>[1]Results!E1402</f>
        <v>((F_L_2/F_L_0)-1)*100</v>
      </c>
      <c r="B42" t="str">
        <f>[1]Results!C1402</f>
        <v>Emploi en %</v>
      </c>
      <c r="C42" s="1">
        <f>[1]Results!F1402</f>
        <v>-0.6671576122258327</v>
      </c>
      <c r="D42" s="1">
        <f>[1]Results!G1402</f>
        <v>-1.262096410950897</v>
      </c>
      <c r="E42" s="1">
        <f>[1]Results!H1402</f>
        <v>-1.7424420316723754</v>
      </c>
      <c r="F42" s="1">
        <f>[1]Results!I1402</f>
        <v>-2.1195300304322595</v>
      </c>
      <c r="G42" s="1">
        <f>[1]Results!J1402</f>
        <v>-2.4137584472696427</v>
      </c>
      <c r="H42" s="1">
        <f>[1]Results!K1402</f>
        <v>-2.6444905027077081</v>
      </c>
      <c r="I42" s="1">
        <f>[1]Results!L1402</f>
        <v>-2.829087561425736</v>
      </c>
      <c r="J42" s="1">
        <f>[1]Results!M1402</f>
        <v>-2.9804869365968045</v>
      </c>
      <c r="K42" s="1">
        <f>[1]Results!N1402</f>
        <v>-3.1087621685272238</v>
      </c>
      <c r="L42" s="1">
        <f>[1]Results!O1402</f>
        <v>-3.2217297765161912</v>
      </c>
      <c r="M42" s="1">
        <f>[1]Results!P1402</f>
        <v>-3.3761840006122479</v>
      </c>
      <c r="N42" s="1">
        <f>[1]Results!Q1402</f>
        <v>-3.4811327114840807</v>
      </c>
      <c r="O42" s="1">
        <f>[1]Results!R1402</f>
        <v>-3.547175321910423</v>
      </c>
      <c r="P42" s="1">
        <f>[1]Results!S1402</f>
        <v>-3.5870141521260224</v>
      </c>
      <c r="Q42" s="1">
        <f>[1]Results!T1402</f>
        <v>-3.6105988965114966</v>
      </c>
      <c r="R42" s="1">
        <f>[1]Results!U1402</f>
        <v>-3.6251072414821284</v>
      </c>
      <c r="S42" s="1">
        <f>[1]Results!V1402</f>
        <v>-3.6366987180589838</v>
      </c>
      <c r="T42" s="1">
        <f>[1]Results!W1402</f>
        <v>-3.6490093150574721</v>
      </c>
      <c r="U42" s="1">
        <f>[1]Results!X1402</f>
        <v>-3.6642496772025135</v>
      </c>
      <c r="V42" s="1">
        <f>[1]Results!Y1402</f>
        <v>-3.6837263975946888</v>
      </c>
      <c r="W42" s="1">
        <f>[1]Results!Z1402</f>
        <v>-3.7083415914297979</v>
      </c>
      <c r="X42" s="1">
        <f>[1]Results!AA1402</f>
        <v>-3.7379256507028447</v>
      </c>
      <c r="Y42" s="1">
        <f>[1]Results!AB1402</f>
        <v>-3.7723780116319272</v>
      </c>
      <c r="Z42" s="1">
        <f>[1]Results!AC1402</f>
        <v>-3.811385391812494</v>
      </c>
      <c r="AA42" s="1">
        <f>[1]Results!AD1402</f>
        <v>-3.8544615643390623</v>
      </c>
      <c r="AB42" s="1">
        <f>[1]Results!AE1402</f>
        <v>-3.9015384268169528</v>
      </c>
      <c r="AC42" s="1">
        <f>[1]Results!AF1402</f>
        <v>-3.9509764679911408</v>
      </c>
      <c r="AD42" s="1">
        <f>[1]Results!AG1402</f>
        <v>-4.0018074941107651</v>
      </c>
      <c r="AE42" s="1">
        <f>[1]Results!AH1402</f>
        <v>-4.0533643736966436</v>
      </c>
      <c r="AF42" s="1">
        <f>[1]Results!AI1402</f>
        <v>-4.1051374632284361</v>
      </c>
      <c r="AG42" s="1">
        <f>[1]Results!AJ1402</f>
        <v>-4.156698704745077</v>
      </c>
      <c r="AH42" s="1">
        <f>[1]Results!AK1402</f>
        <v>-4.2075276358528697</v>
      </c>
      <c r="AI42" s="1">
        <f>[1]Results!AL1402</f>
        <v>-4.257188154603786</v>
      </c>
      <c r="AJ42" s="1">
        <f>[1]Results!AM1402</f>
        <v>-4.3053938660405073</v>
      </c>
      <c r="AK42" s="1">
        <f>[1]Results!AN1402</f>
        <v>-4.3519419651886437</v>
      </c>
      <c r="AL42" s="1">
        <f>[1]Results!AO1402</f>
        <v>-4.3966870388690733</v>
      </c>
      <c r="AM42" s="1">
        <f>[1]Results!AP1402</f>
        <v>-4.4386941330791352</v>
      </c>
      <c r="AN42" s="1">
        <f>[1]Results!AQ1402</f>
        <v>-4.4768224739446749</v>
      </c>
      <c r="AO42" s="1">
        <f>[1]Results!AR1402</f>
        <v>-4.5110294219979918</v>
      </c>
      <c r="AP42" s="1">
        <f>[1]Results!AS1402</f>
        <v>-4.541703700847421</v>
      </c>
      <c r="AQ42" s="1">
        <f>[1]Results!AT1402</f>
        <v>-4.5693735306709833</v>
      </c>
      <c r="AR42" s="1">
        <f>[1]Results!AU1402</f>
        <v>-4.5944599754585198</v>
      </c>
      <c r="AS42" s="1">
        <f>[1]Results!AV1402</f>
        <v>-4.6172338159561344</v>
      </c>
      <c r="AT42" s="1">
        <f>[1]Results!AW1402</f>
        <v>-4.6380733525801858</v>
      </c>
      <c r="AU42" s="1">
        <f>[1]Results!AX1402</f>
        <v>-4.6573585291489028</v>
      </c>
      <c r="AV42" s="1">
        <f>[1]Results!AY1402</f>
        <v>-4.6754348506598546</v>
      </c>
      <c r="AW42" s="1">
        <f>[1]Results!AZ1402</f>
        <v>-4.6923985226272391</v>
      </c>
      <c r="AX42" s="1">
        <f>[1]Results!BA1402</f>
        <v>-4.7078109242932875</v>
      </c>
      <c r="AY42" s="1">
        <f>[1]Results!BB1402</f>
        <v>-4.7218454687759976</v>
      </c>
      <c r="AZ42" s="1">
        <f>[1]Results!BC1402</f>
        <v>-4.7348302739608989</v>
      </c>
      <c r="BA42" s="1">
        <f>[1]Results!BD1402</f>
        <v>-4.7470973658891751</v>
      </c>
      <c r="BB42" s="1">
        <f>[1]Results!BE1402</f>
        <v>0.14027340424394019</v>
      </c>
      <c r="BC42" s="1">
        <f>[1]Results!BF1402</f>
        <v>0.14741152578139349</v>
      </c>
      <c r="BD42" s="1">
        <f>[1]Results!BG1402</f>
        <v>0.15482110587274889</v>
      </c>
      <c r="BE42" s="1">
        <f>[1]Results!BH1402</f>
        <v>0.16252648829901961</v>
      </c>
      <c r="BF42" s="1">
        <f>[1]Results!BI1402</f>
        <v>0.17051143114354961</v>
      </c>
    </row>
    <row r="43" spans="1:58" x14ac:dyDescent="0.35">
      <c r="A43" s="3" t="str">
        <f>[1]Results!E1403</f>
        <v>F_L_2-F_L_0</v>
      </c>
      <c r="B43" t="str">
        <f>[1]Results!C1403</f>
        <v>Emploi en millier</v>
      </c>
      <c r="C43" s="1">
        <f>[1]Results!F1403</f>
        <v>-182.61336000000301</v>
      </c>
      <c r="D43" s="1">
        <f>[1]Results!G1403</f>
        <v>-345.83453000000009</v>
      </c>
      <c r="E43" s="1">
        <f>[1]Results!H1403</f>
        <v>-478.11807999999655</v>
      </c>
      <c r="F43" s="1">
        <f>[1]Results!I1403</f>
        <v>-582.7607199999984</v>
      </c>
      <c r="G43" s="1">
        <f>[1]Results!J1403</f>
        <v>-665.47910000000047</v>
      </c>
      <c r="H43" s="1">
        <f>[1]Results!K1403</f>
        <v>-731.59582999999839</v>
      </c>
      <c r="I43" s="1">
        <f>[1]Results!L1403</f>
        <v>-785.50541000000158</v>
      </c>
      <c r="J43" s="1">
        <f>[1]Results!M1403</f>
        <v>-830.66595999999845</v>
      </c>
      <c r="K43" s="1">
        <f>[1]Results!N1403</f>
        <v>-869.78188999999838</v>
      </c>
      <c r="L43" s="1">
        <f>[1]Results!O1403</f>
        <v>-904.95766000000003</v>
      </c>
      <c r="M43" s="1">
        <f>[1]Results!P1403</f>
        <v>-952.74244999999792</v>
      </c>
      <c r="N43" s="1">
        <f>[1]Results!Q1403</f>
        <v>-986.81294000000344</v>
      </c>
      <c r="O43" s="1">
        <f>[1]Results!R1403</f>
        <v>-1009.945929999998</v>
      </c>
      <c r="P43" s="1">
        <f>[1]Results!S1403</f>
        <v>-1025.618989999999</v>
      </c>
      <c r="Q43" s="1">
        <f>[1]Results!T1403</f>
        <v>-1036.5978099999993</v>
      </c>
      <c r="R43" s="1">
        <f>[1]Results!U1403</f>
        <v>-1044.9039599999996</v>
      </c>
      <c r="S43" s="1">
        <f>[1]Results!V1403</f>
        <v>-1052.3016900000002</v>
      </c>
      <c r="T43" s="1">
        <f>[1]Results!W1403</f>
        <v>-1059.8518399999994</v>
      </c>
      <c r="U43" s="1">
        <f>[1]Results!X1403</f>
        <v>-1068.2159600000014</v>
      </c>
      <c r="V43" s="1">
        <f>[1]Results!Y1403</f>
        <v>-1077.7997899999973</v>
      </c>
      <c r="W43" s="1">
        <f>[1]Results!Z1403</f>
        <v>-1088.4556699999994</v>
      </c>
      <c r="X43" s="1">
        <f>[1]Results!AA1403</f>
        <v>-1100.6722899999986</v>
      </c>
      <c r="Y43" s="1">
        <f>[1]Results!AB1403</f>
        <v>-1114.4598800000022</v>
      </c>
      <c r="Z43" s="1">
        <f>[1]Results!AC1403</f>
        <v>-1129.7386200000001</v>
      </c>
      <c r="AA43" s="1">
        <f>[1]Results!AD1403</f>
        <v>-1146.3705799999989</v>
      </c>
      <c r="AB43" s="1">
        <f>[1]Results!AE1403</f>
        <v>-1163.0809799999988</v>
      </c>
      <c r="AC43" s="1">
        <f>[1]Results!AF1403</f>
        <v>-1180.240310000001</v>
      </c>
      <c r="AD43" s="1">
        <f>[1]Results!AG1403</f>
        <v>-1197.691859999999</v>
      </c>
      <c r="AE43" s="1">
        <f>[1]Results!AH1403</f>
        <v>-1215.3188300000002</v>
      </c>
      <c r="AF43" s="1">
        <f>[1]Results!AI1403</f>
        <v>-1233.0277700000006</v>
      </c>
      <c r="AG43" s="1">
        <f>[1]Results!AJ1403</f>
        <v>-1250.7323299999989</v>
      </c>
      <c r="AH43" s="1">
        <f>[1]Results!AK1403</f>
        <v>-1268.3034299999999</v>
      </c>
      <c r="AI43" s="1">
        <f>[1]Results!AL1403</f>
        <v>-1285.6244699999988</v>
      </c>
      <c r="AJ43" s="1">
        <f>[1]Results!AM1403</f>
        <v>-1302.6136599999991</v>
      </c>
      <c r="AK43" s="1">
        <f>[1]Results!AN1403</f>
        <v>-1319.2068399999989</v>
      </c>
      <c r="AL43" s="1">
        <f>[1]Results!AO1403</f>
        <v>-1335.3520800000006</v>
      </c>
      <c r="AM43" s="1">
        <f>[1]Results!AP1403</f>
        <v>-1350.4490099999966</v>
      </c>
      <c r="AN43" s="1">
        <f>[1]Results!AQ1403</f>
        <v>-1364.183729999997</v>
      </c>
      <c r="AO43" s="1">
        <f>[1]Results!AR1403</f>
        <v>-1376.5883900000008</v>
      </c>
      <c r="AP43" s="1">
        <f>[1]Results!AS1403</f>
        <v>-1387.8225499999971</v>
      </c>
      <c r="AQ43" s="1">
        <f>[1]Results!AT1403</f>
        <v>-1398.0813899999994</v>
      </c>
      <c r="AR43" s="1">
        <f>[1]Results!AU1403</f>
        <v>-1407.5200299999997</v>
      </c>
      <c r="AS43" s="1">
        <f>[1]Results!AV1403</f>
        <v>-1416.2405199999994</v>
      </c>
      <c r="AT43" s="1">
        <f>[1]Results!AW1403</f>
        <v>-1424.3715499999998</v>
      </c>
      <c r="AU43" s="1">
        <f>[1]Results!AX1403</f>
        <v>-1432.0372000000025</v>
      </c>
      <c r="AV43" s="1">
        <f>[1]Results!AY1403</f>
        <v>-1439.347099999999</v>
      </c>
      <c r="AW43" s="1">
        <f>[1]Results!AZ1403</f>
        <v>-1446.3575400000009</v>
      </c>
      <c r="AX43" s="1">
        <f>[1]Results!BA1403</f>
        <v>-1452.9276599999976</v>
      </c>
      <c r="AY43" s="1">
        <f>[1]Results!BB1403</f>
        <v>-1459.1030500000015</v>
      </c>
      <c r="AZ43" s="1">
        <f>[1]Results!BC1403</f>
        <v>-1464.9767399999982</v>
      </c>
      <c r="BA43" s="1">
        <f>[1]Results!BD1403</f>
        <v>-1470.6439400000017</v>
      </c>
      <c r="BB43" s="1">
        <f>[1]Results!BE1403</f>
        <v>43.635760000001028</v>
      </c>
      <c r="BC43" s="1">
        <f>[1]Results!BF1403</f>
        <v>45.909630000001926</v>
      </c>
      <c r="BD43" s="1">
        <f>[1]Results!BG1403</f>
        <v>48.272320000000036</v>
      </c>
      <c r="BE43" s="1">
        <f>[1]Results!BH1403</f>
        <v>50.7316000000028</v>
      </c>
      <c r="BF43" s="1">
        <f>[1]Results!BI1403</f>
        <v>53.282609999998385</v>
      </c>
    </row>
    <row r="44" spans="1:58" x14ac:dyDescent="0.35">
      <c r="A44" s="3" t="str">
        <f>[1]Results!E1404</f>
        <v>100*(UnR_2-UnR_0)</v>
      </c>
      <c r="B44" t="str">
        <f>[1]Results!C1404</f>
        <v>Taux de chômage (en point)</v>
      </c>
      <c r="C44" s="1">
        <f>[1]Results!F1404</f>
        <v>0.48742331000000139</v>
      </c>
      <c r="D44" s="1">
        <f>[1]Results!G1404</f>
        <v>0.88533992999999811</v>
      </c>
      <c r="E44" s="1">
        <f>[1]Results!H1404</f>
        <v>1.187112709999999</v>
      </c>
      <c r="F44" s="1">
        <f>[1]Results!I1404</f>
        <v>1.414934000000001</v>
      </c>
      <c r="G44" s="1">
        <f>[1]Results!J1404</f>
        <v>1.5888676999999989</v>
      </c>
      <c r="H44" s="1">
        <f>[1]Results!K1404</f>
        <v>1.7241186899999983</v>
      </c>
      <c r="I44" s="1">
        <f>[1]Results!L1404</f>
        <v>1.8334974899999996</v>
      </c>
      <c r="J44" s="1">
        <f>[1]Results!M1404</f>
        <v>1.9238756999999995</v>
      </c>
      <c r="K44" s="1">
        <f>[1]Results!N1404</f>
        <v>2.0014522799999988</v>
      </c>
      <c r="L44" s="1">
        <f>[1]Results!O1404</f>
        <v>2.0708839399999985</v>
      </c>
      <c r="M44" s="1">
        <f>[1]Results!P1404</f>
        <v>2.171409859999998</v>
      </c>
      <c r="N44" s="1">
        <f>[1]Results!Q1404</f>
        <v>2.2369349799999991</v>
      </c>
      <c r="O44" s="1">
        <f>[1]Results!R1404</f>
        <v>2.2755729400000009</v>
      </c>
      <c r="P44" s="1">
        <f>[1]Results!S1404</f>
        <v>2.2976373800000003</v>
      </c>
      <c r="Q44" s="1">
        <f>[1]Results!T1404</f>
        <v>2.3101973400000002</v>
      </c>
      <c r="R44" s="1">
        <f>[1]Results!U1404</f>
        <v>2.3179089600000009</v>
      </c>
      <c r="S44" s="1">
        <f>[1]Results!V1404</f>
        <v>2.3246697499999995</v>
      </c>
      <c r="T44" s="1">
        <f>[1]Results!W1404</f>
        <v>2.3325693000000007</v>
      </c>
      <c r="U44" s="1">
        <f>[1]Results!X1404</f>
        <v>2.342802690000001</v>
      </c>
      <c r="V44" s="1">
        <f>[1]Results!Y1404</f>
        <v>2.3560404199999994</v>
      </c>
      <c r="W44" s="1">
        <f>[1]Results!Z1404</f>
        <v>2.3738527199999999</v>
      </c>
      <c r="X44" s="1">
        <f>[1]Results!AA1404</f>
        <v>2.3930876799999998</v>
      </c>
      <c r="Y44" s="1">
        <f>[1]Results!AB1404</f>
        <v>2.4157544900000021</v>
      </c>
      <c r="Z44" s="1">
        <f>[1]Results!AC1404</f>
        <v>2.4414918800000018</v>
      </c>
      <c r="AA44" s="1">
        <f>[1]Results!AD1404</f>
        <v>2.4698950299999995</v>
      </c>
      <c r="AB44" s="1">
        <f>[1]Results!AE1404</f>
        <v>2.5040090000000017</v>
      </c>
      <c r="AC44" s="1">
        <f>[1]Results!AF1404</f>
        <v>2.5358518800000009</v>
      </c>
      <c r="AD44" s="1">
        <f>[1]Results!AG1404</f>
        <v>2.5683550499999983</v>
      </c>
      <c r="AE44" s="1">
        <f>[1]Results!AH1404</f>
        <v>2.6011497199999982</v>
      </c>
      <c r="AF44" s="1">
        <f>[1]Results!AI1404</f>
        <v>2.633973810000001</v>
      </c>
      <c r="AG44" s="1">
        <f>[1]Results!AJ1404</f>
        <v>2.6666052299999992</v>
      </c>
      <c r="AH44" s="1">
        <f>[1]Results!AK1404</f>
        <v>2.6987317999999982</v>
      </c>
      <c r="AI44" s="1">
        <f>[1]Results!AL1404</f>
        <v>2.7300920000000009</v>
      </c>
      <c r="AJ44" s="1">
        <f>[1]Results!AM1404</f>
        <v>2.7605201999999993</v>
      </c>
      <c r="AK44" s="1">
        <f>[1]Results!AN1404</f>
        <v>2.7898950700000009</v>
      </c>
      <c r="AL44" s="1">
        <f>[1]Results!AO1404</f>
        <v>2.8181242100000006</v>
      </c>
      <c r="AM44" s="1">
        <f>[1]Results!AP1404</f>
        <v>2.845257779999999</v>
      </c>
      <c r="AN44" s="1">
        <f>[1]Results!AQ1404</f>
        <v>2.8692810899999976</v>
      </c>
      <c r="AO44" s="1">
        <f>[1]Results!AR1404</f>
        <v>2.8904338000000003</v>
      </c>
      <c r="AP44" s="1">
        <f>[1]Results!AS1404</f>
        <v>2.9091483400000007</v>
      </c>
      <c r="AQ44" s="1">
        <f>[1]Results!AT1404</f>
        <v>2.9258763500000007</v>
      </c>
      <c r="AR44" s="1">
        <f>[1]Results!AU1404</f>
        <v>2.9409413199999985</v>
      </c>
      <c r="AS44" s="1">
        <f>[1]Results!AV1404</f>
        <v>2.954535620000001</v>
      </c>
      <c r="AT44" s="1">
        <f>[1]Results!AW1404</f>
        <v>2.9669264199999992</v>
      </c>
      <c r="AU44" s="1">
        <f>[1]Results!AX1404</f>
        <v>2.9783709700000021</v>
      </c>
      <c r="AV44" s="1">
        <f>[1]Results!AY1404</f>
        <v>2.9890940899999996</v>
      </c>
      <c r="AW44" s="1">
        <f>[1]Results!AZ1404</f>
        <v>2.9990730399999999</v>
      </c>
      <c r="AX44" s="1">
        <f>[1]Results!BA1404</f>
        <v>3.0080663199999997</v>
      </c>
      <c r="AY44" s="1">
        <f>[1]Results!BB1404</f>
        <v>3.0161985499999986</v>
      </c>
      <c r="AZ44" s="1">
        <f>[1]Results!BC1404</f>
        <v>3.0236959300000006</v>
      </c>
      <c r="BA44" s="1">
        <f>[1]Results!BD1404</f>
        <v>3.0307749800000003</v>
      </c>
      <c r="BB44" s="1">
        <f>[1]Results!BE1404</f>
        <v>-8.9909590000000761E-2</v>
      </c>
      <c r="BC44" s="1">
        <f>[1]Results!BF1404</f>
        <v>-9.4422660000001435E-2</v>
      </c>
      <c r="BD44" s="1">
        <f>[1]Results!BG1404</f>
        <v>-9.911473000000226E-2</v>
      </c>
      <c r="BE44" s="1">
        <f>[1]Results!BH1404</f>
        <v>-0.10399653000000009</v>
      </c>
      <c r="BF44" s="1">
        <f>[1]Results!BI1404</f>
        <v>-0.10905186999999872</v>
      </c>
    </row>
    <row r="45" spans="1:58" x14ac:dyDescent="0.35">
      <c r="A45" s="3" t="str">
        <f>[1]Results!E1405</f>
        <v>100*(Bal_Trade_VAL_2/(GDP_2*PGDP_2)-Bal_Trade_VAL_0/(GDP_0*PGDP_0))</v>
      </c>
      <c r="B45" t="str">
        <f>[1]Results!C1405</f>
        <v>Balance commerciale</v>
      </c>
      <c r="C45" s="1">
        <f>[1]Results!F1405</f>
        <v>-1.0076801725271785</v>
      </c>
      <c r="D45" s="1">
        <f>[1]Results!G1405</f>
        <v>-1.0095811946756303</v>
      </c>
      <c r="E45" s="1">
        <f>[1]Results!H1405</f>
        <v>-1.0460279759799513</v>
      </c>
      <c r="F45" s="1">
        <f>[1]Results!I1405</f>
        <v>-1.0895043257365051</v>
      </c>
      <c r="G45" s="1">
        <f>[1]Results!J1405</f>
        <v>-1.1361424251501244</v>
      </c>
      <c r="H45" s="1">
        <f>[1]Results!K1405</f>
        <v>-1.185643276568342</v>
      </c>
      <c r="I45" s="1">
        <f>[1]Results!L1405</f>
        <v>-1.2393382515553499</v>
      </c>
      <c r="J45" s="1">
        <f>[1]Results!M1405</f>
        <v>-1.2954429125401024</v>
      </c>
      <c r="K45" s="1">
        <f>[1]Results!N1405</f>
        <v>-1.3534325899336472</v>
      </c>
      <c r="L45" s="1">
        <f>[1]Results!O1405</f>
        <v>-1.4126589807283201</v>
      </c>
      <c r="M45" s="1">
        <f>[1]Results!P1405</f>
        <v>-1.5480334198727443</v>
      </c>
      <c r="N45" s="1">
        <f>[1]Results!Q1405</f>
        <v>-1.5550461705383083</v>
      </c>
      <c r="O45" s="1">
        <f>[1]Results!R1405</f>
        <v>-1.5687681690159643</v>
      </c>
      <c r="P45" s="1">
        <f>[1]Results!S1405</f>
        <v>-1.5851409583671643</v>
      </c>
      <c r="Q45" s="1">
        <f>[1]Results!T1405</f>
        <v>-1.60384038272088</v>
      </c>
      <c r="R45" s="1">
        <f>[1]Results!U1405</f>
        <v>-1.6249584992262061</v>
      </c>
      <c r="S45" s="1">
        <f>[1]Results!V1405</f>
        <v>-1.6516531282486293</v>
      </c>
      <c r="T45" s="1">
        <f>[1]Results!W1405</f>
        <v>-1.6800542713150557</v>
      </c>
      <c r="U45" s="1">
        <f>[1]Results!X1405</f>
        <v>-1.7101076933136756</v>
      </c>
      <c r="V45" s="1">
        <f>[1]Results!Y1405</f>
        <v>-1.7416336992563179</v>
      </c>
      <c r="W45" s="1">
        <f>[1]Results!Z1405</f>
        <v>-1.7741935652802343</v>
      </c>
      <c r="X45" s="1">
        <f>[1]Results!AA1405</f>
        <v>-1.8082099049483515</v>
      </c>
      <c r="Y45" s="1">
        <f>[1]Results!AB1405</f>
        <v>-1.843316349902679</v>
      </c>
      <c r="Z45" s="1">
        <f>[1]Results!AC1405</f>
        <v>-1.8793697901783604</v>
      </c>
      <c r="AA45" s="1">
        <f>[1]Results!AD1405</f>
        <v>-1.9162906580442867</v>
      </c>
      <c r="AB45" s="1">
        <f>[1]Results!AE1405</f>
        <v>-1.9531042767488727</v>
      </c>
      <c r="AC45" s="1">
        <f>[1]Results!AF1405</f>
        <v>-1.9901278141835024</v>
      </c>
      <c r="AD45" s="1">
        <f>[1]Results!AG1405</f>
        <v>-2.0284409660065879</v>
      </c>
      <c r="AE45" s="1">
        <f>[1]Results!AH1405</f>
        <v>-2.0677591733521421</v>
      </c>
      <c r="AF45" s="1">
        <f>[1]Results!AI1405</f>
        <v>-2.107909914724774</v>
      </c>
      <c r="AG45" s="1">
        <f>[1]Results!AJ1405</f>
        <v>-2.1487751003471862</v>
      </c>
      <c r="AH45" s="1">
        <f>[1]Results!AK1405</f>
        <v>-2.1895056221013123</v>
      </c>
      <c r="AI45" s="1">
        <f>[1]Results!AL1405</f>
        <v>-2.2308928183456165</v>
      </c>
      <c r="AJ45" s="1">
        <f>[1]Results!AM1405</f>
        <v>-2.2728046006020977</v>
      </c>
      <c r="AK45" s="1">
        <f>[1]Results!AN1405</f>
        <v>-2.3151519782980885</v>
      </c>
      <c r="AL45" s="1">
        <f>[1]Results!AO1405</f>
        <v>-2.3578664888933343</v>
      </c>
      <c r="AM45" s="1">
        <f>[1]Results!AP1405</f>
        <v>-2.393906098118773</v>
      </c>
      <c r="AN45" s="1">
        <f>[1]Results!AQ1405</f>
        <v>-2.4313646318330573</v>
      </c>
      <c r="AO45" s="1">
        <f>[1]Results!AR1405</f>
        <v>-2.4696047337240361</v>
      </c>
      <c r="AP45" s="1">
        <f>[1]Results!AS1405</f>
        <v>-2.5083176577261352</v>
      </c>
      <c r="AQ45" s="1">
        <f>[1]Results!AT1405</f>
        <v>-2.5473443410102274</v>
      </c>
      <c r="AR45" s="1">
        <f>[1]Results!AU1405</f>
        <v>-2.5855346788404101</v>
      </c>
      <c r="AS45" s="1">
        <f>[1]Results!AV1405</f>
        <v>-2.6240733052689689</v>
      </c>
      <c r="AT45" s="1">
        <f>[1]Results!AW1405</f>
        <v>-2.6628336263545882</v>
      </c>
      <c r="AU45" s="1">
        <f>[1]Results!AX1405</f>
        <v>-2.7017480278002539</v>
      </c>
      <c r="AV45" s="1">
        <f>[1]Results!AY1405</f>
        <v>-2.7407735312223758</v>
      </c>
      <c r="AW45" s="1">
        <f>[1]Results!AZ1405</f>
        <v>-2.776302664135585</v>
      </c>
      <c r="AX45" s="1">
        <f>[1]Results!BA1405</f>
        <v>-2.8123913441345008</v>
      </c>
      <c r="AY45" s="1">
        <f>[1]Results!BB1405</f>
        <v>-2.8486813802673066</v>
      </c>
      <c r="AZ45" s="1">
        <f>[1]Results!BC1405</f>
        <v>-2.8849989619306444</v>
      </c>
      <c r="BA45" s="1">
        <f>[1]Results!BD1405</f>
        <v>-2.9212671485904047</v>
      </c>
      <c r="BB45" s="1">
        <f>[1]Results!BE1405</f>
        <v>2.5088340241877227E-2</v>
      </c>
      <c r="BC45" s="1">
        <f>[1]Results!BF1405</f>
        <v>2.3677838209086803E-2</v>
      </c>
      <c r="BD45" s="1">
        <f>[1]Results!BG1405</f>
        <v>2.2157323216682578E-2</v>
      </c>
      <c r="BE45" s="1">
        <f>[1]Results!BH1405</f>
        <v>2.0562063689133103E-2</v>
      </c>
      <c r="BF45" s="1">
        <f>[1]Results!BI1405</f>
        <v>1.8911098973554932E-2</v>
      </c>
    </row>
    <row r="46" spans="1:58" x14ac:dyDescent="0.35">
      <c r="A46" s="3" t="str">
        <f>[1]Results!E1406</f>
        <v>100*(ENER_BILL_2/(GDP_2*PGDP_2)-ENER_BILL_0/(GDP_0*PGDP_0))</v>
      </c>
      <c r="B46" t="str">
        <f>[1]Results!C1406</f>
        <v>Facture énergétique</v>
      </c>
      <c r="C46" s="1">
        <f>[1]Results!F1406</f>
        <v>3.1824121437084608E-2</v>
      </c>
      <c r="D46" s="1">
        <f>[1]Results!G1406</f>
        <v>3.4982730677926566E-2</v>
      </c>
      <c r="E46" s="1">
        <f>[1]Results!H1406</f>
        <v>4.2391143415854843E-2</v>
      </c>
      <c r="F46" s="1">
        <f>[1]Results!I1406</f>
        <v>5.0112610065283607E-2</v>
      </c>
      <c r="G46" s="1">
        <f>[1]Results!J1406</f>
        <v>5.7675864510450293E-2</v>
      </c>
      <c r="H46" s="1">
        <f>[1]Results!K1406</f>
        <v>6.4871624485222767E-2</v>
      </c>
      <c r="I46" s="1">
        <f>[1]Results!L1406</f>
        <v>7.1716466908555362E-2</v>
      </c>
      <c r="J46" s="1">
        <f>[1]Results!M1406</f>
        <v>7.8154127060175299E-2</v>
      </c>
      <c r="K46" s="1">
        <f>[1]Results!N1406</f>
        <v>8.420484994216601E-2</v>
      </c>
      <c r="L46" s="1">
        <f>[1]Results!O1406</f>
        <v>8.9872087286183011E-2</v>
      </c>
      <c r="M46" s="1">
        <f>[1]Results!P1406</f>
        <v>9.7386767910246155E-2</v>
      </c>
      <c r="N46" s="1">
        <f>[1]Results!Q1406</f>
        <v>0.10075883013525214</v>
      </c>
      <c r="O46" s="1">
        <f>[1]Results!R1406</f>
        <v>0.10414558236397556</v>
      </c>
      <c r="P46" s="1">
        <f>[1]Results!S1406</f>
        <v>0.10701723507976299</v>
      </c>
      <c r="Q46" s="1">
        <f>[1]Results!T1406</f>
        <v>0.10933574793104053</v>
      </c>
      <c r="R46" s="1">
        <f>[1]Results!U1406</f>
        <v>0.11114770725390542</v>
      </c>
      <c r="S46" s="1">
        <f>[1]Results!V1406</f>
        <v>0.11260790699512499</v>
      </c>
      <c r="T46" s="1">
        <f>[1]Results!W1406</f>
        <v>0.11365778399564219</v>
      </c>
      <c r="U46" s="1">
        <f>[1]Results!X1406</f>
        <v>0.11436458838859787</v>
      </c>
      <c r="V46" s="1">
        <f>[1]Results!Y1406</f>
        <v>0.11477911968874113</v>
      </c>
      <c r="W46" s="1">
        <f>[1]Results!Z1406</f>
        <v>0.11497642428074037</v>
      </c>
      <c r="X46" s="1">
        <f>[1]Results!AA1406</f>
        <v>0.11495230121003688</v>
      </c>
      <c r="Y46" s="1">
        <f>[1]Results!AB1406</f>
        <v>0.1147725965731327</v>
      </c>
      <c r="Z46" s="1">
        <f>[1]Results!AC1406</f>
        <v>0.11447586931220502</v>
      </c>
      <c r="AA46" s="1">
        <f>[1]Results!AD1406</f>
        <v>0.11409930405246477</v>
      </c>
      <c r="AB46" s="1">
        <f>[1]Results!AE1406</f>
        <v>0.11374251609302492</v>
      </c>
      <c r="AC46" s="1">
        <f>[1]Results!AF1406</f>
        <v>0.11331816586614904</v>
      </c>
      <c r="AD46" s="1">
        <f>[1]Results!AG1406</f>
        <v>0.11292279252441192</v>
      </c>
      <c r="AE46" s="1">
        <f>[1]Results!AH1406</f>
        <v>0.11256379412533206</v>
      </c>
      <c r="AF46" s="1">
        <f>[1]Results!AI1406</f>
        <v>0.11225364025476223</v>
      </c>
      <c r="AG46" s="1">
        <f>[1]Results!AJ1406</f>
        <v>0.11200229754462845</v>
      </c>
      <c r="AH46" s="1">
        <f>[1]Results!AK1406</f>
        <v>0.1117945065003208</v>
      </c>
      <c r="AI46" s="1">
        <f>[1]Results!AL1406</f>
        <v>0.11165854652011015</v>
      </c>
      <c r="AJ46" s="1">
        <f>[1]Results!AM1406</f>
        <v>0.11158901833340074</v>
      </c>
      <c r="AK46" s="1">
        <f>[1]Results!AN1406</f>
        <v>0.11158323497589689</v>
      </c>
      <c r="AL46" s="1">
        <f>[1]Results!AO1406</f>
        <v>0.11163814229885743</v>
      </c>
      <c r="AM46" s="1">
        <f>[1]Results!AP1406</f>
        <v>0.11157311816164719</v>
      </c>
      <c r="AN46" s="1">
        <f>[1]Results!AQ1406</f>
        <v>0.11160541742739095</v>
      </c>
      <c r="AO46" s="1">
        <f>[1]Results!AR1406</f>
        <v>0.11168723572921851</v>
      </c>
      <c r="AP46" s="1">
        <f>[1]Results!AS1406</f>
        <v>0.11180279414013845</v>
      </c>
      <c r="AQ46" s="1">
        <f>[1]Results!AT1406</f>
        <v>0.11194320763086696</v>
      </c>
      <c r="AR46" s="1">
        <f>[1]Results!AU1406</f>
        <v>0.11207244049363761</v>
      </c>
      <c r="AS46" s="1">
        <f>[1]Results!AV1406</f>
        <v>0.11222019495503409</v>
      </c>
      <c r="AT46" s="1">
        <f>[1]Results!AW1406</f>
        <v>0.11237492141030117</v>
      </c>
      <c r="AU46" s="1">
        <f>[1]Results!AX1406</f>
        <v>0.11253141905146496</v>
      </c>
      <c r="AV46" s="1">
        <f>[1]Results!AY1406</f>
        <v>0.11268797244619513</v>
      </c>
      <c r="AW46" s="1">
        <f>[1]Results!AZ1406</f>
        <v>0.11275384609537864</v>
      </c>
      <c r="AX46" s="1">
        <f>[1]Results!BA1406</f>
        <v>0.11285788134124085</v>
      </c>
      <c r="AY46" s="1">
        <f>[1]Results!BB1406</f>
        <v>0.11299288542460009</v>
      </c>
      <c r="AZ46" s="1">
        <f>[1]Results!BC1406</f>
        <v>0.11312323714606307</v>
      </c>
      <c r="BA46" s="1">
        <f>[1]Results!BD1406</f>
        <v>0.11322289908103997</v>
      </c>
      <c r="BB46" s="1">
        <f>[1]Results!BE1406</f>
        <v>-1.4290277810535823E-2</v>
      </c>
      <c r="BC46" s="1">
        <f>[1]Results!BF1406</f>
        <v>-1.4575120011606733E-2</v>
      </c>
      <c r="BD46" s="1">
        <f>[1]Results!BG1406</f>
        <v>-1.4850600843896618E-2</v>
      </c>
      <c r="BE46" s="1">
        <f>[1]Results!BH1406</f>
        <v>-1.5118730917251105E-2</v>
      </c>
      <c r="BF46" s="1">
        <f>[1]Results!BI1406</f>
        <v>-1.5380040732979224E-2</v>
      </c>
    </row>
    <row r="47" spans="1:58" x14ac:dyDescent="0.35">
      <c r="A47" s="3" t="str">
        <f>[1]Results!E1407</f>
        <v>100*((-Bal_G_prim_VAL_2)/(GDP_2*PGDP_2)-(-Bal_G_prim_VAL_0)/(GDP_0*PGDP_0))</v>
      </c>
      <c r="B47" t="str">
        <f>[1]Results!C1407</f>
        <v>Solde public primaire</v>
      </c>
      <c r="C47" s="1">
        <f>[1]Results!F1407</f>
        <v>0.52716528429231657</v>
      </c>
      <c r="D47" s="1">
        <f>[1]Results!G1407</f>
        <v>0.91414060532741992</v>
      </c>
      <c r="E47" s="1">
        <f>[1]Results!H1407</f>
        <v>1.2318023718365112</v>
      </c>
      <c r="F47" s="1">
        <f>[1]Results!I1407</f>
        <v>1.4925450077057087</v>
      </c>
      <c r="G47" s="1">
        <f>[1]Results!J1407</f>
        <v>1.7061887770888597</v>
      </c>
      <c r="H47" s="1">
        <f>[1]Results!K1407</f>
        <v>1.8812457967336549</v>
      </c>
      <c r="I47" s="1">
        <f>[1]Results!L1407</f>
        <v>2.0259081065461331</v>
      </c>
      <c r="J47" s="1">
        <f>[1]Results!M1407</f>
        <v>2.1471035831184979</v>
      </c>
      <c r="K47" s="1">
        <f>[1]Results!N1407</f>
        <v>2.2502800888624459</v>
      </c>
      <c r="L47" s="1">
        <f>[1]Results!O1407</f>
        <v>2.3399500394808626</v>
      </c>
      <c r="M47" s="1">
        <f>[1]Results!P1407</f>
        <v>2.4601651149963639</v>
      </c>
      <c r="N47" s="1">
        <f>[1]Results!Q1407</f>
        <v>2.5314406804917735</v>
      </c>
      <c r="O47" s="1">
        <f>[1]Results!R1407</f>
        <v>2.575379177762676</v>
      </c>
      <c r="P47" s="1">
        <f>[1]Results!S1407</f>
        <v>2.5991502740999555</v>
      </c>
      <c r="Q47" s="1">
        <f>[1]Results!T1407</f>
        <v>2.6082854271245548</v>
      </c>
      <c r="R47" s="1">
        <f>[1]Results!U1407</f>
        <v>2.6072449603329262</v>
      </c>
      <c r="S47" s="1">
        <f>[1]Results!V1407</f>
        <v>2.6013861454045717</v>
      </c>
      <c r="T47" s="1">
        <f>[1]Results!W1407</f>
        <v>2.5930378913625698</v>
      </c>
      <c r="U47" s="1">
        <f>[1]Results!X1407</f>
        <v>2.5842662502671803</v>
      </c>
      <c r="V47" s="1">
        <f>[1]Results!Y1407</f>
        <v>2.5766688706091605</v>
      </c>
      <c r="W47" s="1">
        <f>[1]Results!Z1407</f>
        <v>2.5708974756649856</v>
      </c>
      <c r="X47" s="1">
        <f>[1]Results!AA1407</f>
        <v>2.5693658288999015</v>
      </c>
      <c r="Y47" s="1">
        <f>[1]Results!AB1407</f>
        <v>2.5713227081804368</v>
      </c>
      <c r="Z47" s="1">
        <f>[1]Results!AC1407</f>
        <v>2.577063757529491</v>
      </c>
      <c r="AA47" s="1">
        <f>[1]Results!AD1407</f>
        <v>2.5866908310592853</v>
      </c>
      <c r="AB47" s="1">
        <f>[1]Results!AE1407</f>
        <v>2.5985211701938518</v>
      </c>
      <c r="AC47" s="1">
        <f>[1]Results!AF1407</f>
        <v>2.6157548243877442</v>
      </c>
      <c r="AD47" s="1">
        <f>[1]Results!AG1407</f>
        <v>2.6362482462552768</v>
      </c>
      <c r="AE47" s="1">
        <f>[1]Results!AH1407</f>
        <v>2.6597193926761875</v>
      </c>
      <c r="AF47" s="1">
        <f>[1]Results!AI1407</f>
        <v>2.6858406855939525</v>
      </c>
      <c r="AG47" s="1">
        <f>[1]Results!AJ1407</f>
        <v>2.7142708455850544</v>
      </c>
      <c r="AH47" s="1">
        <f>[1]Results!AK1407</f>
        <v>2.744282167042154</v>
      </c>
      <c r="AI47" s="1">
        <f>[1]Results!AL1407</f>
        <v>2.7757232868856181</v>
      </c>
      <c r="AJ47" s="1">
        <f>[1]Results!AM1407</f>
        <v>2.8083933670511056</v>
      </c>
      <c r="AK47" s="1">
        <f>[1]Results!AN1407</f>
        <v>2.8421006309559402</v>
      </c>
      <c r="AL47" s="1">
        <f>[1]Results!AO1407</f>
        <v>2.8766680439346559</v>
      </c>
      <c r="AM47" s="1">
        <f>[1]Results!AP1407</f>
        <v>2.9079564109054949</v>
      </c>
      <c r="AN47" s="1">
        <f>[1]Results!AQ1407</f>
        <v>2.9380346140080502</v>
      </c>
      <c r="AO47" s="1">
        <f>[1]Results!AR1407</f>
        <v>2.967337200912147</v>
      </c>
      <c r="AP47" s="1">
        <f>[1]Results!AS1407</f>
        <v>2.9961487819220278</v>
      </c>
      <c r="AQ47" s="1">
        <f>[1]Results!AT1407</f>
        <v>3.0246586985680293</v>
      </c>
      <c r="AR47" s="1">
        <f>[1]Results!AU1407</f>
        <v>3.0524498183746021</v>
      </c>
      <c r="AS47" s="1">
        <f>[1]Results!AV1407</f>
        <v>3.0798735696724902</v>
      </c>
      <c r="AT47" s="1">
        <f>[1]Results!AW1407</f>
        <v>3.1071609998206564</v>
      </c>
      <c r="AU47" s="1">
        <f>[1]Results!AX1407</f>
        <v>3.1345087250890789</v>
      </c>
      <c r="AV47" s="1">
        <f>[1]Results!AY1407</f>
        <v>3.1620844186964736</v>
      </c>
      <c r="AW47" s="1">
        <f>[1]Results!AZ1407</f>
        <v>3.18818284439946</v>
      </c>
      <c r="AX47" s="1">
        <f>[1]Results!BA1407</f>
        <v>3.2136110077618718</v>
      </c>
      <c r="AY47" s="1">
        <f>[1]Results!BB1407</f>
        <v>3.2388364980084261</v>
      </c>
      <c r="AZ47" s="1">
        <f>[1]Results!BC1407</f>
        <v>3.264194988767132</v>
      </c>
      <c r="BA47" s="1">
        <f>[1]Results!BD1407</f>
        <v>3.2899119856378034</v>
      </c>
      <c r="BB47" s="1">
        <f>[1]Results!BE1407</f>
        <v>-3.3322679994021893E-2</v>
      </c>
      <c r="BC47" s="1">
        <f>[1]Results!BF1407</f>
        <v>-3.5692533237813295E-2</v>
      </c>
      <c r="BD47" s="1">
        <f>[1]Results!BG1407</f>
        <v>-3.8023948859414007E-2</v>
      </c>
      <c r="BE47" s="1">
        <f>[1]Results!BH1407</f>
        <v>-4.0292657603382964E-2</v>
      </c>
      <c r="BF47" s="1">
        <f>[1]Results!BI1407</f>
        <v>-4.248222650924012E-2</v>
      </c>
    </row>
    <row r="48" spans="1:58" x14ac:dyDescent="0.35">
      <c r="A48" s="3" t="str">
        <f>[1]Results!E1408</f>
        <v>100*((-Bal_G_tot_VAL_2)/(GDP_2*PGDP_2)-(-Bal_G_tot_VAL_0)/(GDP_0*PGDP_0))</v>
      </c>
      <c r="B48" t="str">
        <f>[1]Results!C1408</f>
        <v xml:space="preserve">Solde public </v>
      </c>
      <c r="C48" s="1">
        <f>[1]Results!F1408</f>
        <v>0.5595130876852823</v>
      </c>
      <c r="D48" s="1">
        <f>[1]Results!G1408</f>
        <v>0.90705638826391355</v>
      </c>
      <c r="E48" s="1">
        <f>[1]Results!H1408</f>
        <v>1.1734607404627173</v>
      </c>
      <c r="F48" s="1">
        <f>[1]Results!I1408</f>
        <v>1.4037286013111514</v>
      </c>
      <c r="G48" s="1">
        <f>[1]Results!J1408</f>
        <v>1.613533481002781</v>
      </c>
      <c r="H48" s="1">
        <f>[1]Results!K1408</f>
        <v>1.8073859556858467</v>
      </c>
      <c r="I48" s="1">
        <f>[1]Results!L1408</f>
        <v>1.9875454958835834</v>
      </c>
      <c r="J48" s="1">
        <f>[1]Results!M1408</f>
        <v>2.155803928814473</v>
      </c>
      <c r="K48" s="1">
        <f>[1]Results!N1408</f>
        <v>2.314136326939042</v>
      </c>
      <c r="L48" s="1">
        <f>[1]Results!O1408</f>
        <v>2.4649833396541356</v>
      </c>
      <c r="M48" s="1">
        <f>[1]Results!P1408</f>
        <v>2.6534697122330111</v>
      </c>
      <c r="N48" s="1">
        <f>[1]Results!Q1408</f>
        <v>2.7864879730955412</v>
      </c>
      <c r="O48" s="1">
        <f>[1]Results!R1408</f>
        <v>2.9011458331159248</v>
      </c>
      <c r="P48" s="1">
        <f>[1]Results!S1408</f>
        <v>3.00397538542529</v>
      </c>
      <c r="Q48" s="1">
        <f>[1]Results!T1408</f>
        <v>3.0966928697271743</v>
      </c>
      <c r="R48" s="1">
        <f>[1]Results!U1408</f>
        <v>3.1801486447450191</v>
      </c>
      <c r="S48" s="1">
        <f>[1]Results!V1408</f>
        <v>3.2572875918605728</v>
      </c>
      <c r="T48" s="1">
        <f>[1]Results!W1408</f>
        <v>3.3290814867384562</v>
      </c>
      <c r="U48" s="1">
        <f>[1]Results!X1408</f>
        <v>3.3963964545923915</v>
      </c>
      <c r="V48" s="1">
        <f>[1]Results!Y1408</f>
        <v>3.4603093370107536</v>
      </c>
      <c r="W48" s="1">
        <f>[1]Results!Z1408</f>
        <v>3.5220353212417876</v>
      </c>
      <c r="X48" s="1">
        <f>[1]Results!AA1408</f>
        <v>3.5821044476100421</v>
      </c>
      <c r="Y48" s="1">
        <f>[1]Results!AB1408</f>
        <v>3.6411258496630587</v>
      </c>
      <c r="Z48" s="1">
        <f>[1]Results!AC1408</f>
        <v>3.6998321317231908</v>
      </c>
      <c r="AA48" s="1">
        <f>[1]Results!AD1408</f>
        <v>3.7586458373125602</v>
      </c>
      <c r="AB48" s="1">
        <f>[1]Results!AE1408</f>
        <v>3.818667499476776</v>
      </c>
      <c r="AC48" s="1">
        <f>[1]Results!AF1408</f>
        <v>3.8781526289513062</v>
      </c>
      <c r="AD48" s="1">
        <f>[1]Results!AG1408</f>
        <v>3.9372941698750443</v>
      </c>
      <c r="AE48" s="1">
        <f>[1]Results!AH1408</f>
        <v>3.9970404478895749</v>
      </c>
      <c r="AF48" s="1">
        <f>[1]Results!AI1408</f>
        <v>4.0578168272977839</v>
      </c>
      <c r="AG48" s="1">
        <f>[1]Results!AJ1408</f>
        <v>4.1197973246322226</v>
      </c>
      <c r="AH48" s="1">
        <f>[1]Results!AK1408</f>
        <v>4.1826516430548839</v>
      </c>
      <c r="AI48" s="1">
        <f>[1]Results!AL1408</f>
        <v>4.2465323194547278</v>
      </c>
      <c r="AJ48" s="1">
        <f>[1]Results!AM1408</f>
        <v>4.3117527245597902</v>
      </c>
      <c r="AK48" s="1">
        <f>[1]Results!AN1408</f>
        <v>4.3785084893030861</v>
      </c>
      <c r="AL48" s="1">
        <f>[1]Results!AO1408</f>
        <v>4.4469122836740826</v>
      </c>
      <c r="AM48" s="1">
        <f>[1]Results!AP1408</f>
        <v>4.5134482975727241</v>
      </c>
      <c r="AN48" s="1">
        <f>[1]Results!AQ1408</f>
        <v>4.5782032404596551</v>
      </c>
      <c r="AO48" s="1">
        <f>[1]Results!AR1408</f>
        <v>4.6430554112655491</v>
      </c>
      <c r="AP48" s="1">
        <f>[1]Results!AS1408</f>
        <v>4.7089373539293282</v>
      </c>
      <c r="AQ48" s="1">
        <f>[1]Results!AT1408</f>
        <v>4.7761583182531542</v>
      </c>
      <c r="AR48" s="1">
        <f>[1]Results!AU1408</f>
        <v>4.8441270093214399</v>
      </c>
      <c r="AS48" s="1">
        <f>[1]Results!AV1408</f>
        <v>4.9128031954882943</v>
      </c>
      <c r="AT48" s="1">
        <f>[1]Results!AW1408</f>
        <v>4.9824891774663964</v>
      </c>
      <c r="AU48" s="1">
        <f>[1]Results!AX1408</f>
        <v>5.0533340405282585</v>
      </c>
      <c r="AV48" s="1">
        <f>[1]Results!AY1408</f>
        <v>5.1254063268901104</v>
      </c>
      <c r="AW48" s="1">
        <f>[1]Results!AZ1408</f>
        <v>5.1966779534474039</v>
      </c>
      <c r="AX48" s="1">
        <f>[1]Results!BA1408</f>
        <v>5.2672143046086752</v>
      </c>
      <c r="AY48" s="1">
        <f>[1]Results!BB1408</f>
        <v>5.3383261583224035</v>
      </c>
      <c r="AZ48" s="1">
        <f>[1]Results!BC1408</f>
        <v>5.41057145297827</v>
      </c>
      <c r="BA48" s="1">
        <f>[1]Results!BD1408</f>
        <v>5.4840707673157709</v>
      </c>
      <c r="BB48" s="1">
        <f>[1]Results!BE1408</f>
        <v>-2.889316514713032E-2</v>
      </c>
      <c r="BC48" s="1">
        <f>[1]Results!BF1408</f>
        <v>-3.2486357194434073E-2</v>
      </c>
      <c r="BD48" s="1">
        <f>[1]Results!BG1408</f>
        <v>-3.6087102957965168E-2</v>
      </c>
      <c r="BE48" s="1">
        <f>[1]Results!BH1408</f>
        <v>-3.964266266881554E-2</v>
      </c>
      <c r="BF48" s="1">
        <f>[1]Results!BI1408</f>
        <v>-4.3128238461639587E-2</v>
      </c>
    </row>
    <row r="49" spans="1:58" x14ac:dyDescent="0.35">
      <c r="A49" s="3" t="str">
        <f>[1]Results!E1409</f>
        <v>(DEBT_G_VAL_2/(PGDP_2*GDP_2)-DEBT_G_VAL_0/(PGDP_0*GDP_0))*100</v>
      </c>
      <c r="B49" t="str">
        <f>[1]Results!C1409</f>
        <v>Dette publique</v>
      </c>
      <c r="C49" s="1">
        <f>[1]Results!F1409</f>
        <v>2.0465667142262389</v>
      </c>
      <c r="D49" s="1">
        <f>[1]Results!G1409</f>
        <v>3.5600696670087806</v>
      </c>
      <c r="E49" s="1">
        <f>[1]Results!H1409</f>
        <v>5.333336375313813</v>
      </c>
      <c r="F49" s="1">
        <f>[1]Results!I1409</f>
        <v>7.2591000222544499</v>
      </c>
      <c r="G49" s="1">
        <f>[1]Results!J1409</f>
        <v>9.2918996098753084</v>
      </c>
      <c r="H49" s="1">
        <f>[1]Results!K1409</f>
        <v>11.405964892522224</v>
      </c>
      <c r="I49" s="1">
        <f>[1]Results!L1409</f>
        <v>13.59451586207051</v>
      </c>
      <c r="J49" s="1">
        <f>[1]Results!M1409</f>
        <v>15.837806001140509</v>
      </c>
      <c r="K49" s="1">
        <f>[1]Results!N1409</f>
        <v>18.124617057707702</v>
      </c>
      <c r="L49" s="1">
        <f>[1]Results!O1409</f>
        <v>20.446586973008117</v>
      </c>
      <c r="M49" s="1">
        <f>[1]Results!P1409</f>
        <v>22.950236935480739</v>
      </c>
      <c r="N49" s="1">
        <f>[1]Results!Q1409</f>
        <v>25.31080833026126</v>
      </c>
      <c r="O49" s="1">
        <f>[1]Results!R1409</f>
        <v>27.639035125684831</v>
      </c>
      <c r="P49" s="1">
        <f>[1]Results!S1409</f>
        <v>29.922449260564822</v>
      </c>
      <c r="Q49" s="1">
        <f>[1]Results!T1409</f>
        <v>32.158587056286834</v>
      </c>
      <c r="R49" s="1">
        <f>[1]Results!U1409</f>
        <v>34.347820563009279</v>
      </c>
      <c r="S49" s="1">
        <f>[1]Results!V1409</f>
        <v>36.499031487063796</v>
      </c>
      <c r="T49" s="1">
        <f>[1]Results!W1409</f>
        <v>38.612293436963853</v>
      </c>
      <c r="U49" s="1">
        <f>[1]Results!X1409</f>
        <v>40.692248290251463</v>
      </c>
      <c r="V49" s="1">
        <f>[1]Results!Y1409</f>
        <v>42.743662223442549</v>
      </c>
      <c r="W49" s="1">
        <f>[1]Results!Z1409</f>
        <v>44.802824267261357</v>
      </c>
      <c r="X49" s="1">
        <f>[1]Results!AA1409</f>
        <v>46.821853823885093</v>
      </c>
      <c r="Y49" s="1">
        <f>[1]Results!AB1409</f>
        <v>48.825419726275598</v>
      </c>
      <c r="Z49" s="1">
        <f>[1]Results!AC1409</f>
        <v>50.818063316637073</v>
      </c>
      <c r="AA49" s="1">
        <f>[1]Results!AD1409</f>
        <v>52.804178086825857</v>
      </c>
      <c r="AB49" s="1">
        <f>[1]Results!AE1409</f>
        <v>54.891023747847854</v>
      </c>
      <c r="AC49" s="1">
        <f>[1]Results!AF1409</f>
        <v>56.954640256405774</v>
      </c>
      <c r="AD49" s="1">
        <f>[1]Results!AG1409</f>
        <v>59.031202684607941</v>
      </c>
      <c r="AE49" s="1">
        <f>[1]Results!AH1409</f>
        <v>61.120013477323212</v>
      </c>
      <c r="AF49" s="1">
        <f>[1]Results!AI1409</f>
        <v>63.220989350457735</v>
      </c>
      <c r="AG49" s="1">
        <f>[1]Results!AJ1409</f>
        <v>65.334082752782265</v>
      </c>
      <c r="AH49" s="1">
        <f>[1]Results!AK1409</f>
        <v>67.45741267053738</v>
      </c>
      <c r="AI49" s="1">
        <f>[1]Results!AL1409</f>
        <v>69.591492653454736</v>
      </c>
      <c r="AJ49" s="1">
        <f>[1]Results!AM1409</f>
        <v>71.735945705011503</v>
      </c>
      <c r="AK49" s="1">
        <f>[1]Results!AN1409</f>
        <v>73.890654682789929</v>
      </c>
      <c r="AL49" s="1">
        <f>[1]Results!AO1409</f>
        <v>76.055640702262536</v>
      </c>
      <c r="AM49" s="1">
        <f>[1]Results!AP1409</f>
        <v>78.246073068184941</v>
      </c>
      <c r="AN49" s="1">
        <f>[1]Results!AQ1409</f>
        <v>80.447776179882652</v>
      </c>
      <c r="AO49" s="1">
        <f>[1]Results!AR1409</f>
        <v>82.656980296104294</v>
      </c>
      <c r="AP49" s="1">
        <f>[1]Results!AS1409</f>
        <v>84.871899148569696</v>
      </c>
      <c r="AQ49" s="1">
        <f>[1]Results!AT1409</f>
        <v>87.091696557155345</v>
      </c>
      <c r="AR49" s="1">
        <f>[1]Results!AU1409</f>
        <v>89.313349749488083</v>
      </c>
      <c r="AS49" s="1">
        <f>[1]Results!AV1409</f>
        <v>91.537619370692482</v>
      </c>
      <c r="AT49" s="1">
        <f>[1]Results!AW1409</f>
        <v>93.764054418028948</v>
      </c>
      <c r="AU49" s="1">
        <f>[1]Results!AX1409</f>
        <v>95.992732256195723</v>
      </c>
      <c r="AV49" s="1">
        <f>[1]Results!AY1409</f>
        <v>98.224052091275738</v>
      </c>
      <c r="AW49" s="1">
        <f>[1]Results!AZ1409</f>
        <v>100.44649992215484</v>
      </c>
      <c r="AX49" s="1">
        <f>[1]Results!BA1409</f>
        <v>102.66644078365795</v>
      </c>
      <c r="AY49" s="1">
        <f>[1]Results!BB1409</f>
        <v>104.8836181877911</v>
      </c>
      <c r="AZ49" s="1">
        <f>[1]Results!BC1409</f>
        <v>107.09909619455273</v>
      </c>
      <c r="BA49" s="1">
        <f>[1]Results!BD1409</f>
        <v>109.31438037426902</v>
      </c>
      <c r="BB49" s="1">
        <f>[1]Results!BE1409</f>
        <v>-0.31622750646672637</v>
      </c>
      <c r="BC49" s="1">
        <f>[1]Results!BF1409</f>
        <v>-0.35047498363949825</v>
      </c>
      <c r="BD49" s="1">
        <f>[1]Results!BG1409</f>
        <v>-0.38649508567719648</v>
      </c>
      <c r="BE49" s="1">
        <f>[1]Results!BH1409</f>
        <v>-0.42419383410826628</v>
      </c>
      <c r="BF49" s="1">
        <f>[1]Results!BI1409</f>
        <v>-0.46344306992865403</v>
      </c>
    </row>
    <row r="50" spans="1:58" x14ac:dyDescent="0.35">
      <c r="A50" s="3" t="str">
        <f>[1]Results!E1410</f>
        <v>GDP_2</v>
      </c>
      <c r="B50" t="str">
        <f>[1]Results!C1410</f>
        <v>PIB</v>
      </c>
      <c r="C50" s="1">
        <f>[1]Results!F1410</f>
        <v>2170404.8859999999</v>
      </c>
      <c r="D50" s="1">
        <f>[1]Results!G1410</f>
        <v>2189915.142</v>
      </c>
      <c r="E50" s="1">
        <f>[1]Results!H1410</f>
        <v>2212597.2910000002</v>
      </c>
      <c r="F50" s="1">
        <f>[1]Results!I1410</f>
        <v>2237907.2409999999</v>
      </c>
      <c r="G50" s="1">
        <f>[1]Results!J1410</f>
        <v>2265613.091</v>
      </c>
      <c r="H50" s="1">
        <f>[1]Results!K1410</f>
        <v>2295408.1329999999</v>
      </c>
      <c r="I50" s="1">
        <f>[1]Results!L1410</f>
        <v>2325422.1740000001</v>
      </c>
      <c r="J50" s="1">
        <f>[1]Results!M1410</f>
        <v>2356560.0129999998</v>
      </c>
      <c r="K50" s="1">
        <f>[1]Results!N1410</f>
        <v>2388687.5070000002</v>
      </c>
      <c r="L50" s="1">
        <f>[1]Results!O1410</f>
        <v>2421683.952</v>
      </c>
      <c r="M50" s="1">
        <f>[1]Results!P1410</f>
        <v>2455694.3149999999</v>
      </c>
      <c r="N50" s="1">
        <f>[1]Results!Q1410</f>
        <v>2491962.2650000001</v>
      </c>
      <c r="O50" s="1">
        <f>[1]Results!R1410</f>
        <v>2528971.0159999998</v>
      </c>
      <c r="P50" s="1">
        <f>[1]Results!S1410</f>
        <v>2566687.639</v>
      </c>
      <c r="Q50" s="1">
        <f>[1]Results!T1410</f>
        <v>2605037.7050000001</v>
      </c>
      <c r="R50" s="1">
        <f>[1]Results!U1410</f>
        <v>2643960.0380000002</v>
      </c>
      <c r="S50" s="1">
        <f>[1]Results!V1410</f>
        <v>2683280.9670000002</v>
      </c>
      <c r="T50" s="1">
        <f>[1]Results!W1410</f>
        <v>2723066.4309999999</v>
      </c>
      <c r="U50" s="1">
        <f>[1]Results!X1410</f>
        <v>2763297.199</v>
      </c>
      <c r="V50" s="1">
        <f>[1]Results!Y1410</f>
        <v>2803964.77</v>
      </c>
      <c r="W50" s="1">
        <f>[1]Results!Z1410</f>
        <v>2843091.5520000001</v>
      </c>
      <c r="X50" s="1">
        <f>[1]Results!AA1410</f>
        <v>2884087.4580000001</v>
      </c>
      <c r="Y50" s="1">
        <f>[1]Results!AB1410</f>
        <v>2925642.2069999999</v>
      </c>
      <c r="Z50" s="1">
        <f>[1]Results!AC1410</f>
        <v>2967767.7439999999</v>
      </c>
      <c r="AA50" s="1">
        <f>[1]Results!AD1410</f>
        <v>3010467.9309999999</v>
      </c>
      <c r="AB50" s="1">
        <f>[1]Results!AE1410</f>
        <v>3048058.4959999998</v>
      </c>
      <c r="AC50" s="1">
        <f>[1]Results!AF1410</f>
        <v>3087698.0350000001</v>
      </c>
      <c r="AD50" s="1">
        <f>[1]Results!AG1410</f>
        <v>3127465.699</v>
      </c>
      <c r="AE50" s="1">
        <f>[1]Results!AH1410</f>
        <v>3167501.94</v>
      </c>
      <c r="AF50" s="1">
        <f>[1]Results!AI1410</f>
        <v>3207914.301</v>
      </c>
      <c r="AG50" s="1">
        <f>[1]Results!AJ1410</f>
        <v>3248786.02</v>
      </c>
      <c r="AH50" s="1">
        <f>[1]Results!AK1410</f>
        <v>3290215.9279999998</v>
      </c>
      <c r="AI50" s="1">
        <f>[1]Results!AL1410</f>
        <v>3332214.92</v>
      </c>
      <c r="AJ50" s="1">
        <f>[1]Results!AM1410</f>
        <v>3374805.699</v>
      </c>
      <c r="AK50" s="1">
        <f>[1]Results!AN1410</f>
        <v>3417998.7710000002</v>
      </c>
      <c r="AL50" s="1">
        <f>[1]Results!AO1410</f>
        <v>3461797.4610000001</v>
      </c>
      <c r="AM50" s="1">
        <f>[1]Results!AP1410</f>
        <v>3505203.8089999999</v>
      </c>
      <c r="AN50" s="1">
        <f>[1]Results!AQ1410</f>
        <v>3548904.6839999999</v>
      </c>
      <c r="AO50" s="1">
        <f>[1]Results!AR1410</f>
        <v>3592956.5380000002</v>
      </c>
      <c r="AP50" s="1">
        <f>[1]Results!AS1410</f>
        <v>3637410.1430000002</v>
      </c>
      <c r="AQ50" s="1">
        <f>[1]Results!AT1410</f>
        <v>3682312.5780000002</v>
      </c>
      <c r="AR50" s="1">
        <f>[1]Results!AU1410</f>
        <v>3727768.1290000002</v>
      </c>
      <c r="AS50" s="1">
        <f>[1]Results!AV1410</f>
        <v>3773763.7919999999</v>
      </c>
      <c r="AT50" s="1">
        <f>[1]Results!AW1410</f>
        <v>3820322.6009999998</v>
      </c>
      <c r="AU50" s="1">
        <f>[1]Results!AX1410</f>
        <v>3867458.6</v>
      </c>
      <c r="AV50" s="1">
        <f>[1]Results!AY1410</f>
        <v>3915179.9810000001</v>
      </c>
      <c r="AW50" s="1">
        <f>[1]Results!AZ1410</f>
        <v>3963838.915</v>
      </c>
      <c r="AX50" s="1">
        <f>[1]Results!BA1410</f>
        <v>4013181.7280000001</v>
      </c>
      <c r="AY50" s="1">
        <f>[1]Results!BB1410</f>
        <v>4063194.0920000002</v>
      </c>
      <c r="AZ50" s="1">
        <f>[1]Results!BC1410</f>
        <v>4113858.7740000002</v>
      </c>
      <c r="BA50" s="1">
        <f>[1]Results!BD1410</f>
        <v>4165163.0329999998</v>
      </c>
      <c r="BB50" s="1">
        <f>[1]Results!BE1410</f>
        <v>4934052.733</v>
      </c>
      <c r="BC50" s="1">
        <f>[1]Results!BF1410</f>
        <v>5016319.7319999998</v>
      </c>
      <c r="BD50" s="1">
        <f>[1]Results!BG1410</f>
        <v>5099876.3890000004</v>
      </c>
      <c r="BE50" s="1">
        <f>[1]Results!BH1410</f>
        <v>5184742.5460000001</v>
      </c>
      <c r="BF50" s="1">
        <f>[1]Results!BI1410</f>
        <v>5270939.8990000002</v>
      </c>
    </row>
    <row r="51" spans="1:58" x14ac:dyDescent="0.35">
      <c r="A51" s="3" t="str">
        <f>[1]Results!E1411</f>
        <v>(GDPter_2/GDPbis_2-1)*100</v>
      </c>
      <c r="B51" t="str">
        <f>[1]Results!C1411</f>
        <v>Ecart PIB</v>
      </c>
      <c r="C51" s="1">
        <f>[1]Results!F1411</f>
        <v>0</v>
      </c>
      <c r="D51" s="1">
        <f>[1]Results!G1411</f>
        <v>0</v>
      </c>
      <c r="E51" s="1">
        <f>[1]Results!H1411</f>
        <v>0</v>
      </c>
      <c r="F51" s="1">
        <f>[1]Results!I1411</f>
        <v>0</v>
      </c>
      <c r="G51" s="1">
        <f>[1]Results!J1411</f>
        <v>0</v>
      </c>
      <c r="H51" s="1">
        <f>[1]Results!K1411</f>
        <v>0</v>
      </c>
      <c r="I51" s="1">
        <f>[1]Results!L1411</f>
        <v>0</v>
      </c>
      <c r="J51" s="1">
        <f>[1]Results!M1411</f>
        <v>0</v>
      </c>
      <c r="K51" s="1">
        <f>[1]Results!N1411</f>
        <v>0</v>
      </c>
      <c r="L51" s="1">
        <f>[1]Results!O1411</f>
        <v>0</v>
      </c>
      <c r="M51" s="1">
        <f>[1]Results!P1411</f>
        <v>0</v>
      </c>
      <c r="N51" s="1">
        <f>[1]Results!Q1411</f>
        <v>0</v>
      </c>
      <c r="O51" s="1">
        <f>[1]Results!R1411</f>
        <v>0</v>
      </c>
      <c r="P51" s="1">
        <f>[1]Results!S1411</f>
        <v>0</v>
      </c>
      <c r="Q51" s="1">
        <f>[1]Results!T1411</f>
        <v>0</v>
      </c>
      <c r="R51" s="1">
        <f>[1]Results!U1411</f>
        <v>0</v>
      </c>
      <c r="S51" s="1">
        <f>[1]Results!V1411</f>
        <v>0</v>
      </c>
      <c r="T51" s="1">
        <f>[1]Results!W1411</f>
        <v>-3.6723291074736153E-8</v>
      </c>
      <c r="U51" s="1">
        <f>[1]Results!X1411</f>
        <v>0</v>
      </c>
      <c r="V51" s="1">
        <f>[1]Results!Y1411</f>
        <v>-3.566379414010612E-8</v>
      </c>
      <c r="W51" s="1">
        <f>[1]Results!Z1411</f>
        <v>0</v>
      </c>
      <c r="X51" s="1">
        <f>[1]Results!AA1411</f>
        <v>0</v>
      </c>
      <c r="Y51" s="1">
        <f>[1]Results!AB1411</f>
        <v>0</v>
      </c>
      <c r="Z51" s="1">
        <f>[1]Results!AC1411</f>
        <v>0</v>
      </c>
      <c r="AA51" s="1">
        <f>[1]Results!AD1411</f>
        <v>0</v>
      </c>
      <c r="AB51" s="1">
        <f>[1]Results!AE1411</f>
        <v>0</v>
      </c>
      <c r="AC51" s="1">
        <f>[1]Results!AF1411</f>
        <v>0</v>
      </c>
      <c r="AD51" s="1">
        <f>[1]Results!AG1411</f>
        <v>0</v>
      </c>
      <c r="AE51" s="1">
        <f>[1]Results!AH1411</f>
        <v>0</v>
      </c>
      <c r="AF51" s="1">
        <f>[1]Results!AI1411</f>
        <v>0</v>
      </c>
      <c r="AG51" s="1">
        <f>[1]Results!AJ1411</f>
        <v>0</v>
      </c>
      <c r="AH51" s="1">
        <f>[1]Results!AK1411</f>
        <v>0</v>
      </c>
      <c r="AI51" s="1">
        <f>[1]Results!AL1411</f>
        <v>0</v>
      </c>
      <c r="AJ51" s="1">
        <f>[1]Results!AM1411</f>
        <v>0</v>
      </c>
      <c r="AK51" s="1">
        <f>[1]Results!AN1411</f>
        <v>0</v>
      </c>
      <c r="AL51" s="1">
        <f>[1]Results!AO1411</f>
        <v>0</v>
      </c>
      <c r="AM51" s="1">
        <f>[1]Results!AP1411</f>
        <v>0</v>
      </c>
      <c r="AN51" s="1">
        <f>[1]Results!AQ1411</f>
        <v>0</v>
      </c>
      <c r="AO51" s="1">
        <f>[1]Results!AR1411</f>
        <v>0</v>
      </c>
      <c r="AP51" s="1">
        <f>[1]Results!AS1411</f>
        <v>0</v>
      </c>
      <c r="AQ51" s="1">
        <f>[1]Results!AT1411</f>
        <v>0</v>
      </c>
      <c r="AR51" s="1">
        <f>[1]Results!AU1411</f>
        <v>0</v>
      </c>
      <c r="AS51" s="1">
        <f>[1]Results!AV1411</f>
        <v>0</v>
      </c>
      <c r="AT51" s="1">
        <f>[1]Results!AW1411</f>
        <v>0</v>
      </c>
      <c r="AU51" s="1">
        <f>[1]Results!AX1411</f>
        <v>0</v>
      </c>
      <c r="AV51" s="1">
        <f>[1]Results!AY1411</f>
        <v>0</v>
      </c>
      <c r="AW51" s="1">
        <f>[1]Results!AZ1411</f>
        <v>0</v>
      </c>
      <c r="AX51" s="1">
        <f>[1]Results!BA1411</f>
        <v>0</v>
      </c>
      <c r="AY51" s="1">
        <f>[1]Results!BB1411</f>
        <v>-2.4611179760825053E-8</v>
      </c>
      <c r="AZ51" s="1">
        <f>[1]Results!BC1411</f>
        <v>0</v>
      </c>
      <c r="BA51" s="1">
        <f>[1]Results!BD1411</f>
        <v>0</v>
      </c>
      <c r="BB51" s="1">
        <f>[1]Results!BE1411</f>
        <v>0</v>
      </c>
      <c r="BC51" s="1">
        <f>[1]Results!BF1411</f>
        <v>0</v>
      </c>
      <c r="BD51" s="1">
        <f>[1]Results!BG1411</f>
        <v>0</v>
      </c>
      <c r="BE51" s="1">
        <f>[1]Results!BH1411</f>
        <v>0</v>
      </c>
      <c r="BF51" s="1">
        <f>[1]Results!BI1411</f>
        <v>-1.8971946236234771E-8</v>
      </c>
    </row>
    <row r="52" spans="1:58" x14ac:dyDescent="0.35">
      <c r="A52" s="3" t="str">
        <f>[1]Results!E1412</f>
        <v>SPEND_G_VAL_2</v>
      </c>
      <c r="B52" t="str">
        <f>[1]Results!C1412</f>
        <v>Dépenses publiques</v>
      </c>
      <c r="C52" s="1">
        <f>[1]Results!F1412</f>
        <v>1178538.5730000001</v>
      </c>
      <c r="D52" s="1">
        <f>[1]Results!G1412</f>
        <v>1215489.361</v>
      </c>
      <c r="E52" s="1">
        <f>[1]Results!H1412</f>
        <v>1253606.946</v>
      </c>
      <c r="F52" s="1">
        <f>[1]Results!I1412</f>
        <v>1293289.621</v>
      </c>
      <c r="G52" s="1">
        <f>[1]Results!J1412</f>
        <v>1335329.5360000001</v>
      </c>
      <c r="H52" s="1">
        <f>[1]Results!K1412</f>
        <v>1380020.047</v>
      </c>
      <c r="I52" s="1">
        <f>[1]Results!L1412</f>
        <v>1426037.2439999999</v>
      </c>
      <c r="J52" s="1">
        <f>[1]Results!M1412</f>
        <v>1474680.591</v>
      </c>
      <c r="K52" s="1">
        <f>[1]Results!N1412</f>
        <v>1525929.98</v>
      </c>
      <c r="L52" s="1">
        <f>[1]Results!O1412</f>
        <v>1579805.358</v>
      </c>
      <c r="M52" s="1">
        <f>[1]Results!P1412</f>
        <v>1638948.8470000001</v>
      </c>
      <c r="N52" s="1">
        <f>[1]Results!Q1412</f>
        <v>1698004.862</v>
      </c>
      <c r="O52" s="1">
        <f>[1]Results!R1412</f>
        <v>1760040.267</v>
      </c>
      <c r="P52" s="1">
        <f>[1]Results!S1412</f>
        <v>1825168.1839999999</v>
      </c>
      <c r="Q52" s="1">
        <f>[1]Results!T1412</f>
        <v>1893376.83</v>
      </c>
      <c r="R52" s="1">
        <f>[1]Results!U1412</f>
        <v>1964620.8929999999</v>
      </c>
      <c r="S52" s="1">
        <f>[1]Results!V1412</f>
        <v>2038867.746</v>
      </c>
      <c r="T52" s="1">
        <f>[1]Results!W1412</f>
        <v>2116093.6090000002</v>
      </c>
      <c r="U52" s="1">
        <f>[1]Results!X1412</f>
        <v>2196266.6919999998</v>
      </c>
      <c r="V52" s="1">
        <f>[1]Results!Y1412</f>
        <v>2279375.5359999998</v>
      </c>
      <c r="W52" s="1">
        <f>[1]Results!Z1412</f>
        <v>2363079.4589999998</v>
      </c>
      <c r="X52" s="1">
        <f>[1]Results!AA1412</f>
        <v>2451954.6749999998</v>
      </c>
      <c r="Y52" s="1">
        <f>[1]Results!AB1412</f>
        <v>2543773.1779999998</v>
      </c>
      <c r="Z52" s="1">
        <f>[1]Results!AC1412</f>
        <v>2638600.9569999999</v>
      </c>
      <c r="AA52" s="1">
        <f>[1]Results!AD1412</f>
        <v>2736490.287</v>
      </c>
      <c r="AB52" s="1">
        <f>[1]Results!AE1412</f>
        <v>2829992.62</v>
      </c>
      <c r="AC52" s="1">
        <f>[1]Results!AF1412</f>
        <v>2930154.4270000001</v>
      </c>
      <c r="AD52" s="1">
        <f>[1]Results!AG1412</f>
        <v>3033163.0090000001</v>
      </c>
      <c r="AE52" s="1">
        <f>[1]Results!AH1412</f>
        <v>3139173.9410000001</v>
      </c>
      <c r="AF52" s="1">
        <f>[1]Results!AI1412</f>
        <v>3248310.09</v>
      </c>
      <c r="AG52" s="1">
        <f>[1]Results!AJ1412</f>
        <v>3360693.92</v>
      </c>
      <c r="AH52" s="1">
        <f>[1]Results!AK1412</f>
        <v>3476458.983</v>
      </c>
      <c r="AI52" s="1">
        <f>[1]Results!AL1412</f>
        <v>3595759.3620000002</v>
      </c>
      <c r="AJ52" s="1">
        <f>[1]Results!AM1412</f>
        <v>3718783.0079999999</v>
      </c>
      <c r="AK52" s="1">
        <f>[1]Results!AN1412</f>
        <v>3845727.2590000001</v>
      </c>
      <c r="AL52" s="1">
        <f>[1]Results!AO1412</f>
        <v>3976796.5359999998</v>
      </c>
      <c r="AM52" s="1">
        <f>[1]Results!AP1412</f>
        <v>4109895.4190000002</v>
      </c>
      <c r="AN52" s="1">
        <f>[1]Results!AQ1412</f>
        <v>4247229.5209999997</v>
      </c>
      <c r="AO52" s="1">
        <f>[1]Results!AR1412</f>
        <v>4389087.6730000004</v>
      </c>
      <c r="AP52" s="1">
        <f>[1]Results!AS1412</f>
        <v>4535729.3020000001</v>
      </c>
      <c r="AQ52" s="1">
        <f>[1]Results!AT1412</f>
        <v>4687380.2309999997</v>
      </c>
      <c r="AR52" s="1">
        <f>[1]Results!AU1412</f>
        <v>4844236.818</v>
      </c>
      <c r="AS52" s="1">
        <f>[1]Results!AV1412</f>
        <v>5006489.0389999999</v>
      </c>
      <c r="AT52" s="1">
        <f>[1]Results!AW1412</f>
        <v>5174371.6540000001</v>
      </c>
      <c r="AU52" s="1">
        <f>[1]Results!AX1412</f>
        <v>5348116.4220000003</v>
      </c>
      <c r="AV52" s="1">
        <f>[1]Results!AY1412</f>
        <v>5527956.0070000002</v>
      </c>
      <c r="AW52" s="1">
        <f>[1]Results!AZ1412</f>
        <v>5714324.176</v>
      </c>
      <c r="AX52" s="1">
        <f>[1]Results!BA1412</f>
        <v>5907170.7120000003</v>
      </c>
      <c r="AY52" s="1">
        <f>[1]Results!BB1412</f>
        <v>6106846.2920000004</v>
      </c>
      <c r="AZ52" s="1">
        <f>[1]Results!BC1412</f>
        <v>6313647.0899999999</v>
      </c>
      <c r="BA52" s="1">
        <f>[1]Results!BD1412</f>
        <v>6527836.0049999999</v>
      </c>
      <c r="BB52" s="1">
        <f>[1]Results!BE1412</f>
        <v>6406006.1739999996</v>
      </c>
      <c r="BC52" s="1">
        <f>[1]Results!BF1412</f>
        <v>6609777.1940000001</v>
      </c>
      <c r="BD52" s="1">
        <f>[1]Results!BG1412</f>
        <v>6819700.4450000003</v>
      </c>
      <c r="BE52" s="1">
        <f>[1]Results!BH1412</f>
        <v>7035997.3969999999</v>
      </c>
      <c r="BF52" s="1">
        <f>[1]Results!BI1412</f>
        <v>7258896.4110000003</v>
      </c>
    </row>
    <row r="53" spans="1:58" x14ac:dyDescent="0.35">
      <c r="A53" s="3" t="str">
        <f>[1]Results!E1413</f>
        <v>INC_G_VAL_2</v>
      </c>
      <c r="B53" t="str">
        <f>[1]Results!C1413</f>
        <v>Recettes publiques</v>
      </c>
      <c r="C53" s="1">
        <f>[1]Results!F1413</f>
        <v>1000209.576</v>
      </c>
      <c r="D53" s="1">
        <f>[1]Results!G1413</f>
        <v>1022659.1949999999</v>
      </c>
      <c r="E53" s="1">
        <f>[1]Results!H1413</f>
        <v>1046735.817</v>
      </c>
      <c r="F53" s="1">
        <f>[1]Results!I1413</f>
        <v>1072765.456</v>
      </c>
      <c r="G53" s="1">
        <f>[1]Results!J1413</f>
        <v>1101148.31</v>
      </c>
      <c r="H53" s="1">
        <f>[1]Results!K1413</f>
        <v>1132129.7560000001</v>
      </c>
      <c r="I53" s="1">
        <f>[1]Results!L1413</f>
        <v>1165112.709</v>
      </c>
      <c r="J53" s="1">
        <f>[1]Results!M1413</f>
        <v>1200375.7180000001</v>
      </c>
      <c r="K53" s="1">
        <f>[1]Results!N1413</f>
        <v>1237936.8359999999</v>
      </c>
      <c r="L53" s="1">
        <f>[1]Results!O1413</f>
        <v>1277790.7439999999</v>
      </c>
      <c r="M53" s="1">
        <f>[1]Results!P1413</f>
        <v>1320186.882</v>
      </c>
      <c r="N53" s="1">
        <f>[1]Results!Q1413</f>
        <v>1365179.1950000001</v>
      </c>
      <c r="O53" s="1">
        <f>[1]Results!R1413</f>
        <v>1412949.0079999999</v>
      </c>
      <c r="P53" s="1">
        <f>[1]Results!S1413</f>
        <v>1463434.463</v>
      </c>
      <c r="Q53" s="1">
        <f>[1]Results!T1413</f>
        <v>1516579.7250000001</v>
      </c>
      <c r="R53" s="1">
        <f>[1]Results!U1413</f>
        <v>1572327.8459999999</v>
      </c>
      <c r="S53" s="1">
        <f>[1]Results!V1413</f>
        <v>1630575.0660000001</v>
      </c>
      <c r="T53" s="1">
        <f>[1]Results!W1413</f>
        <v>1691271.193</v>
      </c>
      <c r="U53" s="1">
        <f>[1]Results!X1413</f>
        <v>1754363.091</v>
      </c>
      <c r="V53" s="1">
        <f>[1]Results!Y1413</f>
        <v>1819802.129</v>
      </c>
      <c r="W53" s="1">
        <f>[1]Results!Z1413</f>
        <v>1886369.416</v>
      </c>
      <c r="X53" s="1">
        <f>[1]Results!AA1413</f>
        <v>1955636.662</v>
      </c>
      <c r="Y53" s="1">
        <f>[1]Results!AB1413</f>
        <v>2027241.817</v>
      </c>
      <c r="Z53" s="1">
        <f>[1]Results!AC1413</f>
        <v>2101186.8650000002</v>
      </c>
      <c r="AA53" s="1">
        <f>[1]Results!AD1413</f>
        <v>2177468.0380000002</v>
      </c>
      <c r="AB53" s="1">
        <f>[1]Results!AE1413</f>
        <v>2252308.7179999999</v>
      </c>
      <c r="AC53" s="1">
        <f>[1]Results!AF1413</f>
        <v>2329070.0359999998</v>
      </c>
      <c r="AD53" s="1">
        <f>[1]Results!AG1413</f>
        <v>2407297.9879999999</v>
      </c>
      <c r="AE53" s="1">
        <f>[1]Results!AH1413</f>
        <v>2487181.8429999999</v>
      </c>
      <c r="AF53" s="1">
        <f>[1]Results!AI1413</f>
        <v>2568896.21</v>
      </c>
      <c r="AG53" s="1">
        <f>[1]Results!AJ1413</f>
        <v>2652601.1230000001</v>
      </c>
      <c r="AH53" s="1">
        <f>[1]Results!AK1413</f>
        <v>2738461.4619999998</v>
      </c>
      <c r="AI53" s="1">
        <f>[1]Results!AL1413</f>
        <v>2826613.341</v>
      </c>
      <c r="AJ53" s="1">
        <f>[1]Results!AM1413</f>
        <v>2917190.4219999998</v>
      </c>
      <c r="AK53" s="1">
        <f>[1]Results!AN1413</f>
        <v>3010324.8560000001</v>
      </c>
      <c r="AL53" s="1">
        <f>[1]Results!AO1413</f>
        <v>3106149.5090000001</v>
      </c>
      <c r="AM53" s="1">
        <f>[1]Results!AP1413</f>
        <v>3203848.4339999999</v>
      </c>
      <c r="AN53" s="1">
        <f>[1]Results!AQ1413</f>
        <v>3303908.196</v>
      </c>
      <c r="AO53" s="1">
        <f>[1]Results!AR1413</f>
        <v>3406535.04</v>
      </c>
      <c r="AP53" s="1">
        <f>[1]Results!AS1413</f>
        <v>3511954.8059999999</v>
      </c>
      <c r="AQ53" s="1">
        <f>[1]Results!AT1413</f>
        <v>3620393.5690000001</v>
      </c>
      <c r="AR53" s="1">
        <f>[1]Results!AU1413</f>
        <v>3732099.0260000001</v>
      </c>
      <c r="AS53" s="1">
        <f>[1]Results!AV1413</f>
        <v>3847268.3280000002</v>
      </c>
      <c r="AT53" s="1">
        <f>[1]Results!AW1413</f>
        <v>3966090.1919999998</v>
      </c>
      <c r="AU53" s="1">
        <f>[1]Results!AX1413</f>
        <v>4088742.176</v>
      </c>
      <c r="AV53" s="1">
        <f>[1]Results!AY1413</f>
        <v>4215392.8530000001</v>
      </c>
      <c r="AW53" s="1">
        <f>[1]Results!AZ1413</f>
        <v>4346445.72</v>
      </c>
      <c r="AX53" s="1">
        <f>[1]Results!BA1413</f>
        <v>4481995.5930000003</v>
      </c>
      <c r="AY53" s="1">
        <f>[1]Results!BB1413</f>
        <v>4622189.0710000005</v>
      </c>
      <c r="AZ53" s="1">
        <f>[1]Results!BC1413</f>
        <v>4767172.9709999999</v>
      </c>
      <c r="BA53" s="1">
        <f>[1]Results!BD1413</f>
        <v>4917095.4170000004</v>
      </c>
      <c r="BB53" s="1">
        <f>[1]Results!BE1413</f>
        <v>6227547.3530000001</v>
      </c>
      <c r="BC53" s="1">
        <f>[1]Results!BF1413</f>
        <v>6447101.7589999996</v>
      </c>
      <c r="BD53" s="1">
        <f>[1]Results!BG1413</f>
        <v>6673897.7949999999</v>
      </c>
      <c r="BE53" s="1">
        <f>[1]Results!BH1413</f>
        <v>6908213.1090000002</v>
      </c>
      <c r="BF53" s="1">
        <f>[1]Results!BI1413</f>
        <v>7150343.2790000001</v>
      </c>
    </row>
    <row r="54" spans="1:58" x14ac:dyDescent="0.35">
      <c r="A54" s="3" t="str">
        <f>[1]Results!E1414</f>
        <v>Bal_G_tot_VAL_2</v>
      </c>
      <c r="B54" t="str">
        <f>[1]Results!C1414</f>
        <v>Solde public</v>
      </c>
      <c r="C54" s="1">
        <f>[1]Results!F1414</f>
        <v>-76351.928740000003</v>
      </c>
      <c r="D54" s="1">
        <f>[1]Results!G1414</f>
        <v>-87035.501699999993</v>
      </c>
      <c r="E54" s="1">
        <f>[1]Results!H1414</f>
        <v>-96724.689039999997</v>
      </c>
      <c r="F54" s="1">
        <f>[1]Results!I1414</f>
        <v>-105541.4918</v>
      </c>
      <c r="G54" s="1">
        <f>[1]Results!J1414</f>
        <v>-113921.47749999999</v>
      </c>
      <c r="H54" s="1">
        <f>[1]Results!K1414</f>
        <v>-121934.4685</v>
      </c>
      <c r="I54" s="1">
        <f>[1]Results!L1414</f>
        <v>-128871.9901</v>
      </c>
      <c r="J54" s="1">
        <f>[1]Results!M1414</f>
        <v>-135808.72760000001</v>
      </c>
      <c r="K54" s="1">
        <f>[1]Results!N1414</f>
        <v>-142706.56299999999</v>
      </c>
      <c r="L54" s="1">
        <f>[1]Results!O1414</f>
        <v>-149592.70420000001</v>
      </c>
      <c r="M54" s="1">
        <f>[1]Results!P1414</f>
        <v>-158860.41959999999</v>
      </c>
      <c r="N54" s="1">
        <f>[1]Results!Q1414</f>
        <v>-164981.1005</v>
      </c>
      <c r="O54" s="1">
        <f>[1]Results!R1414</f>
        <v>-170997.63829999999</v>
      </c>
      <c r="P54" s="1">
        <f>[1]Results!S1414</f>
        <v>-177090.21890000001</v>
      </c>
      <c r="Q54" s="1">
        <f>[1]Results!T1414</f>
        <v>-183299.0919</v>
      </c>
      <c r="R54" s="1">
        <f>[1]Results!U1414</f>
        <v>-189630.07879999999</v>
      </c>
      <c r="S54" s="1">
        <f>[1]Results!V1414</f>
        <v>-196148.20819999999</v>
      </c>
      <c r="T54" s="1">
        <f>[1]Results!W1414</f>
        <v>-202870.5338</v>
      </c>
      <c r="U54" s="1">
        <f>[1]Results!X1414</f>
        <v>-209808.19190000001</v>
      </c>
      <c r="V54" s="1">
        <f>[1]Results!Y1414</f>
        <v>-216987.5877</v>
      </c>
      <c r="W54" s="1">
        <f>[1]Results!Z1414</f>
        <v>-223274.8449</v>
      </c>
      <c r="X54" s="1">
        <f>[1]Results!AA1414</f>
        <v>-231719.07250000001</v>
      </c>
      <c r="Y54" s="1">
        <f>[1]Results!AB1414</f>
        <v>-240346.46710000001</v>
      </c>
      <c r="Z54" s="1">
        <f>[1]Results!AC1414</f>
        <v>-249211.87450000001</v>
      </c>
      <c r="AA54" s="1">
        <f>[1]Results!AD1414</f>
        <v>-258359.43770000001</v>
      </c>
      <c r="AB54" s="1">
        <f>[1]Results!AE1414</f>
        <v>-264103.11900000001</v>
      </c>
      <c r="AC54" s="1">
        <f>[1]Results!AF1414</f>
        <v>-274298.45189999999</v>
      </c>
      <c r="AD54" s="1">
        <f>[1]Results!AG1414</f>
        <v>-285364.1593</v>
      </c>
      <c r="AE54" s="1">
        <f>[1]Results!AH1414</f>
        <v>-297223.0282</v>
      </c>
      <c r="AF54" s="1">
        <f>[1]Results!AI1414</f>
        <v>-309783.65950000001</v>
      </c>
      <c r="AG54" s="1">
        <f>[1]Results!AJ1414</f>
        <v>-322973.3934</v>
      </c>
      <c r="AH54" s="1">
        <f>[1]Results!AK1414</f>
        <v>-336729.44770000002</v>
      </c>
      <c r="AI54" s="1">
        <f>[1]Results!AL1414</f>
        <v>-351041.47470000002</v>
      </c>
      <c r="AJ54" s="1">
        <f>[1]Results!AM1414</f>
        <v>-365935.96649999998</v>
      </c>
      <c r="AK54" s="1">
        <f>[1]Results!AN1414</f>
        <v>-381448.98499999999</v>
      </c>
      <c r="AL54" s="1">
        <f>[1]Results!AO1414</f>
        <v>-397621.15950000001</v>
      </c>
      <c r="AM54" s="1">
        <f>[1]Results!AP1414</f>
        <v>-413140.05920000002</v>
      </c>
      <c r="AN54" s="1">
        <f>[1]Results!AQ1414</f>
        <v>-429757.39760000003</v>
      </c>
      <c r="AO54" s="1">
        <f>[1]Results!AR1414</f>
        <v>-447500.83480000001</v>
      </c>
      <c r="AP54" s="1">
        <f>[1]Results!AS1414</f>
        <v>-466347.65659999999</v>
      </c>
      <c r="AQ54" s="1">
        <f>[1]Results!AT1414</f>
        <v>-486242.43979999999</v>
      </c>
      <c r="AR54" s="1">
        <f>[1]Results!AU1414</f>
        <v>-507081.4474</v>
      </c>
      <c r="AS54" s="1">
        <f>[1]Results!AV1414</f>
        <v>-528810.29399999999</v>
      </c>
      <c r="AT54" s="1">
        <f>[1]Results!AW1414</f>
        <v>-551430.52989999996</v>
      </c>
      <c r="AU54" s="1">
        <f>[1]Results!AX1414</f>
        <v>-574951.78700000001</v>
      </c>
      <c r="AV54" s="1">
        <f>[1]Results!AY1414</f>
        <v>-599393.10589999997</v>
      </c>
      <c r="AW54" s="1">
        <f>[1]Results!AZ1414</f>
        <v>-624738.7537</v>
      </c>
      <c r="AX54" s="1">
        <f>[1]Results!BA1414</f>
        <v>-650798.47820000001</v>
      </c>
      <c r="AY54" s="1">
        <f>[1]Results!BB1414</f>
        <v>-677740.65659999999</v>
      </c>
      <c r="AZ54" s="1">
        <f>[1]Results!BC1414</f>
        <v>-705670.52139999997</v>
      </c>
      <c r="BA54" s="1">
        <f>[1]Results!BD1414</f>
        <v>-734653.46459999995</v>
      </c>
      <c r="BB54" s="1">
        <f>[1]Results!BE1414</f>
        <v>77863.230030000006</v>
      </c>
      <c r="BC54" s="1">
        <f>[1]Results!BF1414</f>
        <v>89753.453880000001</v>
      </c>
      <c r="BD54" s="1">
        <f>[1]Results!BG1414</f>
        <v>102138.5665</v>
      </c>
      <c r="BE54" s="1">
        <f>[1]Results!BH1414</f>
        <v>115050</v>
      </c>
      <c r="BF54" s="1">
        <f>[1]Results!BI1414</f>
        <v>128528.6568</v>
      </c>
    </row>
    <row r="55" spans="1:58" x14ac:dyDescent="0.35">
      <c r="A55" s="3" t="str">
        <f>[1]Results!E1415</f>
        <v>DEBT_G_VAL_2</v>
      </c>
      <c r="B55" t="str">
        <f>[1]Results!C1415</f>
        <v>Dette publique</v>
      </c>
      <c r="C55" s="1">
        <f>[1]Results!F1415</f>
        <v>2115893.2820000001</v>
      </c>
      <c r="D55" s="1">
        <f>[1]Results!G1415</f>
        <v>2202928.784</v>
      </c>
      <c r="E55" s="1">
        <f>[1]Results!H1415</f>
        <v>2299653.4730000002</v>
      </c>
      <c r="F55" s="1">
        <f>[1]Results!I1415</f>
        <v>2405194.9649999999</v>
      </c>
      <c r="G55" s="1">
        <f>[1]Results!J1415</f>
        <v>2519116.4419999998</v>
      </c>
      <c r="H55" s="1">
        <f>[1]Results!K1415</f>
        <v>2641050.9109999998</v>
      </c>
      <c r="I55" s="1">
        <f>[1]Results!L1415</f>
        <v>2769922.9010000001</v>
      </c>
      <c r="J55" s="1">
        <f>[1]Results!M1415</f>
        <v>2905731.628</v>
      </c>
      <c r="K55" s="1">
        <f>[1]Results!N1415</f>
        <v>3048438.1910000001</v>
      </c>
      <c r="L55" s="1">
        <f>[1]Results!O1415</f>
        <v>3198030.8960000002</v>
      </c>
      <c r="M55" s="1">
        <f>[1]Results!P1415</f>
        <v>3356891.3149999999</v>
      </c>
      <c r="N55" s="1">
        <f>[1]Results!Q1415</f>
        <v>3521872.4160000002</v>
      </c>
      <c r="O55" s="1">
        <f>[1]Results!R1415</f>
        <v>3692870.054</v>
      </c>
      <c r="P55" s="1">
        <f>[1]Results!S1415</f>
        <v>3869960.273</v>
      </c>
      <c r="Q55" s="1">
        <f>[1]Results!T1415</f>
        <v>4053259.3650000002</v>
      </c>
      <c r="R55" s="1">
        <f>[1]Results!U1415</f>
        <v>4242889.4440000001</v>
      </c>
      <c r="S55" s="1">
        <f>[1]Results!V1415</f>
        <v>4439037.6519999998</v>
      </c>
      <c r="T55" s="1">
        <f>[1]Results!W1415</f>
        <v>4641908.1859999998</v>
      </c>
      <c r="U55" s="1">
        <f>[1]Results!X1415</f>
        <v>4851716.3779999996</v>
      </c>
      <c r="V55" s="1">
        <f>[1]Results!Y1415</f>
        <v>5068703.9649999999</v>
      </c>
      <c r="W55" s="1">
        <f>[1]Results!Z1415</f>
        <v>5291978.8099999996</v>
      </c>
      <c r="X55" s="1">
        <f>[1]Results!AA1415</f>
        <v>5523697.8830000004</v>
      </c>
      <c r="Y55" s="1">
        <f>[1]Results!AB1415</f>
        <v>5764044.3499999996</v>
      </c>
      <c r="Z55" s="1">
        <f>[1]Results!AC1415</f>
        <v>6013256.2240000004</v>
      </c>
      <c r="AA55" s="1">
        <f>[1]Results!AD1415</f>
        <v>6271615.6619999995</v>
      </c>
      <c r="AB55" s="1">
        <f>[1]Results!AE1415</f>
        <v>6535718.7810000004</v>
      </c>
      <c r="AC55" s="1">
        <f>[1]Results!AF1415</f>
        <v>6810017.233</v>
      </c>
      <c r="AD55" s="1">
        <f>[1]Results!AG1415</f>
        <v>7095381.392</v>
      </c>
      <c r="AE55" s="1">
        <f>[1]Results!AH1415</f>
        <v>7392604.4199999999</v>
      </c>
      <c r="AF55" s="1">
        <f>[1]Results!AI1415</f>
        <v>7702388.0800000001</v>
      </c>
      <c r="AG55" s="1">
        <f>[1]Results!AJ1415</f>
        <v>8025361.4730000002</v>
      </c>
      <c r="AH55" s="1">
        <f>[1]Results!AK1415</f>
        <v>8362090.9210000001</v>
      </c>
      <c r="AI55" s="1">
        <f>[1]Results!AL1415</f>
        <v>8713132.3959999997</v>
      </c>
      <c r="AJ55" s="1">
        <f>[1]Results!AM1415</f>
        <v>9079068.3619999997</v>
      </c>
      <c r="AK55" s="1">
        <f>[1]Results!AN1415</f>
        <v>9460517.3469999991</v>
      </c>
      <c r="AL55" s="1">
        <f>[1]Results!AO1415</f>
        <v>9858138.5069999993</v>
      </c>
      <c r="AM55" s="1">
        <f>[1]Results!AP1415</f>
        <v>10271278.57</v>
      </c>
      <c r="AN55" s="1">
        <f>[1]Results!AQ1415</f>
        <v>10701035.960000001</v>
      </c>
      <c r="AO55" s="1">
        <f>[1]Results!AR1415</f>
        <v>11148536.800000001</v>
      </c>
      <c r="AP55" s="1">
        <f>[1]Results!AS1415</f>
        <v>11614884.460000001</v>
      </c>
      <c r="AQ55" s="1">
        <f>[1]Results!AT1415</f>
        <v>12101126.890000001</v>
      </c>
      <c r="AR55" s="1">
        <f>[1]Results!AU1415</f>
        <v>12608208.34</v>
      </c>
      <c r="AS55" s="1">
        <f>[1]Results!AV1415</f>
        <v>13137018.640000001</v>
      </c>
      <c r="AT55" s="1">
        <f>[1]Results!AW1415</f>
        <v>13688449.17</v>
      </c>
      <c r="AU55" s="1">
        <f>[1]Results!AX1415</f>
        <v>14263400.949999999</v>
      </c>
      <c r="AV55" s="1">
        <f>[1]Results!AY1415</f>
        <v>14862794.060000001</v>
      </c>
      <c r="AW55" s="1">
        <f>[1]Results!AZ1415</f>
        <v>15487532.810000001</v>
      </c>
      <c r="AX55" s="1">
        <f>[1]Results!BA1415</f>
        <v>16138331.289999999</v>
      </c>
      <c r="AY55" s="1">
        <f>[1]Results!BB1415</f>
        <v>16816071.949999999</v>
      </c>
      <c r="AZ55" s="1">
        <f>[1]Results!BC1415</f>
        <v>17521742.469999999</v>
      </c>
      <c r="BA55" s="1">
        <f>[1]Results!BD1415</f>
        <v>18256395.93</v>
      </c>
      <c r="BB55" s="1">
        <f>[1]Results!BE1415</f>
        <v>5048577.7790000001</v>
      </c>
      <c r="BC55" s="1">
        <f>[1]Results!BF1415</f>
        <v>4958824.3250000002</v>
      </c>
      <c r="BD55" s="1">
        <f>[1]Results!BG1415</f>
        <v>4856685.7580000004</v>
      </c>
      <c r="BE55" s="1">
        <f>[1]Results!BH1415</f>
        <v>4741635.7580000004</v>
      </c>
      <c r="BF55" s="1">
        <f>[1]Results!BI1415</f>
        <v>4613107.102</v>
      </c>
    </row>
    <row r="56" spans="1:58" x14ac:dyDescent="0.35"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</row>
    <row r="57" spans="1:58" x14ac:dyDescent="0.35"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</row>
    <row r="58" spans="1:58" x14ac:dyDescent="0.35">
      <c r="A58" s="13" t="s">
        <v>49</v>
      </c>
      <c r="B58" t="s">
        <v>4</v>
      </c>
      <c r="C58" s="1">
        <f>[1]Results!F1731</f>
        <v>1202984.926</v>
      </c>
      <c r="D58" s="1">
        <f>[1]Results!G1731</f>
        <v>1218429.125</v>
      </c>
      <c r="E58" s="1">
        <f>[1]Results!H1731</f>
        <v>1234998.9720000001</v>
      </c>
      <c r="F58" s="1">
        <f>[1]Results!I1731</f>
        <v>1252452.5930000001</v>
      </c>
      <c r="G58" s="1">
        <f>[1]Results!J1731</f>
        <v>1270716.763</v>
      </c>
      <c r="H58" s="1">
        <f>[1]Results!K1731</f>
        <v>1289816.5049999999</v>
      </c>
      <c r="I58" s="1">
        <f>[1]Results!L1731</f>
        <v>1309182.9140000001</v>
      </c>
      <c r="J58" s="1">
        <f>[1]Results!M1731</f>
        <v>1328965.3359999999</v>
      </c>
      <c r="K58" s="1">
        <f>[1]Results!N1731</f>
        <v>1349231.845</v>
      </c>
      <c r="L58" s="1">
        <f>[1]Results!O1731</f>
        <v>1370000.6510000001</v>
      </c>
      <c r="M58" s="1">
        <f>[1]Results!P1731</f>
        <v>1392318.794</v>
      </c>
      <c r="N58" s="1">
        <f>[1]Results!Q1731</f>
        <v>1414841.2560000001</v>
      </c>
      <c r="O58" s="1">
        <f>[1]Results!R1731</f>
        <v>1437589.7560000001</v>
      </c>
      <c r="P58" s="1">
        <f>[1]Results!S1731</f>
        <v>1460541.0830000001</v>
      </c>
      <c r="Q58" s="1">
        <f>[1]Results!T1731</f>
        <v>1483671.7139999999</v>
      </c>
      <c r="R58" s="1">
        <f>[1]Results!U1731</f>
        <v>1506967.818</v>
      </c>
      <c r="S58" s="1">
        <f>[1]Results!V1731</f>
        <v>1530424.6529999999</v>
      </c>
      <c r="T58" s="1">
        <f>[1]Results!W1731</f>
        <v>1554043.49</v>
      </c>
      <c r="U58" s="1">
        <f>[1]Results!X1731</f>
        <v>1577828.804</v>
      </c>
      <c r="V58" s="1">
        <f>[1]Results!Y1731</f>
        <v>1601786.466</v>
      </c>
      <c r="W58" s="1">
        <f>[1]Results!Z1731</f>
        <v>1625133.1229999999</v>
      </c>
      <c r="X58" s="1">
        <f>[1]Results!AA1731</f>
        <v>1648849.0079999999</v>
      </c>
      <c r="Y58" s="1">
        <f>[1]Results!AB1731</f>
        <v>1672897.05</v>
      </c>
      <c r="Z58" s="1">
        <f>[1]Results!AC1731</f>
        <v>1697269.878</v>
      </c>
      <c r="AA58" s="1">
        <f>[1]Results!AD1731</f>
        <v>1721961.953</v>
      </c>
      <c r="AB58" s="1">
        <f>[1]Results!AE1731</f>
        <v>1744684.3259999999</v>
      </c>
      <c r="AC58" s="1">
        <f>[1]Results!AF1731</f>
        <v>1767155.689</v>
      </c>
      <c r="AD58" s="1">
        <f>[1]Results!AG1731</f>
        <v>1789481.3019999999</v>
      </c>
      <c r="AE58" s="1">
        <f>[1]Results!AH1731</f>
        <v>1811794.179</v>
      </c>
      <c r="AF58" s="1">
        <f>[1]Results!AI1731</f>
        <v>1834213.182</v>
      </c>
      <c r="AG58" s="1">
        <f>[1]Results!AJ1731</f>
        <v>1856831.0490000001</v>
      </c>
      <c r="AH58" s="1">
        <f>[1]Results!AK1731</f>
        <v>1879714.1880000001</v>
      </c>
      <c r="AI58" s="1">
        <f>[1]Results!AL1731</f>
        <v>1902907.084</v>
      </c>
      <c r="AJ58" s="1">
        <f>[1]Results!AM1731</f>
        <v>1926438.023</v>
      </c>
      <c r="AK58" s="1">
        <f>[1]Results!AN1731</f>
        <v>1950324.48</v>
      </c>
      <c r="AL58" s="1">
        <f>[1]Results!AO1731</f>
        <v>1974577.466</v>
      </c>
      <c r="AM58" s="1">
        <f>[1]Results!AP1731</f>
        <v>1998657.446</v>
      </c>
      <c r="AN58" s="1">
        <f>[1]Results!AQ1731</f>
        <v>2022691.6580000001</v>
      </c>
      <c r="AO58" s="1">
        <f>[1]Results!AR1731</f>
        <v>2046778.5889999999</v>
      </c>
      <c r="AP58" s="1">
        <f>[1]Results!AS1731</f>
        <v>2071007.237</v>
      </c>
      <c r="AQ58" s="1">
        <f>[1]Results!AT1731</f>
        <v>2095457.1950000001</v>
      </c>
      <c r="AR58" s="1">
        <f>[1]Results!AU1731</f>
        <v>2120195.8280000002</v>
      </c>
      <c r="AS58" s="1">
        <f>[1]Results!AV1731</f>
        <v>2145276.804</v>
      </c>
      <c r="AT58" s="1">
        <f>[1]Results!AW1731</f>
        <v>2170740.5219999999</v>
      </c>
      <c r="AU58" s="1">
        <f>[1]Results!AX1731</f>
        <v>2196615.8810000001</v>
      </c>
      <c r="AV58" s="1">
        <f>[1]Results!AY1731</f>
        <v>2222922.696</v>
      </c>
      <c r="AW58" s="1">
        <f>[1]Results!AZ1731</f>
        <v>2249723.2620000001</v>
      </c>
      <c r="AX58" s="1">
        <f>[1]Results!BA1731</f>
        <v>2277015.77</v>
      </c>
      <c r="AY58" s="1">
        <f>[1]Results!BB1731</f>
        <v>2304798.35</v>
      </c>
      <c r="AZ58" s="1">
        <f>[1]Results!BC1731</f>
        <v>2333068.1290000002</v>
      </c>
      <c r="BA58" s="1">
        <f>[1]Results!BD1731</f>
        <v>2361822.0070000002</v>
      </c>
      <c r="BB58" s="1">
        <f>[1]Results!BE1731</f>
        <v>2577085.8969999999</v>
      </c>
      <c r="BC58" s="1">
        <f>[1]Results!BF1731</f>
        <v>2615222.8059999999</v>
      </c>
      <c r="BD58" s="1">
        <f>[1]Results!BG1731</f>
        <v>2653889.335</v>
      </c>
      <c r="BE58" s="1">
        <f>[1]Results!BH1731</f>
        <v>2693104.4959999998</v>
      </c>
      <c r="BF58" s="1">
        <f>[1]Results!BI1731</f>
        <v>2732888.68</v>
      </c>
    </row>
    <row r="59" spans="1:58" x14ac:dyDescent="0.35">
      <c r="A59" s="14"/>
      <c r="B59" t="s">
        <v>6</v>
      </c>
      <c r="C59" s="1">
        <f>[1]Results!F1702</f>
        <v>1197406.331</v>
      </c>
      <c r="D59" s="1">
        <f>[1]Results!G1702</f>
        <v>1205989.7150000001</v>
      </c>
      <c r="E59" s="1">
        <f>[1]Results!H1702</f>
        <v>1215906.0009999999</v>
      </c>
      <c r="F59" s="1">
        <f>[1]Results!I1702</f>
        <v>1227325.733</v>
      </c>
      <c r="G59" s="1">
        <f>[1]Results!J1702</f>
        <v>1240238.2220000001</v>
      </c>
      <c r="H59" s="1">
        <f>[1]Results!K1702</f>
        <v>1254617.49</v>
      </c>
      <c r="I59" s="1">
        <f>[1]Results!L1702</f>
        <v>1269810.331</v>
      </c>
      <c r="J59" s="1">
        <f>[1]Results!M1702</f>
        <v>1285876.682</v>
      </c>
      <c r="K59" s="1">
        <f>[1]Results!N1702</f>
        <v>1302795.0789999999</v>
      </c>
      <c r="L59" s="1">
        <f>[1]Results!O1702</f>
        <v>1320500.47</v>
      </c>
      <c r="M59" s="1">
        <f>[1]Results!P1702</f>
        <v>1339530.638</v>
      </c>
      <c r="N59" s="1">
        <f>[1]Results!Q1702</f>
        <v>1359093.318</v>
      </c>
      <c r="O59" s="1">
        <f>[1]Results!R1702</f>
        <v>1379345.4210000001</v>
      </c>
      <c r="P59" s="1">
        <f>[1]Results!S1702</f>
        <v>1400257.665</v>
      </c>
      <c r="Q59" s="1">
        <f>[1]Results!T1702</f>
        <v>1421754.9380000001</v>
      </c>
      <c r="R59" s="1">
        <f>[1]Results!U1702</f>
        <v>1443756.5379999999</v>
      </c>
      <c r="S59" s="1">
        <f>[1]Results!V1702</f>
        <v>1466161.0589999999</v>
      </c>
      <c r="T59" s="1">
        <f>[1]Results!W1702</f>
        <v>1488895.558</v>
      </c>
      <c r="U59" s="1">
        <f>[1]Results!X1702</f>
        <v>1511902.3149999999</v>
      </c>
      <c r="V59" s="1">
        <f>[1]Results!Y1702</f>
        <v>1535133.6780000001</v>
      </c>
      <c r="W59" s="1">
        <f>[1]Results!Z1702</f>
        <v>1557785.388</v>
      </c>
      <c r="X59" s="1">
        <f>[1]Results!AA1702</f>
        <v>1580777.9180000001</v>
      </c>
      <c r="Y59" s="1">
        <f>[1]Results!AB1702</f>
        <v>1604040.12</v>
      </c>
      <c r="Z59" s="1">
        <f>[1]Results!AC1702</f>
        <v>1627539.2350000001</v>
      </c>
      <c r="AA59" s="1">
        <f>[1]Results!AD1702</f>
        <v>1651251.8759999999</v>
      </c>
      <c r="AB59" s="1">
        <f>[1]Results!AE1702</f>
        <v>1672948.5560000001</v>
      </c>
      <c r="AC59" s="1">
        <f>[1]Results!AF1702</f>
        <v>1694323.227</v>
      </c>
      <c r="AD59" s="1">
        <f>[1]Results!AG1702</f>
        <v>1715469.328</v>
      </c>
      <c r="AE59" s="1">
        <f>[1]Results!AH1702</f>
        <v>1736506.05</v>
      </c>
      <c r="AF59" s="1">
        <f>[1]Results!AI1702</f>
        <v>1757542.077</v>
      </c>
      <c r="AG59" s="1">
        <f>[1]Results!AJ1702</f>
        <v>1778664.4650000001</v>
      </c>
      <c r="AH59" s="1">
        <f>[1]Results!AK1702</f>
        <v>1799945.382</v>
      </c>
      <c r="AI59" s="1">
        <f>[1]Results!AL1702</f>
        <v>1821430.514</v>
      </c>
      <c r="AJ59" s="1">
        <f>[1]Results!AM1702</f>
        <v>1843148.7649999999</v>
      </c>
      <c r="AK59" s="1">
        <f>[1]Results!AN1702</f>
        <v>1865119.01</v>
      </c>
      <c r="AL59" s="1">
        <f>[1]Results!AO1702</f>
        <v>1887354.5449999999</v>
      </c>
      <c r="AM59" s="1">
        <f>[1]Results!AP1702</f>
        <v>1909412.612</v>
      </c>
      <c r="AN59" s="1">
        <f>[1]Results!AQ1702</f>
        <v>1931431.541</v>
      </c>
      <c r="AO59" s="1">
        <f>[1]Results!AR1702</f>
        <v>1953496.2930000001</v>
      </c>
      <c r="AP59" s="1">
        <f>[1]Results!AS1702</f>
        <v>1975678.723</v>
      </c>
      <c r="AQ59" s="1">
        <f>[1]Results!AT1702</f>
        <v>1998044.4</v>
      </c>
      <c r="AR59" s="1">
        <f>[1]Results!AU1702</f>
        <v>2020663.058</v>
      </c>
      <c r="AS59" s="1">
        <f>[1]Results!AV1702</f>
        <v>2043581.5049999999</v>
      </c>
      <c r="AT59" s="1">
        <f>[1]Results!AW1702</f>
        <v>2066831.166</v>
      </c>
      <c r="AU59" s="1">
        <f>[1]Results!AX1702</f>
        <v>2090432.625</v>
      </c>
      <c r="AV59" s="1">
        <f>[1]Results!AY1702</f>
        <v>2114398.639</v>
      </c>
      <c r="AW59" s="1">
        <f>[1]Results!AZ1702</f>
        <v>2138829.0129999998</v>
      </c>
      <c r="AX59" s="1">
        <f>[1]Results!BA1702</f>
        <v>2163719.2230000002</v>
      </c>
      <c r="AY59" s="1">
        <f>[1]Results!BB1702</f>
        <v>2189052.605</v>
      </c>
      <c r="AZ59" s="1">
        <f>[1]Results!BC1702</f>
        <v>2214812.233</v>
      </c>
      <c r="BA59" s="1">
        <f>[1]Results!BD1702</f>
        <v>2240984.8259999999</v>
      </c>
      <c r="BB59" s="1">
        <f>[1]Results!BE1702</f>
        <v>2578303.1260000002</v>
      </c>
      <c r="BC59" s="1">
        <f>[1]Results!BF1702</f>
        <v>2616559.395</v>
      </c>
      <c r="BD59" s="1">
        <f>[1]Results!BG1702</f>
        <v>2655344.5720000002</v>
      </c>
      <c r="BE59" s="1">
        <f>[1]Results!BH1702</f>
        <v>2694674.9</v>
      </c>
      <c r="BF59" s="1">
        <f>[1]Results!BI1702</f>
        <v>2734568.8939999999</v>
      </c>
    </row>
    <row r="60" spans="1:58" x14ac:dyDescent="0.35">
      <c r="A60" s="14"/>
      <c r="C60" s="1"/>
      <c r="D60" s="1"/>
      <c r="E60" s="1"/>
      <c r="F60" s="1"/>
      <c r="G60" s="1"/>
      <c r="H60" s="4">
        <f t="shared" ref="H60:U60" si="0">H58/G58-1</f>
        <v>1.5030683907016229E-2</v>
      </c>
      <c r="I60" s="4">
        <f t="shared" si="0"/>
        <v>1.5014855930999493E-2</v>
      </c>
      <c r="J60" s="4">
        <f t="shared" si="0"/>
        <v>1.5110510371356467E-2</v>
      </c>
      <c r="K60" s="4">
        <f t="shared" si="0"/>
        <v>1.5249840195982411E-2</v>
      </c>
      <c r="L60" s="4">
        <f t="shared" si="0"/>
        <v>1.5393059448578494E-2</v>
      </c>
      <c r="M60" s="4">
        <f t="shared" si="0"/>
        <v>1.6290607587455819E-2</v>
      </c>
      <c r="N60" s="4">
        <f t="shared" si="0"/>
        <v>1.617622494004789E-2</v>
      </c>
      <c r="O60" s="4">
        <f t="shared" si="0"/>
        <v>1.6078482235041713E-2</v>
      </c>
      <c r="P60" s="4">
        <f t="shared" si="0"/>
        <v>1.5965143674827376E-2</v>
      </c>
      <c r="Q60" s="4">
        <f t="shared" si="0"/>
        <v>1.5837028666450648E-2</v>
      </c>
      <c r="R60" s="4">
        <f t="shared" si="0"/>
        <v>1.5701656761517357E-2</v>
      </c>
      <c r="S60" s="4">
        <f t="shared" si="0"/>
        <v>1.5565584559815715E-2</v>
      </c>
      <c r="T60" s="4">
        <f t="shared" si="0"/>
        <v>1.5432864959213477E-2</v>
      </c>
      <c r="U60" s="4">
        <f t="shared" si="0"/>
        <v>1.5305436529321259E-2</v>
      </c>
      <c r="V60" s="4">
        <f>V58/U58-1</f>
        <v>1.5183942604713563E-2</v>
      </c>
      <c r="W60" s="4">
        <f t="shared" ref="W60:AL60" si="1">W58/V58-1</f>
        <v>1.457538660462121E-2</v>
      </c>
      <c r="X60" s="4">
        <f t="shared" si="1"/>
        <v>1.4593195267733172E-2</v>
      </c>
      <c r="Y60" s="4">
        <f t="shared" si="1"/>
        <v>1.4584744802781824E-2</v>
      </c>
      <c r="Z60" s="4">
        <f t="shared" si="1"/>
        <v>1.4569233653678904E-2</v>
      </c>
      <c r="AA60" s="4">
        <f t="shared" si="1"/>
        <v>1.4548113602944612E-2</v>
      </c>
      <c r="AB60" s="4">
        <f t="shared" si="1"/>
        <v>1.3195630112740275E-2</v>
      </c>
      <c r="AC60" s="4">
        <f t="shared" si="1"/>
        <v>1.2879901919861769E-2</v>
      </c>
      <c r="AD60" s="4">
        <f t="shared" si="1"/>
        <v>1.2633642377392063E-2</v>
      </c>
      <c r="AE60" s="4">
        <f t="shared" si="1"/>
        <v>1.2468907596330903E-2</v>
      </c>
      <c r="AF60" s="4">
        <f t="shared" si="1"/>
        <v>1.2373923738056236E-2</v>
      </c>
      <c r="AG60" s="4">
        <f t="shared" si="1"/>
        <v>1.2331100453295107E-2</v>
      </c>
      <c r="AH60" s="4">
        <f t="shared" si="1"/>
        <v>1.2323759349200714E-2</v>
      </c>
      <c r="AI60" s="4">
        <f t="shared" si="1"/>
        <v>1.2338522605224833E-2</v>
      </c>
      <c r="AJ60" s="4">
        <f t="shared" si="1"/>
        <v>1.2365784539798419E-2</v>
      </c>
      <c r="AK60" s="4">
        <f t="shared" si="1"/>
        <v>1.2399286514705565E-2</v>
      </c>
      <c r="AL60" s="4">
        <f t="shared" si="1"/>
        <v>1.2435359474132213E-2</v>
      </c>
      <c r="AM60" s="4">
        <f t="shared" ref="AM60" si="2">AM58/AL58-1</f>
        <v>1.2195003951290806E-2</v>
      </c>
      <c r="AN60" s="4">
        <f t="shared" ref="AN60" si="3">AN58/AM58-1</f>
        <v>1.2025178225563815E-2</v>
      </c>
      <c r="AO60" s="4">
        <f t="shared" ref="AO60" si="4">AO58/AN58-1</f>
        <v>1.1908355336678778E-2</v>
      </c>
      <c r="AP60" s="4">
        <f t="shared" ref="AP60" si="5">AP58/AO58-1</f>
        <v>1.1837454295355654E-2</v>
      </c>
      <c r="AQ60" s="4">
        <f t="shared" ref="AQ60" si="6">AQ58/AP58-1</f>
        <v>1.1805829339069707E-2</v>
      </c>
      <c r="AR60" s="4">
        <f t="shared" ref="AR60" si="7">AR58/AQ58-1</f>
        <v>1.1805840300164183E-2</v>
      </c>
      <c r="AS60" s="4">
        <f t="shared" ref="AS60" si="8">AS58/AR58-1</f>
        <v>1.1829556340396508E-2</v>
      </c>
      <c r="AT60" s="4">
        <f t="shared" ref="AT60" si="9">AT58/AS58-1</f>
        <v>1.186966546812096E-2</v>
      </c>
      <c r="AU60" s="4">
        <f t="shared" ref="AU60" si="10">AU58/AT58-1</f>
        <v>1.1920060798496612E-2</v>
      </c>
      <c r="AV60" s="4">
        <f t="shared" ref="AV60" si="11">AV58/AU58-1</f>
        <v>1.1976065195351326E-2</v>
      </c>
      <c r="AW60" s="4">
        <f t="shared" ref="AW60" si="12">AW58/AV58-1</f>
        <v>1.2056454346444756E-2</v>
      </c>
      <c r="AX60" s="4">
        <f t="shared" ref="AX60" si="13">AX58/AW58-1</f>
        <v>1.2131495664821079E-2</v>
      </c>
      <c r="AY60" s="4">
        <f t="shared" ref="AY60" si="14">AY58/AX58-1</f>
        <v>1.2201312070842629E-2</v>
      </c>
      <c r="AZ60" s="4">
        <f t="shared" ref="AZ60" si="15">AZ58/AY58-1</f>
        <v>1.2265619246039527E-2</v>
      </c>
      <c r="BA60" s="4">
        <f t="shared" ref="BA60" si="16">BA58/AZ58-1</f>
        <v>1.2324491360792056E-2</v>
      </c>
      <c r="BB60" s="4">
        <f t="shared" ref="BB60" si="17">BB58/BA58-1</f>
        <v>9.114314684256386E-2</v>
      </c>
      <c r="BC60" s="4">
        <f t="shared" ref="BC60" si="18">BC58/BB58-1</f>
        <v>1.4798462497658926E-2</v>
      </c>
      <c r="BD60" s="4">
        <f t="shared" ref="BD60" si="19">BD58/BC58-1</f>
        <v>1.4785175821841579E-2</v>
      </c>
      <c r="BE60" s="4">
        <f t="shared" ref="BE60" si="20">BE58/BD58-1</f>
        <v>1.4776486902759123E-2</v>
      </c>
      <c r="BF60" s="4">
        <f t="shared" ref="BF60" si="21">BF58/BE58-1</f>
        <v>1.4772610590896518E-2</v>
      </c>
    </row>
    <row r="61" spans="1:58" x14ac:dyDescent="0.35">
      <c r="A61" s="16" t="s">
        <v>3</v>
      </c>
      <c r="B61" t="s">
        <v>4</v>
      </c>
      <c r="C61" s="1">
        <f>[1]Results!F1789</f>
        <v>0.99928330850000002</v>
      </c>
      <c r="D61" s="1">
        <f>[1]Results!G1789</f>
        <v>1.017989158</v>
      </c>
      <c r="E61" s="1">
        <f>[1]Results!H1789</f>
        <v>1.036837593</v>
      </c>
      <c r="F61" s="1">
        <f>[1]Results!I1789</f>
        <v>1.056122352</v>
      </c>
      <c r="G61" s="1">
        <f>[1]Results!J1789</f>
        <v>1.0760451769999999</v>
      </c>
      <c r="H61" s="1">
        <f>[1]Results!K1789</f>
        <v>1.0967217010000001</v>
      </c>
      <c r="I61" s="1">
        <f>[1]Results!L1789</f>
        <v>1.1181780400000001</v>
      </c>
      <c r="J61" s="1">
        <f>[1]Results!M1789</f>
        <v>1.1404204389999999</v>
      </c>
      <c r="K61" s="1">
        <f>[1]Results!N1789</f>
        <v>1.163445136</v>
      </c>
      <c r="L61" s="1">
        <f>[1]Results!O1789</f>
        <v>1.1872427350000001</v>
      </c>
      <c r="M61" s="1">
        <f>[1]Results!P1789</f>
        <v>1.211853488</v>
      </c>
      <c r="N61" s="1">
        <f>[1]Results!Q1789</f>
        <v>1.2372341600000001</v>
      </c>
      <c r="O61" s="1">
        <f>[1]Results!R1789</f>
        <v>1.2633510699999999</v>
      </c>
      <c r="P61" s="1">
        <f>[1]Results!S1789</f>
        <v>1.290175217</v>
      </c>
      <c r="Q61" s="1">
        <f>[1]Results!T1789</f>
        <v>1.3176784210000001</v>
      </c>
      <c r="R61" s="1">
        <f>[1]Results!U1789</f>
        <v>1.3458319910000001</v>
      </c>
      <c r="S61" s="1">
        <f>[1]Results!V1789</f>
        <v>1.3746071559999999</v>
      </c>
      <c r="T61" s="1">
        <f>[1]Results!W1789</f>
        <v>1.403976232</v>
      </c>
      <c r="U61" s="1">
        <f>[1]Results!X1789</f>
        <v>1.4339138469999999</v>
      </c>
      <c r="V61" s="1">
        <f>[1]Results!Y1789</f>
        <v>1.464397886</v>
      </c>
      <c r="W61" s="1">
        <f>[1]Results!Z1789</f>
        <v>1.495368941</v>
      </c>
      <c r="X61" s="1">
        <f>[1]Results!AA1789</f>
        <v>1.526832296</v>
      </c>
      <c r="Y61" s="1">
        <f>[1]Results!AB1789</f>
        <v>1.558789032</v>
      </c>
      <c r="Z61" s="1">
        <f>[1]Results!AC1789</f>
        <v>1.5912391029999999</v>
      </c>
      <c r="AA61" s="1">
        <f>[1]Results!AD1789</f>
        <v>1.624184466</v>
      </c>
      <c r="AB61" s="1">
        <f>[1]Results!AE1789</f>
        <v>1.657508985</v>
      </c>
      <c r="AC61" s="1">
        <f>[1]Results!AF1789</f>
        <v>1.691219611</v>
      </c>
      <c r="AD61" s="1">
        <f>[1]Results!AG1789</f>
        <v>1.7253282350000001</v>
      </c>
      <c r="AE61" s="1">
        <f>[1]Results!AH1789</f>
        <v>1.7598483110000001</v>
      </c>
      <c r="AF61" s="1">
        <f>[1]Results!AI1789</f>
        <v>1.794796778</v>
      </c>
      <c r="AG61" s="1">
        <f>[1]Results!AJ1789</f>
        <v>1.8301955350000001</v>
      </c>
      <c r="AH61" s="1">
        <f>[1]Results!AK1789</f>
        <v>1.866071614</v>
      </c>
      <c r="AI61" s="1">
        <f>[1]Results!AL1789</f>
        <v>1.902456366</v>
      </c>
      <c r="AJ61" s="1">
        <f>[1]Results!AM1789</f>
        <v>1.9393841890000001</v>
      </c>
      <c r="AK61" s="1">
        <f>[1]Results!AN1789</f>
        <v>1.976891205</v>
      </c>
      <c r="AL61" s="1">
        <f>[1]Results!AO1789</f>
        <v>2.01501412</v>
      </c>
      <c r="AM61" s="1">
        <f>[1]Results!AP1789</f>
        <v>2.0537577520000001</v>
      </c>
      <c r="AN61" s="1">
        <f>[1]Results!AQ1789</f>
        <v>2.0931402050000001</v>
      </c>
      <c r="AO61" s="1">
        <f>[1]Results!AR1789</f>
        <v>2.1331864679999999</v>
      </c>
      <c r="AP61" s="1">
        <f>[1]Results!AS1789</f>
        <v>2.1739241690000002</v>
      </c>
      <c r="AQ61" s="1">
        <f>[1]Results!AT1789</f>
        <v>2.2153819320000001</v>
      </c>
      <c r="AR61" s="1">
        <f>[1]Results!AU1789</f>
        <v>2.2575890250000001</v>
      </c>
      <c r="AS61" s="1">
        <f>[1]Results!AV1789</f>
        <v>2.3005753819999999</v>
      </c>
      <c r="AT61" s="1">
        <f>[1]Results!AW1789</f>
        <v>2.34437155</v>
      </c>
      <c r="AU61" s="1">
        <f>[1]Results!AX1789</f>
        <v>2.389008493</v>
      </c>
      <c r="AV61" s="1">
        <f>[1]Results!AY1789</f>
        <v>2.4345172960000001</v>
      </c>
      <c r="AW61" s="1">
        <f>[1]Results!AZ1789</f>
        <v>2.4809319909999998</v>
      </c>
      <c r="AX61" s="1">
        <f>[1]Results!BA1789</f>
        <v>2.528284787</v>
      </c>
      <c r="AY61" s="1">
        <f>[1]Results!BB1789</f>
        <v>2.5766066049999998</v>
      </c>
      <c r="AZ61" s="1">
        <f>[1]Results!BC1789</f>
        <v>2.6259271059999998</v>
      </c>
      <c r="BA61" s="1">
        <f>[1]Results!BD1789</f>
        <v>2.676274705</v>
      </c>
      <c r="BB61" s="1">
        <f>[1]Results!BE1789</f>
        <v>2.7865971890000001</v>
      </c>
      <c r="BC61" s="1">
        <f>[1]Results!BF1789</f>
        <v>2.8403224690000002</v>
      </c>
      <c r="BD61" s="1">
        <f>[1]Results!BG1789</f>
        <v>2.894939376</v>
      </c>
      <c r="BE61" s="1">
        <f>[1]Results!BH1789</f>
        <v>2.950470615</v>
      </c>
      <c r="BF61" s="1">
        <f>[1]Results!BI1789</f>
        <v>3.0069409239999998</v>
      </c>
    </row>
    <row r="62" spans="1:58" x14ac:dyDescent="0.35">
      <c r="A62" s="16"/>
      <c r="B62" t="s">
        <v>6</v>
      </c>
      <c r="C62" s="1">
        <f>[1]Results!F1760</f>
        <v>0.99797290780000003</v>
      </c>
      <c r="D62" s="1">
        <f>[1]Results!G1760</f>
        <v>1.014330704</v>
      </c>
      <c r="E62" s="1">
        <f>[1]Results!H1760</f>
        <v>1.030329711</v>
      </c>
      <c r="F62" s="1">
        <f>[1]Results!I1760</f>
        <v>1.0465584560000001</v>
      </c>
      <c r="G62" s="1">
        <f>[1]Results!J1760</f>
        <v>1.0633604919999999</v>
      </c>
      <c r="H62" s="1">
        <f>[1]Results!K1760</f>
        <v>1.0809139240000001</v>
      </c>
      <c r="I62" s="1">
        <f>[1]Results!L1760</f>
        <v>1.0992726420000001</v>
      </c>
      <c r="J62" s="1">
        <f>[1]Results!M1760</f>
        <v>1.118461581</v>
      </c>
      <c r="K62" s="1">
        <f>[1]Results!N1760</f>
        <v>1.138495807</v>
      </c>
      <c r="L62" s="1">
        <f>[1]Results!O1760</f>
        <v>1.159384929</v>
      </c>
      <c r="M62" s="1">
        <f>[1]Results!P1760</f>
        <v>1.181017075</v>
      </c>
      <c r="N62" s="1">
        <f>[1]Results!Q1760</f>
        <v>1.2035855900000001</v>
      </c>
      <c r="O62" s="1">
        <f>[1]Results!R1760</f>
        <v>1.227155228</v>
      </c>
      <c r="P62" s="1">
        <f>[1]Results!S1760</f>
        <v>1.2517281920000001</v>
      </c>
      <c r="Q62" s="1">
        <f>[1]Results!T1760</f>
        <v>1.2772768029999999</v>
      </c>
      <c r="R62" s="1">
        <f>[1]Results!U1760</f>
        <v>1.3037608919999999</v>
      </c>
      <c r="S62" s="1">
        <f>[1]Results!V1760</f>
        <v>1.331140824</v>
      </c>
      <c r="T62" s="1">
        <f>[1]Results!W1760</f>
        <v>1.3593655499999999</v>
      </c>
      <c r="U62" s="1">
        <f>[1]Results!X1760</f>
        <v>1.3883862250000001</v>
      </c>
      <c r="V62" s="1">
        <f>[1]Results!Y1760</f>
        <v>1.4181566569999999</v>
      </c>
      <c r="W62" s="1">
        <f>[1]Results!Z1760</f>
        <v>1.448590831</v>
      </c>
      <c r="X62" s="1">
        <f>[1]Results!AA1760</f>
        <v>1.479669863</v>
      </c>
      <c r="Y62" s="1">
        <f>[1]Results!AB1760</f>
        <v>1.5113684190000001</v>
      </c>
      <c r="Z62" s="1">
        <f>[1]Results!AC1760</f>
        <v>1.5436595529999999</v>
      </c>
      <c r="AA62" s="1">
        <f>[1]Results!AD1760</f>
        <v>1.576518651</v>
      </c>
      <c r="AB62" s="1">
        <f>[1]Results!AE1760</f>
        <v>1.6098000990000001</v>
      </c>
      <c r="AC62" s="1">
        <f>[1]Results!AF1760</f>
        <v>1.6434873029999999</v>
      </c>
      <c r="AD62" s="1">
        <f>[1]Results!AG1760</f>
        <v>1.6775777519999999</v>
      </c>
      <c r="AE62" s="1">
        <f>[1]Results!AH1760</f>
        <v>1.7120716819999999</v>
      </c>
      <c r="AF62" s="1">
        <f>[1]Results!AI1760</f>
        <v>1.746973632</v>
      </c>
      <c r="AG62" s="1">
        <f>[1]Results!AJ1760</f>
        <v>1.782294257</v>
      </c>
      <c r="AH62" s="1">
        <f>[1]Results!AK1760</f>
        <v>1.818048122</v>
      </c>
      <c r="AI62" s="1">
        <f>[1]Results!AL1760</f>
        <v>1.8542612439999999</v>
      </c>
      <c r="AJ62" s="1">
        <f>[1]Results!AM1760</f>
        <v>1.89096419</v>
      </c>
      <c r="AK62" s="1">
        <f>[1]Results!AN1760</f>
        <v>1.928190641</v>
      </c>
      <c r="AL62" s="1">
        <f>[1]Results!AO1760</f>
        <v>1.9659762460000001</v>
      </c>
      <c r="AM62" s="1">
        <f>[1]Results!AP1760</f>
        <v>2.0042934379999999</v>
      </c>
      <c r="AN62" s="1">
        <f>[1]Results!AQ1760</f>
        <v>2.0431860940000002</v>
      </c>
      <c r="AO62" s="1">
        <f>[1]Results!AR1760</f>
        <v>2.0827001520000001</v>
      </c>
      <c r="AP62" s="1">
        <f>[1]Results!AS1760</f>
        <v>2.1228777650000001</v>
      </c>
      <c r="AQ62" s="1">
        <f>[1]Results!AT1760</f>
        <v>2.1637567049999999</v>
      </c>
      <c r="AR62" s="1">
        <f>[1]Results!AU1760</f>
        <v>2.2053655719999998</v>
      </c>
      <c r="AS62" s="1">
        <f>[1]Results!AV1760</f>
        <v>2.247741929</v>
      </c>
      <c r="AT62" s="1">
        <f>[1]Results!AW1760</f>
        <v>2.2909215039999999</v>
      </c>
      <c r="AU62" s="1">
        <f>[1]Results!AX1760</f>
        <v>2.3349382240000001</v>
      </c>
      <c r="AV62" s="1">
        <f>[1]Results!AY1760</f>
        <v>2.3798243939999999</v>
      </c>
      <c r="AW62" s="1">
        <f>[1]Results!AZ1760</f>
        <v>2.425589311</v>
      </c>
      <c r="AX62" s="1">
        <f>[1]Results!BA1760</f>
        <v>2.4722809410000002</v>
      </c>
      <c r="AY62" s="1">
        <f>[1]Results!BB1760</f>
        <v>2.5199408499999998</v>
      </c>
      <c r="AZ62" s="1">
        <f>[1]Results!BC1760</f>
        <v>2.5686036200000002</v>
      </c>
      <c r="BA62" s="1">
        <f>[1]Results!BD1760</f>
        <v>2.618298201</v>
      </c>
      <c r="BB62" s="1">
        <f>[1]Results!BE1760</f>
        <v>2.807915903</v>
      </c>
      <c r="BC62" s="1">
        <f>[1]Results!BF1760</f>
        <v>2.8628385230000002</v>
      </c>
      <c r="BD62" s="1">
        <f>[1]Results!BG1760</f>
        <v>2.9186834789999998</v>
      </c>
      <c r="BE62" s="1">
        <f>[1]Results!BH1760</f>
        <v>2.9754758730000002</v>
      </c>
      <c r="BF62" s="1">
        <f>[1]Results!BI1760</f>
        <v>3.0332420710000001</v>
      </c>
    </row>
    <row r="63" spans="1:58" x14ac:dyDescent="0.35">
      <c r="A63" s="14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</row>
    <row r="64" spans="1:58" x14ac:dyDescent="0.35">
      <c r="A64" s="16" t="s">
        <v>1</v>
      </c>
      <c r="B64" t="str">
        <f>B61</f>
        <v>Baseline</v>
      </c>
      <c r="D64" s="1">
        <f t="shared" ref="D64:AL64" si="22">(D61/C61-1)*100</f>
        <v>1.8719265438425836</v>
      </c>
      <c r="E64" s="1">
        <f t="shared" si="22"/>
        <v>1.8515359276547461</v>
      </c>
      <c r="F64" s="1">
        <f t="shared" si="22"/>
        <v>1.8599594700459576</v>
      </c>
      <c r="G64" s="1">
        <f t="shared" si="22"/>
        <v>1.8864125886808081</v>
      </c>
      <c r="H64" s="1">
        <f t="shared" si="22"/>
        <v>1.9215293597287575</v>
      </c>
      <c r="I64" s="1">
        <f t="shared" si="22"/>
        <v>1.9564068970675086</v>
      </c>
      <c r="J64" s="1">
        <f t="shared" si="22"/>
        <v>1.9891643552577554</v>
      </c>
      <c r="K64" s="1">
        <f t="shared" si="22"/>
        <v>2.0189656562267233</v>
      </c>
      <c r="L64" s="1">
        <f t="shared" si="22"/>
        <v>2.045442304380396</v>
      </c>
      <c r="M64" s="1">
        <f t="shared" si="22"/>
        <v>2.0729335522107872</v>
      </c>
      <c r="N64" s="1">
        <f t="shared" si="22"/>
        <v>2.0943680280928412</v>
      </c>
      <c r="O64" s="1">
        <f t="shared" si="22"/>
        <v>2.1109108400304555</v>
      </c>
      <c r="P64" s="1">
        <f t="shared" si="22"/>
        <v>2.1232535941098307</v>
      </c>
      <c r="Q64" s="1">
        <f t="shared" si="22"/>
        <v>2.1317417694592056</v>
      </c>
      <c r="R64" s="1">
        <f t="shared" si="22"/>
        <v>2.1366040113667495</v>
      </c>
      <c r="S64" s="1">
        <f t="shared" si="22"/>
        <v>2.1380948879524686</v>
      </c>
      <c r="T64" s="1">
        <f t="shared" si="22"/>
        <v>2.1365432204981216</v>
      </c>
      <c r="U64" s="1">
        <f t="shared" si="22"/>
        <v>2.1323448586699323</v>
      </c>
      <c r="V64" s="1">
        <f t="shared" si="22"/>
        <v>2.1259323957138809</v>
      </c>
      <c r="W64" s="1">
        <f t="shared" si="22"/>
        <v>2.1149344243180712</v>
      </c>
      <c r="X64" s="1">
        <f t="shared" si="22"/>
        <v>2.1040529957081722</v>
      </c>
      <c r="Y64" s="1">
        <f t="shared" si="22"/>
        <v>2.0930089102595195</v>
      </c>
      <c r="Z64" s="1">
        <f t="shared" si="22"/>
        <v>2.0817487378882227</v>
      </c>
      <c r="AA64" s="1">
        <f t="shared" si="22"/>
        <v>2.0704219081775666</v>
      </c>
      <c r="AB64" s="1">
        <f t="shared" si="22"/>
        <v>2.0517693462535513</v>
      </c>
      <c r="AC64" s="1">
        <f t="shared" si="22"/>
        <v>2.0338125648229788</v>
      </c>
      <c r="AD64" s="1">
        <f t="shared" si="22"/>
        <v>2.016806320016129</v>
      </c>
      <c r="AE64" s="1">
        <f t="shared" si="22"/>
        <v>2.0007831147561328</v>
      </c>
      <c r="AF64" s="1">
        <f t="shared" si="22"/>
        <v>1.9858795091345804</v>
      </c>
      <c r="AG64" s="1">
        <f t="shared" si="22"/>
        <v>1.9722988938862596</v>
      </c>
      <c r="AH64" s="1">
        <f t="shared" si="22"/>
        <v>1.9602320251535188</v>
      </c>
      <c r="AI64" s="1">
        <f t="shared" si="22"/>
        <v>1.9498046981170081</v>
      </c>
      <c r="AJ64" s="1">
        <f t="shared" si="22"/>
        <v>1.9410601819815909</v>
      </c>
      <c r="AK64" s="1">
        <f t="shared" si="22"/>
        <v>1.9339652356008763</v>
      </c>
      <c r="AL64" s="1">
        <f t="shared" si="22"/>
        <v>1.9284275686784591</v>
      </c>
      <c r="AM64" s="1">
        <f t="shared" ref="AM64:AM65" si="23">(AM61/AL61-1)*100</f>
        <v>1.9227474197550665</v>
      </c>
      <c r="AN64" s="1">
        <f t="shared" ref="AN64:AN65" si="24">(AN61/AM61-1)*100</f>
        <v>1.9175802482862547</v>
      </c>
      <c r="AO64" s="1">
        <f t="shared" ref="AO64:AO65" si="25">(AO61/AN61-1)*100</f>
        <v>1.9132145521995714</v>
      </c>
      <c r="AP64" s="1">
        <f t="shared" ref="AP64:AP65" si="26">(AP61/AO61-1)*100</f>
        <v>1.9097112048622078</v>
      </c>
      <c r="AQ64" s="1">
        <f t="shared" ref="AQ64:AQ65" si="27">(AQ61/AP61-1)*100</f>
        <v>1.9070473382275521</v>
      </c>
      <c r="AR64" s="1">
        <f t="shared" ref="AR64:AR65" si="28">(AR61/AQ61-1)*100</f>
        <v>1.9051835889036139</v>
      </c>
      <c r="AS64" s="1">
        <f t="shared" ref="AS64:AS65" si="29">(AS61/AR61-1)*100</f>
        <v>1.9040824757730057</v>
      </c>
      <c r="AT64" s="1">
        <f t="shared" ref="AT64:AT65" si="30">(AT61/AS61-1)*100</f>
        <v>1.903704974966991</v>
      </c>
      <c r="AU64" s="1">
        <f t="shared" ref="AU64:AU65" si="31">(AU61/AT61-1)*100</f>
        <v>1.9040046361251894</v>
      </c>
      <c r="AV64" s="1">
        <f t="shared" ref="AV64:AV65" si="32">(AV61/AU61-1)*100</f>
        <v>1.9049242869309424</v>
      </c>
      <c r="AW64" s="1">
        <f t="shared" ref="AW64:AW65" si="33">(AW61/AV61-1)*100</f>
        <v>1.9065255800918113</v>
      </c>
      <c r="AX64" s="1">
        <f t="shared" ref="AX64:AX65" si="34">(AX61/AW61-1)*100</f>
        <v>1.9086696520412616</v>
      </c>
      <c r="AY64" s="1">
        <f t="shared" ref="AY64:AY65" si="35">(AY61/AX61-1)*100</f>
        <v>1.9112490115220426</v>
      </c>
      <c r="AZ64" s="1">
        <f t="shared" ref="AZ64:AZ65" si="36">(AZ61/AY61-1)*100</f>
        <v>1.9141649681519768</v>
      </c>
      <c r="BA64" s="1">
        <f t="shared" ref="BA64:BA65" si="37">(BA61/AZ61-1)*100</f>
        <v>1.9173266038101655</v>
      </c>
      <c r="BB64" s="1">
        <f t="shared" ref="BB64:BB65" si="38">(BB61/BA61-1)*100</f>
        <v>4.1222406576532755</v>
      </c>
      <c r="BC64" s="1">
        <f t="shared" ref="BC64:BC65" si="39">(BC61/BB61-1)*100</f>
        <v>1.9279887388130135</v>
      </c>
      <c r="BD64" s="1">
        <f t="shared" ref="BD64:BD65" si="40">(BD61/BC61-1)*100</f>
        <v>1.9229121902918589</v>
      </c>
      <c r="BE64" s="1">
        <f t="shared" ref="BE64:BE65" si="41">(BE61/BD61-1)*100</f>
        <v>1.9182176822206465</v>
      </c>
      <c r="BF64" s="1">
        <f t="shared" ref="BF64:BF65" si="42">(BF61/BE61-1)*100</f>
        <v>1.9139424305027353</v>
      </c>
    </row>
    <row r="65" spans="1:58" x14ac:dyDescent="0.35">
      <c r="A65" s="16"/>
      <c r="B65" t="str">
        <f>B62</f>
        <v>NZ50</v>
      </c>
      <c r="D65" s="1">
        <f t="shared" ref="D65:AL65" si="43">(D62/C62-1)*100</f>
        <v>1.6391022313481773</v>
      </c>
      <c r="E65" s="1">
        <f t="shared" si="43"/>
        <v>1.5772969246526936</v>
      </c>
      <c r="F65" s="1">
        <f t="shared" si="43"/>
        <v>1.5751021082609507</v>
      </c>
      <c r="G65" s="1">
        <f t="shared" si="43"/>
        <v>1.6054560453525157</v>
      </c>
      <c r="H65" s="1">
        <f t="shared" si="43"/>
        <v>1.6507508161211826</v>
      </c>
      <c r="I65" s="1">
        <f t="shared" si="43"/>
        <v>1.6984440289252944</v>
      </c>
      <c r="J65" s="1">
        <f t="shared" si="43"/>
        <v>1.7456032531736554</v>
      </c>
      <c r="K65" s="1">
        <f t="shared" si="43"/>
        <v>1.7912305921216953</v>
      </c>
      <c r="L65" s="1">
        <f t="shared" si="43"/>
        <v>1.8348000819646382</v>
      </c>
      <c r="M65" s="1">
        <f t="shared" si="43"/>
        <v>1.8658294979440715</v>
      </c>
      <c r="N65" s="1">
        <f t="shared" si="43"/>
        <v>1.9109389252479847</v>
      </c>
      <c r="O65" s="1">
        <f t="shared" si="43"/>
        <v>1.9582851602601759</v>
      </c>
      <c r="P65" s="1">
        <f t="shared" si="43"/>
        <v>2.0024332243646858</v>
      </c>
      <c r="Q65" s="1">
        <f t="shared" si="43"/>
        <v>2.0410669954775473</v>
      </c>
      <c r="R65" s="1">
        <f t="shared" si="43"/>
        <v>2.0734807786217946</v>
      </c>
      <c r="S65" s="1">
        <f t="shared" si="43"/>
        <v>2.1000731167813091</v>
      </c>
      <c r="T65" s="1">
        <f t="shared" si="43"/>
        <v>2.1203411007399087</v>
      </c>
      <c r="U65" s="1">
        <f t="shared" si="43"/>
        <v>2.1348690938945758</v>
      </c>
      <c r="V65" s="1">
        <f t="shared" si="43"/>
        <v>2.1442471456384338</v>
      </c>
      <c r="W65" s="1">
        <f t="shared" si="43"/>
        <v>2.1460375234130469</v>
      </c>
      <c r="X65" s="1">
        <f t="shared" si="43"/>
        <v>2.1454665689513819</v>
      </c>
      <c r="Y65" s="1">
        <f t="shared" si="43"/>
        <v>2.1422721914286846</v>
      </c>
      <c r="Z65" s="1">
        <f t="shared" si="43"/>
        <v>2.1365494735800628</v>
      </c>
      <c r="AA65" s="1">
        <f t="shared" si="43"/>
        <v>2.1286492825532966</v>
      </c>
      <c r="AB65" s="1">
        <f t="shared" si="43"/>
        <v>2.1110722653924441</v>
      </c>
      <c r="AC65" s="1">
        <f t="shared" si="43"/>
        <v>2.0926327449554805</v>
      </c>
      <c r="AD65" s="1">
        <f t="shared" si="43"/>
        <v>2.074275167065287</v>
      </c>
      <c r="AE65" s="1">
        <f t="shared" si="43"/>
        <v>2.0561747411633524</v>
      </c>
      <c r="AF65" s="1">
        <f t="shared" si="43"/>
        <v>2.0385799477290911</v>
      </c>
      <c r="AG65" s="1">
        <f t="shared" si="43"/>
        <v>2.0218178656516761</v>
      </c>
      <c r="AH65" s="1">
        <f t="shared" si="43"/>
        <v>2.0060584754495903</v>
      </c>
      <c r="AI65" s="1">
        <f t="shared" si="43"/>
        <v>1.9918681778435365</v>
      </c>
      <c r="AJ65" s="1">
        <f t="shared" si="43"/>
        <v>1.9793837636828737</v>
      </c>
      <c r="AK65" s="1">
        <f t="shared" si="43"/>
        <v>1.9686491789143723</v>
      </c>
      <c r="AL65" s="1">
        <f t="shared" si="43"/>
        <v>1.9596405146123708</v>
      </c>
      <c r="AM65" s="1">
        <f t="shared" si="23"/>
        <v>1.9490160208171625</v>
      </c>
      <c r="AN65" s="1">
        <f t="shared" si="24"/>
        <v>1.9404671622738734</v>
      </c>
      <c r="AO65" s="1">
        <f t="shared" si="25"/>
        <v>1.9339431741453472</v>
      </c>
      <c r="AP65" s="1">
        <f t="shared" si="26"/>
        <v>1.9291117332189023</v>
      </c>
      <c r="AQ65" s="1">
        <f t="shared" si="27"/>
        <v>1.9256379558904912</v>
      </c>
      <c r="AR65" s="1">
        <f t="shared" si="28"/>
        <v>1.922991938227181</v>
      </c>
      <c r="AS65" s="1">
        <f t="shared" si="29"/>
        <v>1.9215116776113428</v>
      </c>
      <c r="AT65" s="1">
        <f t="shared" si="30"/>
        <v>1.9210201332681587</v>
      </c>
      <c r="AU65" s="1">
        <f t="shared" si="31"/>
        <v>1.9213543512139442</v>
      </c>
      <c r="AV65" s="1">
        <f t="shared" si="32"/>
        <v>1.9223707736089501</v>
      </c>
      <c r="AW65" s="1">
        <f t="shared" si="33"/>
        <v>1.9230375617369955</v>
      </c>
      <c r="AX65" s="1">
        <f t="shared" si="34"/>
        <v>1.9249602473202954</v>
      </c>
      <c r="AY65" s="1">
        <f t="shared" si="35"/>
        <v>1.9277707565355406</v>
      </c>
      <c r="AZ65" s="1">
        <f t="shared" si="36"/>
        <v>1.9311076289747264</v>
      </c>
      <c r="BA65" s="1">
        <f t="shared" si="37"/>
        <v>1.9346924769964913</v>
      </c>
      <c r="BB65" s="1">
        <f t="shared" si="38"/>
        <v>7.2420208640703976</v>
      </c>
      <c r="BC65" s="1">
        <f t="shared" si="39"/>
        <v>1.9559923408432711</v>
      </c>
      <c r="BD65" s="1">
        <f t="shared" si="40"/>
        <v>1.950684802909497</v>
      </c>
      <c r="BE65" s="1">
        <f t="shared" si="41"/>
        <v>1.9458222999726882</v>
      </c>
      <c r="BF65" s="1">
        <f t="shared" si="42"/>
        <v>1.9414103983897313</v>
      </c>
    </row>
    <row r="66" spans="1:58" x14ac:dyDescent="0.35">
      <c r="A66" s="14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58" x14ac:dyDescent="0.35">
      <c r="A67" s="15" t="s">
        <v>2</v>
      </c>
      <c r="B67" t="str">
        <f>B64</f>
        <v>Baseline</v>
      </c>
      <c r="C67" s="6">
        <f>[1]Emissions!B820</f>
        <v>350.5914343</v>
      </c>
      <c r="D67" s="6">
        <f>[1]Emissions!C820</f>
        <v>352.95918829999999</v>
      </c>
      <c r="E67" s="6">
        <f>[1]Emissions!D820</f>
        <v>355.1013524</v>
      </c>
      <c r="F67" s="6">
        <f>[1]Emissions!E820</f>
        <v>357.50077909999999</v>
      </c>
      <c r="G67" s="6">
        <f>[1]Emissions!F820</f>
        <v>360.28418240000002</v>
      </c>
      <c r="H67" s="6">
        <f>[1]Emissions!G820</f>
        <v>363.50913209999999</v>
      </c>
      <c r="I67" s="6">
        <f>[1]Emissions!H820</f>
        <v>366.97360429999998</v>
      </c>
      <c r="J67" s="6">
        <f>[1]Emissions!I820</f>
        <v>370.70665630000002</v>
      </c>
      <c r="K67" s="6">
        <f>[1]Emissions!J820</f>
        <v>374.66677670000001</v>
      </c>
      <c r="L67" s="6">
        <f>[1]Emissions!K820</f>
        <v>378.80649949999997</v>
      </c>
      <c r="M67" s="6">
        <f>[1]Emissions!L820</f>
        <v>383.39145610000003</v>
      </c>
      <c r="N67" s="6">
        <f>[1]Emissions!M820</f>
        <v>387.92491519999999</v>
      </c>
      <c r="O67" s="6">
        <f>[1]Emissions!N820</f>
        <v>392.50193350000001</v>
      </c>
      <c r="P67" s="6">
        <f>[1]Emissions!O820</f>
        <v>397.13402430000002</v>
      </c>
      <c r="Q67" s="6">
        <f>[1]Emissions!P820</f>
        <v>401.81830120000001</v>
      </c>
      <c r="R67" s="6">
        <f>[1]Emissions!Q820</f>
        <v>406.5509735</v>
      </c>
      <c r="S67" s="6">
        <f>[1]Emissions!R820</f>
        <v>411.32977260000001</v>
      </c>
      <c r="T67" s="6">
        <f>[1]Emissions!S820</f>
        <v>416.15408650000001</v>
      </c>
      <c r="U67" s="6">
        <f>[1]Emissions!T820</f>
        <v>421.02463849999998</v>
      </c>
      <c r="V67" s="6">
        <f>[1]Emissions!U820</f>
        <v>425.94312509999997</v>
      </c>
      <c r="W67" s="6">
        <f>[1]Emissions!V820</f>
        <v>430.68878219999999</v>
      </c>
      <c r="X67" s="6">
        <f>[1]Emissions!W820</f>
        <v>435.60816010000002</v>
      </c>
      <c r="Y67" s="6">
        <f>[1]Emissions!X820</f>
        <v>440.61967629999998</v>
      </c>
      <c r="Z67" s="6">
        <f>[1]Emissions!Y820</f>
        <v>445.7078927</v>
      </c>
      <c r="AA67" s="6">
        <f>[1]Emissions!Z820</f>
        <v>450.87080850000001</v>
      </c>
      <c r="AB67" s="6">
        <f>[1]Emissions!AA820</f>
        <v>455.46838910000002</v>
      </c>
      <c r="AC67" s="6">
        <f>[1]Emissions!AB820</f>
        <v>460.18464979999999</v>
      </c>
      <c r="AD67" s="6">
        <f>[1]Emissions!AC820</f>
        <v>464.93809169999997</v>
      </c>
      <c r="AE67" s="6">
        <f>[1]Emissions!AD820</f>
        <v>469.72401289999999</v>
      </c>
      <c r="AF67" s="6">
        <f>[1]Emissions!AE820</f>
        <v>474.55095160000002</v>
      </c>
      <c r="AG67" s="6">
        <f>[1]Emissions!AF820</f>
        <v>479.42876680000001</v>
      </c>
      <c r="AH67" s="6">
        <f>[1]Emissions!AG820</f>
        <v>484.36595720000003</v>
      </c>
      <c r="AI67" s="6">
        <f>[1]Emissions!AH820</f>
        <v>489.36906770000002</v>
      </c>
      <c r="AJ67" s="6">
        <f>[1]Emissions!AI820</f>
        <v>494.44276280000003</v>
      </c>
      <c r="AK67" s="6">
        <f>[1]Emissions!AJ820</f>
        <v>499.59011679999998</v>
      </c>
      <c r="AL67" s="6">
        <f>[1]Emissions!AK820</f>
        <v>504.81296250000003</v>
      </c>
      <c r="AM67" s="6">
        <f>[1]Emissions!AL820</f>
        <v>509.9592131</v>
      </c>
      <c r="AN67" s="6">
        <f>[1]Emissions!AM820</f>
        <v>515.11030570000003</v>
      </c>
      <c r="AO67" s="6">
        <f>[1]Emissions!AN820</f>
        <v>520.28988389999995</v>
      </c>
      <c r="AP67" s="6">
        <f>[1]Emissions!AO820</f>
        <v>525.50918590000003</v>
      </c>
      <c r="AQ67" s="6">
        <f>[1]Emissions!AP820</f>
        <v>530.77613729999996</v>
      </c>
      <c r="AR67" s="6">
        <f>[1]Emissions!AQ820</f>
        <v>536.09717899999998</v>
      </c>
      <c r="AS67" s="6">
        <f>[1]Emissions!AR820</f>
        <v>541.47760210000001</v>
      </c>
      <c r="AT67" s="6">
        <f>[1]Emissions!AS820</f>
        <v>546.92157980000002</v>
      </c>
      <c r="AU67" s="6">
        <f>[1]Emissions!AT820</f>
        <v>552.43208719999996</v>
      </c>
      <c r="AV67" s="6">
        <f>[1]Emissions!AU820</f>
        <v>558.01046210000004</v>
      </c>
      <c r="AW67" s="6">
        <f>[1]Emissions!AV820</f>
        <v>563.66744849999998</v>
      </c>
      <c r="AX67" s="6">
        <f>[1]Emissions!AW820</f>
        <v>569.39278000000002</v>
      </c>
      <c r="AY67" s="6">
        <f>[1]Emissions!AX820</f>
        <v>575.17944</v>
      </c>
      <c r="AZ67" s="6">
        <f>[1]Emissions!AY820</f>
        <v>581.03923310000005</v>
      </c>
      <c r="BA67" s="6">
        <f>[1]Emissions!AZ820</f>
        <v>586.98229490000006</v>
      </c>
      <c r="BB67" s="6">
        <f>[1]Emissions!BA820</f>
        <v>639.6781585</v>
      </c>
      <c r="BC67" s="6">
        <f>[1]Emissions!BB820</f>
        <v>648.44547050000006</v>
      </c>
      <c r="BD67" s="6">
        <f>[1]Emissions!BC820</f>
        <v>657.34065229999999</v>
      </c>
      <c r="BE67" s="6">
        <f>[1]Emissions!BD820</f>
        <v>666.36737129999995</v>
      </c>
      <c r="BF67" s="6">
        <f>[1]Emissions!BE820</f>
        <v>675.52932920000001</v>
      </c>
    </row>
    <row r="68" spans="1:58" x14ac:dyDescent="0.35">
      <c r="A68" s="11"/>
      <c r="B68" t="s">
        <v>25</v>
      </c>
      <c r="C68" s="6">
        <f>[1]Emissions!B824</f>
        <v>119.490486</v>
      </c>
      <c r="D68" s="6">
        <f>[1]Emissions!C824</f>
        <v>119.269642</v>
      </c>
      <c r="E68" s="6">
        <f>[1]Emissions!D824</f>
        <v>118.66364110000001</v>
      </c>
      <c r="F68" s="6">
        <f>[1]Emissions!E824</f>
        <v>118.0860905</v>
      </c>
      <c r="G68" s="6">
        <f>[1]Emissions!F824</f>
        <v>117.6365855</v>
      </c>
      <c r="H68" s="6">
        <f>[1]Emissions!G824</f>
        <v>117.3825183</v>
      </c>
      <c r="I68" s="6">
        <f>[1]Emissions!H824</f>
        <v>117.2909867</v>
      </c>
      <c r="J68" s="6">
        <f>[1]Emissions!I824</f>
        <v>117.336315</v>
      </c>
      <c r="K68" s="6">
        <f>[1]Emissions!J824</f>
        <v>117.4824588</v>
      </c>
      <c r="L68" s="6">
        <f>[1]Emissions!K824</f>
        <v>117.69769460000001</v>
      </c>
      <c r="M68" s="6">
        <f>[1]Emissions!L824</f>
        <v>118.0047014</v>
      </c>
      <c r="N68" s="6">
        <f>[1]Emissions!M824</f>
        <v>118.32290450000001</v>
      </c>
      <c r="O68" s="6">
        <f>[1]Emissions!N824</f>
        <v>118.65254969999999</v>
      </c>
      <c r="P68" s="6">
        <f>[1]Emissions!O824</f>
        <v>118.991722</v>
      </c>
      <c r="Q68" s="6">
        <f>[1]Emissions!P824</f>
        <v>119.33808260000001</v>
      </c>
      <c r="R68" s="6">
        <f>[1]Emissions!Q824</f>
        <v>119.6895107</v>
      </c>
      <c r="S68" s="6">
        <f>[1]Emissions!R824</f>
        <v>120.044274</v>
      </c>
      <c r="T68" s="6">
        <f>[1]Emissions!S824</f>
        <v>120.4010181</v>
      </c>
      <c r="U68" s="6">
        <f>[1]Emissions!T824</f>
        <v>120.7587013</v>
      </c>
      <c r="V68" s="6">
        <f>[1]Emissions!U824</f>
        <v>121.116527</v>
      </c>
      <c r="W68" s="6">
        <f>[1]Emissions!V824</f>
        <v>121.44341180000001</v>
      </c>
      <c r="X68" s="6">
        <f>[1]Emissions!W824</f>
        <v>121.7824782</v>
      </c>
      <c r="Y68" s="6">
        <f>[1]Emissions!X824</f>
        <v>122.1267635</v>
      </c>
      <c r="Z68" s="6">
        <f>[1]Emissions!Y824</f>
        <v>122.4730631</v>
      </c>
      <c r="AA68" s="6">
        <f>[1]Emissions!Z824</f>
        <v>122.81994</v>
      </c>
      <c r="AB68" s="6">
        <f>[1]Emissions!AA824</f>
        <v>123.0831452</v>
      </c>
      <c r="AC68" s="6">
        <f>[1]Emissions!AB824</f>
        <v>123.34240200000001</v>
      </c>
      <c r="AD68" s="6">
        <f>[1]Emissions!AC824</f>
        <v>123.59622709999999</v>
      </c>
      <c r="AE68" s="6">
        <f>[1]Emissions!AD824</f>
        <v>123.844695</v>
      </c>
      <c r="AF68" s="6">
        <f>[1]Emissions!AE824</f>
        <v>124.08817380000001</v>
      </c>
      <c r="AG68" s="6">
        <f>[1]Emissions!AF824</f>
        <v>124.3275404</v>
      </c>
      <c r="AH68" s="6">
        <f>[1]Emissions!AG824</f>
        <v>124.56391120000001</v>
      </c>
      <c r="AI68" s="6">
        <f>[1]Emissions!AH824</f>
        <v>124.7983827</v>
      </c>
      <c r="AJ68" s="6">
        <f>[1]Emissions!AI824</f>
        <v>125.0319276</v>
      </c>
      <c r="AK68" s="6">
        <f>[1]Emissions!AJ824</f>
        <v>125.26537159999999</v>
      </c>
      <c r="AL68" s="6">
        <f>[1]Emissions!AK824</f>
        <v>125.4994054</v>
      </c>
      <c r="AM68" s="6">
        <f>[1]Emissions!AL824</f>
        <v>125.7165562</v>
      </c>
      <c r="AN68" s="6">
        <f>[1]Emissions!AM824</f>
        <v>125.9248147</v>
      </c>
      <c r="AO68" s="6">
        <f>[1]Emissions!AN824</f>
        <v>126.1283279</v>
      </c>
      <c r="AP68" s="6">
        <f>[1]Emissions!AO824</f>
        <v>126.3294884</v>
      </c>
      <c r="AQ68" s="6">
        <f>[1]Emissions!AP824</f>
        <v>126.52987779999999</v>
      </c>
      <c r="AR68" s="6">
        <f>[1]Emissions!AQ824</f>
        <v>126.7306542</v>
      </c>
      <c r="AS68" s="6">
        <f>[1]Emissions!AR824</f>
        <v>126.9326787</v>
      </c>
      <c r="AT68" s="6">
        <f>[1]Emissions!AS824</f>
        <v>127.1364925</v>
      </c>
      <c r="AU68" s="6">
        <f>[1]Emissions!AT824</f>
        <v>127.3421494</v>
      </c>
      <c r="AV68" s="6">
        <f>[1]Emissions!AU824</f>
        <v>127.5486279</v>
      </c>
      <c r="AW68" s="6">
        <f>[1]Emissions!AV824</f>
        <v>127.7524276</v>
      </c>
      <c r="AX68" s="6">
        <f>[1]Emissions!AW824</f>
        <v>127.9518988</v>
      </c>
      <c r="AY68" s="6">
        <f>[1]Emissions!AX824</f>
        <v>128.1417137</v>
      </c>
      <c r="AZ68" s="6">
        <f>[1]Emissions!AY824</f>
        <v>128.33254959999999</v>
      </c>
      <c r="BA68" s="6">
        <f>[1]Emissions!AZ824</f>
        <v>128.5329131</v>
      </c>
      <c r="BB68" s="6">
        <f>[1]Emissions!BA824</f>
        <v>129.0574852</v>
      </c>
      <c r="BC68" s="6">
        <f>[1]Emissions!BB824</f>
        <v>129.4656449</v>
      </c>
      <c r="BD68" s="6">
        <f>[1]Emissions!BC824</f>
        <v>129.88106049999999</v>
      </c>
      <c r="BE68" s="6">
        <f>[1]Emissions!BD824</f>
        <v>130.30458100000001</v>
      </c>
      <c r="BF68" s="6">
        <f>[1]Emissions!BE824</f>
        <v>130.73693650000001</v>
      </c>
    </row>
    <row r="69" spans="1:58" x14ac:dyDescent="0.35">
      <c r="A69" s="11"/>
      <c r="B69" t="s">
        <v>26</v>
      </c>
      <c r="C69" s="6">
        <f>SUM(C70:C72)</f>
        <v>231.10094830930001</v>
      </c>
      <c r="D69" s="6">
        <f t="shared" ref="D69:AL69" si="44">SUM(D70:D72)</f>
        <v>233.68954631899999</v>
      </c>
      <c r="E69" s="6">
        <f t="shared" si="44"/>
        <v>236.43771130190001</v>
      </c>
      <c r="F69" s="6">
        <f t="shared" si="44"/>
        <v>239.4146885342</v>
      </c>
      <c r="G69" s="6">
        <f t="shared" si="44"/>
        <v>242.64759693319999</v>
      </c>
      <c r="H69" s="6">
        <f t="shared" si="44"/>
        <v>246.12661388240002</v>
      </c>
      <c r="I69" s="6">
        <f t="shared" si="44"/>
        <v>249.68261749519999</v>
      </c>
      <c r="J69" s="6">
        <f t="shared" si="44"/>
        <v>253.37034132990001</v>
      </c>
      <c r="K69" s="6">
        <f t="shared" si="44"/>
        <v>257.18431786310003</v>
      </c>
      <c r="L69" s="6">
        <f t="shared" si="44"/>
        <v>261.1088048954</v>
      </c>
      <c r="M69" s="6">
        <f t="shared" si="44"/>
        <v>265.38675468010001</v>
      </c>
      <c r="N69" s="6">
        <f t="shared" si="44"/>
        <v>269.60201067650002</v>
      </c>
      <c r="O69" s="6">
        <f t="shared" si="44"/>
        <v>273.8493838096</v>
      </c>
      <c r="P69" s="6">
        <f t="shared" si="44"/>
        <v>278.14230234259998</v>
      </c>
      <c r="Q69" s="6">
        <f t="shared" si="44"/>
        <v>282.48021868180001</v>
      </c>
      <c r="R69" s="6">
        <f t="shared" si="44"/>
        <v>286.86146275389996</v>
      </c>
      <c r="S69" s="6">
        <f t="shared" si="44"/>
        <v>291.28549857120004</v>
      </c>
      <c r="T69" s="6">
        <f t="shared" si="44"/>
        <v>295.75306840999997</v>
      </c>
      <c r="U69" s="6">
        <f t="shared" si="44"/>
        <v>300.26593725250001</v>
      </c>
      <c r="V69" s="6">
        <f t="shared" si="44"/>
        <v>304.82659805640003</v>
      </c>
      <c r="W69" s="6">
        <f t="shared" si="44"/>
        <v>309.24537039289999</v>
      </c>
      <c r="X69" s="6">
        <f t="shared" si="44"/>
        <v>313.82568193860004</v>
      </c>
      <c r="Y69" s="6">
        <f t="shared" si="44"/>
        <v>318.49291275360002</v>
      </c>
      <c r="Z69" s="6">
        <f t="shared" si="44"/>
        <v>323.23482962669999</v>
      </c>
      <c r="AA69" s="6">
        <f t="shared" si="44"/>
        <v>328.05086847910002</v>
      </c>
      <c r="AB69" s="6">
        <f t="shared" si="44"/>
        <v>332.38524392089994</v>
      </c>
      <c r="AC69" s="6">
        <f t="shared" si="44"/>
        <v>336.84224782339999</v>
      </c>
      <c r="AD69" s="6">
        <f t="shared" si="44"/>
        <v>341.34186467080002</v>
      </c>
      <c r="AE69" s="6">
        <f t="shared" si="44"/>
        <v>345.87931781980001</v>
      </c>
      <c r="AF69" s="6">
        <f t="shared" si="44"/>
        <v>350.46277778360002</v>
      </c>
      <c r="AG69" s="6">
        <f t="shared" si="44"/>
        <v>355.10122652370001</v>
      </c>
      <c r="AH69" s="6">
        <f t="shared" si="44"/>
        <v>359.80204595799995</v>
      </c>
      <c r="AI69" s="6">
        <f t="shared" si="44"/>
        <v>364.57068498809997</v>
      </c>
      <c r="AJ69" s="6">
        <f t="shared" si="44"/>
        <v>369.41083521390004</v>
      </c>
      <c r="AK69" s="6">
        <f t="shared" si="44"/>
        <v>374.32474522200005</v>
      </c>
      <c r="AL69" s="6">
        <f t="shared" si="44"/>
        <v>379.3135570526</v>
      </c>
      <c r="AM69" s="6">
        <f t="shared" ref="AM69:BC69" si="45">SUM(AM70:AM72)</f>
        <v>384.24265690890002</v>
      </c>
      <c r="AN69" s="6">
        <f t="shared" si="45"/>
        <v>389.1854909379</v>
      </c>
      <c r="AO69" s="6">
        <f t="shared" si="45"/>
        <v>394.16155599589996</v>
      </c>
      <c r="AP69" s="6">
        <f t="shared" si="45"/>
        <v>399.17969750560002</v>
      </c>
      <c r="AQ69" s="6">
        <f t="shared" si="45"/>
        <v>404.24625950540002</v>
      </c>
      <c r="AR69" s="6">
        <f t="shared" si="45"/>
        <v>409.36652483519998</v>
      </c>
      <c r="AS69" s="6">
        <f t="shared" si="45"/>
        <v>414.54492338770001</v>
      </c>
      <c r="AT69" s="6">
        <f t="shared" si="45"/>
        <v>419.78508722940001</v>
      </c>
      <c r="AU69" s="6">
        <f t="shared" si="45"/>
        <v>425.08993781420008</v>
      </c>
      <c r="AV69" s="6">
        <f t="shared" si="45"/>
        <v>430.46183414019998</v>
      </c>
      <c r="AW69" s="6">
        <f t="shared" si="45"/>
        <v>435.91502087729998</v>
      </c>
      <c r="AX69" s="6">
        <f t="shared" si="45"/>
        <v>441.44088118820002</v>
      </c>
      <c r="AY69" s="6">
        <f t="shared" si="45"/>
        <v>447.03772632109997</v>
      </c>
      <c r="AZ69" s="6">
        <f t="shared" si="45"/>
        <v>452.70668343200003</v>
      </c>
      <c r="BA69" s="6">
        <f t="shared" si="45"/>
        <v>458.44938177500001</v>
      </c>
      <c r="BB69" s="6">
        <f t="shared" si="45"/>
        <v>510.62067320610004</v>
      </c>
      <c r="BC69" s="6">
        <f t="shared" si="45"/>
        <v>518.9798256391</v>
      </c>
      <c r="BD69" s="6">
        <f t="shared" ref="BD69:BF69" si="46">SUM(BD70:BD72)</f>
        <v>527.45959178570001</v>
      </c>
      <c r="BE69" s="6">
        <f t="shared" si="46"/>
        <v>536.06279036800004</v>
      </c>
      <c r="BF69" s="6">
        <f t="shared" si="46"/>
        <v>544.79239261509997</v>
      </c>
    </row>
    <row r="70" spans="1:58" x14ac:dyDescent="0.35">
      <c r="A70" s="11"/>
      <c r="B70" t="s">
        <v>50</v>
      </c>
      <c r="C70" s="6">
        <f>[1]Emissions!B821</f>
        <v>215.82068699999999</v>
      </c>
      <c r="D70" s="6">
        <f>[1]Emissions!C821</f>
        <v>218.20709239999999</v>
      </c>
      <c r="E70" s="6">
        <f>[1]Emissions!D821</f>
        <v>220.73455340000001</v>
      </c>
      <c r="F70" s="6">
        <f>[1]Emissions!E821</f>
        <v>223.4761981</v>
      </c>
      <c r="G70" s="6">
        <f>[1]Emissions!F821</f>
        <v>226.4608604</v>
      </c>
      <c r="H70" s="6">
        <f>[1]Emissions!G821</f>
        <v>229.6802797</v>
      </c>
      <c r="I70" s="6">
        <f>[1]Emissions!H821</f>
        <v>232.97611309999999</v>
      </c>
      <c r="J70" s="6">
        <f>[1]Emissions!I821</f>
        <v>236.39875280000001</v>
      </c>
      <c r="K70" s="6">
        <f>[1]Emissions!J821</f>
        <v>239.94219290000001</v>
      </c>
      <c r="L70" s="6">
        <f>[1]Emissions!K821</f>
        <v>243.59069729999999</v>
      </c>
      <c r="M70" s="6">
        <f>[1]Emissions!L821</f>
        <v>247.57081840000001</v>
      </c>
      <c r="N70" s="6">
        <f>[1]Emissions!M821</f>
        <v>251.49256969999999</v>
      </c>
      <c r="O70" s="6">
        <f>[1]Emissions!N821</f>
        <v>255.4435742</v>
      </c>
      <c r="P70" s="6">
        <f>[1]Emissions!O821</f>
        <v>259.43598709999998</v>
      </c>
      <c r="Q70" s="6">
        <f>[1]Emissions!P821</f>
        <v>263.46891720000002</v>
      </c>
      <c r="R70" s="6">
        <f>[1]Emissions!Q821</f>
        <v>267.54049379999998</v>
      </c>
      <c r="S70" s="6">
        <f>[1]Emissions!R821</f>
        <v>271.6499872</v>
      </c>
      <c r="T70" s="6">
        <f>[1]Emissions!S821</f>
        <v>275.79793419999999</v>
      </c>
      <c r="U70" s="6">
        <f>[1]Emissions!T821</f>
        <v>279.98588940000002</v>
      </c>
      <c r="V70" s="6">
        <f>[1]Emissions!U821</f>
        <v>284.21614190000003</v>
      </c>
      <c r="W70" s="6">
        <f>[1]Emissions!V821</f>
        <v>288.31110210000003</v>
      </c>
      <c r="X70" s="6">
        <f>[1]Emissions!W821</f>
        <v>292.55461910000002</v>
      </c>
      <c r="Y70" s="6">
        <f>[1]Emissions!X821</f>
        <v>296.87729560000002</v>
      </c>
      <c r="Z70" s="6">
        <f>[1]Emissions!Y821</f>
        <v>301.26773639999999</v>
      </c>
      <c r="AA70" s="6">
        <f>[1]Emissions!Z821</f>
        <v>305.72553870000002</v>
      </c>
      <c r="AB70" s="6">
        <f>[1]Emissions!AA821</f>
        <v>309.73055269999998</v>
      </c>
      <c r="AC70" s="6">
        <f>[1]Emissions!AB821</f>
        <v>313.84786489999999</v>
      </c>
      <c r="AD70" s="6">
        <f>[1]Emissions!AC821</f>
        <v>318.00346380000002</v>
      </c>
      <c r="AE70" s="6">
        <f>[1]Emissions!AD821</f>
        <v>322.19305939999998</v>
      </c>
      <c r="AF70" s="6">
        <f>[1]Emissions!AE821</f>
        <v>326.42455890000002</v>
      </c>
      <c r="AG70" s="6">
        <f>[1]Emissions!AF821</f>
        <v>330.70665550000001</v>
      </c>
      <c r="AH70" s="6">
        <f>[1]Emissions!AG821</f>
        <v>335.04653589999998</v>
      </c>
      <c r="AI70" s="6">
        <f>[1]Emissions!AH821</f>
        <v>339.44955870000001</v>
      </c>
      <c r="AJ70" s="6">
        <f>[1]Emissions!AI821</f>
        <v>343.91941480000003</v>
      </c>
      <c r="AK70" s="6">
        <f>[1]Emissions!AJ821</f>
        <v>348.45841810000002</v>
      </c>
      <c r="AL70" s="6">
        <f>[1]Emissions!AK821</f>
        <v>353.06781740000002</v>
      </c>
      <c r="AM70" s="6">
        <f>[1]Emissions!AL821</f>
        <v>357.62179800000001</v>
      </c>
      <c r="AN70" s="6">
        <f>[1]Emissions!AM821</f>
        <v>362.18903840000002</v>
      </c>
      <c r="AO70" s="6">
        <f>[1]Emissions!AN821</f>
        <v>366.78795409999998</v>
      </c>
      <c r="AP70" s="6">
        <f>[1]Emissions!AO821</f>
        <v>371.42693759999997</v>
      </c>
      <c r="AQ70" s="6">
        <f>[1]Emissions!AP821</f>
        <v>376.1120234</v>
      </c>
      <c r="AR70" s="6">
        <f>[1]Emissions!AQ821</f>
        <v>380.84824429999998</v>
      </c>
      <c r="AS70" s="6">
        <f>[1]Emissions!AR821</f>
        <v>385.63982440000001</v>
      </c>
      <c r="AT70" s="6">
        <f>[1]Emissions!AS821</f>
        <v>390.49022960000002</v>
      </c>
      <c r="AU70" s="6">
        <f>[1]Emissions!AT821</f>
        <v>395.40224920000003</v>
      </c>
      <c r="AV70" s="6">
        <f>[1]Emissions!AU821</f>
        <v>400.37813569999997</v>
      </c>
      <c r="AW70" s="6">
        <f>[1]Emissions!AV821</f>
        <v>405.43125179999998</v>
      </c>
      <c r="AX70" s="6">
        <f>[1]Emissions!AW821</f>
        <v>410.55334010000001</v>
      </c>
      <c r="AY70" s="6">
        <f>[1]Emissions!AX821</f>
        <v>415.74273349999999</v>
      </c>
      <c r="AZ70" s="6">
        <f>[1]Emissions!AY821</f>
        <v>421.00052579999999</v>
      </c>
      <c r="BA70" s="6">
        <f>[1]Emissions!AZ821</f>
        <v>426.32828790000002</v>
      </c>
      <c r="BB70" s="6">
        <f>[1]Emissions!BA821</f>
        <v>474.56909780000001</v>
      </c>
      <c r="BC70" s="6">
        <f>[1]Emissions!BB821</f>
        <v>482.29074939999998</v>
      </c>
      <c r="BD70" s="6">
        <f>[1]Emissions!BC821</f>
        <v>490.12448920000003</v>
      </c>
      <c r="BE70" s="6">
        <f>[1]Emissions!BD821</f>
        <v>498.07311490000001</v>
      </c>
      <c r="BF70" s="6">
        <f>[1]Emissions!BE821</f>
        <v>506.13955979999997</v>
      </c>
    </row>
    <row r="71" spans="1:58" x14ac:dyDescent="0.35">
      <c r="A71" s="11"/>
      <c r="B71" t="s">
        <v>51</v>
      </c>
      <c r="C71" s="6">
        <f>[1]Emissions!B822</f>
        <v>2.7572479300000001E-2</v>
      </c>
      <c r="D71" s="6">
        <f>[1]Emissions!C822</f>
        <v>2.7809588999999999E-2</v>
      </c>
      <c r="E71" s="6">
        <f>[1]Emissions!D822</f>
        <v>2.8093171900000002E-2</v>
      </c>
      <c r="F71" s="6">
        <f>[1]Emissions!E822</f>
        <v>2.84252342E-2</v>
      </c>
      <c r="G71" s="6">
        <f>[1]Emissions!F822</f>
        <v>2.8802333199999999E-2</v>
      </c>
      <c r="H71" s="6">
        <f>[1]Emissions!G822</f>
        <v>2.92177624E-2</v>
      </c>
      <c r="I71" s="6">
        <f>[1]Emissions!H822</f>
        <v>2.9647495199999999E-2</v>
      </c>
      <c r="J71" s="6">
        <f>[1]Emissions!I822</f>
        <v>3.0095369899999998E-2</v>
      </c>
      <c r="K71" s="6">
        <f>[1]Emissions!J822</f>
        <v>3.05588431E-2</v>
      </c>
      <c r="L71" s="6">
        <f>[1]Emissions!K822</f>
        <v>3.1035655400000001E-2</v>
      </c>
      <c r="M71" s="6">
        <f>[1]Emissions!L822</f>
        <v>3.1554350100000003E-2</v>
      </c>
      <c r="N71" s="6">
        <f>[1]Emissions!M822</f>
        <v>3.2066256500000001E-2</v>
      </c>
      <c r="O71" s="6">
        <f>[1]Emissions!N822</f>
        <v>3.2583339599999997E-2</v>
      </c>
      <c r="P71" s="6">
        <f>[1]Emissions!O822</f>
        <v>3.3105612600000001E-2</v>
      </c>
      <c r="Q71" s="6">
        <f>[1]Emissions!P822</f>
        <v>3.3632771800000003E-2</v>
      </c>
      <c r="R71" s="6">
        <f>[1]Emissions!Q822</f>
        <v>3.4164703900000003E-2</v>
      </c>
      <c r="S71" s="6">
        <f>[1]Emissions!R822</f>
        <v>3.4701521200000002E-2</v>
      </c>
      <c r="T71" s="6">
        <f>[1]Emissions!S822</f>
        <v>3.5243499999999997E-2</v>
      </c>
      <c r="U71" s="6">
        <f>[1]Emissions!T822</f>
        <v>3.5791012499999997E-2</v>
      </c>
      <c r="V71" s="6">
        <f>[1]Emissions!U822</f>
        <v>3.6344476399999999E-2</v>
      </c>
      <c r="W71" s="6">
        <f>[1]Emissions!V822</f>
        <v>3.6881732899999999E-2</v>
      </c>
      <c r="X71" s="6">
        <f>[1]Emissions!W822</f>
        <v>3.7438228599999998E-2</v>
      </c>
      <c r="Y71" s="6">
        <f>[1]Emissions!X822</f>
        <v>3.8004683599999999E-2</v>
      </c>
      <c r="Z71" s="6">
        <f>[1]Emissions!Y822</f>
        <v>3.8580796700000003E-2</v>
      </c>
      <c r="AA71" s="6">
        <f>[1]Emissions!Z822</f>
        <v>3.9166629100000003E-2</v>
      </c>
      <c r="AB71" s="6">
        <f>[1]Emissions!AA822</f>
        <v>3.9696930900000003E-2</v>
      </c>
      <c r="AC71" s="6">
        <f>[1]Emissions!AB822</f>
        <v>4.0241883399999998E-2</v>
      </c>
      <c r="AD71" s="6">
        <f>[1]Emissions!AC822</f>
        <v>4.0790200800000002E-2</v>
      </c>
      <c r="AE71" s="6">
        <f>[1]Emissions!AD822</f>
        <v>4.1343509799999997E-2</v>
      </c>
      <c r="AF71" s="6">
        <f>[1]Emissions!AE822</f>
        <v>4.1903663600000002E-2</v>
      </c>
      <c r="AG71" s="6">
        <f>[1]Emissions!AF822</f>
        <v>4.2472173699999997E-2</v>
      </c>
      <c r="AH71" s="6">
        <f>[1]Emissions!AG822</f>
        <v>4.3050117999999998E-2</v>
      </c>
      <c r="AI71" s="6">
        <f>[1]Emissions!AH822</f>
        <v>4.3638188100000003E-2</v>
      </c>
      <c r="AJ71" s="6">
        <f>[1]Emissions!AI822</f>
        <v>4.4236773899999998E-2</v>
      </c>
      <c r="AK71" s="6">
        <f>[1]Emissions!AJ822</f>
        <v>4.4846051999999997E-2</v>
      </c>
      <c r="AL71" s="6">
        <f>[1]Emissions!AK822</f>
        <v>4.5466062600000003E-2</v>
      </c>
      <c r="AM71" s="6">
        <f>[1]Emissions!AL822</f>
        <v>4.6080918899999997E-2</v>
      </c>
      <c r="AN71" s="6">
        <f>[1]Emissions!AM822</f>
        <v>4.66990979E-2</v>
      </c>
      <c r="AO71" s="6">
        <f>[1]Emissions!AN822</f>
        <v>4.73223859E-2</v>
      </c>
      <c r="AP71" s="6">
        <f>[1]Emissions!AO822</f>
        <v>4.7952115599999998E-2</v>
      </c>
      <c r="AQ71" s="6">
        <f>[1]Emissions!AP822</f>
        <v>4.8589435399999999E-2</v>
      </c>
      <c r="AR71" s="6">
        <f>[1]Emissions!AQ822</f>
        <v>4.9235315199999997E-2</v>
      </c>
      <c r="AS71" s="6">
        <f>[1]Emissions!AR822</f>
        <v>4.9890527699999999E-2</v>
      </c>
      <c r="AT71" s="6">
        <f>[1]Emissions!AS822</f>
        <v>5.05556494E-2</v>
      </c>
      <c r="AU71" s="6">
        <f>[1]Emissions!AT822</f>
        <v>5.1231084199999999E-2</v>
      </c>
      <c r="AV71" s="6">
        <f>[1]Emissions!AU822</f>
        <v>5.1917100200000003E-2</v>
      </c>
      <c r="AW71" s="6">
        <f>[1]Emissions!AV822</f>
        <v>5.26153273E-2</v>
      </c>
      <c r="AX71" s="6">
        <f>[1]Emissions!AW822</f>
        <v>5.3325138199999997E-2</v>
      </c>
      <c r="AY71" s="6">
        <f>[1]Emissions!AX822</f>
        <v>5.4046461099999998E-2</v>
      </c>
      <c r="AZ71" s="6">
        <f>[1]Emissions!AY822</f>
        <v>5.4779132000000001E-2</v>
      </c>
      <c r="BA71" s="6">
        <f>[1]Emissions!AZ822</f>
        <v>5.5522994999999999E-2</v>
      </c>
      <c r="BB71" s="6">
        <f>[1]Emissions!BA822</f>
        <v>6.0566186100000002E-2</v>
      </c>
      <c r="BC71" s="6">
        <f>[1]Emissions!BB822</f>
        <v>6.1565169099999997E-2</v>
      </c>
      <c r="BD71" s="6">
        <f>[1]Emissions!BC822</f>
        <v>6.25808957E-2</v>
      </c>
      <c r="BE71" s="6">
        <f>[1]Emissions!BD822</f>
        <v>6.3613768000000001E-2</v>
      </c>
      <c r="BF71" s="6">
        <f>[1]Emissions!BE822</f>
        <v>6.4664205099999997E-2</v>
      </c>
    </row>
    <row r="72" spans="1:58" x14ac:dyDescent="0.35">
      <c r="A72" s="11"/>
      <c r="B72" t="s">
        <v>52</v>
      </c>
      <c r="C72" s="6">
        <f>[1]Emissions!B823</f>
        <v>15.25268883</v>
      </c>
      <c r="D72" s="6">
        <f>[1]Emissions!C823</f>
        <v>15.454644330000001</v>
      </c>
      <c r="E72" s="6">
        <f>[1]Emissions!D823</f>
        <v>15.675064730000001</v>
      </c>
      <c r="F72" s="6">
        <f>[1]Emissions!E823</f>
        <v>15.9100652</v>
      </c>
      <c r="G72" s="6">
        <f>[1]Emissions!F823</f>
        <v>16.1579342</v>
      </c>
      <c r="H72" s="6">
        <f>[1]Emissions!G823</f>
        <v>16.417116419999999</v>
      </c>
      <c r="I72" s="6">
        <f>[1]Emissions!H823</f>
        <v>16.676856900000001</v>
      </c>
      <c r="J72" s="6">
        <f>[1]Emissions!I823</f>
        <v>16.94149316</v>
      </c>
      <c r="K72" s="6">
        <f>[1]Emissions!J823</f>
        <v>17.211566120000001</v>
      </c>
      <c r="L72" s="6">
        <f>[1]Emissions!K823</f>
        <v>17.48707194</v>
      </c>
      <c r="M72" s="6">
        <f>[1]Emissions!L823</f>
        <v>17.784381929999999</v>
      </c>
      <c r="N72" s="6">
        <f>[1]Emissions!M823</f>
        <v>18.077374720000002</v>
      </c>
      <c r="O72" s="6">
        <f>[1]Emissions!N823</f>
        <v>18.37322627</v>
      </c>
      <c r="P72" s="6">
        <f>[1]Emissions!O823</f>
        <v>18.673209629999999</v>
      </c>
      <c r="Q72" s="6">
        <f>[1]Emissions!P823</f>
        <v>18.97766871</v>
      </c>
      <c r="R72" s="6">
        <f>[1]Emissions!Q823</f>
        <v>19.286804249999999</v>
      </c>
      <c r="S72" s="6">
        <f>[1]Emissions!R823</f>
        <v>19.600809850000001</v>
      </c>
      <c r="T72" s="6">
        <f>[1]Emissions!S823</f>
        <v>19.919890710000001</v>
      </c>
      <c r="U72" s="6">
        <f>[1]Emissions!T823</f>
        <v>20.244256839999998</v>
      </c>
      <c r="V72" s="6">
        <f>[1]Emissions!U823</f>
        <v>20.574111680000001</v>
      </c>
      <c r="W72" s="6">
        <f>[1]Emissions!V823</f>
        <v>20.897386560000001</v>
      </c>
      <c r="X72" s="6">
        <f>[1]Emissions!W823</f>
        <v>21.23362461</v>
      </c>
      <c r="Y72" s="6">
        <f>[1]Emissions!X823</f>
        <v>21.577612469999998</v>
      </c>
      <c r="Z72" s="6">
        <f>[1]Emissions!Y823</f>
        <v>21.928512430000001</v>
      </c>
      <c r="AA72" s="6">
        <f>[1]Emissions!Z823</f>
        <v>22.28616315</v>
      </c>
      <c r="AB72" s="6">
        <f>[1]Emissions!AA823</f>
        <v>22.614994289999999</v>
      </c>
      <c r="AC72" s="6">
        <f>[1]Emissions!AB823</f>
        <v>22.95414104</v>
      </c>
      <c r="AD72" s="6">
        <f>[1]Emissions!AC823</f>
        <v>23.297610670000001</v>
      </c>
      <c r="AE72" s="6">
        <f>[1]Emissions!AD823</f>
        <v>23.644914910000001</v>
      </c>
      <c r="AF72" s="6">
        <f>[1]Emissions!AE823</f>
        <v>23.99631522</v>
      </c>
      <c r="AG72" s="6">
        <f>[1]Emissions!AF823</f>
        <v>24.352098850000001</v>
      </c>
      <c r="AH72" s="6">
        <f>[1]Emissions!AG823</f>
        <v>24.712459939999999</v>
      </c>
      <c r="AI72" s="6">
        <f>[1]Emissions!AH823</f>
        <v>25.0774881</v>
      </c>
      <c r="AJ72" s="6">
        <f>[1]Emissions!AI823</f>
        <v>25.447183639999999</v>
      </c>
      <c r="AK72" s="6">
        <f>[1]Emissions!AJ823</f>
        <v>25.821481070000001</v>
      </c>
      <c r="AL72" s="6">
        <f>[1]Emissions!AK823</f>
        <v>26.200273589999998</v>
      </c>
      <c r="AM72" s="6">
        <f>[1]Emissions!AL823</f>
        <v>26.574777990000001</v>
      </c>
      <c r="AN72" s="6">
        <f>[1]Emissions!AM823</f>
        <v>26.949753439999999</v>
      </c>
      <c r="AO72" s="6">
        <f>[1]Emissions!AN823</f>
        <v>27.326279509999999</v>
      </c>
      <c r="AP72" s="6">
        <f>[1]Emissions!AO823</f>
        <v>27.70480779</v>
      </c>
      <c r="AQ72" s="6">
        <f>[1]Emissions!AP823</f>
        <v>28.085646669999999</v>
      </c>
      <c r="AR72" s="6">
        <f>[1]Emissions!AQ823</f>
        <v>28.469045220000002</v>
      </c>
      <c r="AS72" s="6">
        <f>[1]Emissions!AR823</f>
        <v>28.85520846</v>
      </c>
      <c r="AT72" s="6">
        <f>[1]Emissions!AS823</f>
        <v>29.244301979999999</v>
      </c>
      <c r="AU72" s="6">
        <f>[1]Emissions!AT823</f>
        <v>29.636457530000001</v>
      </c>
      <c r="AV72" s="6">
        <f>[1]Emissions!AU823</f>
        <v>30.031781339999998</v>
      </c>
      <c r="AW72" s="6">
        <f>[1]Emissions!AV823</f>
        <v>30.43115375</v>
      </c>
      <c r="AX72" s="6">
        <f>[1]Emissions!AW823</f>
        <v>30.834215950000001</v>
      </c>
      <c r="AY72" s="6">
        <f>[1]Emissions!AX823</f>
        <v>31.240946359999999</v>
      </c>
      <c r="AZ72" s="6">
        <f>[1]Emissions!AY823</f>
        <v>31.6513785</v>
      </c>
      <c r="BA72" s="6">
        <f>[1]Emissions!AZ823</f>
        <v>32.065570880000003</v>
      </c>
      <c r="BB72" s="6">
        <f>[1]Emissions!BA823</f>
        <v>35.991009220000002</v>
      </c>
      <c r="BC72" s="6">
        <f>[1]Emissions!BB823</f>
        <v>36.627511069999997</v>
      </c>
      <c r="BD72" s="6">
        <f>[1]Emissions!BC823</f>
        <v>37.272521689999998</v>
      </c>
      <c r="BE72" s="6">
        <f>[1]Emissions!BD823</f>
        <v>37.926061699999998</v>
      </c>
      <c r="BF72" s="6">
        <f>[1]Emissions!BE823</f>
        <v>38.588168609999997</v>
      </c>
    </row>
    <row r="73" spans="1:58" x14ac:dyDescent="0.35">
      <c r="A73" s="11"/>
      <c r="B73" t="str">
        <f>B65</f>
        <v>NZ50</v>
      </c>
      <c r="C73" s="6">
        <f>[1]Emissions!B825</f>
        <v>346.73621079999998</v>
      </c>
      <c r="D73" s="6">
        <f>[1]Emissions!C825</f>
        <v>347.48370260000002</v>
      </c>
      <c r="E73" s="6">
        <f>[1]Emissions!D825</f>
        <v>348.39930509999999</v>
      </c>
      <c r="F73" s="6">
        <f>[1]Emissions!E825</f>
        <v>349.70475679999998</v>
      </c>
      <c r="G73" s="6">
        <f>[1]Emissions!F825</f>
        <v>351.518822</v>
      </c>
      <c r="H73" s="6">
        <f>[1]Emissions!G825</f>
        <v>353.83944819999999</v>
      </c>
      <c r="I73" s="6">
        <f>[1]Emissions!H825</f>
        <v>356.4311907</v>
      </c>
      <c r="J73" s="6">
        <f>[1]Emissions!I825</f>
        <v>359.30919549999999</v>
      </c>
      <c r="K73" s="6">
        <f>[1]Emissions!J825</f>
        <v>362.42407420000001</v>
      </c>
      <c r="L73" s="6">
        <f>[1]Emissions!K825</f>
        <v>365.72385150000002</v>
      </c>
      <c r="M73" s="6">
        <f>[1]Emissions!L825</f>
        <v>369.12203979999998</v>
      </c>
      <c r="N73" s="6">
        <f>[1]Emissions!M825</f>
        <v>372.90317049999999</v>
      </c>
      <c r="O73" s="6">
        <f>[1]Emissions!N825</f>
        <v>376.84396709999999</v>
      </c>
      <c r="P73" s="6">
        <f>[1]Emissions!O825</f>
        <v>380.89795400000003</v>
      </c>
      <c r="Q73" s="6">
        <f>[1]Emissions!P825</f>
        <v>385.04441960000003</v>
      </c>
      <c r="R73" s="6">
        <f>[1]Emissions!Q825</f>
        <v>389.26791609999998</v>
      </c>
      <c r="S73" s="6">
        <f>[1]Emissions!R825</f>
        <v>393.5424107</v>
      </c>
      <c r="T73" s="6">
        <f>[1]Emissions!S825</f>
        <v>397.8655589</v>
      </c>
      <c r="U73" s="6">
        <f>[1]Emissions!T825</f>
        <v>402.23048940000001</v>
      </c>
      <c r="V73" s="6">
        <f>[1]Emissions!U825</f>
        <v>406.6313925</v>
      </c>
      <c r="W73" s="6">
        <f>[1]Emissions!V825</f>
        <v>410.85341080000001</v>
      </c>
      <c r="X73" s="6">
        <f>[1]Emissions!W825</f>
        <v>415.21916069999997</v>
      </c>
      <c r="Y73" s="6">
        <f>[1]Emissions!X825</f>
        <v>419.6489067</v>
      </c>
      <c r="Z73" s="6">
        <f>[1]Emissions!Y825</f>
        <v>424.12550470000002</v>
      </c>
      <c r="AA73" s="6">
        <f>[1]Emissions!Z825</f>
        <v>428.64554399999997</v>
      </c>
      <c r="AB73" s="6">
        <f>[1]Emissions!AA825</f>
        <v>432.60735210000001</v>
      </c>
      <c r="AC73" s="6">
        <f>[1]Emissions!AB825</f>
        <v>436.6594174</v>
      </c>
      <c r="AD73" s="6">
        <f>[1]Emissions!AC825</f>
        <v>440.72460239999998</v>
      </c>
      <c r="AE73" s="6">
        <f>[1]Emissions!AD825</f>
        <v>444.79960210000002</v>
      </c>
      <c r="AF73" s="6">
        <f>[1]Emissions!AE825</f>
        <v>448.89430590000001</v>
      </c>
      <c r="AG73" s="6">
        <f>[1]Emissions!AF825</f>
        <v>453.0196004</v>
      </c>
      <c r="AH73" s="6">
        <f>[1]Emissions!AG825</f>
        <v>457.18863709999999</v>
      </c>
      <c r="AI73" s="6">
        <f>[1]Emissions!AH825</f>
        <v>461.40619950000001</v>
      </c>
      <c r="AJ73" s="6">
        <f>[1]Emissions!AI825</f>
        <v>465.67691880000001</v>
      </c>
      <c r="AK73" s="6">
        <f>[1]Emissions!AJ825</f>
        <v>470.00440900000001</v>
      </c>
      <c r="AL73" s="6">
        <f>[1]Emissions!AK825</f>
        <v>474.39111580000002</v>
      </c>
      <c r="AM73" s="6">
        <f>[1]Emissions!AL825</f>
        <v>478.73292249999997</v>
      </c>
      <c r="AN73" s="6">
        <f>[1]Emissions!AM825</f>
        <v>483.08265360000001</v>
      </c>
      <c r="AO73" s="6">
        <f>[1]Emissions!AN825</f>
        <v>487.45962859999997</v>
      </c>
      <c r="AP73" s="6">
        <f>[1]Emissions!AO825</f>
        <v>491.8738184</v>
      </c>
      <c r="AQ73" s="6">
        <f>[1]Emissions!AP825</f>
        <v>496.33156200000002</v>
      </c>
      <c r="AR73" s="6">
        <f>[1]Emissions!AQ825</f>
        <v>500.8433071</v>
      </c>
      <c r="AS73" s="6">
        <f>[1]Emissions!AR825</f>
        <v>505.40831739999999</v>
      </c>
      <c r="AT73" s="6">
        <f>[1]Emissions!AS825</f>
        <v>510.0280229</v>
      </c>
      <c r="AU73" s="6">
        <f>[1]Emissions!AT825</f>
        <v>514.70343509999998</v>
      </c>
      <c r="AV73" s="6">
        <f>[1]Emissions!AU825</f>
        <v>519.43488609999997</v>
      </c>
      <c r="AW73" s="6">
        <f>[1]Emissions!AV825</f>
        <v>524.25638930000002</v>
      </c>
      <c r="AX73" s="6">
        <f>[1]Emissions!AW825</f>
        <v>529.14740759999995</v>
      </c>
      <c r="AY73" s="6">
        <f>[1]Emissions!AX825</f>
        <v>534.10332359999995</v>
      </c>
      <c r="AZ73" s="6">
        <f>[1]Emissions!AY825</f>
        <v>539.12194520000003</v>
      </c>
      <c r="BA73" s="6">
        <f>[1]Emissions!AZ825</f>
        <v>544.20130229999995</v>
      </c>
      <c r="BB73" s="6">
        <f>[1]Emissions!BA825</f>
        <v>638.12864630000001</v>
      </c>
      <c r="BC73" s="6">
        <f>[1]Emissions!BB825</f>
        <v>646.94552759999999</v>
      </c>
      <c r="BD73" s="6">
        <f>[1]Emissions!BC825</f>
        <v>655.8961663</v>
      </c>
      <c r="BE73" s="6">
        <f>[1]Emissions!BD825</f>
        <v>664.98381870000003</v>
      </c>
      <c r="BF73" s="6">
        <f>[1]Emissions!BE825</f>
        <v>674.21214689999999</v>
      </c>
    </row>
    <row r="74" spans="1:58" x14ac:dyDescent="0.35">
      <c r="A74" s="8"/>
      <c r="B74" t="s">
        <v>25</v>
      </c>
      <c r="C74" s="6">
        <f>[1]Emissions!B829</f>
        <v>119.490486</v>
      </c>
      <c r="D74" s="6">
        <f>[1]Emissions!C829</f>
        <v>119.2440354</v>
      </c>
      <c r="E74" s="6">
        <f>[1]Emissions!D829</f>
        <v>118.6155425</v>
      </c>
      <c r="F74" s="6">
        <f>[1]Emissions!E829</f>
        <v>118.0309673</v>
      </c>
      <c r="G74" s="6">
        <f>[1]Emissions!F829</f>
        <v>117.61282989999999</v>
      </c>
      <c r="H74" s="6">
        <f>[1]Emissions!G829</f>
        <v>117.3731652</v>
      </c>
      <c r="I74" s="6">
        <f>[1]Emissions!H829</f>
        <v>117.25940199999999</v>
      </c>
      <c r="J74" s="6">
        <f>[1]Emissions!I829</f>
        <v>117.24897540000001</v>
      </c>
      <c r="K74" s="6">
        <f>[1]Emissions!J829</f>
        <v>117.3145293</v>
      </c>
      <c r="L74" s="6">
        <f>[1]Emissions!K829</f>
        <v>117.43418389999999</v>
      </c>
      <c r="M74" s="6">
        <f>[1]Emissions!L829</f>
        <v>117.6336609</v>
      </c>
      <c r="N74" s="6">
        <f>[1]Emissions!M829</f>
        <v>117.8414212</v>
      </c>
      <c r="O74" s="6">
        <f>[1]Emissions!N829</f>
        <v>118.0659388</v>
      </c>
      <c r="P74" s="6">
        <f>[1]Emissions!O829</f>
        <v>118.3113616</v>
      </c>
      <c r="Q74" s="6">
        <f>[1]Emissions!P829</f>
        <v>118.5776953</v>
      </c>
      <c r="R74" s="6">
        <f>[1]Emissions!Q829</f>
        <v>118.8640054</v>
      </c>
      <c r="S74" s="6">
        <f>[1]Emissions!R829</f>
        <v>119.1686955</v>
      </c>
      <c r="T74" s="6">
        <f>[1]Emissions!S829</f>
        <v>119.48965490000001</v>
      </c>
      <c r="U74" s="6">
        <f>[1]Emissions!T829</f>
        <v>119.8244141</v>
      </c>
      <c r="V74" s="6">
        <f>[1]Emissions!U829</f>
        <v>120.17028089999999</v>
      </c>
      <c r="W74" s="6">
        <f>[1]Emissions!V829</f>
        <v>120.49420569999999</v>
      </c>
      <c r="X74" s="6">
        <f>[1]Emissions!W829</f>
        <v>120.8370049</v>
      </c>
      <c r="Y74" s="6">
        <f>[1]Emissions!X829</f>
        <v>121.1897529</v>
      </c>
      <c r="Z74" s="6">
        <f>[1]Emissions!Y829</f>
        <v>121.5475117</v>
      </c>
      <c r="AA74" s="6">
        <f>[1]Emissions!Z829</f>
        <v>121.9073882</v>
      </c>
      <c r="AB74" s="6">
        <f>[1]Emissions!AA829</f>
        <v>122.1843533</v>
      </c>
      <c r="AC74" s="6">
        <f>[1]Emissions!AB829</f>
        <v>122.4569463</v>
      </c>
      <c r="AD74" s="6">
        <f>[1]Emissions!AC829</f>
        <v>122.7229913</v>
      </c>
      <c r="AE74" s="6">
        <f>[1]Emissions!AD829</f>
        <v>122.981971</v>
      </c>
      <c r="AF74" s="6">
        <f>[1]Emissions!AE829</f>
        <v>123.2342558</v>
      </c>
      <c r="AG74" s="6">
        <f>[1]Emissions!AF829</f>
        <v>123.48061130000001</v>
      </c>
      <c r="AH74" s="6">
        <f>[1]Emissions!AG829</f>
        <v>123.72193230000001</v>
      </c>
      <c r="AI74" s="6">
        <f>[1]Emissions!AH829</f>
        <v>123.95891520000001</v>
      </c>
      <c r="AJ74" s="6">
        <f>[1]Emissions!AI829</f>
        <v>124.1918932</v>
      </c>
      <c r="AK74" s="6">
        <f>[1]Emissions!AJ829</f>
        <v>124.42139830000001</v>
      </c>
      <c r="AL74" s="6">
        <f>[1]Emissions!AK829</f>
        <v>124.647989</v>
      </c>
      <c r="AM74" s="6">
        <f>[1]Emissions!AL829</f>
        <v>124.8542822</v>
      </c>
      <c r="AN74" s="6">
        <f>[1]Emissions!AM829</f>
        <v>125.0486358</v>
      </c>
      <c r="AO74" s="6">
        <f>[1]Emissions!AN829</f>
        <v>125.23545059999999</v>
      </c>
      <c r="AP74" s="6">
        <f>[1]Emissions!AO829</f>
        <v>125.41718</v>
      </c>
      <c r="AQ74" s="6">
        <f>[1]Emissions!AP829</f>
        <v>125.5953315</v>
      </c>
      <c r="AR74" s="6">
        <f>[1]Emissions!AQ829</f>
        <v>125.7709365</v>
      </c>
      <c r="AS74" s="6">
        <f>[1]Emissions!AR829</f>
        <v>125.94480230000001</v>
      </c>
      <c r="AT74" s="6">
        <f>[1]Emissions!AS829</f>
        <v>126.1175124</v>
      </c>
      <c r="AU74" s="6">
        <f>[1]Emissions!AT829</f>
        <v>126.2894464</v>
      </c>
      <c r="AV74" s="6">
        <f>[1]Emissions!AU829</f>
        <v>126.4608075</v>
      </c>
      <c r="AW74" s="6">
        <f>[1]Emissions!AV829</f>
        <v>126.6331102</v>
      </c>
      <c r="AX74" s="6">
        <f>[1]Emissions!AW829</f>
        <v>126.80591320000001</v>
      </c>
      <c r="AY74" s="6">
        <f>[1]Emissions!AX829</f>
        <v>126.978921</v>
      </c>
      <c r="AZ74" s="6">
        <f>[1]Emissions!AY829</f>
        <v>127.1517898</v>
      </c>
      <c r="BA74" s="6">
        <f>[1]Emissions!AZ829</f>
        <v>127.324094</v>
      </c>
      <c r="BB74" s="6">
        <f>[1]Emissions!BA829</f>
        <v>126.47587660000001</v>
      </c>
      <c r="BC74" s="6">
        <f>[1]Emissions!BB829</f>
        <v>126.845287</v>
      </c>
      <c r="BD74" s="6">
        <f>[1]Emissions!BC829</f>
        <v>127.2240729</v>
      </c>
      <c r="BE74" s="6">
        <f>[1]Emissions!BD829</f>
        <v>127.6125328</v>
      </c>
      <c r="BF74" s="6">
        <f>[1]Emissions!BE829</f>
        <v>128.01129209999999</v>
      </c>
    </row>
    <row r="75" spans="1:58" x14ac:dyDescent="0.35">
      <c r="A75" s="8"/>
      <c r="B75" t="s">
        <v>26</v>
      </c>
      <c r="C75" s="6">
        <f>SUM(C76:C78)</f>
        <v>227.24572479509999</v>
      </c>
      <c r="D75" s="6">
        <f t="shared" ref="D75:AL75" si="47">SUM(D76:D78)</f>
        <v>228.2396672253</v>
      </c>
      <c r="E75" s="6">
        <f t="shared" si="47"/>
        <v>229.78376259419997</v>
      </c>
      <c r="F75" s="6">
        <f t="shared" si="47"/>
        <v>231.67378950790001</v>
      </c>
      <c r="G75" s="6">
        <f t="shared" si="47"/>
        <v>233.90599211220001</v>
      </c>
      <c r="H75" s="6">
        <f t="shared" si="47"/>
        <v>236.46628297160001</v>
      </c>
      <c r="I75" s="6">
        <f t="shared" si="47"/>
        <v>239.17178871360002</v>
      </c>
      <c r="J75" s="6">
        <f t="shared" si="47"/>
        <v>242.06022010480001</v>
      </c>
      <c r="K75" s="6">
        <f t="shared" si="47"/>
        <v>245.1095449243</v>
      </c>
      <c r="L75" s="6">
        <f t="shared" si="47"/>
        <v>248.28966761699999</v>
      </c>
      <c r="M75" s="6">
        <f t="shared" si="47"/>
        <v>251.48837885239999</v>
      </c>
      <c r="N75" s="6">
        <f t="shared" si="47"/>
        <v>255.06174933940002</v>
      </c>
      <c r="O75" s="6">
        <f t="shared" si="47"/>
        <v>258.7780282338</v>
      </c>
      <c r="P75" s="6">
        <f t="shared" si="47"/>
        <v>262.58659236860001</v>
      </c>
      <c r="Q75" s="6">
        <f t="shared" si="47"/>
        <v>266.46672433949999</v>
      </c>
      <c r="R75" s="6">
        <f t="shared" si="47"/>
        <v>270.40391071080001</v>
      </c>
      <c r="S75" s="6">
        <f t="shared" si="47"/>
        <v>274.37371525970002</v>
      </c>
      <c r="T75" s="6">
        <f t="shared" si="47"/>
        <v>278.375903988</v>
      </c>
      <c r="U75" s="6">
        <f t="shared" si="47"/>
        <v>282.40607533629998</v>
      </c>
      <c r="V75" s="6">
        <f t="shared" si="47"/>
        <v>286.4611116451</v>
      </c>
      <c r="W75" s="6">
        <f t="shared" si="47"/>
        <v>290.35920520619999</v>
      </c>
      <c r="X75" s="6">
        <f t="shared" si="47"/>
        <v>294.38215581359998</v>
      </c>
      <c r="Y75" s="6">
        <f t="shared" si="47"/>
        <v>298.45915384020003</v>
      </c>
      <c r="Z75" s="6">
        <f t="shared" si="47"/>
        <v>302.57799299600003</v>
      </c>
      <c r="AA75" s="6">
        <f t="shared" si="47"/>
        <v>306.73815579789999</v>
      </c>
      <c r="AB75" s="6">
        <f t="shared" si="47"/>
        <v>310.4229987951</v>
      </c>
      <c r="AC75" s="6">
        <f t="shared" si="47"/>
        <v>314.2024711011</v>
      </c>
      <c r="AD75" s="6">
        <f t="shared" si="47"/>
        <v>318.00161108909998</v>
      </c>
      <c r="AE75" s="6">
        <f t="shared" si="47"/>
        <v>321.81763110529999</v>
      </c>
      <c r="AF75" s="6">
        <f t="shared" si="47"/>
        <v>325.66005018149997</v>
      </c>
      <c r="AG75" s="6">
        <f t="shared" si="47"/>
        <v>329.53898904810001</v>
      </c>
      <c r="AH75" s="6">
        <f t="shared" si="47"/>
        <v>333.46670480019998</v>
      </c>
      <c r="AI75" s="6">
        <f t="shared" si="47"/>
        <v>337.44728425859995</v>
      </c>
      <c r="AJ75" s="6">
        <f t="shared" si="47"/>
        <v>341.48502563869999</v>
      </c>
      <c r="AK75" s="6">
        <f t="shared" si="47"/>
        <v>345.583010694</v>
      </c>
      <c r="AL75" s="6">
        <f t="shared" si="47"/>
        <v>349.7431268249</v>
      </c>
      <c r="AM75" s="6">
        <f t="shared" ref="AM75:BC75" si="48">SUM(AM76:AM78)</f>
        <v>353.87864038890001</v>
      </c>
      <c r="AN75" s="6">
        <f t="shared" si="48"/>
        <v>358.03401782739996</v>
      </c>
      <c r="AO75" s="6">
        <f t="shared" si="48"/>
        <v>362.22417801040001</v>
      </c>
      <c r="AP75" s="6">
        <f t="shared" si="48"/>
        <v>366.45663845769997</v>
      </c>
      <c r="AQ75" s="6">
        <f t="shared" si="48"/>
        <v>370.73623047619998</v>
      </c>
      <c r="AR75" s="6">
        <f t="shared" si="48"/>
        <v>375.0723706064</v>
      </c>
      <c r="AS75" s="6">
        <f t="shared" si="48"/>
        <v>379.46351501950005</v>
      </c>
      <c r="AT75" s="6">
        <f t="shared" si="48"/>
        <v>383.91051050989995</v>
      </c>
      <c r="AU75" s="6">
        <f t="shared" si="48"/>
        <v>388.41398877500001</v>
      </c>
      <c r="AV75" s="6">
        <f t="shared" si="48"/>
        <v>392.97407863379999</v>
      </c>
      <c r="AW75" s="6">
        <f t="shared" si="48"/>
        <v>397.62327911019997</v>
      </c>
      <c r="AX75" s="6">
        <f t="shared" si="48"/>
        <v>402.34149437350004</v>
      </c>
      <c r="AY75" s="6">
        <f t="shared" si="48"/>
        <v>407.12440269759998</v>
      </c>
      <c r="AZ75" s="6">
        <f t="shared" si="48"/>
        <v>411.97015545310001</v>
      </c>
      <c r="BA75" s="6">
        <f t="shared" si="48"/>
        <v>416.87720839230002</v>
      </c>
      <c r="BB75" s="6">
        <f t="shared" si="48"/>
        <v>511.65276973030001</v>
      </c>
      <c r="BC75" s="6">
        <f t="shared" si="48"/>
        <v>520.10024065540006</v>
      </c>
      <c r="BD75" s="6">
        <f t="shared" ref="BD75:BF75" si="49">SUM(BD76:BD78)</f>
        <v>528.67209333389997</v>
      </c>
      <c r="BE75" s="6">
        <f t="shared" si="49"/>
        <v>537.37128591229998</v>
      </c>
      <c r="BF75" s="6">
        <f t="shared" si="49"/>
        <v>546.20085474270002</v>
      </c>
    </row>
    <row r="76" spans="1:58" x14ac:dyDescent="0.35">
      <c r="A76" s="8"/>
      <c r="B76" t="s">
        <v>50</v>
      </c>
      <c r="C76" s="5">
        <f>[1]Emissions!B826</f>
        <v>212.14033860000001</v>
      </c>
      <c r="D76" s="5">
        <f>[1]Emissions!C826</f>
        <v>213.010212</v>
      </c>
      <c r="E76" s="5">
        <f>[1]Emissions!D826</f>
        <v>214.38796869999999</v>
      </c>
      <c r="F76" s="5">
        <f>[1]Emissions!E826</f>
        <v>216.0882426</v>
      </c>
      <c r="G76" s="5">
        <f>[1]Emissions!F826</f>
        <v>218.1135237</v>
      </c>
      <c r="H76" s="5">
        <f>[1]Emissions!G826</f>
        <v>220.4533811</v>
      </c>
      <c r="I76" s="5">
        <f>[1]Emissions!H826</f>
        <v>222.93699470000001</v>
      </c>
      <c r="J76" s="5">
        <f>[1]Emissions!I826</f>
        <v>225.59844989999999</v>
      </c>
      <c r="K76" s="5">
        <f>[1]Emissions!J826</f>
        <v>228.41570590000001</v>
      </c>
      <c r="L76" s="5">
        <f>[1]Emissions!K826</f>
        <v>231.35909839999999</v>
      </c>
      <c r="M76" s="5">
        <f>[1]Emissions!L826</f>
        <v>234.31513799999999</v>
      </c>
      <c r="N76" s="5">
        <f>[1]Emissions!M826</f>
        <v>237.6329781</v>
      </c>
      <c r="O76" s="5">
        <f>[1]Emissions!N826</f>
        <v>241.08687810000001</v>
      </c>
      <c r="P76" s="5">
        <f>[1]Emissions!O826</f>
        <v>244.6280955</v>
      </c>
      <c r="Q76" s="5">
        <f>[1]Emissions!P826</f>
        <v>248.23662759999999</v>
      </c>
      <c r="R76" s="5">
        <f>[1]Emissions!Q826</f>
        <v>251.89824540000001</v>
      </c>
      <c r="S76" s="5">
        <f>[1]Emissions!R826</f>
        <v>255.5893035</v>
      </c>
      <c r="T76" s="5">
        <f>[1]Emissions!S826</f>
        <v>259.30911099999997</v>
      </c>
      <c r="U76" s="5">
        <f>[1]Emissions!T826</f>
        <v>263.05305829999998</v>
      </c>
      <c r="V76" s="5">
        <f>[1]Emissions!U826</f>
        <v>266.81784340000002</v>
      </c>
      <c r="W76" s="5">
        <f>[1]Emissions!V826</f>
        <v>270.43326239999999</v>
      </c>
      <c r="X76" s="5">
        <f>[1]Emissions!W826</f>
        <v>274.16218939999999</v>
      </c>
      <c r="Y76" s="5">
        <f>[1]Emissions!X826</f>
        <v>277.93883160000001</v>
      </c>
      <c r="Z76" s="5">
        <f>[1]Emissions!Y826</f>
        <v>281.75173100000001</v>
      </c>
      <c r="AA76" s="5">
        <f>[1]Emissions!Z826</f>
        <v>285.6004418</v>
      </c>
      <c r="AB76" s="5">
        <f>[1]Emissions!AA826</f>
        <v>289.00224429999997</v>
      </c>
      <c r="AC76" s="5">
        <f>[1]Emissions!AB826</f>
        <v>292.48890710000001</v>
      </c>
      <c r="AD76" s="5">
        <f>[1]Emissions!AC826</f>
        <v>295.99135639999997</v>
      </c>
      <c r="AE76" s="5">
        <f>[1]Emissions!AD826</f>
        <v>299.50722969999998</v>
      </c>
      <c r="AF76" s="5">
        <f>[1]Emissions!AE826</f>
        <v>303.04573499999998</v>
      </c>
      <c r="AG76" s="5">
        <f>[1]Emissions!AF826</f>
        <v>306.61665679999999</v>
      </c>
      <c r="AH76" s="5">
        <f>[1]Emissions!AG826</f>
        <v>310.23179219999997</v>
      </c>
      <c r="AI76" s="5">
        <f>[1]Emissions!AH826</f>
        <v>313.8952084</v>
      </c>
      <c r="AJ76" s="5">
        <f>[1]Emissions!AI826</f>
        <v>317.61118699999997</v>
      </c>
      <c r="AK76" s="5">
        <f>[1]Emissions!AJ826</f>
        <v>321.38284950000002</v>
      </c>
      <c r="AL76" s="5">
        <f>[1]Emissions!AK826</f>
        <v>325.21216820000001</v>
      </c>
      <c r="AM76" s="5">
        <f>[1]Emissions!AL826</f>
        <v>329.01865770000001</v>
      </c>
      <c r="AN76" s="5">
        <f>[1]Emissions!AM826</f>
        <v>332.84338639999999</v>
      </c>
      <c r="AO76" s="5">
        <f>[1]Emissions!AN826</f>
        <v>336.70055580000002</v>
      </c>
      <c r="AP76" s="5">
        <f>[1]Emissions!AO826</f>
        <v>340.59743179999998</v>
      </c>
      <c r="AQ76" s="5">
        <f>[1]Emissions!AP826</f>
        <v>344.53869589999999</v>
      </c>
      <c r="AR76" s="5">
        <f>[1]Emissions!AQ826</f>
        <v>348.53329719999999</v>
      </c>
      <c r="AS76" s="5">
        <f>[1]Emissions!AR826</f>
        <v>352.57978960000003</v>
      </c>
      <c r="AT76" s="5">
        <f>[1]Emissions!AS826</f>
        <v>356.67899999999997</v>
      </c>
      <c r="AU76" s="5">
        <f>[1]Emissions!AT826</f>
        <v>360.83154009999998</v>
      </c>
      <c r="AV76" s="5">
        <f>[1]Emissions!AU826</f>
        <v>365.03753169999999</v>
      </c>
      <c r="AW76" s="5">
        <f>[1]Emissions!AV826</f>
        <v>369.32747949999998</v>
      </c>
      <c r="AX76" s="5">
        <f>[1]Emissions!AW826</f>
        <v>373.68240850000001</v>
      </c>
      <c r="AY76" s="5">
        <f>[1]Emissions!AX826</f>
        <v>378.09829209999998</v>
      </c>
      <c r="AZ76" s="5">
        <f>[1]Emissions!AY826</f>
        <v>382.57342310000001</v>
      </c>
      <c r="BA76" s="5">
        <f>[1]Emissions!AZ826</f>
        <v>387.10633890000003</v>
      </c>
      <c r="BB76" s="5">
        <f>[1]Emissions!BA826</f>
        <v>475.66387520000001</v>
      </c>
      <c r="BC76" s="5">
        <f>[1]Emissions!BB826</f>
        <v>483.47314180000001</v>
      </c>
      <c r="BD76" s="5">
        <f>[1]Emissions!BC826</f>
        <v>491.39786800000002</v>
      </c>
      <c r="BE76" s="5">
        <f>[1]Emissions!BD826</f>
        <v>499.44100100000003</v>
      </c>
      <c r="BF76" s="5">
        <f>[1]Emissions!BE826</f>
        <v>507.60555479999999</v>
      </c>
    </row>
    <row r="77" spans="1:58" x14ac:dyDescent="0.35">
      <c r="A77" s="8"/>
      <c r="B77" t="s">
        <v>51</v>
      </c>
      <c r="C77" s="5">
        <f>[1]Emissions!B827</f>
        <v>2.7083075099999999E-2</v>
      </c>
      <c r="D77" s="5">
        <f>[1]Emissions!C827</f>
        <v>2.7146355300000001E-2</v>
      </c>
      <c r="E77" s="5">
        <f>[1]Emissions!D827</f>
        <v>2.7283454200000001E-2</v>
      </c>
      <c r="F77" s="5">
        <f>[1]Emissions!E827</f>
        <v>2.7485447900000001E-2</v>
      </c>
      <c r="G77" s="5">
        <f>[1]Emissions!F827</f>
        <v>2.7745162199999999E-2</v>
      </c>
      <c r="H77" s="5">
        <f>[1]Emissions!G827</f>
        <v>2.8053501599999999E-2</v>
      </c>
      <c r="I77" s="5">
        <f>[1]Emissions!H827</f>
        <v>2.8384223600000001E-2</v>
      </c>
      <c r="J77" s="5">
        <f>[1]Emissions!I827</f>
        <v>2.87391548E-2</v>
      </c>
      <c r="K77" s="5">
        <f>[1]Emissions!J827</f>
        <v>2.9113834299999999E-2</v>
      </c>
      <c r="L77" s="5">
        <f>[1]Emissions!K827</f>
        <v>2.9504267000000001E-2</v>
      </c>
      <c r="M77" s="5">
        <f>[1]Emissions!L827</f>
        <v>2.9895932399999998E-2</v>
      </c>
      <c r="N77" s="5">
        <f>[1]Emissions!M827</f>
        <v>3.0337779400000001E-2</v>
      </c>
      <c r="O77" s="5">
        <f>[1]Emissions!N827</f>
        <v>3.07924238E-2</v>
      </c>
      <c r="P77" s="5">
        <f>[1]Emissions!O827</f>
        <v>3.12562786E-2</v>
      </c>
      <c r="Q77" s="5">
        <f>[1]Emissions!P827</f>
        <v>3.1727409499999998E-2</v>
      </c>
      <c r="R77" s="5">
        <f>[1]Emissions!Q827</f>
        <v>3.22044108E-2</v>
      </c>
      <c r="S77" s="5">
        <f>[1]Emissions!R827</f>
        <v>3.2684499700000001E-2</v>
      </c>
      <c r="T77" s="5">
        <f>[1]Emissions!S827</f>
        <v>3.3167797999999998E-2</v>
      </c>
      <c r="U77" s="5">
        <f>[1]Emissions!T827</f>
        <v>3.3653886299999998E-2</v>
      </c>
      <c r="V77" s="5">
        <f>[1]Emissions!U827</f>
        <v>3.4142595099999999E-2</v>
      </c>
      <c r="W77" s="5">
        <f>[1]Emissions!V827</f>
        <v>3.46128562E-2</v>
      </c>
      <c r="X77" s="5">
        <f>[1]Emissions!W827</f>
        <v>3.5097333600000002E-2</v>
      </c>
      <c r="Y77" s="5">
        <f>[1]Emissions!X827</f>
        <v>3.5587450200000002E-2</v>
      </c>
      <c r="Z77" s="5">
        <f>[1]Emissions!Y827</f>
        <v>3.6082806000000002E-2</v>
      </c>
      <c r="AA77" s="5">
        <f>[1]Emissions!Z827</f>
        <v>3.65834279E-2</v>
      </c>
      <c r="AB77" s="5">
        <f>[1]Emissions!AA827</f>
        <v>3.7029085099999998E-2</v>
      </c>
      <c r="AC77" s="5">
        <f>[1]Emissions!AB827</f>
        <v>3.7485071100000003E-2</v>
      </c>
      <c r="AD77" s="5">
        <f>[1]Emissions!AC827</f>
        <v>3.7941279100000003E-2</v>
      </c>
      <c r="AE77" s="5">
        <f>[1]Emissions!AD827</f>
        <v>3.8399325300000002E-2</v>
      </c>
      <c r="AF77" s="5">
        <f>[1]Emissions!AE827</f>
        <v>3.8860991499999997E-2</v>
      </c>
      <c r="AG77" s="5">
        <f>[1]Emissions!AF827</f>
        <v>3.9327748099999997E-2</v>
      </c>
      <c r="AH77" s="5">
        <f>[1]Emissions!AG827</f>
        <v>3.9801180200000001E-2</v>
      </c>
      <c r="AI77" s="5">
        <f>[1]Emissions!AH827</f>
        <v>4.0281758600000002E-2</v>
      </c>
      <c r="AJ77" s="5">
        <f>[1]Emissions!AI827</f>
        <v>4.07698887E-2</v>
      </c>
      <c r="AK77" s="5">
        <f>[1]Emissions!AJ827</f>
        <v>4.1265754000000002E-2</v>
      </c>
      <c r="AL77" s="5">
        <f>[1]Emissions!AK827</f>
        <v>4.1769404900000001E-2</v>
      </c>
      <c r="AM77" s="5">
        <f>[1]Emissions!AL827</f>
        <v>4.2271278900000001E-2</v>
      </c>
      <c r="AN77" s="5">
        <f>[1]Emissions!AM827</f>
        <v>4.2776427399999997E-2</v>
      </c>
      <c r="AO77" s="5">
        <f>[1]Emissions!AN827</f>
        <v>4.3286190400000001E-2</v>
      </c>
      <c r="AP77" s="5">
        <f>[1]Emissions!AO827</f>
        <v>4.3801327700000003E-2</v>
      </c>
      <c r="AQ77" s="5">
        <f>[1]Emissions!AP827</f>
        <v>4.4322456199999999E-2</v>
      </c>
      <c r="AR77" s="5">
        <f>[1]Emissions!AQ827</f>
        <v>4.4850926399999998E-2</v>
      </c>
      <c r="AS77" s="5">
        <f>[1]Emissions!AR827</f>
        <v>4.5386779500000002E-2</v>
      </c>
      <c r="AT77" s="5">
        <f>[1]Emissions!AS827</f>
        <v>4.5930279900000003E-2</v>
      </c>
      <c r="AU77" s="5">
        <f>[1]Emissions!AT827</f>
        <v>4.6481555000000001E-2</v>
      </c>
      <c r="AV77" s="5">
        <f>[1]Emissions!AU827</f>
        <v>4.7040643799999997E-2</v>
      </c>
      <c r="AW77" s="5">
        <f>[1]Emissions!AV827</f>
        <v>4.7611710199999997E-2</v>
      </c>
      <c r="AX77" s="5">
        <f>[1]Emissions!AW827</f>
        <v>4.81926035E-2</v>
      </c>
      <c r="AY77" s="5">
        <f>[1]Emissions!AX827</f>
        <v>4.8782867600000002E-2</v>
      </c>
      <c r="AZ77" s="5">
        <f>[1]Emissions!AY827</f>
        <v>4.9382013099999997E-2</v>
      </c>
      <c r="BA77" s="5">
        <f>[1]Emissions!AZ827</f>
        <v>4.9989622300000001E-2</v>
      </c>
      <c r="BB77" s="5">
        <f>[1]Emissions!BA827</f>
        <v>6.0330790299999999E-2</v>
      </c>
      <c r="BC77" s="5">
        <f>[1]Emissions!BB827</f>
        <v>6.1318025399999997E-2</v>
      </c>
      <c r="BD77" s="5">
        <f>[1]Emissions!BC827</f>
        <v>6.2321753899999999E-2</v>
      </c>
      <c r="BE77" s="5">
        <f>[1]Emissions!BD827</f>
        <v>6.3342322300000004E-2</v>
      </c>
      <c r="BF77" s="5">
        <f>[1]Emissions!BE827</f>
        <v>6.4380092700000002E-2</v>
      </c>
    </row>
    <row r="78" spans="1:58" x14ac:dyDescent="0.35">
      <c r="B78" t="s">
        <v>52</v>
      </c>
      <c r="C78" s="5">
        <f>[1]Emissions!B828</f>
        <v>15.078303119999999</v>
      </c>
      <c r="D78" s="5">
        <f>[1]Emissions!C828</f>
        <v>15.20230887</v>
      </c>
      <c r="E78" s="5">
        <f>[1]Emissions!D828</f>
        <v>15.36851044</v>
      </c>
      <c r="F78" s="5">
        <f>[1]Emissions!E828</f>
        <v>15.558061459999999</v>
      </c>
      <c r="G78" s="5">
        <f>[1]Emissions!F828</f>
        <v>15.764723249999999</v>
      </c>
      <c r="H78" s="5">
        <f>[1]Emissions!G828</f>
        <v>15.98484837</v>
      </c>
      <c r="I78" s="5">
        <f>[1]Emissions!H828</f>
        <v>16.206409789999999</v>
      </c>
      <c r="J78" s="5">
        <f>[1]Emissions!I828</f>
        <v>16.43303105</v>
      </c>
      <c r="K78" s="5">
        <f>[1]Emissions!J828</f>
        <v>16.664725189999999</v>
      </c>
      <c r="L78" s="5">
        <f>[1]Emissions!K828</f>
        <v>16.901064949999999</v>
      </c>
      <c r="M78" s="5">
        <f>[1]Emissions!L828</f>
        <v>17.143344920000001</v>
      </c>
      <c r="N78" s="5">
        <f>[1]Emissions!M828</f>
        <v>17.39843346</v>
      </c>
      <c r="O78" s="5">
        <f>[1]Emissions!N828</f>
        <v>17.66035771</v>
      </c>
      <c r="P78" s="5">
        <f>[1]Emissions!O828</f>
        <v>17.92724059</v>
      </c>
      <c r="Q78" s="5">
        <f>[1]Emissions!P828</f>
        <v>18.198369329999998</v>
      </c>
      <c r="R78" s="5">
        <f>[1]Emissions!Q828</f>
        <v>18.473460899999999</v>
      </c>
      <c r="S78" s="5">
        <f>[1]Emissions!R828</f>
        <v>18.751727259999999</v>
      </c>
      <c r="T78" s="5">
        <f>[1]Emissions!S828</f>
        <v>19.033625189999999</v>
      </c>
      <c r="U78" s="5">
        <f>[1]Emissions!T828</f>
        <v>19.319363150000001</v>
      </c>
      <c r="V78" s="5">
        <f>[1]Emissions!U828</f>
        <v>19.609125649999999</v>
      </c>
      <c r="W78" s="5">
        <f>[1]Emissions!V828</f>
        <v>19.891329949999999</v>
      </c>
      <c r="X78" s="5">
        <f>[1]Emissions!W828</f>
        <v>20.184869079999999</v>
      </c>
      <c r="Y78" s="5">
        <f>[1]Emissions!X828</f>
        <v>20.484734790000001</v>
      </c>
      <c r="Z78" s="5">
        <f>[1]Emissions!Y828</f>
        <v>20.79017919</v>
      </c>
      <c r="AA78" s="5">
        <f>[1]Emissions!Z828</f>
        <v>21.101130569999999</v>
      </c>
      <c r="AB78" s="5">
        <f>[1]Emissions!AA828</f>
        <v>21.38372541</v>
      </c>
      <c r="AC78" s="5">
        <f>[1]Emissions!AB828</f>
        <v>21.676078929999999</v>
      </c>
      <c r="AD78" s="5">
        <f>[1]Emissions!AC828</f>
        <v>21.972313410000002</v>
      </c>
      <c r="AE78" s="5">
        <f>[1]Emissions!AD828</f>
        <v>22.27200208</v>
      </c>
      <c r="AF78" s="5">
        <f>[1]Emissions!AE828</f>
        <v>22.575454189999999</v>
      </c>
      <c r="AG78" s="5">
        <f>[1]Emissions!AF828</f>
        <v>22.883004499999998</v>
      </c>
      <c r="AH78" s="5">
        <f>[1]Emissions!AG828</f>
        <v>23.19511142</v>
      </c>
      <c r="AI78" s="5">
        <f>[1]Emissions!AH828</f>
        <v>23.511794099999999</v>
      </c>
      <c r="AJ78" s="5">
        <f>[1]Emissions!AI828</f>
        <v>23.833068749999999</v>
      </c>
      <c r="AK78" s="5">
        <f>[1]Emissions!AJ828</f>
        <v>24.158895439999998</v>
      </c>
      <c r="AL78" s="5">
        <f>[1]Emissions!AK828</f>
        <v>24.48918922</v>
      </c>
      <c r="AM78" s="5">
        <f>[1]Emissions!AL828</f>
        <v>24.817711410000001</v>
      </c>
      <c r="AN78" s="5">
        <f>[1]Emissions!AM828</f>
        <v>25.147855</v>
      </c>
      <c r="AO78" s="5">
        <f>[1]Emissions!AN828</f>
        <v>25.480336019999999</v>
      </c>
      <c r="AP78" s="5">
        <f>[1]Emissions!AO828</f>
        <v>25.815405330000001</v>
      </c>
      <c r="AQ78" s="5">
        <f>[1]Emissions!AP828</f>
        <v>26.153212119999999</v>
      </c>
      <c r="AR78" s="5">
        <f>[1]Emissions!AQ828</f>
        <v>26.494222480000001</v>
      </c>
      <c r="AS78" s="5">
        <f>[1]Emissions!AR828</f>
        <v>26.83833864</v>
      </c>
      <c r="AT78" s="5">
        <f>[1]Emissions!AS828</f>
        <v>27.185580229999999</v>
      </c>
      <c r="AU78" s="5">
        <f>[1]Emissions!AT828</f>
        <v>27.535967119999999</v>
      </c>
      <c r="AV78" s="5">
        <f>[1]Emissions!AU828</f>
        <v>27.88950629</v>
      </c>
      <c r="AW78" s="5">
        <f>[1]Emissions!AV828</f>
        <v>28.248187900000001</v>
      </c>
      <c r="AX78" s="5">
        <f>[1]Emissions!AW828</f>
        <v>28.610893269999998</v>
      </c>
      <c r="AY78" s="5">
        <f>[1]Emissions!AX828</f>
        <v>28.977327729999999</v>
      </c>
      <c r="AZ78" s="5">
        <f>[1]Emissions!AY828</f>
        <v>29.347350339999998</v>
      </c>
      <c r="BA78" s="5">
        <f>[1]Emissions!AZ828</f>
        <v>29.720879870000001</v>
      </c>
      <c r="BB78" s="5">
        <f>[1]Emissions!BA828</f>
        <v>35.928563740000001</v>
      </c>
      <c r="BC78" s="5">
        <f>[1]Emissions!BB828</f>
        <v>36.565780830000001</v>
      </c>
      <c r="BD78" s="5">
        <f>[1]Emissions!BC828</f>
        <v>37.211903579999998</v>
      </c>
      <c r="BE78" s="5">
        <f>[1]Emissions!BD828</f>
        <v>37.866942590000001</v>
      </c>
      <c r="BF78" s="5">
        <f>[1]Emissions!BE828</f>
        <v>38.530919849999997</v>
      </c>
    </row>
    <row r="79" spans="1:58" x14ac:dyDescent="0.35">
      <c r="B79" t="s">
        <v>13</v>
      </c>
      <c r="C79" s="6">
        <f>[1]Results!F1551</f>
        <v>1969443.8570000001</v>
      </c>
      <c r="D79" s="6">
        <f>[1]Results!G1551</f>
        <v>1994425.953</v>
      </c>
      <c r="E79" s="6">
        <f>[1]Results!H1551</f>
        <v>2022137.4</v>
      </c>
      <c r="F79" s="6">
        <f>[1]Results!I1551</f>
        <v>2051600.6240000001</v>
      </c>
      <c r="G79" s="6">
        <f>[1]Results!J1551</f>
        <v>2082683.2790000001</v>
      </c>
      <c r="H79" s="6">
        <f>[1]Results!K1551</f>
        <v>2115213.7659999998</v>
      </c>
      <c r="I79" s="6">
        <f>[1]Results!L1551</f>
        <v>2147570.3930000002</v>
      </c>
      <c r="J79" s="6">
        <f>[1]Results!M1551</f>
        <v>2180707.344</v>
      </c>
      <c r="K79" s="6">
        <f>[1]Results!N1551</f>
        <v>2214571.2039999999</v>
      </c>
      <c r="L79" s="6">
        <f>[1]Results!O1551</f>
        <v>2249123.054</v>
      </c>
      <c r="M79" s="6">
        <f>[1]Results!P1551</f>
        <v>2286889.034</v>
      </c>
      <c r="N79" s="6">
        <f>[1]Results!Q1551</f>
        <v>2323348.554</v>
      </c>
      <c r="O79" s="6">
        <f>[1]Results!R1551</f>
        <v>2360285.31</v>
      </c>
      <c r="P79" s="6">
        <f>[1]Results!S1551</f>
        <v>2397668.4309999999</v>
      </c>
      <c r="Q79" s="6">
        <f>[1]Results!T1551</f>
        <v>2435493.202</v>
      </c>
      <c r="R79" s="6">
        <f>[1]Results!U1551</f>
        <v>2473767.162</v>
      </c>
      <c r="S79" s="6">
        <f>[1]Results!V1551</f>
        <v>2512506.375</v>
      </c>
      <c r="T79" s="6">
        <f>[1]Results!W1551</f>
        <v>2551732.33</v>
      </c>
      <c r="U79" s="6">
        <f>[1]Results!X1551</f>
        <v>2591469.1290000002</v>
      </c>
      <c r="V79" s="6">
        <f>[1]Results!Y1551</f>
        <v>2631741.3620000002</v>
      </c>
      <c r="W79" s="6">
        <f>[1]Results!Z1551</f>
        <v>2670666.4240000001</v>
      </c>
      <c r="X79" s="6">
        <f>[1]Results!AA1551</f>
        <v>2711601.949</v>
      </c>
      <c r="Y79" s="6">
        <f>[1]Results!AB1551</f>
        <v>2753225.2340000002</v>
      </c>
      <c r="Z79" s="6">
        <f>[1]Results!AC1551</f>
        <v>2795561.6460000002</v>
      </c>
      <c r="AA79" s="6">
        <f>[1]Results!AD1551</f>
        <v>2838619.165</v>
      </c>
      <c r="AB79" s="6">
        <f>[1]Results!AE1551</f>
        <v>2876883.2220000001</v>
      </c>
      <c r="AC79" s="6">
        <f>[1]Results!AF1551</f>
        <v>2917378.7560000001</v>
      </c>
      <c r="AD79" s="6">
        <f>[1]Results!AG1551</f>
        <v>2958149.449</v>
      </c>
      <c r="AE79" s="6">
        <f>[1]Results!AH1551</f>
        <v>2999322.642</v>
      </c>
      <c r="AF79" s="6">
        <f>[1]Results!AI1551</f>
        <v>3040991.0210000002</v>
      </c>
      <c r="AG79" s="6">
        <f>[1]Results!AJ1551</f>
        <v>3083223.8769999999</v>
      </c>
      <c r="AH79" s="6">
        <f>[1]Results!AK1551</f>
        <v>3126069.2740000002</v>
      </c>
      <c r="AI79" s="6">
        <f>[1]Results!AL1551</f>
        <v>3169557.128</v>
      </c>
      <c r="AJ79" s="6">
        <f>[1]Results!AM1551</f>
        <v>3213703.3280000002</v>
      </c>
      <c r="AK79" s="6">
        <f>[1]Results!AN1551</f>
        <v>3258513.9890000001</v>
      </c>
      <c r="AL79" s="6">
        <f>[1]Results!AO1551</f>
        <v>3303989.219</v>
      </c>
      <c r="AM79" s="6">
        <f>[1]Results!AP1551</f>
        <v>3348785.3539999998</v>
      </c>
      <c r="AN79" s="6">
        <f>[1]Results!AQ1551</f>
        <v>3393886.6159999999</v>
      </c>
      <c r="AO79" s="6">
        <f>[1]Results!AR1551</f>
        <v>3439346.0929999999</v>
      </c>
      <c r="AP79" s="6">
        <f>[1]Results!AS1551</f>
        <v>3485223.4619999998</v>
      </c>
      <c r="AQ79" s="6">
        <f>[1]Results!AT1551</f>
        <v>3531574.017</v>
      </c>
      <c r="AR79" s="6">
        <f>[1]Results!AU1551</f>
        <v>3578445.4410000001</v>
      </c>
      <c r="AS79" s="6">
        <f>[1]Results!AV1551</f>
        <v>3625876.5780000002</v>
      </c>
      <c r="AT79" s="6">
        <f>[1]Results!AW1551</f>
        <v>3673897.4980000001</v>
      </c>
      <c r="AU79" s="6">
        <f>[1]Results!AX1551</f>
        <v>3722530.5559999999</v>
      </c>
      <c r="AV79" s="6">
        <f>[1]Results!AY1551</f>
        <v>3771792.0430000001</v>
      </c>
      <c r="AW79" s="6">
        <f>[1]Results!AZ1551</f>
        <v>3821815.9789999998</v>
      </c>
      <c r="AX79" s="6">
        <f>[1]Results!BA1551</f>
        <v>3872521.5950000002</v>
      </c>
      <c r="AY79" s="6">
        <f>[1]Results!BB1551</f>
        <v>3923912.3969999999</v>
      </c>
      <c r="AZ79" s="6">
        <f>[1]Results!BC1551</f>
        <v>3975989.0070000002</v>
      </c>
      <c r="BA79" s="6">
        <f>[1]Results!BD1551</f>
        <v>4028752.8330000001</v>
      </c>
      <c r="BB79" s="6">
        <f>[1]Results!BE1551</f>
        <v>4443934.8679999998</v>
      </c>
      <c r="BC79" s="6">
        <f>[1]Results!BF1551</f>
        <v>4518812.6409999998</v>
      </c>
      <c r="BD79" s="6">
        <f>[1]Results!BG1551</f>
        <v>4594869.43</v>
      </c>
      <c r="BE79" s="6">
        <f>[1]Results!BH1551</f>
        <v>4672125.4069999997</v>
      </c>
      <c r="BF79" s="6">
        <f>[1]Results!BI1551</f>
        <v>4750601.8959999997</v>
      </c>
    </row>
    <row r="80" spans="1:58" x14ac:dyDescent="0.3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</row>
    <row r="81" spans="1:58" x14ac:dyDescent="0.35">
      <c r="A81" s="12" t="s">
        <v>78</v>
      </c>
      <c r="B81" t="s">
        <v>13</v>
      </c>
      <c r="C81" s="6">
        <f>[1]Results!F1551</f>
        <v>1969443.8570000001</v>
      </c>
      <c r="D81" s="6">
        <f>[1]Results!G1551</f>
        <v>1994425.953</v>
      </c>
      <c r="E81" s="6">
        <f>[1]Results!H1551</f>
        <v>2022137.4</v>
      </c>
      <c r="F81" s="6">
        <f>[1]Results!I1551</f>
        <v>2051600.6240000001</v>
      </c>
      <c r="G81" s="6">
        <f>[1]Results!J1551</f>
        <v>2082683.2790000001</v>
      </c>
      <c r="H81" s="6">
        <f>[1]Results!K1551</f>
        <v>2115213.7659999998</v>
      </c>
      <c r="I81" s="6">
        <f>[1]Results!L1551</f>
        <v>2147570.3930000002</v>
      </c>
      <c r="J81" s="6">
        <f>[1]Results!M1551</f>
        <v>2180707.344</v>
      </c>
      <c r="K81" s="6">
        <f>[1]Results!N1551</f>
        <v>2214571.2039999999</v>
      </c>
      <c r="L81" s="6">
        <f>[1]Results!O1551</f>
        <v>2249123.054</v>
      </c>
      <c r="M81" s="6">
        <f>[1]Results!P1551</f>
        <v>2286889.034</v>
      </c>
      <c r="N81" s="6">
        <f>[1]Results!Q1551</f>
        <v>2323348.554</v>
      </c>
      <c r="O81" s="6">
        <f>[1]Results!R1551</f>
        <v>2360285.31</v>
      </c>
      <c r="P81" s="6">
        <f>[1]Results!S1551</f>
        <v>2397668.4309999999</v>
      </c>
      <c r="Q81" s="6">
        <f>[1]Results!T1551</f>
        <v>2435493.202</v>
      </c>
      <c r="R81" s="6">
        <f>[1]Results!U1551</f>
        <v>2473767.162</v>
      </c>
      <c r="S81" s="6">
        <f>[1]Results!V1551</f>
        <v>2512506.375</v>
      </c>
      <c r="T81" s="6">
        <f>[1]Results!W1551</f>
        <v>2551732.33</v>
      </c>
      <c r="U81" s="6">
        <f>[1]Results!X1551</f>
        <v>2591469.1290000002</v>
      </c>
      <c r="V81" s="6">
        <f>[1]Results!Y1551</f>
        <v>2631741.3620000002</v>
      </c>
      <c r="W81" s="6">
        <f>[1]Results!Z1551</f>
        <v>2670666.4240000001</v>
      </c>
      <c r="X81" s="6">
        <f>[1]Results!AA1551</f>
        <v>2711601.949</v>
      </c>
      <c r="Y81" s="6">
        <f>[1]Results!AB1551</f>
        <v>2753225.2340000002</v>
      </c>
      <c r="Z81" s="6">
        <f>[1]Results!AC1551</f>
        <v>2795561.6460000002</v>
      </c>
      <c r="AA81" s="6">
        <f>[1]Results!AD1551</f>
        <v>2838619.165</v>
      </c>
      <c r="AB81" s="6">
        <f>[1]Results!AE1551</f>
        <v>2876883.2220000001</v>
      </c>
      <c r="AC81" s="6">
        <f>[1]Results!AF1551</f>
        <v>2917378.7560000001</v>
      </c>
      <c r="AD81" s="6">
        <f>[1]Results!AG1551</f>
        <v>2958149.449</v>
      </c>
      <c r="AE81" s="6">
        <f>[1]Results!AH1551</f>
        <v>2999322.642</v>
      </c>
      <c r="AF81" s="6">
        <f>[1]Results!AI1551</f>
        <v>3040991.0210000002</v>
      </c>
      <c r="AG81" s="6">
        <f>[1]Results!AJ1551</f>
        <v>3083223.8769999999</v>
      </c>
      <c r="AH81" s="6">
        <f>[1]Results!AK1551</f>
        <v>3126069.2740000002</v>
      </c>
      <c r="AI81" s="6">
        <f>[1]Results!AL1551</f>
        <v>3169557.128</v>
      </c>
      <c r="AJ81" s="6">
        <f>[1]Results!AM1551</f>
        <v>3213703.3280000002</v>
      </c>
      <c r="AK81" s="6">
        <f>[1]Results!AN1551</f>
        <v>3258513.9890000001</v>
      </c>
      <c r="AL81" s="6">
        <f>[1]Results!AO1551</f>
        <v>3303989.219</v>
      </c>
      <c r="AM81" s="6">
        <f>[1]Results!AP1551</f>
        <v>3348785.3539999998</v>
      </c>
      <c r="AN81" s="6">
        <f>[1]Results!AQ1551</f>
        <v>3393886.6159999999</v>
      </c>
      <c r="AO81" s="6">
        <f>[1]Results!AR1551</f>
        <v>3439346.0929999999</v>
      </c>
      <c r="AP81" s="6">
        <f>[1]Results!AS1551</f>
        <v>3485223.4619999998</v>
      </c>
      <c r="AQ81" s="6">
        <f>[1]Results!AT1551</f>
        <v>3531574.017</v>
      </c>
      <c r="AR81" s="6">
        <f>[1]Results!AU1551</f>
        <v>3578445.4410000001</v>
      </c>
      <c r="AS81" s="6">
        <f>[1]Results!AV1551</f>
        <v>3625876.5780000002</v>
      </c>
      <c r="AT81" s="6">
        <f>[1]Results!AW1551</f>
        <v>3673897.4980000001</v>
      </c>
      <c r="AU81" s="6">
        <f>[1]Results!AX1551</f>
        <v>3722530.5559999999</v>
      </c>
      <c r="AV81" s="6">
        <f>[1]Results!AY1551</f>
        <v>3771792.0430000001</v>
      </c>
      <c r="AW81" s="6">
        <f>[1]Results!AZ1551</f>
        <v>3821815.9789999998</v>
      </c>
      <c r="AX81" s="6">
        <f>[1]Results!BA1551</f>
        <v>3872521.5950000002</v>
      </c>
      <c r="AY81" s="6">
        <f>[1]Results!BB1551</f>
        <v>3923912.3969999999</v>
      </c>
      <c r="AZ81" s="6">
        <f>[1]Results!BC1551</f>
        <v>3975989.0070000002</v>
      </c>
      <c r="BA81" s="6">
        <f>[1]Results!BD1551</f>
        <v>4028752.8330000001</v>
      </c>
      <c r="BB81" s="6">
        <f>[1]Results!BE1551</f>
        <v>4443934.8679999998</v>
      </c>
      <c r="BC81" s="6">
        <f>[1]Results!BF1551</f>
        <v>4518812.6409999998</v>
      </c>
      <c r="BD81" s="6">
        <f>[1]Results!BG1551</f>
        <v>4594869.43</v>
      </c>
      <c r="BE81" s="6">
        <f>[1]Results!BH1551</f>
        <v>4672125.4069999997</v>
      </c>
      <c r="BF81" s="6">
        <f>[1]Results!BI1551</f>
        <v>4750601.8959999997</v>
      </c>
    </row>
    <row r="82" spans="1:58" x14ac:dyDescent="0.35">
      <c r="A82" t="s">
        <v>38</v>
      </c>
      <c r="B82" t="s">
        <v>7</v>
      </c>
      <c r="C82" s="6">
        <f>[1]Results!F1552</f>
        <v>36136.789320000003</v>
      </c>
      <c r="D82" s="6">
        <f>[1]Results!G1552</f>
        <v>36370.171040000001</v>
      </c>
      <c r="E82" s="6">
        <f>[1]Results!H1552</f>
        <v>36676.619830000003</v>
      </c>
      <c r="F82" s="6">
        <f>[1]Results!I1552</f>
        <v>37037.658799999997</v>
      </c>
      <c r="G82" s="6">
        <f>[1]Results!J1552</f>
        <v>37448.082130000003</v>
      </c>
      <c r="H82" s="6">
        <f>[1]Results!K1552</f>
        <v>37903.642740000003</v>
      </c>
      <c r="I82" s="6">
        <f>[1]Results!L1552</f>
        <v>38374.085830000004</v>
      </c>
      <c r="J82" s="6">
        <f>[1]Results!M1552</f>
        <v>38869.8338</v>
      </c>
      <c r="K82" s="6">
        <f>[1]Results!N1552</f>
        <v>39386.631560000002</v>
      </c>
      <c r="L82" s="6">
        <f>[1]Results!O1552</f>
        <v>39921.072690000001</v>
      </c>
      <c r="M82" s="6">
        <f>[1]Results!P1552</f>
        <v>40512.812420000002</v>
      </c>
      <c r="N82" s="6">
        <f>[1]Results!Q1552</f>
        <v>41088.014239999997</v>
      </c>
      <c r="O82" s="6">
        <f>[1]Results!R1552</f>
        <v>41671.936750000001</v>
      </c>
      <c r="P82" s="6">
        <f>[1]Results!S1552</f>
        <v>42263.200120000001</v>
      </c>
      <c r="Q82" s="6">
        <f>[1]Results!T1552</f>
        <v>42861.130899999996</v>
      </c>
      <c r="R82" s="6">
        <f>[1]Results!U1552</f>
        <v>43465.496169999999</v>
      </c>
      <c r="S82" s="6">
        <f>[1]Results!V1552</f>
        <v>44076.359750000003</v>
      </c>
      <c r="T82" s="6">
        <f>[1]Results!W1552</f>
        <v>44693.977780000001</v>
      </c>
      <c r="U82" s="6">
        <f>[1]Results!X1552</f>
        <v>45318.718659999999</v>
      </c>
      <c r="V82" s="6">
        <f>[1]Results!Y1552</f>
        <v>45951.005770000003</v>
      </c>
      <c r="W82" s="6">
        <f>[1]Results!Z1552</f>
        <v>46560.019480000003</v>
      </c>
      <c r="X82" s="6">
        <f>[1]Results!AA1552</f>
        <v>47199.146549999998</v>
      </c>
      <c r="Y82" s="6">
        <f>[1]Results!AB1552</f>
        <v>47849.032859999999</v>
      </c>
      <c r="Z82" s="6">
        <f>[1]Results!AC1552</f>
        <v>48510.222569999998</v>
      </c>
      <c r="AA82" s="6">
        <f>[1]Results!AD1552</f>
        <v>49182.920579999998</v>
      </c>
      <c r="AB82" s="6">
        <f>[1]Results!AE1552</f>
        <v>49777.0504</v>
      </c>
      <c r="AC82" s="6">
        <f>[1]Results!AF1552</f>
        <v>50402.413419999997</v>
      </c>
      <c r="AD82" s="6">
        <f>[1]Results!AG1552</f>
        <v>51031.139439999999</v>
      </c>
      <c r="AE82" s="6">
        <f>[1]Results!AH1552</f>
        <v>51666.10067</v>
      </c>
      <c r="AF82" s="6">
        <f>[1]Results!AI1552</f>
        <v>52309.482669999998</v>
      </c>
      <c r="AG82" s="6">
        <f>[1]Results!AJ1552</f>
        <v>52962.897720000001</v>
      </c>
      <c r="AH82" s="6">
        <f>[1]Results!AK1552</f>
        <v>53627.459269999999</v>
      </c>
      <c r="AI82" s="6">
        <f>[1]Results!AL1552</f>
        <v>54303.870199999998</v>
      </c>
      <c r="AJ82" s="6">
        <f>[1]Results!AM1552</f>
        <v>54992.521159999997</v>
      </c>
      <c r="AK82" s="6">
        <f>[1]Results!AN1552</f>
        <v>55693.585220000001</v>
      </c>
      <c r="AL82" s="6">
        <f>[1]Results!AO1552</f>
        <v>56407.098890000001</v>
      </c>
      <c r="AM82" s="6">
        <f>[1]Results!AP1552</f>
        <v>57111.258560000002</v>
      </c>
      <c r="AN82" s="6">
        <f>[1]Results!AQ1552</f>
        <v>57820.870510000001</v>
      </c>
      <c r="AO82" s="6">
        <f>[1]Results!AR1552</f>
        <v>58537.104090000001</v>
      </c>
      <c r="AP82" s="6">
        <f>[1]Results!AS1552</f>
        <v>59261.272149999997</v>
      </c>
      <c r="AQ82" s="6">
        <f>[1]Results!AT1552</f>
        <v>59994.601909999998</v>
      </c>
      <c r="AR82" s="6">
        <f>[1]Results!AU1552</f>
        <v>60738.1391</v>
      </c>
      <c r="AS82" s="6">
        <f>[1]Results!AV1552</f>
        <v>61492.713640000002</v>
      </c>
      <c r="AT82" s="6">
        <f>[1]Results!AW1552</f>
        <v>62258.938820000003</v>
      </c>
      <c r="AU82" s="6">
        <f>[1]Results!AX1552</f>
        <v>63037.228419999999</v>
      </c>
      <c r="AV82" s="6">
        <f>[1]Results!AY1552</f>
        <v>63827.804250000001</v>
      </c>
      <c r="AW82" s="6">
        <f>[1]Results!AZ1552</f>
        <v>64632.531940000001</v>
      </c>
      <c r="AX82" s="6">
        <f>[1]Results!BA1552</f>
        <v>65450.165659999999</v>
      </c>
      <c r="AY82" s="6">
        <f>[1]Results!BB1552</f>
        <v>66280.791070000007</v>
      </c>
      <c r="AZ82" s="6">
        <f>[1]Results!BC1552</f>
        <v>67124.418229999996</v>
      </c>
      <c r="BA82" s="6">
        <f>[1]Results!BD1552</f>
        <v>67981.054470000003</v>
      </c>
      <c r="BB82" s="6">
        <f>[1]Results!BE1552</f>
        <v>73673.009269999995</v>
      </c>
      <c r="BC82" s="6">
        <f>[1]Results!BF1552</f>
        <v>74830.096340000004</v>
      </c>
      <c r="BD82" s="6">
        <f>[1]Results!BG1552</f>
        <v>76006.871119999996</v>
      </c>
      <c r="BE82" s="6">
        <f>[1]Results!BH1552</f>
        <v>77203.811189999993</v>
      </c>
      <c r="BF82" s="6">
        <f>[1]Results!BI1552</f>
        <v>78421.397010000001</v>
      </c>
    </row>
    <row r="83" spans="1:58" x14ac:dyDescent="0.35">
      <c r="B83" t="s">
        <v>30</v>
      </c>
      <c r="C83" s="6">
        <f>[1]Results!F1555</f>
        <v>332226.51280000003</v>
      </c>
      <c r="D83" s="6">
        <f>[1]Results!G1555</f>
        <v>336606.99489999999</v>
      </c>
      <c r="E83" s="6">
        <f>[1]Results!H1555</f>
        <v>341544.85859999998</v>
      </c>
      <c r="F83" s="6">
        <f>[1]Results!I1555</f>
        <v>346740.18339999998</v>
      </c>
      <c r="G83" s="6">
        <f>[1]Results!J1555</f>
        <v>352165.58</v>
      </c>
      <c r="H83" s="6">
        <f>[1]Results!K1555</f>
        <v>357796.63419999997</v>
      </c>
      <c r="I83" s="6">
        <f>[1]Results!L1555</f>
        <v>363368.59950000001</v>
      </c>
      <c r="J83" s="6">
        <f>[1]Results!M1555</f>
        <v>369072.96120000002</v>
      </c>
      <c r="K83" s="6">
        <f>[1]Results!N1555</f>
        <v>374895.6557</v>
      </c>
      <c r="L83" s="6">
        <f>[1]Results!O1555</f>
        <v>380835.71769999998</v>
      </c>
      <c r="M83" s="6">
        <f>[1]Results!P1555</f>
        <v>387326.41119999997</v>
      </c>
      <c r="N83" s="6">
        <f>[1]Results!Q1555</f>
        <v>393574.64669999998</v>
      </c>
      <c r="O83" s="6">
        <f>[1]Results!R1555</f>
        <v>399948.45549999998</v>
      </c>
      <c r="P83" s="6">
        <f>[1]Results!S1555</f>
        <v>406425.71789999999</v>
      </c>
      <c r="Q83" s="6">
        <f>[1]Results!T1555</f>
        <v>413005.64539999998</v>
      </c>
      <c r="R83" s="6">
        <f>[1]Results!U1555</f>
        <v>419691.25290000002</v>
      </c>
      <c r="S83" s="6">
        <f>[1]Results!V1555</f>
        <v>426486.68239999999</v>
      </c>
      <c r="T83" s="6">
        <f>[1]Results!W1555</f>
        <v>433396.538</v>
      </c>
      <c r="U83" s="6">
        <f>[1]Results!X1555</f>
        <v>440425.4804</v>
      </c>
      <c r="V83" s="6">
        <f>[1]Results!Y1555</f>
        <v>447577.91080000001</v>
      </c>
      <c r="W83" s="6">
        <f>[1]Results!Z1555</f>
        <v>454535.58990000002</v>
      </c>
      <c r="X83" s="6">
        <f>[1]Results!AA1555</f>
        <v>461889.86109999998</v>
      </c>
      <c r="Y83" s="6">
        <f>[1]Results!AB1555</f>
        <v>469371.17389999999</v>
      </c>
      <c r="Z83" s="6">
        <f>[1]Results!AC1555</f>
        <v>476998.03169999999</v>
      </c>
      <c r="AA83" s="6">
        <f>[1]Results!AD1555</f>
        <v>484772.78639999998</v>
      </c>
      <c r="AB83" s="6">
        <f>[1]Results!AE1555</f>
        <v>491762.09639999998</v>
      </c>
      <c r="AC83" s="6">
        <f>[1]Results!AF1555</f>
        <v>499220.90980000002</v>
      </c>
      <c r="AD83" s="6">
        <f>[1]Results!AG1555</f>
        <v>506720.10590000002</v>
      </c>
      <c r="AE83" s="6">
        <f>[1]Results!AH1555</f>
        <v>514295.06510000001</v>
      </c>
      <c r="AF83" s="6">
        <f>[1]Results!AI1555</f>
        <v>521958.47859999997</v>
      </c>
      <c r="AG83" s="6">
        <f>[1]Results!AJ1555</f>
        <v>529717.30240000004</v>
      </c>
      <c r="AH83" s="6">
        <f>[1]Results!AK1555</f>
        <v>537575.30599999998</v>
      </c>
      <c r="AI83" s="6">
        <f>[1]Results!AL1555</f>
        <v>545533.7611</v>
      </c>
      <c r="AJ83" s="6">
        <f>[1]Results!AM1555</f>
        <v>553592.01529999997</v>
      </c>
      <c r="AK83" s="6">
        <f>[1]Results!AN1555</f>
        <v>561748.09380000003</v>
      </c>
      <c r="AL83" s="6">
        <f>[1]Results!AO1555</f>
        <v>569999.26410000003</v>
      </c>
      <c r="AM83" s="6">
        <f>[1]Results!AP1555</f>
        <v>578115.05310000002</v>
      </c>
      <c r="AN83" s="6">
        <f>[1]Results!AQ1555</f>
        <v>586276.22790000006</v>
      </c>
      <c r="AO83" s="6">
        <f>[1]Results!AR1555</f>
        <v>594475.22320000001</v>
      </c>
      <c r="AP83" s="6">
        <f>[1]Results!AS1555</f>
        <v>602716.46869999997</v>
      </c>
      <c r="AQ83" s="6">
        <f>[1]Results!AT1555</f>
        <v>611005.60120000003</v>
      </c>
      <c r="AR83" s="6">
        <f>[1]Results!AU1555</f>
        <v>619347.76569999999</v>
      </c>
      <c r="AS83" s="6">
        <f>[1]Results!AV1555</f>
        <v>627747.29590000003</v>
      </c>
      <c r="AT83" s="6">
        <f>[1]Results!AW1555</f>
        <v>636207.68759999995</v>
      </c>
      <c r="AU83" s="6">
        <f>[1]Results!AX1555</f>
        <v>644731.71030000004</v>
      </c>
      <c r="AV83" s="6">
        <f>[1]Results!AY1555</f>
        <v>653321.61120000004</v>
      </c>
      <c r="AW83" s="6">
        <f>[1]Results!AZ1555</f>
        <v>662000.13600000006</v>
      </c>
      <c r="AX83" s="6">
        <f>[1]Results!BA1555</f>
        <v>670752.51549999998</v>
      </c>
      <c r="AY83" s="6">
        <f>[1]Results!BB1555</f>
        <v>679581.17960000003</v>
      </c>
      <c r="AZ83" s="6">
        <f>[1]Results!BC1555</f>
        <v>688487.19259999995</v>
      </c>
      <c r="BA83" s="6">
        <f>[1]Results!BD1555</f>
        <v>697471.93530000001</v>
      </c>
      <c r="BB83" s="6">
        <f>[1]Results!BE1555</f>
        <v>781663.80500000005</v>
      </c>
      <c r="BC83" s="6">
        <f>[1]Results!BF1555</f>
        <v>795467.88820000004</v>
      </c>
      <c r="BD83" s="6">
        <f>[1]Results!BG1555</f>
        <v>809456.06830000004</v>
      </c>
      <c r="BE83" s="6">
        <f>[1]Results!BH1555</f>
        <v>823628.62589999998</v>
      </c>
      <c r="BF83" s="6">
        <f>[1]Results!BI1555</f>
        <v>837986.17110000004</v>
      </c>
    </row>
    <row r="84" spans="1:58" x14ac:dyDescent="0.35">
      <c r="B84" t="s">
        <v>9</v>
      </c>
      <c r="C84" s="6">
        <f>[1]Results!F1567</f>
        <v>48571.10615</v>
      </c>
      <c r="D84" s="6">
        <f>[1]Results!G1567</f>
        <v>49156.962379999997</v>
      </c>
      <c r="E84" s="6">
        <f>[1]Results!H1567</f>
        <v>49805.651899999997</v>
      </c>
      <c r="F84" s="6">
        <f>[1]Results!I1567</f>
        <v>50492.574139999997</v>
      </c>
      <c r="G84" s="6">
        <f>[1]Results!J1567</f>
        <v>51216.412409999997</v>
      </c>
      <c r="H84" s="6">
        <f>[1]Results!K1567</f>
        <v>51973.058440000001</v>
      </c>
      <c r="I84" s="6">
        <f>[1]Results!L1567</f>
        <v>52721.454619999997</v>
      </c>
      <c r="J84" s="6">
        <f>[1]Results!M1567</f>
        <v>53488.574180000003</v>
      </c>
      <c r="K84" s="6">
        <f>[1]Results!N1567</f>
        <v>54271.017500000002</v>
      </c>
      <c r="L84" s="6">
        <f>[1]Results!O1567</f>
        <v>55067.195820000001</v>
      </c>
      <c r="M84" s="6">
        <f>[1]Results!P1567</f>
        <v>55940.548569999999</v>
      </c>
      <c r="N84" s="6">
        <f>[1]Results!Q1567</f>
        <v>56771.173439999999</v>
      </c>
      <c r="O84" s="6">
        <f>[1]Results!R1567</f>
        <v>57612.814100000003</v>
      </c>
      <c r="P84" s="6">
        <f>[1]Results!S1567</f>
        <v>58462.266770000002</v>
      </c>
      <c r="Q84" s="6">
        <f>[1]Results!T1567</f>
        <v>59319.136700000003</v>
      </c>
      <c r="R84" s="6">
        <f>[1]Results!U1567</f>
        <v>60183.712789999998</v>
      </c>
      <c r="S84" s="6">
        <f>[1]Results!V1567</f>
        <v>61056.593869999997</v>
      </c>
      <c r="T84" s="6">
        <f>[1]Results!W1567</f>
        <v>61938.551480000002</v>
      </c>
      <c r="U84" s="6">
        <f>[1]Results!X1567</f>
        <v>62830.439599999998</v>
      </c>
      <c r="V84" s="6">
        <f>[1]Results!Y1567</f>
        <v>63733.131329999997</v>
      </c>
      <c r="W84" s="6">
        <f>[1]Results!Z1567</f>
        <v>64599.400459999997</v>
      </c>
      <c r="X84" s="6">
        <f>[1]Results!AA1567</f>
        <v>65518.390370000001</v>
      </c>
      <c r="Y84" s="6">
        <f>[1]Results!AB1567</f>
        <v>66450.514519999997</v>
      </c>
      <c r="Z84" s="6">
        <f>[1]Results!AC1567</f>
        <v>67398.457559999995</v>
      </c>
      <c r="AA84" s="6">
        <f>[1]Results!AD1567</f>
        <v>68362.920549999995</v>
      </c>
      <c r="AB84" s="6">
        <f>[1]Results!AE1567</f>
        <v>69205.133960000006</v>
      </c>
      <c r="AC84" s="6">
        <f>[1]Results!AF1567</f>
        <v>70114.507700000002</v>
      </c>
      <c r="AD84" s="6">
        <f>[1]Results!AG1567</f>
        <v>71029.039059999996</v>
      </c>
      <c r="AE84" s="6">
        <f>[1]Results!AH1567</f>
        <v>71954.308080000003</v>
      </c>
      <c r="AF84" s="6">
        <f>[1]Results!AI1567</f>
        <v>72893.040219999995</v>
      </c>
      <c r="AG84" s="6">
        <f>[1]Results!AJ1567</f>
        <v>73847.06482</v>
      </c>
      <c r="AH84" s="6">
        <f>[1]Results!AK1567</f>
        <v>74817.61378</v>
      </c>
      <c r="AI84" s="6">
        <f>[1]Results!AL1567</f>
        <v>75805.441319999998</v>
      </c>
      <c r="AJ84" s="6">
        <f>[1]Results!AM1567</f>
        <v>76810.936879999994</v>
      </c>
      <c r="AK84" s="6">
        <f>[1]Results!AN1567</f>
        <v>77834.234450000004</v>
      </c>
      <c r="AL84" s="6">
        <f>[1]Results!AO1567</f>
        <v>78875.307520000002</v>
      </c>
      <c r="AM84" s="6">
        <f>[1]Results!AP1567</f>
        <v>79900.191120000003</v>
      </c>
      <c r="AN84" s="6">
        <f>[1]Results!AQ1567</f>
        <v>80936.603130000003</v>
      </c>
      <c r="AO84" s="6">
        <f>[1]Results!AR1567</f>
        <v>81984.286789999998</v>
      </c>
      <c r="AP84" s="6">
        <f>[1]Results!AS1567</f>
        <v>83044.39688</v>
      </c>
      <c r="AQ84" s="6">
        <f>[1]Results!AT1567</f>
        <v>84118.169540000003</v>
      </c>
      <c r="AR84" s="6">
        <f>[1]Results!AU1567</f>
        <v>85206.681559999997</v>
      </c>
      <c r="AS84" s="6">
        <f>[1]Results!AV1567</f>
        <v>86310.792830000006</v>
      </c>
      <c r="AT84" s="6">
        <f>[1]Results!AW1567</f>
        <v>87431.144029999996</v>
      </c>
      <c r="AU84" s="6">
        <f>[1]Results!AX1567</f>
        <v>88568.183189999996</v>
      </c>
      <c r="AV84" s="6">
        <f>[1]Results!AY1567</f>
        <v>89722.207680000007</v>
      </c>
      <c r="AW84" s="6">
        <f>[1]Results!AZ1567</f>
        <v>90896.503979999994</v>
      </c>
      <c r="AX84" s="6">
        <f>[1]Results!BA1567</f>
        <v>92088.679359999995</v>
      </c>
      <c r="AY84" s="6">
        <f>[1]Results!BB1567</f>
        <v>93298.853449999995</v>
      </c>
      <c r="AZ84" s="6">
        <f>[1]Results!BC1567</f>
        <v>94526.9519</v>
      </c>
      <c r="BA84" s="6">
        <f>[1]Results!BD1567</f>
        <v>95772.900760000004</v>
      </c>
      <c r="BB84" s="6">
        <f>[1]Results!BE1567</f>
        <v>104551.2357</v>
      </c>
      <c r="BC84" s="6">
        <f>[1]Results!BF1567</f>
        <v>106267.7761</v>
      </c>
      <c r="BD84" s="6">
        <f>[1]Results!BG1567</f>
        <v>108015.0258</v>
      </c>
      <c r="BE84" s="6">
        <f>[1]Results!BH1567</f>
        <v>109793.6344</v>
      </c>
      <c r="BF84" s="6">
        <f>[1]Results!BI1567</f>
        <v>111604.26330000001</v>
      </c>
    </row>
    <row r="85" spans="1:58" x14ac:dyDescent="0.35">
      <c r="B85" t="s">
        <v>10</v>
      </c>
      <c r="C85" s="6">
        <f>[1]Results!F1572</f>
        <v>1513908.568</v>
      </c>
      <c r="D85" s="6">
        <f>[1]Results!G1572</f>
        <v>1533424.8459999999</v>
      </c>
      <c r="E85" s="6">
        <f>[1]Results!H1572</f>
        <v>1554985.311</v>
      </c>
      <c r="F85" s="6">
        <f>[1]Results!I1572</f>
        <v>1577934.7080000001</v>
      </c>
      <c r="G85" s="6">
        <f>[1]Results!J1572</f>
        <v>1602168.7050000001</v>
      </c>
      <c r="H85" s="6">
        <f>[1]Results!K1572</f>
        <v>1627543.085</v>
      </c>
      <c r="I85" s="6">
        <f>[1]Results!L1572</f>
        <v>1652794.8019999999</v>
      </c>
      <c r="J85" s="6">
        <f>[1]Results!M1572</f>
        <v>1678634.3419999999</v>
      </c>
      <c r="K85" s="6">
        <f>[1]Results!N1572</f>
        <v>1705033.0249999999</v>
      </c>
      <c r="L85" s="6">
        <f>[1]Results!O1572</f>
        <v>1731961.3259999999</v>
      </c>
      <c r="M85" s="6">
        <f>[1]Results!P1572</f>
        <v>1761370.497</v>
      </c>
      <c r="N85" s="6">
        <f>[1]Results!Q1572</f>
        <v>1789801.183</v>
      </c>
      <c r="O85" s="6">
        <f>[1]Results!R1572</f>
        <v>1818562.7949999999</v>
      </c>
      <c r="P85" s="6">
        <f>[1]Results!S1572</f>
        <v>1847650.8489999999</v>
      </c>
      <c r="Q85" s="6">
        <f>[1]Results!T1572</f>
        <v>1877062.3430000001</v>
      </c>
      <c r="R85" s="6">
        <f>[1]Results!U1572</f>
        <v>1906801.4439999999</v>
      </c>
      <c r="S85" s="6">
        <f>[1]Results!V1572</f>
        <v>1936878.977</v>
      </c>
      <c r="T85" s="6">
        <f>[1]Results!W1572</f>
        <v>1967310.2450000001</v>
      </c>
      <c r="U85" s="6">
        <f>[1]Results!X1572</f>
        <v>1998112.82</v>
      </c>
      <c r="V85" s="6">
        <f>[1]Results!Y1572</f>
        <v>2029304.8870000001</v>
      </c>
      <c r="W85" s="6">
        <f>[1]Results!Z1572</f>
        <v>2059429.1640000001</v>
      </c>
      <c r="X85" s="6">
        <f>[1]Results!AA1572</f>
        <v>2091056.0009999999</v>
      </c>
      <c r="Y85" s="6">
        <f>[1]Results!AB1572</f>
        <v>2123211.2420000001</v>
      </c>
      <c r="Z85" s="6">
        <f>[1]Results!AC1572</f>
        <v>2155898.4589999998</v>
      </c>
      <c r="AA85" s="6">
        <f>[1]Results!AD1572</f>
        <v>2189122.0630000001</v>
      </c>
      <c r="AB85" s="6">
        <f>[1]Results!AE1572</f>
        <v>2218614.2740000002</v>
      </c>
      <c r="AC85" s="6">
        <f>[1]Results!AF1572</f>
        <v>2249735.5299999998</v>
      </c>
      <c r="AD85" s="6">
        <f>[1]Results!AG1572</f>
        <v>2281077.2149999999</v>
      </c>
      <c r="AE85" s="6">
        <f>[1]Results!AH1572</f>
        <v>2312721.5490000001</v>
      </c>
      <c r="AF85" s="6">
        <f>[1]Results!AI1572</f>
        <v>2344742.344</v>
      </c>
      <c r="AG85" s="6">
        <f>[1]Results!AJ1572</f>
        <v>2377197.5240000002</v>
      </c>
      <c r="AH85" s="6">
        <f>[1]Results!AK1572</f>
        <v>2410128.335</v>
      </c>
      <c r="AI85" s="6">
        <f>[1]Results!AL1572</f>
        <v>2443561.5129999998</v>
      </c>
      <c r="AJ85" s="6">
        <f>[1]Results!AM1572</f>
        <v>2477512.5759999999</v>
      </c>
      <c r="AK85" s="6">
        <f>[1]Results!AN1572</f>
        <v>2511989.2379999999</v>
      </c>
      <c r="AL85" s="6">
        <f>[1]Results!AO1572</f>
        <v>2546994.3840000001</v>
      </c>
      <c r="AM85" s="6">
        <f>[1]Results!AP1572</f>
        <v>2581490.7859999998</v>
      </c>
      <c r="AN85" s="6">
        <f>[1]Results!AQ1572</f>
        <v>2616224.247</v>
      </c>
      <c r="AO85" s="6">
        <f>[1]Results!AR1572</f>
        <v>2651253.4509999999</v>
      </c>
      <c r="AP85" s="6">
        <f>[1]Results!AS1572</f>
        <v>2686630.4210000001</v>
      </c>
      <c r="AQ85" s="6">
        <f>[1]Results!AT1572</f>
        <v>2722401.736</v>
      </c>
      <c r="AR85" s="6">
        <f>[1]Results!AU1572</f>
        <v>2758607.3330000001</v>
      </c>
      <c r="AS85" s="6">
        <f>[1]Results!AV1572</f>
        <v>2795279.662</v>
      </c>
      <c r="AT85" s="6">
        <f>[1]Results!AW1572</f>
        <v>2832443.7710000002</v>
      </c>
      <c r="AU85" s="6">
        <f>[1]Results!AX1572</f>
        <v>2870118.199</v>
      </c>
      <c r="AV85" s="6">
        <f>[1]Results!AY1572</f>
        <v>2908316.429</v>
      </c>
      <c r="AW85" s="6">
        <f>[1]Results!AZ1572</f>
        <v>2947143.1979999999</v>
      </c>
      <c r="AX85" s="6">
        <f>[1]Results!BA1572</f>
        <v>2986539.7450000001</v>
      </c>
      <c r="AY85" s="6">
        <f>[1]Results!BB1572</f>
        <v>3026507.8509999998</v>
      </c>
      <c r="AZ85" s="6">
        <f>[1]Results!BC1572</f>
        <v>3067045.4619999998</v>
      </c>
      <c r="BA85" s="6">
        <f>[1]Results!BD1572</f>
        <v>3108151.25</v>
      </c>
      <c r="BB85" s="6">
        <f>[1]Results!BE1572</f>
        <v>3421146.1329999999</v>
      </c>
      <c r="BC85" s="6">
        <f>[1]Results!BF1572</f>
        <v>3478549.7910000002</v>
      </c>
      <c r="BD85" s="6">
        <f>[1]Results!BG1572</f>
        <v>3536883.7719999999</v>
      </c>
      <c r="BE85" s="6">
        <f>[1]Results!BH1572</f>
        <v>3596166.577</v>
      </c>
      <c r="BF85" s="6">
        <f>[1]Results!BI1572</f>
        <v>3656417.5589999999</v>
      </c>
    </row>
    <row r="86" spans="1:58" x14ac:dyDescent="0.35">
      <c r="B86" t="s">
        <v>29</v>
      </c>
      <c r="C86" s="6">
        <f>C91-C87</f>
        <v>-1911.7610999000001</v>
      </c>
      <c r="D86" s="6">
        <f t="shared" ref="D86:AL86" si="50">D91-D87</f>
        <v>-1937.8083095000002</v>
      </c>
      <c r="E86" s="6">
        <f t="shared" si="50"/>
        <v>-1945.1410826999997</v>
      </c>
      <c r="F86" s="6">
        <f t="shared" si="50"/>
        <v>-1949.3072788999998</v>
      </c>
      <c r="G86" s="6">
        <f t="shared" si="50"/>
        <v>-1956.0428761000003</v>
      </c>
      <c r="H86" s="6">
        <f t="shared" si="50"/>
        <v>-1966.5749414000002</v>
      </c>
      <c r="I86" s="6">
        <f t="shared" si="50"/>
        <v>-1981.7048728</v>
      </c>
      <c r="J86" s="6">
        <f t="shared" si="50"/>
        <v>-1997.8767914</v>
      </c>
      <c r="K86" s="6">
        <f t="shared" si="50"/>
        <v>-2015.5925558000001</v>
      </c>
      <c r="L86" s="6">
        <f t="shared" si="50"/>
        <v>-2034.5046951000002</v>
      </c>
      <c r="M86" s="6">
        <f t="shared" si="50"/>
        <v>-2052.4776623999996</v>
      </c>
      <c r="N86" s="6">
        <f t="shared" si="50"/>
        <v>-2075.8932869</v>
      </c>
      <c r="O86" s="6">
        <f t="shared" si="50"/>
        <v>-2097.3377069000003</v>
      </c>
      <c r="P86" s="6">
        <f t="shared" si="50"/>
        <v>-2118.4962138000001</v>
      </c>
      <c r="Q86" s="6">
        <f t="shared" si="50"/>
        <v>-2139.7212133999997</v>
      </c>
      <c r="R86" s="6">
        <f t="shared" si="50"/>
        <v>-2161.0689767999997</v>
      </c>
      <c r="S86" s="6">
        <f t="shared" si="50"/>
        <v>-2182.5472886999996</v>
      </c>
      <c r="T86" s="6">
        <f t="shared" si="50"/>
        <v>-2204.1634043999998</v>
      </c>
      <c r="U86" s="6">
        <f t="shared" si="50"/>
        <v>-2225.929885</v>
      </c>
      <c r="V86" s="6">
        <f t="shared" si="50"/>
        <v>-2247.8629556999999</v>
      </c>
      <c r="W86" s="6">
        <f t="shared" si="50"/>
        <v>-2271.2612884</v>
      </c>
      <c r="X86" s="6">
        <f t="shared" si="50"/>
        <v>-2291.2304703999998</v>
      </c>
      <c r="Y86" s="6">
        <f t="shared" si="50"/>
        <v>-2313.1511212999999</v>
      </c>
      <c r="Z86" s="6">
        <f t="shared" si="50"/>
        <v>-2335.7112798999997</v>
      </c>
      <c r="AA86" s="6">
        <f t="shared" si="50"/>
        <v>-2358.6263257999999</v>
      </c>
      <c r="AB86" s="6">
        <f t="shared" si="50"/>
        <v>-2385.5330585000002</v>
      </c>
      <c r="AC86" s="6">
        <f t="shared" si="50"/>
        <v>-2404.0295341000001</v>
      </c>
      <c r="AD86" s="6">
        <f t="shared" si="50"/>
        <v>-2424.6471025000001</v>
      </c>
      <c r="AE86" s="6">
        <f t="shared" si="50"/>
        <v>-2445.8830162999998</v>
      </c>
      <c r="AF86" s="6">
        <f t="shared" si="50"/>
        <v>-2467.4228905</v>
      </c>
      <c r="AG86" s="6">
        <f t="shared" si="50"/>
        <v>-2489.2351637000002</v>
      </c>
      <c r="AH86" s="6">
        <f t="shared" si="50"/>
        <v>-2511.3415469000001</v>
      </c>
      <c r="AI86" s="6">
        <f t="shared" si="50"/>
        <v>-2533.7667676999999</v>
      </c>
      <c r="AJ86" s="6">
        <f t="shared" si="50"/>
        <v>-2556.528088</v>
      </c>
      <c r="AK86" s="6">
        <f t="shared" si="50"/>
        <v>-2579.6345768000001</v>
      </c>
      <c r="AL86" s="6">
        <f t="shared" si="50"/>
        <v>-2603.0888289000004</v>
      </c>
      <c r="AM86" s="6">
        <f t="shared" ref="AM86:BC86" si="51">AM91-AM87</f>
        <v>-2627.7749457</v>
      </c>
      <c r="AN86" s="6">
        <f t="shared" si="51"/>
        <v>-2651.1726800000001</v>
      </c>
      <c r="AO86" s="6">
        <f t="shared" si="51"/>
        <v>-2674.4750693000001</v>
      </c>
      <c r="AP86" s="6">
        <f t="shared" si="51"/>
        <v>-2697.9539110999999</v>
      </c>
      <c r="AQ86" s="6">
        <f t="shared" si="51"/>
        <v>-2721.675843</v>
      </c>
      <c r="AR86" s="6">
        <f t="shared" si="51"/>
        <v>-2745.667504</v>
      </c>
      <c r="AS86" s="6">
        <f t="shared" si="51"/>
        <v>-2769.947529</v>
      </c>
      <c r="AT86" s="6">
        <f t="shared" si="51"/>
        <v>-2794.5311207999998</v>
      </c>
      <c r="AU86" s="6">
        <f t="shared" si="51"/>
        <v>-2819.4301722999999</v>
      </c>
      <c r="AV86" s="6">
        <f t="shared" si="51"/>
        <v>-2844.6536314</v>
      </c>
      <c r="AW86" s="6">
        <f t="shared" si="51"/>
        <v>-2870.1309847000002</v>
      </c>
      <c r="AX86" s="6">
        <f t="shared" si="51"/>
        <v>-2896.0948576999999</v>
      </c>
      <c r="AY86" s="6">
        <f t="shared" si="51"/>
        <v>-2922.4614956999999</v>
      </c>
      <c r="AZ86" s="6">
        <f t="shared" si="51"/>
        <v>-2949.1352897000002</v>
      </c>
      <c r="BA86" s="6">
        <f t="shared" si="51"/>
        <v>-2976.1138376999997</v>
      </c>
      <c r="BB86" s="6">
        <f t="shared" si="51"/>
        <v>-3212.6162486999997</v>
      </c>
      <c r="BC86" s="6">
        <f t="shared" si="51"/>
        <v>-3251.7048096999997</v>
      </c>
      <c r="BD86" s="6">
        <f t="shared" ref="BD86:BF86" si="52">BD91-BD87</f>
        <v>-3291.4015046999998</v>
      </c>
      <c r="BE86" s="6">
        <f t="shared" si="52"/>
        <v>-3331.7245877</v>
      </c>
      <c r="BF86" s="6">
        <f t="shared" si="52"/>
        <v>-3372.6920687000002</v>
      </c>
    </row>
    <row r="87" spans="1:58" x14ac:dyDescent="0.35">
      <c r="B87" t="s">
        <v>36</v>
      </c>
      <c r="C87" s="6">
        <f>C89+C90</f>
        <v>-117.46611710000002</v>
      </c>
      <c r="D87" s="6">
        <f t="shared" ref="D87:AL87" si="53">D89+D90</f>
        <v>-123.54243150000002</v>
      </c>
      <c r="E87" s="6">
        <f t="shared" si="53"/>
        <v>-126.42182230000003</v>
      </c>
      <c r="F87" s="6">
        <f t="shared" si="53"/>
        <v>-129.2529131</v>
      </c>
      <c r="G87" s="6">
        <f t="shared" si="53"/>
        <v>-133.22138189999998</v>
      </c>
      <c r="H87" s="6">
        <f t="shared" si="53"/>
        <v>-138.51487559999998</v>
      </c>
      <c r="I87" s="6">
        <f t="shared" si="53"/>
        <v>-144.81515419999994</v>
      </c>
      <c r="J87" s="6">
        <f t="shared" si="53"/>
        <v>-151.72354959999996</v>
      </c>
      <c r="K87" s="6">
        <f t="shared" si="53"/>
        <v>-159.16201019999994</v>
      </c>
      <c r="L87" s="6">
        <f t="shared" si="53"/>
        <v>-166.99156689999995</v>
      </c>
      <c r="M87" s="6">
        <f t="shared" si="53"/>
        <v>-175.32329559999994</v>
      </c>
      <c r="N87" s="6">
        <f t="shared" si="53"/>
        <v>-184.09289709999996</v>
      </c>
      <c r="O87" s="6">
        <f t="shared" si="53"/>
        <v>-192.74878309999997</v>
      </c>
      <c r="P87" s="6">
        <f t="shared" si="53"/>
        <v>-201.47301719999996</v>
      </c>
      <c r="Q87" s="6">
        <f t="shared" si="53"/>
        <v>-210.2829246</v>
      </c>
      <c r="R87" s="6">
        <f t="shared" si="53"/>
        <v>-219.17169219999994</v>
      </c>
      <c r="S87" s="6">
        <f t="shared" si="53"/>
        <v>-228.1329303</v>
      </c>
      <c r="T87" s="6">
        <f t="shared" si="53"/>
        <v>-237.16366559999994</v>
      </c>
      <c r="U87" s="6">
        <f t="shared" si="53"/>
        <v>-246.26372300000003</v>
      </c>
      <c r="V87" s="6">
        <f t="shared" si="53"/>
        <v>-255.4348013</v>
      </c>
      <c r="W87" s="6">
        <f t="shared" si="53"/>
        <v>-264.51644659999999</v>
      </c>
      <c r="X87" s="6">
        <f t="shared" si="53"/>
        <v>-273.50760760000003</v>
      </c>
      <c r="Y87" s="6">
        <f t="shared" si="53"/>
        <v>-282.78706069999998</v>
      </c>
      <c r="Z87" s="6">
        <f t="shared" si="53"/>
        <v>-292.20031610000001</v>
      </c>
      <c r="AA87" s="6">
        <f t="shared" si="53"/>
        <v>-301.72368519999998</v>
      </c>
      <c r="AB87" s="6">
        <f t="shared" si="53"/>
        <v>-310.88442850000001</v>
      </c>
      <c r="AC87" s="6">
        <f t="shared" si="53"/>
        <v>-319.44954489999998</v>
      </c>
      <c r="AD87" s="6">
        <f t="shared" si="53"/>
        <v>-328.27121049999994</v>
      </c>
      <c r="AE87" s="6">
        <f t="shared" si="53"/>
        <v>-337.17015170000002</v>
      </c>
      <c r="AF87" s="6">
        <f t="shared" si="53"/>
        <v>-346.13092549999999</v>
      </c>
      <c r="AG87" s="6">
        <f t="shared" si="53"/>
        <v>-355.16673830000002</v>
      </c>
      <c r="AH87" s="6">
        <f t="shared" si="53"/>
        <v>-364.29295709999997</v>
      </c>
      <c r="AI87" s="6">
        <f t="shared" si="53"/>
        <v>-373.52210030000003</v>
      </c>
      <c r="AJ87" s="6">
        <f t="shared" si="53"/>
        <v>-382.86329999999998</v>
      </c>
      <c r="AK87" s="6">
        <f t="shared" si="53"/>
        <v>-392.32277820000002</v>
      </c>
      <c r="AL87" s="6">
        <f t="shared" si="53"/>
        <v>-401.90453309999998</v>
      </c>
      <c r="AM87" s="6">
        <f t="shared" ref="AM87:BC87" si="54">AM89+AM90</f>
        <v>-411.49695929999996</v>
      </c>
      <c r="AN87" s="6">
        <f t="shared" si="54"/>
        <v>-420.98402399999998</v>
      </c>
      <c r="AO87" s="6">
        <f t="shared" si="54"/>
        <v>-430.50996369999996</v>
      </c>
      <c r="AP87" s="6">
        <f t="shared" si="54"/>
        <v>-440.10821290000001</v>
      </c>
      <c r="AQ87" s="6">
        <f t="shared" si="54"/>
        <v>-449.79252799999995</v>
      </c>
      <c r="AR87" s="6">
        <f t="shared" si="54"/>
        <v>-459.57308399999999</v>
      </c>
      <c r="AS87" s="6">
        <f t="shared" si="54"/>
        <v>-469.45869199999993</v>
      </c>
      <c r="AT87" s="6">
        <f t="shared" si="54"/>
        <v>-479.45678520000001</v>
      </c>
      <c r="AU87" s="6">
        <f t="shared" si="54"/>
        <v>-489.57329170000003</v>
      </c>
      <c r="AV87" s="6">
        <f t="shared" si="54"/>
        <v>-499.81268160000002</v>
      </c>
      <c r="AW87" s="6">
        <f t="shared" si="54"/>
        <v>-510.18842529999995</v>
      </c>
      <c r="AX87" s="6">
        <f t="shared" si="54"/>
        <v>-520.71324329999993</v>
      </c>
      <c r="AY87" s="6">
        <f t="shared" si="54"/>
        <v>-531.3756423000001</v>
      </c>
      <c r="AZ87" s="6">
        <f t="shared" si="54"/>
        <v>-542.17391029999987</v>
      </c>
      <c r="BA87" s="6">
        <f t="shared" si="54"/>
        <v>-553.10809830000005</v>
      </c>
      <c r="BB87" s="6">
        <f t="shared" si="54"/>
        <v>-648.6256333</v>
      </c>
      <c r="BC87" s="6">
        <f t="shared" si="54"/>
        <v>-664.39585629999999</v>
      </c>
      <c r="BD87" s="6">
        <f t="shared" ref="BD87:BF87" si="55">BD89+BD90</f>
        <v>-680.40729529999987</v>
      </c>
      <c r="BE87" s="6">
        <f t="shared" si="55"/>
        <v>-696.66694530000007</v>
      </c>
      <c r="BF87" s="6">
        <f t="shared" si="55"/>
        <v>-713.18230830000005</v>
      </c>
    </row>
    <row r="88" spans="1:58" x14ac:dyDescent="0.35">
      <c r="B88" t="s">
        <v>33</v>
      </c>
      <c r="C88" s="6">
        <f>[1]Results!F1580</f>
        <v>40630.107230000001</v>
      </c>
      <c r="D88" s="6">
        <f>[1]Results!G1580</f>
        <v>40928.329579999998</v>
      </c>
      <c r="E88" s="6">
        <f>[1]Results!H1580</f>
        <v>41196.521780000003</v>
      </c>
      <c r="F88" s="6">
        <f>[1]Results!I1580</f>
        <v>41474.059379999999</v>
      </c>
      <c r="G88" s="6">
        <f>[1]Results!J1580</f>
        <v>41773.76354</v>
      </c>
      <c r="H88" s="6">
        <f>[1]Results!K1580</f>
        <v>42102.435969999999</v>
      </c>
      <c r="I88" s="6">
        <f>[1]Results!L1580</f>
        <v>42437.970840000002</v>
      </c>
      <c r="J88" s="6">
        <f>[1]Results!M1580</f>
        <v>42791.233240000001</v>
      </c>
      <c r="K88" s="6">
        <f>[1]Results!N1580</f>
        <v>43159.62932</v>
      </c>
      <c r="L88" s="6">
        <f>[1]Results!O1580</f>
        <v>43539.238140000001</v>
      </c>
      <c r="M88" s="6">
        <f>[1]Results!P1580</f>
        <v>43966.565130000003</v>
      </c>
      <c r="N88" s="6">
        <f>[1]Results!Q1580</f>
        <v>44373.523159999997</v>
      </c>
      <c r="O88" s="6">
        <f>[1]Results!R1580</f>
        <v>44779.395369999998</v>
      </c>
      <c r="P88" s="6">
        <f>[1]Results!S1580</f>
        <v>45186.365510000003</v>
      </c>
      <c r="Q88" s="6">
        <f>[1]Results!T1580</f>
        <v>45594.950649999999</v>
      </c>
      <c r="R88" s="6">
        <f>[1]Results!U1580</f>
        <v>46005.497360000001</v>
      </c>
      <c r="S88" s="6">
        <f>[1]Results!V1580</f>
        <v>46418.442260000003</v>
      </c>
      <c r="T88" s="6">
        <f>[1]Results!W1580</f>
        <v>46834.344299999997</v>
      </c>
      <c r="U88" s="6">
        <f>[1]Results!X1580</f>
        <v>47253.863389999999</v>
      </c>
      <c r="V88" s="6">
        <f>[1]Results!Y1580</f>
        <v>47677.725359999997</v>
      </c>
      <c r="W88" s="6">
        <f>[1]Results!Z1580</f>
        <v>48078.027730000002</v>
      </c>
      <c r="X88" s="6">
        <f>[1]Results!AA1580</f>
        <v>48503.287940000002</v>
      </c>
      <c r="Y88" s="6">
        <f>[1]Results!AB1580</f>
        <v>48939.208960000004</v>
      </c>
      <c r="Z88" s="6">
        <f>[1]Results!AC1580</f>
        <v>49384.386810000004</v>
      </c>
      <c r="AA88" s="6">
        <f>[1]Results!AD1580</f>
        <v>49838.823810000002</v>
      </c>
      <c r="AB88" s="6">
        <f>[1]Results!AE1580</f>
        <v>50221.084640000001</v>
      </c>
      <c r="AC88" s="6">
        <f>[1]Results!AF1580</f>
        <v>50628.874179999999</v>
      </c>
      <c r="AD88" s="6">
        <f>[1]Results!AG1580</f>
        <v>51044.86778</v>
      </c>
      <c r="AE88" s="6">
        <f>[1]Results!AH1580</f>
        <v>51468.672729999998</v>
      </c>
      <c r="AF88" s="6">
        <f>[1]Results!AI1580</f>
        <v>51901.228609999998</v>
      </c>
      <c r="AG88" s="6">
        <f>[1]Results!AJ1580</f>
        <v>52343.4899</v>
      </c>
      <c r="AH88" s="6">
        <f>[1]Results!AK1580</f>
        <v>52796.193850000003</v>
      </c>
      <c r="AI88" s="6">
        <f>[1]Results!AL1580</f>
        <v>53259.831160000002</v>
      </c>
      <c r="AJ88" s="6">
        <f>[1]Results!AM1580</f>
        <v>53734.669300000001</v>
      </c>
      <c r="AK88" s="6">
        <f>[1]Results!AN1580</f>
        <v>54220.794390000003</v>
      </c>
      <c r="AL88" s="6">
        <f>[1]Results!AO1580</f>
        <v>54718.158020000003</v>
      </c>
      <c r="AM88" s="6">
        <f>[1]Results!AP1580</f>
        <v>55207.338029999999</v>
      </c>
      <c r="AN88" s="6">
        <f>[1]Results!AQ1580</f>
        <v>55700.825100000002</v>
      </c>
      <c r="AO88" s="6">
        <f>[1]Results!AR1580</f>
        <v>56201.01311</v>
      </c>
      <c r="AP88" s="6">
        <f>[1]Results!AS1580</f>
        <v>56708.965360000002</v>
      </c>
      <c r="AQ88" s="6">
        <f>[1]Results!AT1580</f>
        <v>57225.375899999999</v>
      </c>
      <c r="AR88" s="6">
        <f>[1]Results!AU1580</f>
        <v>57750.762849999999</v>
      </c>
      <c r="AS88" s="6">
        <f>[1]Results!AV1580</f>
        <v>58285.519890000003</v>
      </c>
      <c r="AT88" s="6">
        <f>[1]Results!AW1580</f>
        <v>58829.945079999998</v>
      </c>
      <c r="AU88" s="6">
        <f>[1]Results!AX1580</f>
        <v>59384.238469999997</v>
      </c>
      <c r="AV88" s="6">
        <f>[1]Results!AY1580</f>
        <v>59948.457260000003</v>
      </c>
      <c r="AW88" s="6">
        <f>[1]Results!AZ1580</f>
        <v>60523.928780000002</v>
      </c>
      <c r="AX88" s="6">
        <f>[1]Results!BA1580</f>
        <v>61107.297659999997</v>
      </c>
      <c r="AY88" s="6">
        <f>[1]Results!BB1580</f>
        <v>61697.558490000003</v>
      </c>
      <c r="AZ88" s="6">
        <f>[1]Results!BC1580</f>
        <v>62296.291599999997</v>
      </c>
      <c r="BA88" s="6">
        <f>[1]Results!BD1580</f>
        <v>62904.913849999997</v>
      </c>
      <c r="BB88" s="6">
        <f>[1]Results!BE1580</f>
        <v>66761.92697</v>
      </c>
      <c r="BC88" s="6">
        <f>[1]Results!BF1580</f>
        <v>67613.189150000006</v>
      </c>
      <c r="BD88" s="6">
        <f>[1]Results!BG1580</f>
        <v>68479.501260000005</v>
      </c>
      <c r="BE88" s="6">
        <f>[1]Results!BH1580</f>
        <v>69361.150169999994</v>
      </c>
      <c r="BF88" s="6">
        <f>[1]Results!BI1580</f>
        <v>70258.379430000001</v>
      </c>
    </row>
    <row r="89" spans="1:58" x14ac:dyDescent="0.35">
      <c r="B89" t="s">
        <v>35</v>
      </c>
      <c r="C89" s="6">
        <f>[1]Results!F1577</f>
        <v>-613.16616880000004</v>
      </c>
      <c r="D89" s="6">
        <f>[1]Results!G1577</f>
        <v>-619.24248320000004</v>
      </c>
      <c r="E89" s="6">
        <f>[1]Results!H1577</f>
        <v>-622.12187400000005</v>
      </c>
      <c r="F89" s="6">
        <f>[1]Results!I1577</f>
        <v>-624.95296480000002</v>
      </c>
      <c r="G89" s="6">
        <f>[1]Results!J1577</f>
        <v>-628.9214336</v>
      </c>
      <c r="H89" s="6">
        <f>[1]Results!K1577</f>
        <v>-634.2149273</v>
      </c>
      <c r="I89" s="6">
        <f>[1]Results!L1577</f>
        <v>-640.51520589999996</v>
      </c>
      <c r="J89" s="6">
        <f>[1]Results!M1577</f>
        <v>-647.42360129999997</v>
      </c>
      <c r="K89" s="6">
        <f>[1]Results!N1577</f>
        <v>-654.86206189999996</v>
      </c>
      <c r="L89" s="6">
        <f>[1]Results!O1577</f>
        <v>-662.69161859999997</v>
      </c>
      <c r="M89" s="6">
        <f>[1]Results!P1577</f>
        <v>-671.02334729999995</v>
      </c>
      <c r="N89" s="6">
        <f>[1]Results!Q1577</f>
        <v>-679.79294879999998</v>
      </c>
      <c r="O89" s="6">
        <f>[1]Results!R1577</f>
        <v>-688.44883479999999</v>
      </c>
      <c r="P89" s="6">
        <f>[1]Results!S1577</f>
        <v>-697.17306889999998</v>
      </c>
      <c r="Q89" s="6">
        <f>[1]Results!T1577</f>
        <v>-705.98297630000002</v>
      </c>
      <c r="R89" s="6">
        <f>[1]Results!U1577</f>
        <v>-714.87174389999996</v>
      </c>
      <c r="S89" s="6">
        <f>[1]Results!V1577</f>
        <v>-723.83298200000002</v>
      </c>
      <c r="T89" s="6">
        <f>[1]Results!W1577</f>
        <v>-732.86371729999996</v>
      </c>
      <c r="U89" s="6">
        <f>[1]Results!X1577</f>
        <v>-741.96377470000004</v>
      </c>
      <c r="V89" s="6">
        <f>[1]Results!Y1577</f>
        <v>-751.13485300000002</v>
      </c>
      <c r="W89" s="6">
        <f>[1]Results!Z1577</f>
        <v>-760.21649830000001</v>
      </c>
      <c r="X89" s="6">
        <f>[1]Results!AA1577</f>
        <v>-769.20765930000005</v>
      </c>
      <c r="Y89" s="6">
        <f>[1]Results!AB1577</f>
        <v>-778.4871124</v>
      </c>
      <c r="Z89" s="6">
        <f>[1]Results!AC1577</f>
        <v>-787.90036780000003</v>
      </c>
      <c r="AA89" s="6">
        <f>[1]Results!AD1577</f>
        <v>-797.42373689999999</v>
      </c>
      <c r="AB89" s="6">
        <f>[1]Results!AE1577</f>
        <v>-806.58448020000003</v>
      </c>
      <c r="AC89" s="6">
        <f>[1]Results!AF1577</f>
        <v>-815.1495966</v>
      </c>
      <c r="AD89" s="6">
        <f>[1]Results!AG1577</f>
        <v>-823.97126219999996</v>
      </c>
      <c r="AE89" s="6">
        <f>[1]Results!AH1577</f>
        <v>-832.87020340000004</v>
      </c>
      <c r="AF89" s="6">
        <f>[1]Results!AI1577</f>
        <v>-841.83097720000001</v>
      </c>
      <c r="AG89" s="6">
        <f>[1]Results!AJ1577</f>
        <v>-850.86679000000004</v>
      </c>
      <c r="AH89" s="6">
        <f>[1]Results!AK1577</f>
        <v>-859.99300879999998</v>
      </c>
      <c r="AI89" s="6">
        <f>[1]Results!AL1577</f>
        <v>-869.22215200000005</v>
      </c>
      <c r="AJ89" s="6">
        <f>[1]Results!AM1577</f>
        <v>-878.5633517</v>
      </c>
      <c r="AK89" s="6">
        <f>[1]Results!AN1577</f>
        <v>-888.02282990000003</v>
      </c>
      <c r="AL89" s="6">
        <f>[1]Results!AO1577</f>
        <v>-897.6045848</v>
      </c>
      <c r="AM89" s="6">
        <f>[1]Results!AP1577</f>
        <v>-907.19701099999997</v>
      </c>
      <c r="AN89" s="6">
        <f>[1]Results!AQ1577</f>
        <v>-916.68407569999999</v>
      </c>
      <c r="AO89" s="6">
        <f>[1]Results!AR1577</f>
        <v>-926.21001539999997</v>
      </c>
      <c r="AP89" s="6">
        <f>[1]Results!AS1577</f>
        <v>-935.80826460000003</v>
      </c>
      <c r="AQ89" s="6">
        <f>[1]Results!AT1577</f>
        <v>-945.49257969999996</v>
      </c>
      <c r="AR89" s="6">
        <f>[1]Results!AU1577</f>
        <v>-955.27313570000001</v>
      </c>
      <c r="AS89" s="6">
        <f>[1]Results!AV1577</f>
        <v>-965.15874369999995</v>
      </c>
      <c r="AT89" s="6">
        <f>[1]Results!AW1577</f>
        <v>-975.15683690000003</v>
      </c>
      <c r="AU89" s="6">
        <f>[1]Results!AX1577</f>
        <v>-985.27334340000004</v>
      </c>
      <c r="AV89" s="6">
        <f>[1]Results!AY1577</f>
        <v>-995.51273330000004</v>
      </c>
      <c r="AW89" s="6">
        <f>[1]Results!AZ1577</f>
        <v>-1005.888477</v>
      </c>
      <c r="AX89" s="6">
        <f>[1]Results!BA1577</f>
        <v>-1016.4132949999999</v>
      </c>
      <c r="AY89" s="6">
        <f>[1]Results!BB1577</f>
        <v>-1027.0756940000001</v>
      </c>
      <c r="AZ89" s="6">
        <f>[1]Results!BC1577</f>
        <v>-1037.8739619999999</v>
      </c>
      <c r="BA89" s="6">
        <f>[1]Results!BD1577</f>
        <v>-1048.8081500000001</v>
      </c>
      <c r="BB89" s="6">
        <f>[1]Results!BE1577</f>
        <v>-1144.325685</v>
      </c>
      <c r="BC89" s="6">
        <f>[1]Results!BF1577</f>
        <v>-1160.095908</v>
      </c>
      <c r="BD89" s="6">
        <f>[1]Results!BG1577</f>
        <v>-1176.1073469999999</v>
      </c>
      <c r="BE89" s="6">
        <f>[1]Results!BH1577</f>
        <v>-1192.3669970000001</v>
      </c>
      <c r="BF89" s="6">
        <f>[1]Results!BI1577</f>
        <v>-1208.8823600000001</v>
      </c>
    </row>
    <row r="90" spans="1:58" x14ac:dyDescent="0.35">
      <c r="B90" t="s">
        <v>34</v>
      </c>
      <c r="C90" s="6">
        <f>[1]Results!$F1579</f>
        <v>495.70005170000002</v>
      </c>
      <c r="D90" s="6">
        <f>[1]Results!$F1579</f>
        <v>495.70005170000002</v>
      </c>
      <c r="E90" s="6">
        <f>[1]Results!$F1579</f>
        <v>495.70005170000002</v>
      </c>
      <c r="F90" s="6">
        <f>[1]Results!$F1579</f>
        <v>495.70005170000002</v>
      </c>
      <c r="G90" s="6">
        <f>[1]Results!$F1579</f>
        <v>495.70005170000002</v>
      </c>
      <c r="H90" s="6">
        <f>[1]Results!$F1579</f>
        <v>495.70005170000002</v>
      </c>
      <c r="I90" s="6">
        <f>[1]Results!$F1579</f>
        <v>495.70005170000002</v>
      </c>
      <c r="J90" s="6">
        <f>[1]Results!$F1579</f>
        <v>495.70005170000002</v>
      </c>
      <c r="K90" s="6">
        <f>[1]Results!$F1579</f>
        <v>495.70005170000002</v>
      </c>
      <c r="L90" s="6">
        <f>[1]Results!$F1579</f>
        <v>495.70005170000002</v>
      </c>
      <c r="M90" s="6">
        <f>[1]Results!$F1579</f>
        <v>495.70005170000002</v>
      </c>
      <c r="N90" s="6">
        <f>[1]Results!$F1579</f>
        <v>495.70005170000002</v>
      </c>
      <c r="O90" s="6">
        <f>[1]Results!$F1579</f>
        <v>495.70005170000002</v>
      </c>
      <c r="P90" s="6">
        <f>[1]Results!$F1579</f>
        <v>495.70005170000002</v>
      </c>
      <c r="Q90" s="6">
        <f>[1]Results!$F1579</f>
        <v>495.70005170000002</v>
      </c>
      <c r="R90" s="6">
        <f>[1]Results!$F1579</f>
        <v>495.70005170000002</v>
      </c>
      <c r="S90" s="6">
        <f>[1]Results!$F1579</f>
        <v>495.70005170000002</v>
      </c>
      <c r="T90" s="6">
        <f>[1]Results!$F1579</f>
        <v>495.70005170000002</v>
      </c>
      <c r="U90" s="6">
        <f>[1]Results!$F1579</f>
        <v>495.70005170000002</v>
      </c>
      <c r="V90" s="6">
        <f>[1]Results!$F1579</f>
        <v>495.70005170000002</v>
      </c>
      <c r="W90" s="6">
        <f>[1]Results!$F1579</f>
        <v>495.70005170000002</v>
      </c>
      <c r="X90" s="6">
        <f>[1]Results!$F1579</f>
        <v>495.70005170000002</v>
      </c>
      <c r="Y90" s="6">
        <f>[1]Results!$F1579</f>
        <v>495.70005170000002</v>
      </c>
      <c r="Z90" s="6">
        <f>[1]Results!$F1579</f>
        <v>495.70005170000002</v>
      </c>
      <c r="AA90" s="6">
        <f>[1]Results!$F1579</f>
        <v>495.70005170000002</v>
      </c>
      <c r="AB90" s="6">
        <f>[1]Results!$F1579</f>
        <v>495.70005170000002</v>
      </c>
      <c r="AC90" s="6">
        <f>[1]Results!$F1579</f>
        <v>495.70005170000002</v>
      </c>
      <c r="AD90" s="6">
        <f>[1]Results!$F1579</f>
        <v>495.70005170000002</v>
      </c>
      <c r="AE90" s="6">
        <f>[1]Results!$F1579</f>
        <v>495.70005170000002</v>
      </c>
      <c r="AF90" s="6">
        <f>[1]Results!$F1579</f>
        <v>495.70005170000002</v>
      </c>
      <c r="AG90" s="6">
        <f>[1]Results!$F1579</f>
        <v>495.70005170000002</v>
      </c>
      <c r="AH90" s="6">
        <f>[1]Results!$F1579</f>
        <v>495.70005170000002</v>
      </c>
      <c r="AI90" s="6">
        <f>[1]Results!$F1579</f>
        <v>495.70005170000002</v>
      </c>
      <c r="AJ90" s="6">
        <f>[1]Results!$F1579</f>
        <v>495.70005170000002</v>
      </c>
      <c r="AK90" s="6">
        <f>[1]Results!$F1579</f>
        <v>495.70005170000002</v>
      </c>
      <c r="AL90" s="6">
        <f>[1]Results!$F1579</f>
        <v>495.70005170000002</v>
      </c>
      <c r="AM90" s="6">
        <f>[1]Results!$F1579</f>
        <v>495.70005170000002</v>
      </c>
      <c r="AN90" s="6">
        <f>[1]Results!$F1579</f>
        <v>495.70005170000002</v>
      </c>
      <c r="AO90" s="6">
        <f>[1]Results!$F1579</f>
        <v>495.70005170000002</v>
      </c>
      <c r="AP90" s="6">
        <f>[1]Results!$F1579</f>
        <v>495.70005170000002</v>
      </c>
      <c r="AQ90" s="6">
        <f>[1]Results!$F1579</f>
        <v>495.70005170000002</v>
      </c>
      <c r="AR90" s="6">
        <f>[1]Results!$F1579</f>
        <v>495.70005170000002</v>
      </c>
      <c r="AS90" s="6">
        <f>[1]Results!$F1579</f>
        <v>495.70005170000002</v>
      </c>
      <c r="AT90" s="6">
        <f>[1]Results!$F1579</f>
        <v>495.70005170000002</v>
      </c>
      <c r="AU90" s="6">
        <f>[1]Results!$F1579</f>
        <v>495.70005170000002</v>
      </c>
      <c r="AV90" s="6">
        <f>[1]Results!$F1579</f>
        <v>495.70005170000002</v>
      </c>
      <c r="AW90" s="6">
        <f>[1]Results!$F1579</f>
        <v>495.70005170000002</v>
      </c>
      <c r="AX90" s="6">
        <f>[1]Results!$F1579</f>
        <v>495.70005170000002</v>
      </c>
      <c r="AY90" s="6">
        <f>[1]Results!$F1579</f>
        <v>495.70005170000002</v>
      </c>
      <c r="AZ90" s="6">
        <f>[1]Results!$F1579</f>
        <v>495.70005170000002</v>
      </c>
      <c r="BA90" s="6">
        <f>[1]Results!$F1579</f>
        <v>495.70005170000002</v>
      </c>
      <c r="BB90" s="6">
        <f>[1]Results!$F1579</f>
        <v>495.70005170000002</v>
      </c>
      <c r="BC90" s="6">
        <f>[1]Results!$F1579</f>
        <v>495.70005170000002</v>
      </c>
      <c r="BD90" s="6">
        <f>[1]Results!$F1579</f>
        <v>495.70005170000002</v>
      </c>
      <c r="BE90" s="6">
        <f>[1]Results!$F1579</f>
        <v>495.70005170000002</v>
      </c>
      <c r="BF90" s="6">
        <f>[1]Results!$F1579</f>
        <v>495.70005170000002</v>
      </c>
    </row>
    <row r="91" spans="1:58" x14ac:dyDescent="0.35">
      <c r="B91" t="s">
        <v>37</v>
      </c>
      <c r="C91" s="6">
        <f>[1]Results!F1575</f>
        <v>-2029.2272170000001</v>
      </c>
      <c r="D91" s="6">
        <f>[1]Results!G1575</f>
        <v>-2061.3507410000002</v>
      </c>
      <c r="E91" s="6">
        <f>[1]Results!H1575</f>
        <v>-2071.5629049999998</v>
      </c>
      <c r="F91" s="6">
        <f>[1]Results!I1575</f>
        <v>-2078.5601919999999</v>
      </c>
      <c r="G91" s="6">
        <f>[1]Results!J1575</f>
        <v>-2089.2642580000002</v>
      </c>
      <c r="H91" s="6">
        <f>[1]Results!K1575</f>
        <v>-2105.089817</v>
      </c>
      <c r="I91" s="6">
        <f>[1]Results!L1575</f>
        <v>-2126.520027</v>
      </c>
      <c r="J91" s="6">
        <f>[1]Results!M1575</f>
        <v>-2149.6003409999998</v>
      </c>
      <c r="K91" s="6">
        <f>[1]Results!N1575</f>
        <v>-2174.7545660000001</v>
      </c>
      <c r="L91" s="6">
        <f>[1]Results!O1575</f>
        <v>-2201.4962620000001</v>
      </c>
      <c r="M91" s="6">
        <f>[1]Results!P1575</f>
        <v>-2227.8009579999998</v>
      </c>
      <c r="N91" s="6">
        <f>[1]Results!Q1575</f>
        <v>-2259.9861839999999</v>
      </c>
      <c r="O91" s="6">
        <f>[1]Results!R1575</f>
        <v>-2290.0864900000001</v>
      </c>
      <c r="P91" s="6">
        <f>[1]Results!S1575</f>
        <v>-2319.969231</v>
      </c>
      <c r="Q91" s="6">
        <f>[1]Results!T1575</f>
        <v>-2350.0041379999998</v>
      </c>
      <c r="R91" s="6">
        <f>[1]Results!U1575</f>
        <v>-2380.2406689999998</v>
      </c>
      <c r="S91" s="6">
        <f>[1]Results!V1575</f>
        <v>-2410.6802189999999</v>
      </c>
      <c r="T91" s="6">
        <f>[1]Results!W1575</f>
        <v>-2441.3270699999998</v>
      </c>
      <c r="U91" s="6">
        <f>[1]Results!X1575</f>
        <v>-2472.193608</v>
      </c>
      <c r="V91" s="6">
        <f>[1]Results!Y1575</f>
        <v>-2503.2977569999998</v>
      </c>
      <c r="W91" s="6">
        <f>[1]Results!Z1575</f>
        <v>-2535.7777350000001</v>
      </c>
      <c r="X91" s="6">
        <f>[1]Results!AA1575</f>
        <v>-2564.7380779999999</v>
      </c>
      <c r="Y91" s="6">
        <f>[1]Results!AB1575</f>
        <v>-2595.9381819999999</v>
      </c>
      <c r="Z91" s="6">
        <f>[1]Results!AC1575</f>
        <v>-2627.9115959999999</v>
      </c>
      <c r="AA91" s="6">
        <f>[1]Results!AD1575</f>
        <v>-2660.350011</v>
      </c>
      <c r="AB91" s="6">
        <f>[1]Results!AE1575</f>
        <v>-2696.4174870000002</v>
      </c>
      <c r="AC91" s="6">
        <f>[1]Results!AF1575</f>
        <v>-2723.4790790000002</v>
      </c>
      <c r="AD91" s="6">
        <f>[1]Results!AG1575</f>
        <v>-2752.9183130000001</v>
      </c>
      <c r="AE91" s="6">
        <f>[1]Results!AH1575</f>
        <v>-2783.0531679999999</v>
      </c>
      <c r="AF91" s="6">
        <f>[1]Results!AI1575</f>
        <v>-2813.5538160000001</v>
      </c>
      <c r="AG91" s="6">
        <f>[1]Results!AJ1575</f>
        <v>-2844.4019020000001</v>
      </c>
      <c r="AH91" s="6">
        <f>[1]Results!AK1575</f>
        <v>-2875.6345040000001</v>
      </c>
      <c r="AI91" s="6">
        <f>[1]Results!AL1575</f>
        <v>-2907.2888680000001</v>
      </c>
      <c r="AJ91" s="6">
        <f>[1]Results!AM1575</f>
        <v>-2939.391388</v>
      </c>
      <c r="AK91" s="6">
        <f>[1]Results!AN1575</f>
        <v>-2971.957355</v>
      </c>
      <c r="AL91" s="6">
        <f>[1]Results!AO1575</f>
        <v>-3004.9933620000002</v>
      </c>
      <c r="AM91" s="6">
        <f>[1]Results!AP1575</f>
        <v>-3039.2719050000001</v>
      </c>
      <c r="AN91" s="6">
        <f>[1]Results!AQ1575</f>
        <v>-3072.156704</v>
      </c>
      <c r="AO91" s="6">
        <f>[1]Results!AR1575</f>
        <v>-3104.9850329999999</v>
      </c>
      <c r="AP91" s="6">
        <f>[1]Results!AS1575</f>
        <v>-3138.062124</v>
      </c>
      <c r="AQ91" s="6">
        <f>[1]Results!AT1575</f>
        <v>-3171.4683709999999</v>
      </c>
      <c r="AR91" s="6">
        <f>[1]Results!AU1575</f>
        <v>-3205.2405880000001</v>
      </c>
      <c r="AS91" s="6">
        <f>[1]Results!AV1575</f>
        <v>-3239.4062210000002</v>
      </c>
      <c r="AT91" s="6">
        <f>[1]Results!AW1575</f>
        <v>-3273.9879059999998</v>
      </c>
      <c r="AU91" s="6">
        <f>[1]Results!AX1575</f>
        <v>-3309.0034639999999</v>
      </c>
      <c r="AV91" s="6">
        <f>[1]Results!AY1575</f>
        <v>-3344.4663129999999</v>
      </c>
      <c r="AW91" s="6">
        <f>[1]Results!AZ1575</f>
        <v>-3380.3194100000001</v>
      </c>
      <c r="AX91" s="6">
        <f>[1]Results!BA1575</f>
        <v>-3416.8081010000001</v>
      </c>
      <c r="AY91" s="6">
        <f>[1]Results!BB1575</f>
        <v>-3453.8371379999999</v>
      </c>
      <c r="AZ91" s="6">
        <f>[1]Results!BC1575</f>
        <v>-3491.3092000000001</v>
      </c>
      <c r="BA91" s="6">
        <f>[1]Results!BD1575</f>
        <v>-3529.2219359999999</v>
      </c>
      <c r="BB91" s="6">
        <f>[1]Results!BE1575</f>
        <v>-3861.2418819999998</v>
      </c>
      <c r="BC91" s="6">
        <f>[1]Results!BF1575</f>
        <v>-3916.1006659999998</v>
      </c>
      <c r="BD91" s="6">
        <f>[1]Results!BG1575</f>
        <v>-3971.8087999999998</v>
      </c>
      <c r="BE91" s="6">
        <f>[1]Results!BH1575</f>
        <v>-4028.391533</v>
      </c>
      <c r="BF91" s="6">
        <f>[1]Results!BI1575</f>
        <v>-4085.8743770000001</v>
      </c>
    </row>
    <row r="93" spans="1:58" x14ac:dyDescent="0.35">
      <c r="A93" t="s">
        <v>39</v>
      </c>
      <c r="B93" t="s">
        <v>13</v>
      </c>
      <c r="C93" s="6">
        <f>[1]Results!F1512</f>
        <v>1941262.1780000001</v>
      </c>
      <c r="D93" s="6">
        <f>[1]Results!G1512</f>
        <v>1959209.1189999999</v>
      </c>
      <c r="E93" s="6">
        <f>[1]Results!H1512</f>
        <v>1980027.324</v>
      </c>
      <c r="F93" s="6">
        <f>[1]Results!I1512</f>
        <v>2003195.365</v>
      </c>
      <c r="G93" s="6">
        <f>[1]Results!J1512</f>
        <v>2028492.5619999999</v>
      </c>
      <c r="H93" s="6">
        <f>[1]Results!K1512</f>
        <v>2055622.625</v>
      </c>
      <c r="I93" s="6">
        <f>[1]Results!L1512</f>
        <v>2082849.1980000001</v>
      </c>
      <c r="J93" s="6">
        <f>[1]Results!M1512</f>
        <v>2111051.682</v>
      </c>
      <c r="K93" s="6">
        <f>[1]Results!N1512</f>
        <v>2140099.892</v>
      </c>
      <c r="L93" s="6">
        <f>[1]Results!O1512</f>
        <v>2169884.7089999998</v>
      </c>
      <c r="M93" s="6">
        <f>[1]Results!P1512</f>
        <v>2200525.0950000002</v>
      </c>
      <c r="N93" s="6">
        <f>[1]Results!Q1512</f>
        <v>2233214.6830000002</v>
      </c>
      <c r="O93" s="6">
        <f>[1]Results!R1512</f>
        <v>2266518.6170000001</v>
      </c>
      <c r="P93" s="6">
        <f>[1]Results!S1512</f>
        <v>2300416.409</v>
      </c>
      <c r="Q93" s="6">
        <f>[1]Results!T1512</f>
        <v>2334847.2930000001</v>
      </c>
      <c r="R93" s="6">
        <f>[1]Results!U1512</f>
        <v>2369762.977</v>
      </c>
      <c r="S93" s="6">
        <f>[1]Results!V1512</f>
        <v>2405009.6749999998</v>
      </c>
      <c r="T93" s="6">
        <f>[1]Results!W1512</f>
        <v>2440660.1979999999</v>
      </c>
      <c r="U93" s="6">
        <f>[1]Results!X1512</f>
        <v>2476703.34</v>
      </c>
      <c r="V93" s="6">
        <f>[1]Results!Y1512</f>
        <v>2513137.2119999998</v>
      </c>
      <c r="W93" s="6">
        <f>[1]Results!Z1512</f>
        <v>2548139.4959999998</v>
      </c>
      <c r="X93" s="6">
        <f>[1]Results!AA1512</f>
        <v>2584921.6690000002</v>
      </c>
      <c r="Y93" s="6">
        <f>[1]Results!AB1512</f>
        <v>2622204.682</v>
      </c>
      <c r="Z93" s="6">
        <f>[1]Results!AC1512</f>
        <v>2660007.1039999998</v>
      </c>
      <c r="AA93" s="6">
        <f>[1]Results!AD1512</f>
        <v>2698336.5380000002</v>
      </c>
      <c r="AB93" s="6">
        <f>[1]Results!AE1512</f>
        <v>2731943.318</v>
      </c>
      <c r="AC93" s="6">
        <f>[1]Results!AF1512</f>
        <v>2767606.7949999999</v>
      </c>
      <c r="AD93" s="6">
        <f>[1]Results!AG1512</f>
        <v>2803421.2069999999</v>
      </c>
      <c r="AE93" s="6">
        <f>[1]Results!AH1512</f>
        <v>2839510.71</v>
      </c>
      <c r="AF93" s="6">
        <f>[1]Results!AI1512</f>
        <v>2875966.6469999999</v>
      </c>
      <c r="AG93" s="6">
        <f>[1]Results!AJ1512</f>
        <v>2912859.07</v>
      </c>
      <c r="AH93" s="6">
        <f>[1]Results!AK1512</f>
        <v>2950274.54</v>
      </c>
      <c r="AI93" s="6">
        <f>[1]Results!AL1512</f>
        <v>2988218.25</v>
      </c>
      <c r="AJ93" s="6">
        <f>[1]Results!AM1512</f>
        <v>3026708.818</v>
      </c>
      <c r="AK93" s="6">
        <f>[1]Results!AN1512</f>
        <v>3065754.23</v>
      </c>
      <c r="AL93" s="6">
        <f>[1]Results!AO1512</f>
        <v>3105356.2170000002</v>
      </c>
      <c r="AM93" s="6">
        <f>[1]Results!AP1512</f>
        <v>3144594.5980000002</v>
      </c>
      <c r="AN93" s="6">
        <f>[1]Results!AQ1512</f>
        <v>3184130.56</v>
      </c>
      <c r="AO93" s="6">
        <f>[1]Results!AR1512</f>
        <v>3224006.625</v>
      </c>
      <c r="AP93" s="6">
        <f>[1]Results!AS1512</f>
        <v>3264262.5869999998</v>
      </c>
      <c r="AQ93" s="6">
        <f>[1]Results!AT1512</f>
        <v>3304935.8160000001</v>
      </c>
      <c r="AR93" s="6">
        <f>[1]Results!AU1512</f>
        <v>3346118.1680000001</v>
      </c>
      <c r="AS93" s="6">
        <f>[1]Results!AV1512</f>
        <v>3387791.625</v>
      </c>
      <c r="AT93" s="6">
        <f>[1]Results!AW1512</f>
        <v>3429974.7880000002</v>
      </c>
      <c r="AU93" s="6">
        <f>[1]Results!AX1512</f>
        <v>3472678.7969999998</v>
      </c>
      <c r="AV93" s="6">
        <f>[1]Results!AY1512</f>
        <v>3515910.08</v>
      </c>
      <c r="AW93" s="6">
        <f>[1]Results!AZ1512</f>
        <v>3559996.0120000001</v>
      </c>
      <c r="AX93" s="6">
        <f>[1]Results!BA1512</f>
        <v>3604691.5430000001</v>
      </c>
      <c r="AY93" s="6">
        <f>[1]Results!BB1512</f>
        <v>3649985.4909999999</v>
      </c>
      <c r="AZ93" s="6">
        <f>[1]Results!BC1512</f>
        <v>3695863.4029999999</v>
      </c>
      <c r="BA93" s="6">
        <f>[1]Results!BD1512</f>
        <v>3742314.6549999998</v>
      </c>
      <c r="BB93" s="6">
        <f>[1]Results!BE1512</f>
        <v>4435341.7680000002</v>
      </c>
      <c r="BC93" s="6">
        <f>[1]Results!BF1512</f>
        <v>4509946.5190000003</v>
      </c>
      <c r="BD93" s="6">
        <f>[1]Results!BG1512</f>
        <v>4585737.1710000001</v>
      </c>
      <c r="BE93" s="6">
        <f>[1]Results!BH1512</f>
        <v>4662731.2929999996</v>
      </c>
      <c r="BF93" s="6">
        <f>[1]Results!BI1512</f>
        <v>4740947.9249999998</v>
      </c>
    </row>
    <row r="94" spans="1:58" x14ac:dyDescent="0.35">
      <c r="B94" t="s">
        <v>7</v>
      </c>
      <c r="C94" s="6">
        <f>[1]Results!F1513</f>
        <v>35195.999609999999</v>
      </c>
      <c r="D94" s="6">
        <f>[1]Results!G1513</f>
        <v>35165.35514</v>
      </c>
      <c r="E94" s="6">
        <f>[1]Results!H1513</f>
        <v>35227.193240000001</v>
      </c>
      <c r="F94" s="6">
        <f>[1]Results!I1513</f>
        <v>35363.901530000003</v>
      </c>
      <c r="G94" s="6">
        <f>[1]Results!J1513</f>
        <v>35565.712050000002</v>
      </c>
      <c r="H94" s="6">
        <f>[1]Results!K1513</f>
        <v>35821.040459999997</v>
      </c>
      <c r="I94" s="6">
        <f>[1]Results!L1513</f>
        <v>36093.980340000002</v>
      </c>
      <c r="J94" s="6">
        <f>[1]Results!M1513</f>
        <v>36393.165789999999</v>
      </c>
      <c r="K94" s="6">
        <f>[1]Results!N1513</f>
        <v>36712.24914</v>
      </c>
      <c r="L94" s="6">
        <f>[1]Results!O1513</f>
        <v>37046.399949999999</v>
      </c>
      <c r="M94" s="6">
        <f>[1]Results!P1513</f>
        <v>37378.9499</v>
      </c>
      <c r="N94" s="6">
        <f>[1]Results!Q1513</f>
        <v>37767.729220000001</v>
      </c>
      <c r="O94" s="6">
        <f>[1]Results!R1513</f>
        <v>38160.101580000002</v>
      </c>
      <c r="P94" s="6">
        <f>[1]Results!S1513</f>
        <v>38558.650139999998</v>
      </c>
      <c r="Q94" s="6">
        <f>[1]Results!T1513</f>
        <v>38962.407740000002</v>
      </c>
      <c r="R94" s="6">
        <f>[1]Results!U1513</f>
        <v>39370.068379999997</v>
      </c>
      <c r="S94" s="6">
        <f>[1]Results!V1513</f>
        <v>39771.581639999997</v>
      </c>
      <c r="T94" s="6">
        <f>[1]Results!W1513</f>
        <v>40173.328260000002</v>
      </c>
      <c r="U94" s="6">
        <f>[1]Results!X1513</f>
        <v>40575.367279999999</v>
      </c>
      <c r="V94" s="6">
        <f>[1]Results!Y1513</f>
        <v>40977.522069999999</v>
      </c>
      <c r="W94" s="6">
        <f>[1]Results!Z1513</f>
        <v>41351.885029999998</v>
      </c>
      <c r="X94" s="6">
        <f>[1]Results!AA1513</f>
        <v>41746.21643</v>
      </c>
      <c r="Y94" s="6">
        <f>[1]Results!AB1513</f>
        <v>42142.525020000001</v>
      </c>
      <c r="Z94" s="6">
        <f>[1]Results!AC1513</f>
        <v>42541.048150000002</v>
      </c>
      <c r="AA94" s="6">
        <f>[1]Results!AD1513</f>
        <v>42941.836949999997</v>
      </c>
      <c r="AB94" s="6">
        <f>[1]Results!AE1513</f>
        <v>43266.411379999998</v>
      </c>
      <c r="AC94" s="6">
        <f>[1]Results!AF1513</f>
        <v>43616.615919999997</v>
      </c>
      <c r="AD94" s="6">
        <f>[1]Results!AG1513</f>
        <v>43963.624049999999</v>
      </c>
      <c r="AE94" s="6">
        <f>[1]Results!AH1513</f>
        <v>44309.580560000002</v>
      </c>
      <c r="AF94" s="6">
        <f>[1]Results!AI1513</f>
        <v>44656.28645</v>
      </c>
      <c r="AG94" s="6">
        <f>[1]Results!AJ1513</f>
        <v>45005.083899999998</v>
      </c>
      <c r="AH94" s="6">
        <f>[1]Results!AK1513</f>
        <v>45359.581359999996</v>
      </c>
      <c r="AI94" s="6">
        <f>[1]Results!AL1513</f>
        <v>45718.16949</v>
      </c>
      <c r="AJ94" s="6">
        <f>[1]Results!AM1513</f>
        <v>46080.940549999999</v>
      </c>
      <c r="AK94" s="6">
        <f>[1]Results!AN1513</f>
        <v>46447.92742</v>
      </c>
      <c r="AL94" s="6">
        <f>[1]Results!AO1513</f>
        <v>46819.063190000001</v>
      </c>
      <c r="AM94" s="6">
        <f>[1]Results!AP1513</f>
        <v>47201.572419999997</v>
      </c>
      <c r="AN94" s="6">
        <f>[1]Results!AQ1513</f>
        <v>47587.162190000003</v>
      </c>
      <c r="AO94" s="6">
        <f>[1]Results!AR1513</f>
        <v>47974.701379999999</v>
      </c>
      <c r="AP94" s="6">
        <f>[1]Results!AS1513</f>
        <v>48364.464540000001</v>
      </c>
      <c r="AQ94" s="6">
        <f>[1]Results!AT1513</f>
        <v>48756.913919999999</v>
      </c>
      <c r="AR94" s="6">
        <f>[1]Results!AU1513</f>
        <v>49156.820399999997</v>
      </c>
      <c r="AS94" s="6">
        <f>[1]Results!AV1513</f>
        <v>49561.010430000002</v>
      </c>
      <c r="AT94" s="6">
        <f>[1]Results!AW1513</f>
        <v>49969.380770000003</v>
      </c>
      <c r="AU94" s="6">
        <f>[1]Results!AX1513</f>
        <v>50381.939299999998</v>
      </c>
      <c r="AV94" s="6">
        <f>[1]Results!AY1513</f>
        <v>50798.64602</v>
      </c>
      <c r="AW94" s="6">
        <f>[1]Results!AZ1513</f>
        <v>51236.492359999997</v>
      </c>
      <c r="AX94" s="6">
        <f>[1]Results!BA1513</f>
        <v>51681.589599999999</v>
      </c>
      <c r="AY94" s="6">
        <f>[1]Results!BB1513</f>
        <v>52132.474739999998</v>
      </c>
      <c r="AZ94" s="6">
        <f>[1]Results!BC1513</f>
        <v>52588.490469999997</v>
      </c>
      <c r="BA94" s="6">
        <f>[1]Results!BD1513</f>
        <v>53049.17671</v>
      </c>
      <c r="BB94" s="6">
        <f>[1]Results!BE1513</f>
        <v>73046.369460000002</v>
      </c>
      <c r="BC94" s="6">
        <f>[1]Results!BF1513</f>
        <v>74178.173190000001</v>
      </c>
      <c r="BD94" s="6">
        <f>[1]Results!BG1513</f>
        <v>75329.311960000006</v>
      </c>
      <c r="BE94" s="6">
        <f>[1]Results!BH1513</f>
        <v>76500.127600000007</v>
      </c>
      <c r="BF94" s="6">
        <f>[1]Results!BI1513</f>
        <v>77691.000880000007</v>
      </c>
    </row>
    <row r="95" spans="1:58" x14ac:dyDescent="0.35">
      <c r="B95" t="s">
        <v>30</v>
      </c>
      <c r="C95" s="6">
        <f>[1]Results!F1516</f>
        <v>324346.93449999997</v>
      </c>
      <c r="D95" s="6">
        <f>[1]Results!G1516</f>
        <v>328118.22019999998</v>
      </c>
      <c r="E95" s="6">
        <f>[1]Results!H1516</f>
        <v>331829.56510000001</v>
      </c>
      <c r="F95" s="6">
        <f>[1]Results!I1516</f>
        <v>335800.24129999999</v>
      </c>
      <c r="G95" s="6">
        <f>[1]Results!J1516</f>
        <v>340043.42290000001</v>
      </c>
      <c r="H95" s="6">
        <f>[1]Results!K1516</f>
        <v>344514.67300000001</v>
      </c>
      <c r="I95" s="6">
        <f>[1]Results!L1516</f>
        <v>348927.26520000002</v>
      </c>
      <c r="J95" s="6">
        <f>[1]Results!M1516</f>
        <v>353462.75799999997</v>
      </c>
      <c r="K95" s="6">
        <f>[1]Results!N1516</f>
        <v>358096.18359999999</v>
      </c>
      <c r="L95" s="6">
        <f>[1]Results!O1516</f>
        <v>362817.24969999999</v>
      </c>
      <c r="M95" s="6">
        <f>[1]Results!P1516</f>
        <v>367380.24060000002</v>
      </c>
      <c r="N95" s="6">
        <f>[1]Results!Q1516</f>
        <v>372752.84789999999</v>
      </c>
      <c r="O95" s="6">
        <f>[1]Results!R1516</f>
        <v>378137.80550000002</v>
      </c>
      <c r="P95" s="6">
        <f>[1]Results!S1516</f>
        <v>383602.43089999998</v>
      </c>
      <c r="Q95" s="6">
        <f>[1]Results!T1516</f>
        <v>389149.02370000002</v>
      </c>
      <c r="R95" s="6">
        <f>[1]Results!U1516</f>
        <v>394775.7377</v>
      </c>
      <c r="S95" s="6">
        <f>[1]Results!V1516</f>
        <v>400450.12900000002</v>
      </c>
      <c r="T95" s="6">
        <f>[1]Results!W1516</f>
        <v>406205.17749999999</v>
      </c>
      <c r="U95" s="6">
        <f>[1]Results!X1516</f>
        <v>412040.96610000002</v>
      </c>
      <c r="V95" s="6">
        <f>[1]Results!Y1516</f>
        <v>417960.95699999999</v>
      </c>
      <c r="W95" s="6">
        <f>[1]Results!Z1516</f>
        <v>423669.21710000001</v>
      </c>
      <c r="X95" s="6">
        <f>[1]Results!AA1516</f>
        <v>429717.27380000002</v>
      </c>
      <c r="Y95" s="6">
        <f>[1]Results!AB1516</f>
        <v>435856.77240000002</v>
      </c>
      <c r="Z95" s="6">
        <f>[1]Results!AC1516</f>
        <v>442105.72629999998</v>
      </c>
      <c r="AA95" s="6">
        <f>[1]Results!AD1516</f>
        <v>448468.10460000002</v>
      </c>
      <c r="AB95" s="6">
        <f>[1]Results!AE1516</f>
        <v>454086.36090000003</v>
      </c>
      <c r="AC95" s="6">
        <f>[1]Results!AF1516</f>
        <v>460134.72100000002</v>
      </c>
      <c r="AD95" s="6">
        <f>[1]Results!AG1516</f>
        <v>466208.74449999997</v>
      </c>
      <c r="AE95" s="6">
        <f>[1]Results!AH1516</f>
        <v>472343.55300000001</v>
      </c>
      <c r="AF95" s="6">
        <f>[1]Results!AI1516</f>
        <v>478552.27919999999</v>
      </c>
      <c r="AG95" s="6">
        <f>[1]Results!AJ1516</f>
        <v>484842.57909999997</v>
      </c>
      <c r="AH95" s="6">
        <f>[1]Results!AK1516</f>
        <v>491228.80979999999</v>
      </c>
      <c r="AI95" s="6">
        <f>[1]Results!AL1516</f>
        <v>497703.91899999999</v>
      </c>
      <c r="AJ95" s="6">
        <f>[1]Results!AM1516</f>
        <v>504268.74329999997</v>
      </c>
      <c r="AK95" s="6">
        <f>[1]Results!AN1516</f>
        <v>510921.7672</v>
      </c>
      <c r="AL95" s="6">
        <f>[1]Results!AO1516</f>
        <v>517660.47859999997</v>
      </c>
      <c r="AM95" s="6">
        <f>[1]Results!AP1516</f>
        <v>524369.54110000003</v>
      </c>
      <c r="AN95" s="6">
        <f>[1]Results!AQ1516</f>
        <v>531122.8689</v>
      </c>
      <c r="AO95" s="6">
        <f>[1]Results!AR1516</f>
        <v>537920.7254</v>
      </c>
      <c r="AP95" s="6">
        <f>[1]Results!AS1516</f>
        <v>544764.73910000001</v>
      </c>
      <c r="AQ95" s="6">
        <f>[1]Results!AT1516</f>
        <v>551656.97129999998</v>
      </c>
      <c r="AR95" s="6">
        <f>[1]Results!AU1516</f>
        <v>558615.37150000001</v>
      </c>
      <c r="AS95" s="6">
        <f>[1]Results!AV1516</f>
        <v>565626.98620000004</v>
      </c>
      <c r="AT95" s="6">
        <f>[1]Results!AW1516</f>
        <v>572694.22889999999</v>
      </c>
      <c r="AU95" s="6">
        <f>[1]Results!AX1516</f>
        <v>579817.56200000003</v>
      </c>
      <c r="AV95" s="6">
        <f>[1]Results!AY1516</f>
        <v>586996.95790000004</v>
      </c>
      <c r="AW95" s="6">
        <f>[1]Results!AZ1516</f>
        <v>594307.53899999999</v>
      </c>
      <c r="AX95" s="6">
        <f>[1]Results!BA1516</f>
        <v>601681.33039999998</v>
      </c>
      <c r="AY95" s="6">
        <f>[1]Results!BB1516</f>
        <v>609122.18700000003</v>
      </c>
      <c r="AZ95" s="6">
        <f>[1]Results!BC1516</f>
        <v>616628.30530000001</v>
      </c>
      <c r="BA95" s="6">
        <f>[1]Results!BD1516</f>
        <v>624198.07400000002</v>
      </c>
      <c r="BB95" s="6">
        <f>[1]Results!BE1516</f>
        <v>779782.38390000002</v>
      </c>
      <c r="BC95" s="6">
        <f>[1]Results!BF1516</f>
        <v>793578.7855</v>
      </c>
      <c r="BD95" s="6">
        <f>[1]Results!BG1516</f>
        <v>807567.57739999995</v>
      </c>
      <c r="BE95" s="6">
        <f>[1]Results!BH1516</f>
        <v>821748.6128</v>
      </c>
      <c r="BF95" s="6">
        <f>[1]Results!BI1516</f>
        <v>836122.06779999996</v>
      </c>
    </row>
    <row r="96" spans="1:58" x14ac:dyDescent="0.35">
      <c r="B96" t="s">
        <v>9</v>
      </c>
      <c r="C96" s="6">
        <f>[1]Results!F1528</f>
        <v>47550.70912</v>
      </c>
      <c r="D96" s="6">
        <f>[1]Results!G1528</f>
        <v>48051.037020000003</v>
      </c>
      <c r="E96" s="6">
        <f>[1]Results!H1528</f>
        <v>48534.319660000001</v>
      </c>
      <c r="F96" s="6">
        <f>[1]Results!I1528</f>
        <v>49058.774850000002</v>
      </c>
      <c r="G96" s="6">
        <f>[1]Results!J1528</f>
        <v>49631.873370000001</v>
      </c>
      <c r="H96" s="6">
        <f>[1]Results!K1528</f>
        <v>50248.541519999999</v>
      </c>
      <c r="I96" s="6">
        <f>[1]Results!L1528</f>
        <v>50865.00172</v>
      </c>
      <c r="J96" s="6">
        <f>[1]Results!M1528</f>
        <v>51506.22651</v>
      </c>
      <c r="K96" s="6">
        <f>[1]Results!N1528</f>
        <v>52166.365899999997</v>
      </c>
      <c r="L96" s="6">
        <f>[1]Results!O1528</f>
        <v>52841.573049999999</v>
      </c>
      <c r="M96" s="6">
        <f>[1]Results!P1528</f>
        <v>53503.183709999998</v>
      </c>
      <c r="N96" s="6">
        <f>[1]Results!Q1528</f>
        <v>54265.40191</v>
      </c>
      <c r="O96" s="6">
        <f>[1]Results!R1528</f>
        <v>55028.92</v>
      </c>
      <c r="P96" s="6">
        <f>[1]Results!S1528</f>
        <v>55801.014640000001</v>
      </c>
      <c r="Q96" s="6">
        <f>[1]Results!T1528</f>
        <v>56581.018750000003</v>
      </c>
      <c r="R96" s="6">
        <f>[1]Results!U1528</f>
        <v>57367.774940000003</v>
      </c>
      <c r="S96" s="6">
        <f>[1]Results!V1528</f>
        <v>58156.07604</v>
      </c>
      <c r="T96" s="6">
        <f>[1]Results!W1528</f>
        <v>58949.628049999999</v>
      </c>
      <c r="U96" s="6">
        <f>[1]Results!X1528</f>
        <v>59747.950120000001</v>
      </c>
      <c r="V96" s="6">
        <f>[1]Results!Y1528</f>
        <v>60551.169670000003</v>
      </c>
      <c r="W96" s="6">
        <f>[1]Results!Z1528</f>
        <v>61314.36939</v>
      </c>
      <c r="X96" s="6">
        <f>[1]Results!AA1528</f>
        <v>62121.226499999997</v>
      </c>
      <c r="Y96" s="6">
        <f>[1]Results!AB1528</f>
        <v>62934.62629</v>
      </c>
      <c r="Z96" s="6">
        <f>[1]Results!AC1528</f>
        <v>63757.023220000003</v>
      </c>
      <c r="AA96" s="6">
        <f>[1]Results!AD1528</f>
        <v>64589.207470000001</v>
      </c>
      <c r="AB96" s="6">
        <f>[1]Results!AE1528</f>
        <v>65301.760249999999</v>
      </c>
      <c r="AC96" s="6">
        <f>[1]Results!AF1528</f>
        <v>66073.774669999999</v>
      </c>
      <c r="AD96" s="6">
        <f>[1]Results!AG1528</f>
        <v>66846.254939999999</v>
      </c>
      <c r="AE96" s="6">
        <f>[1]Results!AH1528</f>
        <v>67624.729049999994</v>
      </c>
      <c r="AF96" s="6">
        <f>[1]Results!AI1528</f>
        <v>68411.973700000002</v>
      </c>
      <c r="AG96" s="6">
        <f>[1]Results!AJ1528</f>
        <v>69209.916360000003</v>
      </c>
      <c r="AH96" s="6">
        <f>[1]Results!AK1528</f>
        <v>70021.218680000005</v>
      </c>
      <c r="AI96" s="6">
        <f>[1]Results!AL1528</f>
        <v>70845.532330000002</v>
      </c>
      <c r="AJ96" s="6">
        <f>[1]Results!AM1528</f>
        <v>71683.454400000002</v>
      </c>
      <c r="AK96" s="6">
        <f>[1]Results!AN1528</f>
        <v>72535.204819999999</v>
      </c>
      <c r="AL96" s="6">
        <f>[1]Results!AO1528</f>
        <v>73400.815690000003</v>
      </c>
      <c r="AM96" s="6">
        <f>[1]Results!AP1528</f>
        <v>74261.566210000005</v>
      </c>
      <c r="AN96" s="6">
        <f>[1]Results!AQ1528</f>
        <v>75130.910539999997</v>
      </c>
      <c r="AO96" s="6">
        <f>[1]Results!AR1528</f>
        <v>76009.533290000007</v>
      </c>
      <c r="AP96" s="6">
        <f>[1]Results!AS1528</f>
        <v>76898.256359999999</v>
      </c>
      <c r="AQ96" s="6">
        <f>[1]Results!AT1528</f>
        <v>77797.889089999997</v>
      </c>
      <c r="AR96" s="6">
        <f>[1]Results!AU1528</f>
        <v>78711.257020000005</v>
      </c>
      <c r="AS96" s="6">
        <f>[1]Results!AV1528</f>
        <v>79636.925570000007</v>
      </c>
      <c r="AT96" s="6">
        <f>[1]Results!AW1528</f>
        <v>80575.401710000006</v>
      </c>
      <c r="AU96" s="6">
        <f>[1]Results!AX1528</f>
        <v>81526.864990000002</v>
      </c>
      <c r="AV96" s="6">
        <f>[1]Results!AY1528</f>
        <v>82491.364390000002</v>
      </c>
      <c r="AW96" s="6">
        <f>[1]Results!AZ1528</f>
        <v>83479.270650000006</v>
      </c>
      <c r="AX96" s="6">
        <f>[1]Results!BA1528</f>
        <v>84481.107019999996</v>
      </c>
      <c r="AY96" s="6">
        <f>[1]Results!BB1528</f>
        <v>85497.221539999999</v>
      </c>
      <c r="AZ96" s="6">
        <f>[1]Results!BC1528</f>
        <v>86527.272270000001</v>
      </c>
      <c r="BA96" s="6">
        <f>[1]Results!BD1528</f>
        <v>87570.931880000004</v>
      </c>
      <c r="BB96" s="6">
        <f>[1]Results!BE1528</f>
        <v>104246.85159999999</v>
      </c>
      <c r="BC96" s="6">
        <f>[1]Results!BF1528</f>
        <v>105947.7721</v>
      </c>
      <c r="BD96" s="6">
        <f>[1]Results!BG1528</f>
        <v>107679.07919999999</v>
      </c>
      <c r="BE96" s="6">
        <f>[1]Results!BH1528</f>
        <v>109441.3615</v>
      </c>
      <c r="BF96" s="6">
        <f>[1]Results!BI1528</f>
        <v>111235.22809999999</v>
      </c>
    </row>
    <row r="97" spans="1:58" x14ac:dyDescent="0.35">
      <c r="B97" t="s">
        <v>10</v>
      </c>
      <c r="C97" s="6">
        <f>[1]Results!F1533</f>
        <v>1496090.3570000001</v>
      </c>
      <c r="D97" s="6">
        <f>[1]Results!G1533</f>
        <v>1509548.6580000001</v>
      </c>
      <c r="E97" s="6">
        <f>[1]Results!H1533</f>
        <v>1525921.0789999999</v>
      </c>
      <c r="F97" s="6">
        <f>[1]Results!I1533</f>
        <v>1544259.1070000001</v>
      </c>
      <c r="G97" s="6">
        <f>[1]Results!J1533</f>
        <v>1564307.388</v>
      </c>
      <c r="H97" s="6">
        <f>[1]Results!K1533</f>
        <v>1585826.622</v>
      </c>
      <c r="I97" s="6">
        <f>[1]Results!L1533</f>
        <v>1607474.3559999999</v>
      </c>
      <c r="J97" s="6">
        <f>[1]Results!M1533</f>
        <v>1629903.2960000001</v>
      </c>
      <c r="K97" s="6">
        <f>[1]Results!N1533</f>
        <v>1653025.55</v>
      </c>
      <c r="L97" s="6">
        <f>[1]Results!O1533</f>
        <v>1676755.993</v>
      </c>
      <c r="M97" s="6">
        <f>[1]Results!P1533</f>
        <v>1701513.2120000001</v>
      </c>
      <c r="N97" s="6">
        <f>[1]Results!Q1533</f>
        <v>1727309.9040000001</v>
      </c>
      <c r="O97" s="6">
        <f>[1]Results!R1533</f>
        <v>1753704.662</v>
      </c>
      <c r="P97" s="6">
        <f>[1]Results!S1533</f>
        <v>1780596.673</v>
      </c>
      <c r="Q97" s="6">
        <f>[1]Results!T1533</f>
        <v>1807924.834</v>
      </c>
      <c r="R97" s="6">
        <f>[1]Results!U1533</f>
        <v>1835646.1259999999</v>
      </c>
      <c r="S97" s="6">
        <f>[1]Results!V1533</f>
        <v>1863656.976</v>
      </c>
      <c r="T97" s="6">
        <f>[1]Results!W1533</f>
        <v>1891985.865</v>
      </c>
      <c r="U97" s="6">
        <f>[1]Results!X1533</f>
        <v>1920622.28</v>
      </c>
      <c r="V97" s="6">
        <f>[1]Results!Y1533</f>
        <v>1949560.8389999999</v>
      </c>
      <c r="W97" s="6">
        <f>[1]Results!Z1533</f>
        <v>1977376.1710000001</v>
      </c>
      <c r="X97" s="6">
        <f>[1]Results!AA1533</f>
        <v>2006545.8659999999</v>
      </c>
      <c r="Y97" s="6">
        <f>[1]Results!AB1533</f>
        <v>2036113.132</v>
      </c>
      <c r="Z97" s="6">
        <f>[1]Results!AC1533</f>
        <v>2066075.746</v>
      </c>
      <c r="AA97" s="6">
        <f>[1]Results!AD1533</f>
        <v>2096435.9720000001</v>
      </c>
      <c r="AB97" s="6">
        <f>[1]Results!AE1533</f>
        <v>2123089.898</v>
      </c>
      <c r="AC97" s="6">
        <f>[1]Results!AF1533</f>
        <v>2151255.9139999999</v>
      </c>
      <c r="AD97" s="6">
        <f>[1]Results!AG1533</f>
        <v>2179547.35</v>
      </c>
      <c r="AE97" s="6">
        <f>[1]Results!AH1533</f>
        <v>2208043.949</v>
      </c>
      <c r="AF97" s="6">
        <f>[1]Results!AI1533</f>
        <v>2236817.7459999998</v>
      </c>
      <c r="AG97" s="6">
        <f>[1]Results!AJ1533</f>
        <v>2265926.628</v>
      </c>
      <c r="AH97" s="6">
        <f>[1]Results!AK1533</f>
        <v>2295435.08</v>
      </c>
      <c r="AI97" s="6">
        <f>[1]Results!AL1533</f>
        <v>2325357.1239999998</v>
      </c>
      <c r="AJ97" s="6">
        <f>[1]Results!AM1533</f>
        <v>2355709.33</v>
      </c>
      <c r="AK97" s="6">
        <f>[1]Results!AN1533</f>
        <v>2386500.6690000002</v>
      </c>
      <c r="AL97" s="6">
        <f>[1]Results!AO1533</f>
        <v>2417735.324</v>
      </c>
      <c r="AM97" s="6">
        <f>[1]Results!AP1533</f>
        <v>2448634.0109999999</v>
      </c>
      <c r="AN97" s="6">
        <f>[1]Results!AQ1533</f>
        <v>2479769.588</v>
      </c>
      <c r="AO97" s="6">
        <f>[1]Results!AR1533</f>
        <v>2511182.9169999999</v>
      </c>
      <c r="AP97" s="6">
        <f>[1]Results!AS1533</f>
        <v>2542910.173</v>
      </c>
      <c r="AQ97" s="6">
        <f>[1]Results!AT1533</f>
        <v>2574984.9279999998</v>
      </c>
      <c r="AR97" s="6">
        <f>[1]Results!AU1533</f>
        <v>2607472.463</v>
      </c>
      <c r="AS97" s="6">
        <f>[1]Results!AV1533</f>
        <v>2640373.0520000001</v>
      </c>
      <c r="AT97" s="6">
        <f>[1]Results!AW1533</f>
        <v>2673702.38</v>
      </c>
      <c r="AU97" s="6">
        <f>[1]Results!AX1533</f>
        <v>2707470.969</v>
      </c>
      <c r="AV97" s="6">
        <f>[1]Results!AY1533</f>
        <v>2741685.3620000002</v>
      </c>
      <c r="AW97" s="6">
        <f>[1]Results!AZ1533</f>
        <v>2776565.9950000001</v>
      </c>
      <c r="AX97" s="6">
        <f>[1]Results!BA1533</f>
        <v>2811963.3960000002</v>
      </c>
      <c r="AY97" s="6">
        <f>[1]Results!BB1533</f>
        <v>2847863.4670000002</v>
      </c>
      <c r="AZ97" s="6">
        <f>[1]Results!BC1533</f>
        <v>2884254.628</v>
      </c>
      <c r="BA97" s="6">
        <f>[1]Results!BD1533</f>
        <v>2921128.8029999998</v>
      </c>
      <c r="BB97" s="6">
        <f>[1]Results!BE1533</f>
        <v>3416677.1430000002</v>
      </c>
      <c r="BC97" s="6">
        <f>[1]Results!BF1533</f>
        <v>3473898.909</v>
      </c>
      <c r="BD97" s="6">
        <f>[1]Results!BG1533</f>
        <v>3532050.4369999999</v>
      </c>
      <c r="BE97" s="6">
        <f>[1]Results!BH1533</f>
        <v>3591148.4539999999</v>
      </c>
      <c r="BF97" s="6">
        <f>[1]Results!BI1533</f>
        <v>3651210.7570000002</v>
      </c>
    </row>
    <row r="98" spans="1:58" x14ac:dyDescent="0.35">
      <c r="B98" t="s">
        <v>29</v>
      </c>
      <c r="C98" s="6">
        <f>C103-C99</f>
        <v>-2016.9123612000001</v>
      </c>
      <c r="D98" s="6">
        <f t="shared" ref="D98:AL98" si="56">D103-D99</f>
        <v>-1985.7410945000001</v>
      </c>
      <c r="E98" s="6">
        <f t="shared" si="56"/>
        <v>-1987.5691087999999</v>
      </c>
      <c r="F98" s="6">
        <f t="shared" si="56"/>
        <v>-1995.0335513</v>
      </c>
      <c r="G98" s="6">
        <f t="shared" si="56"/>
        <v>-2005.5417633999998</v>
      </c>
      <c r="H98" s="6">
        <f t="shared" si="56"/>
        <v>-2019.4999961999999</v>
      </c>
      <c r="I98" s="6">
        <f t="shared" si="56"/>
        <v>-2037.0156481000001</v>
      </c>
      <c r="J98" s="6">
        <f t="shared" si="56"/>
        <v>-2055.3636759999999</v>
      </c>
      <c r="K98" s="6">
        <f t="shared" si="56"/>
        <v>-2075.1231198000005</v>
      </c>
      <c r="L98" s="6">
        <f t="shared" si="56"/>
        <v>-2096.0214483999998</v>
      </c>
      <c r="M98" s="6">
        <f t="shared" si="56"/>
        <v>-2118.2962107000003</v>
      </c>
      <c r="N98" s="6">
        <f t="shared" si="56"/>
        <v>-2137.3301681000003</v>
      </c>
      <c r="O98" s="6">
        <f t="shared" si="56"/>
        <v>-2162.4192742</v>
      </c>
      <c r="P98" s="6">
        <f t="shared" si="56"/>
        <v>-2188.6844968</v>
      </c>
      <c r="Q98" s="6">
        <f t="shared" si="56"/>
        <v>-2215.1957783999997</v>
      </c>
      <c r="R98" s="6">
        <f t="shared" si="56"/>
        <v>-2241.8030574999998</v>
      </c>
      <c r="S98" s="6">
        <f t="shared" si="56"/>
        <v>-2268.5409221</v>
      </c>
      <c r="T98" s="6">
        <f t="shared" si="56"/>
        <v>-2295.1224075</v>
      </c>
      <c r="U98" s="6">
        <f t="shared" si="56"/>
        <v>-2321.7495111999997</v>
      </c>
      <c r="V98" s="6">
        <f t="shared" si="56"/>
        <v>-2348.4630357000001</v>
      </c>
      <c r="W98" s="6">
        <f t="shared" si="56"/>
        <v>-2375.6274652000002</v>
      </c>
      <c r="X98" s="6">
        <f t="shared" si="56"/>
        <v>-2400.4277895999999</v>
      </c>
      <c r="Y98" s="6">
        <f t="shared" si="56"/>
        <v>-2426.8618877999997</v>
      </c>
      <c r="Z98" s="6">
        <f t="shared" si="56"/>
        <v>-2453.8316255</v>
      </c>
      <c r="AA98" s="6">
        <f t="shared" si="56"/>
        <v>-2481.0923640000001</v>
      </c>
      <c r="AB98" s="6">
        <f t="shared" si="56"/>
        <v>-2509.6111329</v>
      </c>
      <c r="AC98" s="6">
        <f t="shared" si="56"/>
        <v>-2531.7779356999999</v>
      </c>
      <c r="AD98" s="6">
        <f t="shared" si="56"/>
        <v>-2555.7594200999997</v>
      </c>
      <c r="AE98" s="6">
        <f t="shared" si="56"/>
        <v>-2580.2764068000001</v>
      </c>
      <c r="AF98" s="6">
        <f t="shared" si="56"/>
        <v>-2605.0775260999999</v>
      </c>
      <c r="AG98" s="6">
        <f t="shared" si="56"/>
        <v>-2630.1590698</v>
      </c>
      <c r="AH98" s="6">
        <f t="shared" si="56"/>
        <v>-2655.5444097999998</v>
      </c>
      <c r="AI98" s="6">
        <f t="shared" si="56"/>
        <v>-2681.3547761</v>
      </c>
      <c r="AJ98" s="6">
        <f t="shared" si="56"/>
        <v>-2707.5564884</v>
      </c>
      <c r="AK98" s="6">
        <f t="shared" si="56"/>
        <v>-2734.1518378999999</v>
      </c>
      <c r="AL98" s="6">
        <f t="shared" si="56"/>
        <v>-2761.1451600999999</v>
      </c>
      <c r="AM98" s="6">
        <f t="shared" ref="AM98:BC98" si="57">AM103-AM99</f>
        <v>-2788.6313402999999</v>
      </c>
      <c r="AN98" s="6">
        <f t="shared" si="57"/>
        <v>-2815.7520523999997</v>
      </c>
      <c r="AO98" s="6">
        <f t="shared" si="57"/>
        <v>-2842.9454553000005</v>
      </c>
      <c r="AP98" s="6">
        <f t="shared" si="57"/>
        <v>-2870.3694710999998</v>
      </c>
      <c r="AQ98" s="6">
        <f t="shared" si="57"/>
        <v>-2898.0864145</v>
      </c>
      <c r="AR98" s="6">
        <f t="shared" si="57"/>
        <v>-2926.1021856000002</v>
      </c>
      <c r="AS98" s="6">
        <f t="shared" si="57"/>
        <v>-2954.5717201000002</v>
      </c>
      <c r="AT98" s="6">
        <f t="shared" si="57"/>
        <v>-2983.4121974</v>
      </c>
      <c r="AU98" s="6">
        <f t="shared" si="57"/>
        <v>-3012.6131771</v>
      </c>
      <c r="AV98" s="6">
        <f t="shared" si="57"/>
        <v>-3042.1738365000001</v>
      </c>
      <c r="AW98" s="6">
        <f t="shared" si="57"/>
        <v>-3071.9823722000001</v>
      </c>
      <c r="AX98" s="6">
        <f t="shared" si="57"/>
        <v>-3102.6748246000002</v>
      </c>
      <c r="AY98" s="6">
        <f t="shared" si="57"/>
        <v>-3133.8258043999999</v>
      </c>
      <c r="AZ98" s="6">
        <f t="shared" si="57"/>
        <v>-3165.3529299000002</v>
      </c>
      <c r="BA98" s="6">
        <f t="shared" si="57"/>
        <v>-3197.2386152999998</v>
      </c>
      <c r="BB98" s="6">
        <f t="shared" si="57"/>
        <v>-3870.5352363000002</v>
      </c>
      <c r="BC98" s="6">
        <f t="shared" si="57"/>
        <v>-3927.7372703999999</v>
      </c>
      <c r="BD98" s="6">
        <f t="shared" ref="BD98:BF98" si="58">BD103-BD99</f>
        <v>-3985.8874222999993</v>
      </c>
      <c r="BE98" s="6">
        <f t="shared" si="58"/>
        <v>-4045.0042201999995</v>
      </c>
      <c r="BF98" s="6">
        <f t="shared" si="58"/>
        <v>-4105.1096029999999</v>
      </c>
    </row>
    <row r="99" spans="1:58" x14ac:dyDescent="0.35">
      <c r="B99" t="s">
        <v>36</v>
      </c>
      <c r="C99" s="6">
        <f>C101+C102</f>
        <v>-122.63964379999999</v>
      </c>
      <c r="D99" s="6">
        <f t="shared" ref="D99:AL99" si="59">D101+D102</f>
        <v>-117.13151449999998</v>
      </c>
      <c r="E99" s="6">
        <f t="shared" si="59"/>
        <v>-113.91463320000003</v>
      </c>
      <c r="F99" s="6">
        <f t="shared" si="59"/>
        <v>-111.13673170000004</v>
      </c>
      <c r="G99" s="6">
        <f t="shared" si="59"/>
        <v>-109.09500459999998</v>
      </c>
      <c r="H99" s="6">
        <f t="shared" si="59"/>
        <v>-107.88318180000005</v>
      </c>
      <c r="I99" s="6">
        <f t="shared" si="59"/>
        <v>-107.57930590000001</v>
      </c>
      <c r="J99" s="6">
        <f t="shared" si="59"/>
        <v>-107.635986</v>
      </c>
      <c r="K99" s="6">
        <f t="shared" si="59"/>
        <v>-108.00899619999996</v>
      </c>
      <c r="L99" s="6">
        <f t="shared" si="59"/>
        <v>-108.60448759999997</v>
      </c>
      <c r="M99" s="6">
        <f t="shared" si="59"/>
        <v>-109.43837829999995</v>
      </c>
      <c r="N99" s="6">
        <f t="shared" si="59"/>
        <v>-109.67479690000005</v>
      </c>
      <c r="O99" s="6">
        <f t="shared" si="59"/>
        <v>-110.6574437999999</v>
      </c>
      <c r="P99" s="6">
        <f t="shared" si="59"/>
        <v>-111.78333420000001</v>
      </c>
      <c r="Q99" s="6">
        <f t="shared" si="59"/>
        <v>-112.94919159999995</v>
      </c>
      <c r="R99" s="6">
        <f t="shared" si="59"/>
        <v>-114.13648250000006</v>
      </c>
      <c r="S99" s="6">
        <f t="shared" si="59"/>
        <v>-115.35516589999997</v>
      </c>
      <c r="T99" s="6">
        <f t="shared" si="59"/>
        <v>-116.55728050000005</v>
      </c>
      <c r="U99" s="6">
        <f t="shared" si="59"/>
        <v>-117.76125479999996</v>
      </c>
      <c r="V99" s="6">
        <f t="shared" si="59"/>
        <v>-118.96574429999998</v>
      </c>
      <c r="W99" s="6">
        <f t="shared" si="59"/>
        <v>-120.41752780000002</v>
      </c>
      <c r="X99" s="6">
        <f t="shared" si="59"/>
        <v>-121.43069839999998</v>
      </c>
      <c r="Y99" s="6">
        <f t="shared" si="59"/>
        <v>-122.56345020000003</v>
      </c>
      <c r="Z99" s="6">
        <f t="shared" si="59"/>
        <v>-123.70035150000001</v>
      </c>
      <c r="AA99" s="6">
        <f t="shared" si="59"/>
        <v>-124.82068200000003</v>
      </c>
      <c r="AB99" s="6">
        <f t="shared" si="59"/>
        <v>-126.63292709999996</v>
      </c>
      <c r="AC99" s="6">
        <f t="shared" si="59"/>
        <v>-127.52728430000002</v>
      </c>
      <c r="AD99" s="6">
        <f t="shared" si="59"/>
        <v>-128.55149290000008</v>
      </c>
      <c r="AE99" s="6">
        <f t="shared" si="59"/>
        <v>-129.54976920000001</v>
      </c>
      <c r="AF99" s="6">
        <f t="shared" si="59"/>
        <v>-130.49866589999999</v>
      </c>
      <c r="AG99" s="6">
        <f t="shared" si="59"/>
        <v>-131.39945820000003</v>
      </c>
      <c r="AH99" s="6">
        <f t="shared" si="59"/>
        <v>-132.25240719999999</v>
      </c>
      <c r="AI99" s="6">
        <f t="shared" si="59"/>
        <v>-133.07517289999998</v>
      </c>
      <c r="AJ99" s="6">
        <f t="shared" si="59"/>
        <v>-133.86513860000002</v>
      </c>
      <c r="AK99" s="6">
        <f t="shared" si="59"/>
        <v>-134.6239501</v>
      </c>
      <c r="AL99" s="6">
        <f t="shared" si="59"/>
        <v>-135.35322689999998</v>
      </c>
      <c r="AM99" s="6">
        <f t="shared" ref="AM99:BC99" si="60">AM101+AM102</f>
        <v>-136.17712470000004</v>
      </c>
      <c r="AN99" s="6">
        <f t="shared" si="60"/>
        <v>-136.93088660000001</v>
      </c>
      <c r="AO99" s="6">
        <f t="shared" si="60"/>
        <v>-137.63865869999995</v>
      </c>
      <c r="AP99" s="6">
        <f t="shared" si="60"/>
        <v>-138.30610189999993</v>
      </c>
      <c r="AQ99" s="6">
        <f t="shared" si="60"/>
        <v>-138.93616049999991</v>
      </c>
      <c r="AR99" s="6">
        <f t="shared" si="60"/>
        <v>-139.52462539999999</v>
      </c>
      <c r="AS99" s="6">
        <f t="shared" si="60"/>
        <v>-140.09509790000004</v>
      </c>
      <c r="AT99" s="6">
        <f t="shared" si="60"/>
        <v>-140.63932160000002</v>
      </c>
      <c r="AU99" s="6">
        <f t="shared" si="60"/>
        <v>-141.15785890000006</v>
      </c>
      <c r="AV99" s="6">
        <f t="shared" si="60"/>
        <v>-141.65198250000003</v>
      </c>
      <c r="AW99" s="6">
        <f t="shared" si="60"/>
        <v>-142.08123180000007</v>
      </c>
      <c r="AX99" s="6">
        <f t="shared" si="60"/>
        <v>-142.54336839999996</v>
      </c>
      <c r="AY99" s="6">
        <f t="shared" si="60"/>
        <v>-142.98971960000006</v>
      </c>
      <c r="AZ99" s="6">
        <f t="shared" si="60"/>
        <v>-143.41189110000005</v>
      </c>
      <c r="BA99" s="6">
        <f t="shared" si="60"/>
        <v>-143.80765769999994</v>
      </c>
      <c r="BB99" s="6">
        <f t="shared" si="60"/>
        <v>-199.6492727000001</v>
      </c>
      <c r="BC99" s="6">
        <f t="shared" si="60"/>
        <v>-201.67183060000002</v>
      </c>
      <c r="BD99" s="6">
        <f t="shared" ref="BD99:BF99" si="61">BD101+BD102</f>
        <v>-203.70929770000009</v>
      </c>
      <c r="BE99" s="6">
        <f t="shared" si="61"/>
        <v>-205.76491780000015</v>
      </c>
      <c r="BF99" s="6">
        <f t="shared" si="61"/>
        <v>-207.84193600000003</v>
      </c>
    </row>
    <row r="100" spans="1:58" x14ac:dyDescent="0.35">
      <c r="B100" t="s">
        <v>33</v>
      </c>
      <c r="C100" s="6">
        <f>[1]Results!F1541</f>
        <v>40134.561500000003</v>
      </c>
      <c r="D100" s="6">
        <f>[1]Results!G1541</f>
        <v>40338.745320000002</v>
      </c>
      <c r="E100" s="6">
        <f>[1]Results!H1541</f>
        <v>40522.08251</v>
      </c>
      <c r="F100" s="6">
        <f>[1]Results!I1541</f>
        <v>40720.677839999997</v>
      </c>
      <c r="G100" s="6">
        <f>[1]Results!J1541</f>
        <v>40956.258370000003</v>
      </c>
      <c r="H100" s="6">
        <f>[1]Results!K1541</f>
        <v>41233.510199999997</v>
      </c>
      <c r="I100" s="6">
        <f>[1]Results!L1541</f>
        <v>41525.369279999999</v>
      </c>
      <c r="J100" s="6">
        <f>[1]Results!M1541</f>
        <v>41839.459300000002</v>
      </c>
      <c r="K100" s="6">
        <f>[1]Results!N1541</f>
        <v>42171.158239999997</v>
      </c>
      <c r="L100" s="6">
        <f>[1]Results!O1541</f>
        <v>42515.00376</v>
      </c>
      <c r="M100" s="6">
        <f>[1]Results!P1541</f>
        <v>42862.829559999998</v>
      </c>
      <c r="N100" s="6">
        <f>[1]Results!Q1541</f>
        <v>43249.07589</v>
      </c>
      <c r="O100" s="6">
        <f>[1]Results!R1541</f>
        <v>43641.849300000002</v>
      </c>
      <c r="P100" s="6">
        <f>[1]Results!S1541</f>
        <v>44038.222549999999</v>
      </c>
      <c r="Q100" s="6">
        <f>[1]Results!T1541</f>
        <v>44436.737280000001</v>
      </c>
      <c r="R100" s="6">
        <f>[1]Results!U1541</f>
        <v>44836.25015</v>
      </c>
      <c r="S100" s="6">
        <f>[1]Results!V1541</f>
        <v>45234.321960000001</v>
      </c>
      <c r="T100" s="6">
        <f>[1]Results!W1541</f>
        <v>45631.825100000002</v>
      </c>
      <c r="U100" s="6">
        <f>[1]Results!X1541</f>
        <v>46028.645830000001</v>
      </c>
      <c r="V100" s="6">
        <f>[1]Results!Y1541</f>
        <v>46424.906230000001</v>
      </c>
      <c r="W100" s="6">
        <f>[1]Results!Z1541</f>
        <v>46793.45551</v>
      </c>
      <c r="X100" s="6">
        <f>[1]Results!AA1541</f>
        <v>47180.710749999998</v>
      </c>
      <c r="Y100" s="6">
        <f>[1]Results!AB1541</f>
        <v>47573.111279999997</v>
      </c>
      <c r="Z100" s="6">
        <f>[1]Results!AC1541</f>
        <v>47969.421119999999</v>
      </c>
      <c r="AA100" s="6">
        <f>[1]Results!AD1541</f>
        <v>48369.882019999997</v>
      </c>
      <c r="AB100" s="6">
        <f>[1]Results!AE1541</f>
        <v>48697.081059999997</v>
      </c>
      <c r="AC100" s="6">
        <f>[1]Results!AF1541</f>
        <v>49045.320169999999</v>
      </c>
      <c r="AD100" s="6">
        <f>[1]Results!AG1541</f>
        <v>49398.195549999997</v>
      </c>
      <c r="AE100" s="6">
        <f>[1]Results!AH1541</f>
        <v>49755.738429999998</v>
      </c>
      <c r="AF100" s="6">
        <f>[1]Results!AI1541</f>
        <v>50119.242319999998</v>
      </c>
      <c r="AG100" s="6">
        <f>[1]Results!AJ1541</f>
        <v>50489.9375</v>
      </c>
      <c r="AH100" s="6">
        <f>[1]Results!AK1541</f>
        <v>50869.288350000003</v>
      </c>
      <c r="AI100" s="6">
        <f>[1]Results!AL1541</f>
        <v>51257.634149999998</v>
      </c>
      <c r="AJ100" s="6">
        <f>[1]Results!AM1541</f>
        <v>51655.455300000001</v>
      </c>
      <c r="AK100" s="6">
        <f>[1]Results!AN1541</f>
        <v>52063.032489999998</v>
      </c>
      <c r="AL100" s="6">
        <f>[1]Results!AO1541</f>
        <v>52480.468350000003</v>
      </c>
      <c r="AM100" s="6">
        <f>[1]Results!AP1541</f>
        <v>52894.119720000002</v>
      </c>
      <c r="AN100" s="6">
        <f>[1]Results!AQ1541</f>
        <v>53311.99871</v>
      </c>
      <c r="AO100" s="6">
        <f>[1]Results!AR1541</f>
        <v>53736.423779999997</v>
      </c>
      <c r="AP100" s="6">
        <f>[1]Results!AS1541</f>
        <v>54168.45392</v>
      </c>
      <c r="AQ100" s="6">
        <f>[1]Results!AT1541</f>
        <v>54608.619339999997</v>
      </c>
      <c r="AR100" s="6">
        <f>[1]Results!AU1541</f>
        <v>55057.938560000002</v>
      </c>
      <c r="AS100" s="6">
        <f>[1]Results!AV1541</f>
        <v>55515.885920000001</v>
      </c>
      <c r="AT100" s="6">
        <f>[1]Results!AW1541</f>
        <v>55982.461710000003</v>
      </c>
      <c r="AU100" s="6">
        <f>[1]Results!AX1541</f>
        <v>56457.62414</v>
      </c>
      <c r="AV100" s="6">
        <f>[1]Results!AY1541</f>
        <v>56941.279490000001</v>
      </c>
      <c r="AW100" s="6">
        <f>[1]Results!AZ1541</f>
        <v>57437.653290000002</v>
      </c>
      <c r="AX100" s="6">
        <f>[1]Results!BA1541</f>
        <v>57943.368589999998</v>
      </c>
      <c r="AY100" s="6">
        <f>[1]Results!BB1541</f>
        <v>58458.080450000001</v>
      </c>
      <c r="AZ100" s="6">
        <f>[1]Results!BC1541</f>
        <v>58981.621180000002</v>
      </c>
      <c r="BA100" s="6">
        <f>[1]Results!BD1541</f>
        <v>59513.819629999998</v>
      </c>
      <c r="BB100" s="6">
        <f>[1]Results!BE1541</f>
        <v>65457.206310000001</v>
      </c>
      <c r="BC100" s="6">
        <f>[1]Results!BF1541</f>
        <v>66266.410640000002</v>
      </c>
      <c r="BD100" s="6">
        <f>[1]Results!BG1541</f>
        <v>67090.519190000006</v>
      </c>
      <c r="BE100" s="6">
        <f>[1]Results!BH1541</f>
        <v>67929.616699999999</v>
      </c>
      <c r="BF100" s="6">
        <f>[1]Results!BI1541</f>
        <v>68783.803939999998</v>
      </c>
    </row>
    <row r="101" spans="1:58" x14ac:dyDescent="0.35">
      <c r="B101" t="s">
        <v>35</v>
      </c>
      <c r="C101" s="6">
        <f>[1]Results!F1538</f>
        <v>-608.52839280000001</v>
      </c>
      <c r="D101" s="6">
        <f>[1]Results!G1538</f>
        <v>-605.61929720000001</v>
      </c>
      <c r="E101" s="6">
        <f>[1]Results!H1538</f>
        <v>-605.54841610000005</v>
      </c>
      <c r="F101" s="6">
        <f>[1]Results!I1538</f>
        <v>-606.25140780000004</v>
      </c>
      <c r="G101" s="6">
        <f>[1]Results!J1538</f>
        <v>-608.12789299999997</v>
      </c>
      <c r="H101" s="6">
        <f>[1]Results!K1538</f>
        <v>-611.30216970000004</v>
      </c>
      <c r="I101" s="6">
        <f>[1]Results!L1538</f>
        <v>-615.48118890000001</v>
      </c>
      <c r="J101" s="6">
        <f>[1]Results!M1538</f>
        <v>-620.28650479999999</v>
      </c>
      <c r="K101" s="6">
        <f>[1]Results!N1538</f>
        <v>-625.64708229999997</v>
      </c>
      <c r="L101" s="6">
        <f>[1]Results!O1538</f>
        <v>-631.42017959999998</v>
      </c>
      <c r="M101" s="6">
        <f>[1]Results!P1538</f>
        <v>-637.30737699999997</v>
      </c>
      <c r="N101" s="6">
        <f>[1]Results!Q1538</f>
        <v>-643.51506380000001</v>
      </c>
      <c r="O101" s="6">
        <f>[1]Results!R1538</f>
        <v>-650.65599669999995</v>
      </c>
      <c r="P101" s="6">
        <f>[1]Results!S1538</f>
        <v>-658.05876000000001</v>
      </c>
      <c r="Q101" s="6">
        <f>[1]Results!T1538</f>
        <v>-665.59605669999996</v>
      </c>
      <c r="R101" s="6">
        <f>[1]Results!U1538</f>
        <v>-673.2340815</v>
      </c>
      <c r="S101" s="6">
        <f>[1]Results!V1538</f>
        <v>-680.93780589999994</v>
      </c>
      <c r="T101" s="6">
        <f>[1]Results!W1538</f>
        <v>-688.67770180000002</v>
      </c>
      <c r="U101" s="6">
        <f>[1]Results!X1538</f>
        <v>-696.46755029999997</v>
      </c>
      <c r="V101" s="6">
        <f>[1]Results!Y1538</f>
        <v>-704.30202789999998</v>
      </c>
      <c r="W101" s="6">
        <f>[1]Results!Z1538</f>
        <v>-712.02646019999997</v>
      </c>
      <c r="X101" s="6">
        <f>[1]Results!AA1538</f>
        <v>-719.63160559999994</v>
      </c>
      <c r="Y101" s="6">
        <f>[1]Results!AB1538</f>
        <v>-727.45527800000002</v>
      </c>
      <c r="Z101" s="6">
        <f>[1]Results!AC1538</f>
        <v>-735.35506429999998</v>
      </c>
      <c r="AA101" s="6">
        <f>[1]Results!AD1538</f>
        <v>-743.30629510000006</v>
      </c>
      <c r="AB101" s="6">
        <f>[1]Results!AE1538</f>
        <v>-750.88139079999996</v>
      </c>
      <c r="AC101" s="6">
        <f>[1]Results!AF1538</f>
        <v>-757.8758828</v>
      </c>
      <c r="AD101" s="6">
        <f>[1]Results!AG1538</f>
        <v>-765.06000800000004</v>
      </c>
      <c r="AE101" s="6">
        <f>[1]Results!AH1538</f>
        <v>-772.26578900000004</v>
      </c>
      <c r="AF101" s="6">
        <f>[1]Results!AI1538</f>
        <v>-779.48015550000002</v>
      </c>
      <c r="AG101" s="6">
        <f>[1]Results!AJ1538</f>
        <v>-786.71685939999998</v>
      </c>
      <c r="AH101" s="6">
        <f>[1]Results!AK1538</f>
        <v>-793.99663499999997</v>
      </c>
      <c r="AI101" s="6">
        <f>[1]Results!AL1538</f>
        <v>-801.3368739</v>
      </c>
      <c r="AJ101" s="6">
        <f>[1]Results!AM1538</f>
        <v>-808.73959860000002</v>
      </c>
      <c r="AK101" s="6">
        <f>[1]Results!AN1538</f>
        <v>-816.21030780000001</v>
      </c>
      <c r="AL101" s="6">
        <f>[1]Results!AO1538</f>
        <v>-823.75317210000003</v>
      </c>
      <c r="AM101" s="6">
        <f>[1]Results!AP1538</f>
        <v>-831.3191008</v>
      </c>
      <c r="AN101" s="6">
        <f>[1]Results!AQ1538</f>
        <v>-838.84874669999999</v>
      </c>
      <c r="AO101" s="6">
        <f>[1]Results!AR1538</f>
        <v>-846.39640399999996</v>
      </c>
      <c r="AP101" s="6">
        <f>[1]Results!AS1538</f>
        <v>-853.98199869999996</v>
      </c>
      <c r="AQ101" s="6">
        <f>[1]Results!AT1538</f>
        <v>-861.61656849999997</v>
      </c>
      <c r="AR101" s="6">
        <f>[1]Results!AU1538</f>
        <v>-869.31645219999996</v>
      </c>
      <c r="AS101" s="6">
        <f>[1]Results!AV1538</f>
        <v>-877.09533780000004</v>
      </c>
      <c r="AT101" s="6">
        <f>[1]Results!AW1538</f>
        <v>-884.94594459999996</v>
      </c>
      <c r="AU101" s="6">
        <f>[1]Results!AX1538</f>
        <v>-892.86960380000005</v>
      </c>
      <c r="AV101" s="6">
        <f>[1]Results!AY1538</f>
        <v>-900.86764679999999</v>
      </c>
      <c r="AW101" s="6">
        <f>[1]Results!AZ1538</f>
        <v>-908.97863310000002</v>
      </c>
      <c r="AX101" s="6">
        <f>[1]Results!BA1538</f>
        <v>-917.23746310000001</v>
      </c>
      <c r="AY101" s="6">
        <f>[1]Results!BB1538</f>
        <v>-925.58904870000003</v>
      </c>
      <c r="AZ101" s="6">
        <f>[1]Results!BC1538</f>
        <v>-934.0228108</v>
      </c>
      <c r="BA101" s="6">
        <f>[1]Results!BD1538</f>
        <v>-942.53466379999998</v>
      </c>
      <c r="BB101" s="6">
        <f>[1]Results!BE1538</f>
        <v>-1146.8100690000001</v>
      </c>
      <c r="BC101" s="6">
        <f>[1]Results!BF1538</f>
        <v>-1162.752213</v>
      </c>
      <c r="BD101" s="6">
        <f>[1]Results!BG1538</f>
        <v>-1178.9435550000001</v>
      </c>
      <c r="BE101" s="6">
        <f>[1]Results!BH1538</f>
        <v>-1195.3919310000001</v>
      </c>
      <c r="BF101" s="6">
        <f>[1]Results!BI1538</f>
        <v>-1212.105595</v>
      </c>
    </row>
    <row r="102" spans="1:58" x14ac:dyDescent="0.35">
      <c r="B102" t="s">
        <v>34</v>
      </c>
      <c r="C102" s="6">
        <f>[1]Results!F1540</f>
        <v>485.88874900000002</v>
      </c>
      <c r="D102" s="6">
        <f>[1]Results!G1540</f>
        <v>488.48778270000003</v>
      </c>
      <c r="E102" s="6">
        <f>[1]Results!H1540</f>
        <v>491.63378290000003</v>
      </c>
      <c r="F102" s="6">
        <f>[1]Results!I1540</f>
        <v>495.1146761</v>
      </c>
      <c r="G102" s="6">
        <f>[1]Results!J1540</f>
        <v>499.03288839999999</v>
      </c>
      <c r="H102" s="6">
        <f>[1]Results!K1540</f>
        <v>503.41898789999999</v>
      </c>
      <c r="I102" s="6">
        <f>[1]Results!L1540</f>
        <v>507.901883</v>
      </c>
      <c r="J102" s="6">
        <f>[1]Results!M1540</f>
        <v>512.65051879999999</v>
      </c>
      <c r="K102" s="6">
        <f>[1]Results!N1540</f>
        <v>517.63808610000001</v>
      </c>
      <c r="L102" s="6">
        <f>[1]Results!O1540</f>
        <v>522.81569200000001</v>
      </c>
      <c r="M102" s="6">
        <f>[1]Results!P1540</f>
        <v>527.86899870000002</v>
      </c>
      <c r="N102" s="6">
        <f>[1]Results!Q1540</f>
        <v>533.84026689999996</v>
      </c>
      <c r="O102" s="6">
        <f>[1]Results!R1540</f>
        <v>539.99855290000005</v>
      </c>
      <c r="P102" s="6">
        <f>[1]Results!S1540</f>
        <v>546.27542579999999</v>
      </c>
      <c r="Q102" s="6">
        <f>[1]Results!T1540</f>
        <v>552.64686510000001</v>
      </c>
      <c r="R102" s="6">
        <f>[1]Results!U1540</f>
        <v>559.09759899999995</v>
      </c>
      <c r="S102" s="6">
        <f>[1]Results!V1540</f>
        <v>565.58263999999997</v>
      </c>
      <c r="T102" s="6">
        <f>[1]Results!W1540</f>
        <v>572.12042129999998</v>
      </c>
      <c r="U102" s="6">
        <f>[1]Results!X1540</f>
        <v>578.70629550000001</v>
      </c>
      <c r="V102" s="6">
        <f>[1]Results!Y1540</f>
        <v>585.3362836</v>
      </c>
      <c r="W102" s="6">
        <f>[1]Results!Z1540</f>
        <v>591.60893239999996</v>
      </c>
      <c r="X102" s="6">
        <f>[1]Results!AA1540</f>
        <v>598.20090719999996</v>
      </c>
      <c r="Y102" s="6">
        <f>[1]Results!AB1540</f>
        <v>604.89182779999999</v>
      </c>
      <c r="Z102" s="6">
        <f>[1]Results!AC1540</f>
        <v>611.65471279999997</v>
      </c>
      <c r="AA102" s="6">
        <f>[1]Results!AD1540</f>
        <v>618.48561310000002</v>
      </c>
      <c r="AB102" s="6">
        <f>[1]Results!AE1540</f>
        <v>624.2484637</v>
      </c>
      <c r="AC102" s="6">
        <f>[1]Results!AF1540</f>
        <v>630.34859849999998</v>
      </c>
      <c r="AD102" s="6">
        <f>[1]Results!AG1540</f>
        <v>636.50851509999995</v>
      </c>
      <c r="AE102" s="6">
        <f>[1]Results!AH1540</f>
        <v>642.71601980000003</v>
      </c>
      <c r="AF102" s="6">
        <f>[1]Results!AI1540</f>
        <v>648.98148960000003</v>
      </c>
      <c r="AG102" s="6">
        <f>[1]Results!AJ1540</f>
        <v>655.31740119999995</v>
      </c>
      <c r="AH102" s="6">
        <f>[1]Results!AK1540</f>
        <v>661.74422779999998</v>
      </c>
      <c r="AI102" s="6">
        <f>[1]Results!AL1540</f>
        <v>668.26170100000002</v>
      </c>
      <c r="AJ102" s="6">
        <f>[1]Results!AM1540</f>
        <v>674.87446</v>
      </c>
      <c r="AK102" s="6">
        <f>[1]Results!AN1540</f>
        <v>681.58635770000001</v>
      </c>
      <c r="AL102" s="6">
        <f>[1]Results!AO1540</f>
        <v>688.39994520000005</v>
      </c>
      <c r="AM102" s="6">
        <f>[1]Results!AP1540</f>
        <v>695.14197609999997</v>
      </c>
      <c r="AN102" s="6">
        <f>[1]Results!AQ1540</f>
        <v>701.91786009999998</v>
      </c>
      <c r="AO102" s="6">
        <f>[1]Results!AR1540</f>
        <v>708.75774530000001</v>
      </c>
      <c r="AP102" s="6">
        <f>[1]Results!AS1540</f>
        <v>715.67589680000003</v>
      </c>
      <c r="AQ102" s="6">
        <f>[1]Results!AT1540</f>
        <v>722.68040800000006</v>
      </c>
      <c r="AR102" s="6">
        <f>[1]Results!AU1540</f>
        <v>729.79182679999997</v>
      </c>
      <c r="AS102" s="6">
        <f>[1]Results!AV1540</f>
        <v>737.0002399</v>
      </c>
      <c r="AT102" s="6">
        <f>[1]Results!AW1540</f>
        <v>744.30662299999995</v>
      </c>
      <c r="AU102" s="6">
        <f>[1]Results!AX1540</f>
        <v>751.71174489999999</v>
      </c>
      <c r="AV102" s="6">
        <f>[1]Results!AY1540</f>
        <v>759.21566429999996</v>
      </c>
      <c r="AW102" s="6">
        <f>[1]Results!AZ1540</f>
        <v>766.89740129999996</v>
      </c>
      <c r="AX102" s="6">
        <f>[1]Results!BA1540</f>
        <v>774.69409470000005</v>
      </c>
      <c r="AY102" s="6">
        <f>[1]Results!BB1540</f>
        <v>782.59932909999998</v>
      </c>
      <c r="AZ102" s="6">
        <f>[1]Results!BC1540</f>
        <v>790.61091969999995</v>
      </c>
      <c r="BA102" s="6">
        <f>[1]Results!BD1540</f>
        <v>798.72700610000004</v>
      </c>
      <c r="BB102" s="6">
        <f>[1]Results!BE1540</f>
        <v>947.16079630000002</v>
      </c>
      <c r="BC102" s="6">
        <f>[1]Results!BF1540</f>
        <v>961.08038239999996</v>
      </c>
      <c r="BD102" s="6">
        <f>[1]Results!BG1540</f>
        <v>975.23425729999997</v>
      </c>
      <c r="BE102" s="6">
        <f>[1]Results!BH1540</f>
        <v>989.62701319999996</v>
      </c>
      <c r="BF102" s="6">
        <f>[1]Results!BI1540</f>
        <v>1004.263659</v>
      </c>
    </row>
    <row r="103" spans="1:58" x14ac:dyDescent="0.35">
      <c r="B103" t="s">
        <v>37</v>
      </c>
      <c r="C103" s="6">
        <f>[1]Results!F1537</f>
        <v>-2139.552005</v>
      </c>
      <c r="D103" s="6">
        <f>[1]Results!G1537</f>
        <v>-2102.872609</v>
      </c>
      <c r="E103" s="6">
        <f>[1]Results!H1537</f>
        <v>-2101.4837419999999</v>
      </c>
      <c r="F103" s="6">
        <f>[1]Results!I1537</f>
        <v>-2106.1702829999999</v>
      </c>
      <c r="G103" s="6">
        <f>[1]Results!J1537</f>
        <v>-2114.6367679999998</v>
      </c>
      <c r="H103" s="6">
        <f>[1]Results!K1537</f>
        <v>-2127.383178</v>
      </c>
      <c r="I103" s="6">
        <f>[1]Results!L1537</f>
        <v>-2144.5949540000001</v>
      </c>
      <c r="J103" s="6">
        <f>[1]Results!M1537</f>
        <v>-2162.9996620000002</v>
      </c>
      <c r="K103" s="6">
        <f>[1]Results!N1537</f>
        <v>-2183.1321160000002</v>
      </c>
      <c r="L103" s="6">
        <f>[1]Results!O1537</f>
        <v>-2204.6259359999999</v>
      </c>
      <c r="M103" s="6">
        <f>[1]Results!P1537</f>
        <v>-2227.7345890000001</v>
      </c>
      <c r="N103" s="6">
        <f>[1]Results!Q1537</f>
        <v>-2247.0049650000001</v>
      </c>
      <c r="O103" s="6">
        <f>[1]Results!R1537</f>
        <v>-2273.0767179999998</v>
      </c>
      <c r="P103" s="6">
        <f>[1]Results!S1537</f>
        <v>-2300.4678309999999</v>
      </c>
      <c r="Q103" s="6">
        <f>[1]Results!T1537</f>
        <v>-2328.1449699999998</v>
      </c>
      <c r="R103" s="6">
        <f>[1]Results!U1537</f>
        <v>-2355.9395399999999</v>
      </c>
      <c r="S103" s="6">
        <f>[1]Results!V1537</f>
        <v>-2383.896088</v>
      </c>
      <c r="T103" s="6">
        <f>[1]Results!W1537</f>
        <v>-2411.6796880000002</v>
      </c>
      <c r="U103" s="6">
        <f>[1]Results!X1537</f>
        <v>-2439.5107659999999</v>
      </c>
      <c r="V103" s="6">
        <f>[1]Results!Y1537</f>
        <v>-2467.4287800000002</v>
      </c>
      <c r="W103" s="6">
        <f>[1]Results!Z1537</f>
        <v>-2496.044993</v>
      </c>
      <c r="X103" s="6">
        <f>[1]Results!AA1537</f>
        <v>-2521.8584879999999</v>
      </c>
      <c r="Y103" s="6">
        <f>[1]Results!AB1537</f>
        <v>-2549.425338</v>
      </c>
      <c r="Z103" s="6">
        <f>[1]Results!AC1537</f>
        <v>-2577.5319770000001</v>
      </c>
      <c r="AA103" s="6">
        <f>[1]Results!AD1537</f>
        <v>-2605.9130460000001</v>
      </c>
      <c r="AB103" s="6">
        <f>[1]Results!AE1537</f>
        <v>-2636.24406</v>
      </c>
      <c r="AC103" s="6">
        <f>[1]Results!AF1537</f>
        <v>-2659.3052200000002</v>
      </c>
      <c r="AD103" s="6">
        <f>[1]Results!AG1537</f>
        <v>-2684.3109129999998</v>
      </c>
      <c r="AE103" s="6">
        <f>[1]Results!AH1537</f>
        <v>-2709.826176</v>
      </c>
      <c r="AF103" s="6">
        <f>[1]Results!AI1537</f>
        <v>-2735.576192</v>
      </c>
      <c r="AG103" s="6">
        <f>[1]Results!AJ1537</f>
        <v>-2761.558528</v>
      </c>
      <c r="AH103" s="6">
        <f>[1]Results!AK1537</f>
        <v>-2787.7968169999999</v>
      </c>
      <c r="AI103" s="6">
        <f>[1]Results!AL1537</f>
        <v>-2814.4299489999999</v>
      </c>
      <c r="AJ103" s="6">
        <f>[1]Results!AM1537</f>
        <v>-2841.4216270000002</v>
      </c>
      <c r="AK103" s="6">
        <f>[1]Results!AN1537</f>
        <v>-2868.7757879999999</v>
      </c>
      <c r="AL103" s="6">
        <f>[1]Results!AO1537</f>
        <v>-2896.4983870000001</v>
      </c>
      <c r="AM103" s="6">
        <f>[1]Results!AP1537</f>
        <v>-2924.8084650000001</v>
      </c>
      <c r="AN103" s="6">
        <f>[1]Results!AQ1537</f>
        <v>-2952.6829389999998</v>
      </c>
      <c r="AO103" s="6">
        <f>[1]Results!AR1537</f>
        <v>-2980.5841140000002</v>
      </c>
      <c r="AP103" s="6">
        <f>[1]Results!AS1537</f>
        <v>-3008.675573</v>
      </c>
      <c r="AQ103" s="6">
        <f>[1]Results!AT1537</f>
        <v>-3037.022575</v>
      </c>
      <c r="AR103" s="6">
        <f>[1]Results!AU1537</f>
        <v>-3065.6268110000001</v>
      </c>
      <c r="AS103" s="6">
        <f>[1]Results!AV1537</f>
        <v>-3094.6668180000001</v>
      </c>
      <c r="AT103" s="6">
        <f>[1]Results!AW1537</f>
        <v>-3124.0515190000001</v>
      </c>
      <c r="AU103" s="6">
        <f>[1]Results!AX1537</f>
        <v>-3153.7710360000001</v>
      </c>
      <c r="AV103" s="6">
        <f>[1]Results!AY1537</f>
        <v>-3183.8258190000001</v>
      </c>
      <c r="AW103" s="6">
        <f>[1]Results!AZ1537</f>
        <v>-3214.0636039999999</v>
      </c>
      <c r="AX103" s="6">
        <f>[1]Results!BA1537</f>
        <v>-3245.2181930000002</v>
      </c>
      <c r="AY103" s="6">
        <f>[1]Results!BB1537</f>
        <v>-3276.8155240000001</v>
      </c>
      <c r="AZ103" s="6">
        <f>[1]Results!BC1537</f>
        <v>-3308.7648210000002</v>
      </c>
      <c r="BA103" s="6">
        <f>[1]Results!BD1537</f>
        <v>-3341.0462729999999</v>
      </c>
      <c r="BB103" s="6">
        <f>[1]Results!BE1537</f>
        <v>-4070.1845090000002</v>
      </c>
      <c r="BC103" s="6">
        <f>[1]Results!BF1537</f>
        <v>-4129.4091010000002</v>
      </c>
      <c r="BD103" s="6">
        <f>[1]Results!BG1537</f>
        <v>-4189.5967199999996</v>
      </c>
      <c r="BE103" s="6">
        <f>[1]Results!BH1537</f>
        <v>-4250.7691379999997</v>
      </c>
      <c r="BF103" s="6">
        <f>[1]Results!BI1537</f>
        <v>-4312.9515389999997</v>
      </c>
    </row>
    <row r="104" spans="1:58" x14ac:dyDescent="0.35"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</row>
    <row r="106" spans="1:58" x14ac:dyDescent="0.35">
      <c r="A106" s="12" t="s">
        <v>79</v>
      </c>
      <c r="B106" t="s">
        <v>14</v>
      </c>
      <c r="C106" s="7" t="s">
        <v>15</v>
      </c>
      <c r="D106" s="7" t="s">
        <v>16</v>
      </c>
      <c r="E106" s="7" t="s">
        <v>17</v>
      </c>
    </row>
    <row r="107" spans="1:58" x14ac:dyDescent="0.35">
      <c r="A107" t="s">
        <v>80</v>
      </c>
      <c r="B107" t="s">
        <v>27</v>
      </c>
      <c r="C107" s="4">
        <f>(R93-R79)/R79</f>
        <v>-4.2042835153456554E-2</v>
      </c>
      <c r="D107" s="10">
        <f>(AB93-AB79)/AB79</f>
        <v>-5.0380878476964507E-2</v>
      </c>
      <c r="E107" s="10">
        <f>(AL93-AL79)/AL79</f>
        <v>-6.0119143506200366E-2</v>
      </c>
    </row>
    <row r="108" spans="1:58" x14ac:dyDescent="0.35">
      <c r="B108" t="s">
        <v>7</v>
      </c>
      <c r="C108" s="4">
        <f t="shared" ref="C108:C114" si="62">(R94-R82)/R82</f>
        <v>-9.4222501774330988E-2</v>
      </c>
      <c r="D108" s="4">
        <f t="shared" ref="D108:D114" si="63">(AB94-AB82)/AB82</f>
        <v>-0.13079599871188838</v>
      </c>
      <c r="E108" s="4">
        <f t="shared" ref="E108:E114" si="64">(AL94-AL82)/AL82</f>
        <v>-0.16997923822846689</v>
      </c>
      <c r="Q108" s="5"/>
      <c r="U108" s="5"/>
      <c r="V108" s="5"/>
      <c r="Y108" s="5"/>
      <c r="Z108" s="5"/>
      <c r="AA108" s="5"/>
    </row>
    <row r="109" spans="1:58" x14ac:dyDescent="0.35">
      <c r="B109" t="s">
        <v>30</v>
      </c>
      <c r="C109" s="4">
        <f t="shared" si="62"/>
        <v>-5.9366296123251949E-2</v>
      </c>
      <c r="D109" s="4">
        <f t="shared" si="63"/>
        <v>-7.6613744279621046E-2</v>
      </c>
      <c r="E109" s="4">
        <f t="shared" si="64"/>
        <v>-9.1822549249498328E-2</v>
      </c>
      <c r="Q109" s="5"/>
      <c r="U109" s="5"/>
      <c r="V109" s="5"/>
      <c r="Y109" s="5"/>
      <c r="Z109" s="5"/>
      <c r="AA109" s="5"/>
    </row>
    <row r="110" spans="1:58" x14ac:dyDescent="0.35">
      <c r="B110" t="s">
        <v>9</v>
      </c>
      <c r="C110" s="4">
        <f t="shared" si="62"/>
        <v>-4.6789035097015236E-2</v>
      </c>
      <c r="D110" s="4">
        <f t="shared" si="63"/>
        <v>-5.6402949992931516E-2</v>
      </c>
      <c r="E110" s="4">
        <f t="shared" si="64"/>
        <v>-6.9406915828656018E-2</v>
      </c>
      <c r="Q110" s="5"/>
      <c r="U110" s="5"/>
      <c r="V110" s="5"/>
      <c r="Y110" s="5"/>
      <c r="Z110" s="5"/>
      <c r="AA110" s="5"/>
    </row>
    <row r="111" spans="1:58" x14ac:dyDescent="0.35">
      <c r="B111" t="s">
        <v>10</v>
      </c>
      <c r="C111" s="4">
        <f t="shared" si="62"/>
        <v>-3.7316584914438511E-2</v>
      </c>
      <c r="D111" s="4">
        <f t="shared" si="63"/>
        <v>-4.305587371335922E-2</v>
      </c>
      <c r="E111" s="4">
        <f t="shared" si="64"/>
        <v>-5.0749644683943697E-2</v>
      </c>
      <c r="Q111" s="5"/>
      <c r="U111" s="5"/>
      <c r="V111" s="5"/>
      <c r="Y111" s="5"/>
      <c r="Z111" s="5"/>
      <c r="AA111" s="5"/>
    </row>
    <row r="112" spans="1:58" x14ac:dyDescent="0.35">
      <c r="B112" t="s">
        <v>29</v>
      </c>
      <c r="C112" s="4">
        <f t="shared" si="62"/>
        <v>3.735840066500188E-2</v>
      </c>
      <c r="D112" s="4">
        <f t="shared" si="63"/>
        <v>5.2012724769372493E-2</v>
      </c>
      <c r="E112" s="4">
        <f t="shared" si="64"/>
        <v>6.0718762051155235E-2</v>
      </c>
      <c r="Q112" s="5"/>
      <c r="U112" s="5"/>
      <c r="V112" s="5"/>
      <c r="Y112" s="5"/>
      <c r="Z112" s="5"/>
      <c r="AA112" s="5"/>
    </row>
    <row r="113" spans="1:58" x14ac:dyDescent="0.35">
      <c r="B113" t="s">
        <v>36</v>
      </c>
      <c r="C113" s="4">
        <f t="shared" si="62"/>
        <v>-0.4792371160968748</v>
      </c>
      <c r="D113" s="4">
        <f t="shared" si="63"/>
        <v>-0.59266880071479699</v>
      </c>
      <c r="E113" s="4">
        <f t="shared" si="64"/>
        <v>-0.66322045224027859</v>
      </c>
      <c r="Q113" s="5"/>
      <c r="U113" s="5"/>
      <c r="V113" s="5"/>
      <c r="Y113" s="5"/>
      <c r="Z113" s="5"/>
      <c r="AA113" s="5"/>
    </row>
    <row r="114" spans="1:58" x14ac:dyDescent="0.35">
      <c r="B114" t="s">
        <v>33</v>
      </c>
      <c r="C114" s="4">
        <f t="shared" si="62"/>
        <v>-2.5415380271850217E-2</v>
      </c>
      <c r="D114" s="4">
        <f t="shared" si="63"/>
        <v>-3.0345891390528998E-2</v>
      </c>
      <c r="E114" s="4">
        <f t="shared" si="64"/>
        <v>-4.0894828169875587E-2</v>
      </c>
      <c r="Q114" s="5"/>
      <c r="U114" s="5"/>
      <c r="V114" s="5"/>
      <c r="Y114" s="5"/>
      <c r="Z114" s="5"/>
      <c r="AA114" s="5"/>
    </row>
    <row r="115" spans="1:58" x14ac:dyDescent="0.35"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  <c r="BD115" s="5"/>
      <c r="BE115" s="5"/>
      <c r="BF115" s="5"/>
    </row>
    <row r="116" spans="1:58" x14ac:dyDescent="0.35">
      <c r="A116" s="12" t="s">
        <v>79</v>
      </c>
      <c r="B116" t="s">
        <v>14</v>
      </c>
      <c r="C116" s="7" t="s">
        <v>15</v>
      </c>
      <c r="D116" s="7" t="s">
        <v>16</v>
      </c>
      <c r="E116" s="7" t="s">
        <v>17</v>
      </c>
    </row>
    <row r="117" spans="1:58" x14ac:dyDescent="0.35">
      <c r="A117" t="s">
        <v>81</v>
      </c>
      <c r="B117" t="s">
        <v>7</v>
      </c>
      <c r="C117" s="4">
        <f>R94/R82-1</f>
        <v>-9.4222501774331002E-2</v>
      </c>
      <c r="D117" s="4">
        <f>AB94/AB82-1</f>
        <v>-0.13079599871188841</v>
      </c>
      <c r="E117" s="4">
        <f>AL94/AL82-1</f>
        <v>-0.16997923822846683</v>
      </c>
    </row>
    <row r="118" spans="1:58" x14ac:dyDescent="0.35">
      <c r="B118" t="s">
        <v>30</v>
      </c>
      <c r="C118" s="4">
        <f>R95/R83-1</f>
        <v>-5.9366296123251949E-2</v>
      </c>
      <c r="D118" s="4">
        <f>AB95/AB83-1</f>
        <v>-7.6613744279621088E-2</v>
      </c>
      <c r="E118" s="4">
        <f>AL95/AL83-1</f>
        <v>-9.1822549249498286E-2</v>
      </c>
    </row>
    <row r="119" spans="1:58" x14ac:dyDescent="0.35">
      <c r="B119" t="s">
        <v>9</v>
      </c>
      <c r="C119" s="4">
        <f>R96/R84-1</f>
        <v>-4.6789035097015264E-2</v>
      </c>
      <c r="D119" s="4">
        <f>AB96/AB84-1</f>
        <v>-5.6402949992931495E-2</v>
      </c>
      <c r="E119" s="4">
        <f>AL96/AL84-1</f>
        <v>-6.9406915828655991E-2</v>
      </c>
    </row>
    <row r="120" spans="1:58" x14ac:dyDescent="0.35">
      <c r="B120" t="s">
        <v>10</v>
      </c>
      <c r="C120" s="4">
        <f>R97/R85-1</f>
        <v>-3.7316584914438566E-2</v>
      </c>
      <c r="D120" s="4">
        <f>AB97/AB85-1</f>
        <v>-4.3055873713359172E-2</v>
      </c>
      <c r="E120" s="4">
        <f>AL97/AL85-1</f>
        <v>-5.0749644683943718E-2</v>
      </c>
    </row>
    <row r="121" spans="1:58" x14ac:dyDescent="0.35">
      <c r="B121" t="s">
        <v>29</v>
      </c>
      <c r="C121" s="4">
        <f>R98/R86-1</f>
        <v>3.7358400665001845E-2</v>
      </c>
      <c r="D121" s="4">
        <f>AB98/AB86-1</f>
        <v>5.2012724769372465E-2</v>
      </c>
      <c r="E121" s="4">
        <f>AL98/AL86-1</f>
        <v>6.0718762051155339E-2</v>
      </c>
    </row>
    <row r="122" spans="1:58" x14ac:dyDescent="0.35">
      <c r="B122" t="s">
        <v>33</v>
      </c>
      <c r="C122" s="4">
        <f>R100/R88-1</f>
        <v>-2.5415380271850196E-2</v>
      </c>
      <c r="D122" s="4">
        <f>AB100/AB88-1</f>
        <v>-3.0345891390529012E-2</v>
      </c>
      <c r="E122" s="4">
        <f>AL100/AL88-1</f>
        <v>-4.0894828169875552E-2</v>
      </c>
    </row>
    <row r="124" spans="1:58" x14ac:dyDescent="0.35">
      <c r="A124" s="12" t="s">
        <v>82</v>
      </c>
      <c r="C124" s="2">
        <v>42005</v>
      </c>
      <c r="D124" s="2">
        <v>42370</v>
      </c>
      <c r="E124" s="2">
        <v>42736</v>
      </c>
      <c r="F124" s="2">
        <v>43101</v>
      </c>
      <c r="G124" s="2">
        <v>43466</v>
      </c>
      <c r="H124" s="2">
        <v>43831</v>
      </c>
      <c r="I124" s="2">
        <v>44197</v>
      </c>
      <c r="J124" s="2">
        <v>44562</v>
      </c>
      <c r="K124" s="2">
        <v>44927</v>
      </c>
      <c r="L124" s="2">
        <v>45292</v>
      </c>
      <c r="M124" s="2">
        <v>45658</v>
      </c>
      <c r="N124" s="2">
        <v>46023</v>
      </c>
      <c r="O124" s="2">
        <v>46388</v>
      </c>
      <c r="P124" s="2">
        <v>46753</v>
      </c>
      <c r="Q124" s="2">
        <v>47119</v>
      </c>
      <c r="R124" s="2">
        <v>47484</v>
      </c>
      <c r="S124" s="2">
        <v>47849</v>
      </c>
      <c r="T124" s="2">
        <v>48214</v>
      </c>
      <c r="U124" s="2">
        <v>48580</v>
      </c>
      <c r="V124" s="2">
        <v>48945</v>
      </c>
      <c r="W124" s="2">
        <v>49310</v>
      </c>
      <c r="X124" s="2">
        <v>49675</v>
      </c>
      <c r="Y124" s="2">
        <v>50041</v>
      </c>
      <c r="Z124" s="2">
        <v>50406</v>
      </c>
      <c r="AA124" s="2">
        <v>50771</v>
      </c>
      <c r="AB124" s="2">
        <v>51136</v>
      </c>
      <c r="AC124" s="2">
        <v>51502</v>
      </c>
      <c r="AD124" s="2">
        <v>51867</v>
      </c>
      <c r="AE124" s="2">
        <v>52232</v>
      </c>
      <c r="AF124" s="2">
        <v>52597</v>
      </c>
      <c r="AG124" s="2">
        <v>52963</v>
      </c>
      <c r="AH124" s="2">
        <v>53328</v>
      </c>
      <c r="AI124" s="2">
        <v>53693</v>
      </c>
      <c r="AJ124" s="2">
        <v>54058</v>
      </c>
      <c r="AK124" s="2">
        <v>54424</v>
      </c>
      <c r="AL124" s="2">
        <v>54789</v>
      </c>
      <c r="AM124" s="2">
        <v>54790</v>
      </c>
      <c r="AN124" s="2">
        <v>54791</v>
      </c>
      <c r="AO124" s="2">
        <v>54792</v>
      </c>
      <c r="AP124" s="2">
        <v>54793</v>
      </c>
      <c r="AQ124" s="2">
        <v>54794</v>
      </c>
      <c r="AR124" s="2">
        <v>54795</v>
      </c>
      <c r="AS124" s="2">
        <v>54796</v>
      </c>
      <c r="AT124" s="2">
        <v>54797</v>
      </c>
      <c r="AU124" s="2">
        <v>54798</v>
      </c>
      <c r="AV124" s="2">
        <v>54799</v>
      </c>
      <c r="AW124" s="2">
        <v>54800</v>
      </c>
      <c r="AX124" s="2">
        <v>54801</v>
      </c>
      <c r="AY124" s="2">
        <v>54802</v>
      </c>
      <c r="AZ124" s="2">
        <v>54803</v>
      </c>
      <c r="BA124" s="2">
        <v>54804</v>
      </c>
      <c r="BB124" s="2">
        <v>54805</v>
      </c>
      <c r="BC124" s="2">
        <v>54806</v>
      </c>
      <c r="BD124" s="2">
        <v>54807</v>
      </c>
      <c r="BE124" s="2">
        <v>54808</v>
      </c>
      <c r="BF124" s="2">
        <v>54809</v>
      </c>
    </row>
    <row r="125" spans="1:58" x14ac:dyDescent="0.35">
      <c r="A125" t="s">
        <v>38</v>
      </c>
      <c r="B125" t="s">
        <v>27</v>
      </c>
      <c r="C125" s="6">
        <f>[1]Production!B3</f>
        <v>3859362.8769999999</v>
      </c>
      <c r="D125" s="6">
        <f>[1]Production!C3</f>
        <v>3908270.1009999998</v>
      </c>
      <c r="E125" s="6">
        <f>[1]Production!D3</f>
        <v>3962069.2280000001</v>
      </c>
      <c r="F125" s="6">
        <f>[1]Production!E3</f>
        <v>4019511.3670000001</v>
      </c>
      <c r="G125" s="6">
        <f>[1]Production!F3</f>
        <v>4080255.4750000001</v>
      </c>
      <c r="H125" s="6">
        <f>[1]Production!G3</f>
        <v>4143927.4419999998</v>
      </c>
      <c r="I125" s="6">
        <f>[1]Production!H3</f>
        <v>4207559.4890000001</v>
      </c>
      <c r="J125" s="6">
        <f>[1]Production!I3</f>
        <v>4272581.2709999997</v>
      </c>
      <c r="K125" s="6">
        <f>[1]Production!J3</f>
        <v>4339001.517</v>
      </c>
      <c r="L125" s="6">
        <f>[1]Production!K3</f>
        <v>4406764.1679999996</v>
      </c>
      <c r="M125" s="6">
        <f>[1]Production!L3</f>
        <v>4480406.0329999998</v>
      </c>
      <c r="N125" s="6">
        <f>[1]Production!M3</f>
        <v>4552217.8289999999</v>
      </c>
      <c r="O125" s="6">
        <f>[1]Production!N3</f>
        <v>4624727.4239999996</v>
      </c>
      <c r="P125" s="6">
        <f>[1]Production!O3</f>
        <v>4698046.068</v>
      </c>
      <c r="Q125" s="6">
        <f>[1]Production!P3</f>
        <v>4772200.3480000002</v>
      </c>
      <c r="R125" s="6">
        <f>[1]Production!Q3</f>
        <v>4847214.2019999996</v>
      </c>
      <c r="S125" s="6">
        <f>[1]Production!R3</f>
        <v>4923123.2309999997</v>
      </c>
      <c r="T125" s="6">
        <f>[1]Production!S3</f>
        <v>4999973.1310000001</v>
      </c>
      <c r="U125" s="6">
        <f>[1]Production!T3</f>
        <v>5077814.9989999998</v>
      </c>
      <c r="V125" s="6">
        <f>[1]Production!U3</f>
        <v>5156701.102</v>
      </c>
      <c r="W125" s="6">
        <f>[1]Production!V3</f>
        <v>5233255.7680000002</v>
      </c>
      <c r="X125" s="6">
        <f>[1]Production!W3</f>
        <v>5313205.6320000002</v>
      </c>
      <c r="Y125" s="6">
        <f>[1]Production!X3</f>
        <v>5394678.6030000001</v>
      </c>
      <c r="Z125" s="6">
        <f>[1]Production!Y3</f>
        <v>5477598.7450000001</v>
      </c>
      <c r="AA125" s="6">
        <f>[1]Production!Z3</f>
        <v>5561956.7209999999</v>
      </c>
      <c r="AB125" s="6">
        <f>[1]Production!AA3</f>
        <v>5637837.6509999996</v>
      </c>
      <c r="AC125" s="6">
        <f>[1]Production!AB3</f>
        <v>5716951.4349999996</v>
      </c>
      <c r="AD125" s="6">
        <f>[1]Production!AC3</f>
        <v>5796788.8870000001</v>
      </c>
      <c r="AE125" s="6">
        <f>[1]Production!AD3</f>
        <v>5877455.5650000004</v>
      </c>
      <c r="AF125" s="6">
        <f>[1]Production!AE3</f>
        <v>5959108.4539999999</v>
      </c>
      <c r="AG125" s="6">
        <f>[1]Production!AF3</f>
        <v>6041880.5729999999</v>
      </c>
      <c r="AH125" s="6">
        <f>[1]Production!AG3</f>
        <v>6125866.5240000002</v>
      </c>
      <c r="AI125" s="6">
        <f>[1]Production!AH3</f>
        <v>6211124.6909999996</v>
      </c>
      <c r="AJ125" s="6">
        <f>[1]Production!AI3</f>
        <v>6297684.6050000004</v>
      </c>
      <c r="AK125" s="6">
        <f>[1]Production!AJ3</f>
        <v>6385555.3959999997</v>
      </c>
      <c r="AL125" s="6">
        <f>[1]Production!AK3</f>
        <v>6474733.5049999999</v>
      </c>
      <c r="AM125" s="6">
        <f>[1]Production!AL3</f>
        <v>6562799.7130000005</v>
      </c>
      <c r="AN125" s="6">
        <f>[1]Production!AM3</f>
        <v>6651295.6140000001</v>
      </c>
      <c r="AO125" s="6">
        <f>[1]Production!AN3</f>
        <v>6740437.574</v>
      </c>
      <c r="AP125" s="6">
        <f>[1]Production!AO3</f>
        <v>6830366.6540000001</v>
      </c>
      <c r="AQ125" s="6">
        <f>[1]Production!AP3</f>
        <v>6921197.2130000005</v>
      </c>
      <c r="AR125" s="6">
        <f>[1]Production!AQ3</f>
        <v>7013024.5619999999</v>
      </c>
      <c r="AS125" s="6">
        <f>[1]Production!AR3</f>
        <v>7105925.4680000003</v>
      </c>
      <c r="AT125" s="6">
        <f>[1]Production!AS3</f>
        <v>7199958.9230000004</v>
      </c>
      <c r="AU125" s="6">
        <f>[1]Production!AT3</f>
        <v>7295168.3439999996</v>
      </c>
      <c r="AV125" s="6">
        <f>[1]Production!AU3</f>
        <v>7391584.9139999999</v>
      </c>
      <c r="AW125" s="6">
        <f>[1]Production!AV3</f>
        <v>7489450.551</v>
      </c>
      <c r="AX125" s="6">
        <f>[1]Production!AW3</f>
        <v>7588641.1490000002</v>
      </c>
      <c r="AY125" s="6">
        <f>[1]Production!AX3</f>
        <v>7689151.8480000002</v>
      </c>
      <c r="AZ125" s="6">
        <f>[1]Production!AY3</f>
        <v>7790980.6100000003</v>
      </c>
      <c r="BA125" s="6">
        <f>[1]Production!AZ3</f>
        <v>7894128.398</v>
      </c>
      <c r="BB125" s="6">
        <f>[1]Production!BA3</f>
        <v>8712181.8599999994</v>
      </c>
      <c r="BC125" s="6">
        <f>[1]Production!BB3</f>
        <v>8859098.2300000004</v>
      </c>
      <c r="BD125" s="6">
        <f>[1]Production!BC3</f>
        <v>9008308.0109999999</v>
      </c>
      <c r="BE125" s="6">
        <f>[1]Production!BD3</f>
        <v>9159849.0710000005</v>
      </c>
      <c r="BF125" s="6">
        <f>[1]Production!BE3</f>
        <v>9313761.7990000006</v>
      </c>
    </row>
    <row r="126" spans="1:58" x14ac:dyDescent="0.35">
      <c r="B126" t="s">
        <v>7</v>
      </c>
      <c r="C126" s="6">
        <f>[1]Production!B5+[1]Production!B7</f>
        <v>88399.361327999999</v>
      </c>
      <c r="D126" s="6">
        <f>[1]Production!C5+[1]Production!C7</f>
        <v>89086.882841000013</v>
      </c>
      <c r="E126" s="6">
        <f>[1]Production!D5+[1]Production!D7</f>
        <v>89901.650273000007</v>
      </c>
      <c r="F126" s="6">
        <f>[1]Production!E5+[1]Production!E7</f>
        <v>90860.683355000001</v>
      </c>
      <c r="G126" s="6">
        <f>[1]Production!F5+[1]Production!F7</f>
        <v>91956.934039</v>
      </c>
      <c r="H126" s="6">
        <f>[1]Production!G5+[1]Production!G7</f>
        <v>93174.719901000004</v>
      </c>
      <c r="I126" s="6">
        <f>[1]Production!H5+[1]Production!H7</f>
        <v>94440.778936999995</v>
      </c>
      <c r="J126" s="6">
        <f>[1]Production!I5+[1]Production!I7</f>
        <v>95767.21200900001</v>
      </c>
      <c r="K126" s="6">
        <f>[1]Production!J5+[1]Production!J7</f>
        <v>97145.316172999999</v>
      </c>
      <c r="L126" s="6">
        <f>[1]Production!K5+[1]Production!K7</f>
        <v>98567.024107999998</v>
      </c>
      <c r="M126" s="6">
        <f>[1]Production!L5+[1]Production!L7</f>
        <v>100120.727058</v>
      </c>
      <c r="N126" s="6">
        <f>[1]Production!M5+[1]Production!M7</f>
        <v>101653.34254500001</v>
      </c>
      <c r="O126" s="6">
        <f>[1]Production!N5+[1]Production!N7</f>
        <v>103202.054007</v>
      </c>
      <c r="P126" s="6">
        <f>[1]Production!O5+[1]Production!O7</f>
        <v>104767.053999</v>
      </c>
      <c r="Q126" s="6">
        <f>[1]Production!P5+[1]Production!P7</f>
        <v>106347.418567</v>
      </c>
      <c r="R126" s="6">
        <f>[1]Production!Q5+[1]Production!Q7</f>
        <v>107942.74709600001</v>
      </c>
      <c r="S126" s="6">
        <f>[1]Production!R5+[1]Production!R7</f>
        <v>109553.312913</v>
      </c>
      <c r="T126" s="6">
        <f>[1]Production!S5+[1]Production!S7</f>
        <v>111179.89243200001</v>
      </c>
      <c r="U126" s="6">
        <f>[1]Production!T5+[1]Production!T7</f>
        <v>112823.56643200001</v>
      </c>
      <c r="V126" s="6">
        <f>[1]Production!U5+[1]Production!U7</f>
        <v>114485.56404</v>
      </c>
      <c r="W126" s="6">
        <f>[1]Production!V5+[1]Production!V7</f>
        <v>116096.80743</v>
      </c>
      <c r="X126" s="6">
        <f>[1]Production!W5+[1]Production!W7</f>
        <v>117768.01045100001</v>
      </c>
      <c r="Y126" s="6">
        <f>[1]Production!X5+[1]Production!X7</f>
        <v>119470.07229900001</v>
      </c>
      <c r="Z126" s="6">
        <f>[1]Production!Y5+[1]Production!Y7</f>
        <v>121201.76809900001</v>
      </c>
      <c r="AA126" s="6">
        <f>[1]Production!Z5+[1]Production!Z7</f>
        <v>122963.148759</v>
      </c>
      <c r="AB126" s="6">
        <f>[1]Production!AA5+[1]Production!AA7</f>
        <v>124551.21458199999</v>
      </c>
      <c r="AC126" s="6">
        <f>[1]Production!AB5+[1]Production!AB7</f>
        <v>126185.31456299999</v>
      </c>
      <c r="AD126" s="6">
        <f>[1]Production!AC5+[1]Production!AC7</f>
        <v>127830.37255</v>
      </c>
      <c r="AE126" s="6">
        <f>[1]Production!AD5+[1]Production!AD7</f>
        <v>129491.06476200001</v>
      </c>
      <c r="AF126" s="6">
        <f>[1]Production!AE5+[1]Production!AE7</f>
        <v>131172.84805999999</v>
      </c>
      <c r="AG126" s="6">
        <f>[1]Production!AF5+[1]Production!AF7</f>
        <v>132880.20105800001</v>
      </c>
      <c r="AH126" s="6">
        <f>[1]Production!AG5+[1]Production!AG7</f>
        <v>134616.32668500001</v>
      </c>
      <c r="AI126" s="6">
        <f>[1]Production!AH5+[1]Production!AH7</f>
        <v>136383.27916900002</v>
      </c>
      <c r="AJ126" s="6">
        <f>[1]Production!AI5+[1]Production!AI7</f>
        <v>138182.213349</v>
      </c>
      <c r="AK126" s="6">
        <f>[1]Production!AJ5+[1]Production!AJ7</f>
        <v>140013.64706299998</v>
      </c>
      <c r="AL126" s="6">
        <f>[1]Production!AK5+[1]Production!AK7</f>
        <v>141877.69029699999</v>
      </c>
      <c r="AM126" s="6">
        <f>[1]Production!AL5+[1]Production!AL7</f>
        <v>143725.069885</v>
      </c>
      <c r="AN126" s="6">
        <f>[1]Production!AM5+[1]Production!AM7</f>
        <v>145582.33984900001</v>
      </c>
      <c r="AO126" s="6">
        <f>[1]Production!AN5+[1]Production!AN7</f>
        <v>147455.168152</v>
      </c>
      <c r="AP126" s="6">
        <f>[1]Production!AO5+[1]Production!AO7</f>
        <v>149347.67300100002</v>
      </c>
      <c r="AQ126" s="6">
        <f>[1]Production!AP5+[1]Production!AP7</f>
        <v>151263.34213899999</v>
      </c>
      <c r="AR126" s="6">
        <f>[1]Production!AQ5+[1]Production!AQ7</f>
        <v>153205.09818</v>
      </c>
      <c r="AS126" s="6">
        <f>[1]Production!AR5+[1]Production!AR7</f>
        <v>155175.260843</v>
      </c>
      <c r="AT126" s="6">
        <f>[1]Production!AS5+[1]Production!AS7</f>
        <v>157175.553288</v>
      </c>
      <c r="AU126" s="6">
        <f>[1]Production!AT5+[1]Production!AT7</f>
        <v>159207.16060999999</v>
      </c>
      <c r="AV126" s="6">
        <f>[1]Production!AU5+[1]Production!AU7</f>
        <v>161270.80060799999</v>
      </c>
      <c r="AW126" s="6">
        <f>[1]Production!AV5+[1]Production!AV7</f>
        <v>163371.10905</v>
      </c>
      <c r="AX126" s="6">
        <f>[1]Production!AW5+[1]Production!AW7</f>
        <v>165506.00809300001</v>
      </c>
      <c r="AY126" s="6">
        <f>[1]Production!AX5+[1]Production!AX7</f>
        <v>167675.354292</v>
      </c>
      <c r="AZ126" s="6">
        <f>[1]Production!AY5+[1]Production!AY7</f>
        <v>169878.87333600002</v>
      </c>
      <c r="BA126" s="6">
        <f>[1]Production!AZ5+[1]Production!AZ7</f>
        <v>172116.29788199998</v>
      </c>
      <c r="BB126" s="6">
        <f>[1]Production!BA5+[1]Production!BA7</f>
        <v>187349.718796</v>
      </c>
      <c r="BC126" s="6">
        <f>[1]Production!BB5+[1]Production!BB7</f>
        <v>190365.57513399998</v>
      </c>
      <c r="BD126" s="6">
        <f>[1]Production!BC5+[1]Production!BC7</f>
        <v>193432.17496200002</v>
      </c>
      <c r="BE126" s="6">
        <f>[1]Production!BD5+[1]Production!BD7</f>
        <v>196550.74918099999</v>
      </c>
      <c r="BF126" s="6">
        <f>[1]Production!BE5+[1]Production!BE7</f>
        <v>199722.56682400001</v>
      </c>
    </row>
    <row r="127" spans="1:58" x14ac:dyDescent="0.35">
      <c r="B127" t="s">
        <v>30</v>
      </c>
      <c r="C127" s="6">
        <f>[1]Production!B9+[1]Production!B11+[1]Production!B13+[1]Production!B15+[1]Production!B17+[1]Production!B19+[1]Production!B21+[1]Production!B23+[1]Production!B25+[1]Production!B27+[1]Production!B41</f>
        <v>980668.46073000005</v>
      </c>
      <c r="D127" s="6">
        <f>[1]Production!C9+[1]Production!C11+[1]Production!C13+[1]Production!C15+[1]Production!C17+[1]Production!C19+[1]Production!C21+[1]Production!C23+[1]Production!C25+[1]Production!C27+[1]Production!C41</f>
        <v>993738.3329650003</v>
      </c>
      <c r="E127" s="6">
        <f>[1]Production!D9+[1]Production!D11+[1]Production!D13+[1]Production!D15+[1]Production!D17+[1]Production!D19+[1]Production!D21+[1]Production!D23+[1]Production!D25+[1]Production!D27+[1]Production!D41</f>
        <v>1008305.610874</v>
      </c>
      <c r="F127" s="6">
        <f>[1]Production!E9+[1]Production!E11+[1]Production!E13+[1]Production!E15+[1]Production!E17+[1]Production!E19+[1]Production!E21+[1]Production!E23+[1]Production!E25+[1]Production!E27+[1]Production!E41</f>
        <v>1023739.502298</v>
      </c>
      <c r="G127" s="6">
        <f>[1]Production!F9+[1]Production!F11+[1]Production!F13+[1]Production!F15+[1]Production!F17+[1]Production!F19+[1]Production!F21+[1]Production!F23+[1]Production!F25+[1]Production!F27+[1]Production!F41</f>
        <v>1039865.8878820001</v>
      </c>
      <c r="H127" s="6">
        <f>[1]Production!G9+[1]Production!G11+[1]Production!G13+[1]Production!G15+[1]Production!G17+[1]Production!G19+[1]Production!G21+[1]Production!G23+[1]Production!G25+[1]Production!G27+[1]Production!G41</f>
        <v>1056587.3338310001</v>
      </c>
      <c r="I127" s="6">
        <f>[1]Production!H9+[1]Production!H11+[1]Production!H13+[1]Production!H15+[1]Production!H17+[1]Production!H19+[1]Production!H21+[1]Production!H23+[1]Production!H25+[1]Production!H27+[1]Production!H41</f>
        <v>1073194.7001189997</v>
      </c>
      <c r="J127" s="6">
        <f>[1]Production!I9+[1]Production!I11+[1]Production!I13+[1]Production!I15+[1]Production!I17+[1]Production!I19+[1]Production!I21+[1]Production!I23+[1]Production!I25+[1]Production!I27+[1]Production!I41</f>
        <v>1090088.1232469999</v>
      </c>
      <c r="K127" s="6">
        <f>[1]Production!J9+[1]Production!J11+[1]Production!J13+[1]Production!J15+[1]Production!J17+[1]Production!J19+[1]Production!J21+[1]Production!J23+[1]Production!J25+[1]Production!J27+[1]Production!J41</f>
        <v>1107297.168728</v>
      </c>
      <c r="L127" s="6">
        <f>[1]Production!K9+[1]Production!K11+[1]Production!K13+[1]Production!K15+[1]Production!K17+[1]Production!K19+[1]Production!K21+[1]Production!K23+[1]Production!K25+[1]Production!K27+[1]Production!K41</f>
        <v>1124832.024743</v>
      </c>
      <c r="M127" s="6">
        <f>[1]Production!L9+[1]Production!L11+[1]Production!L13+[1]Production!L15+[1]Production!L17+[1]Production!L19+[1]Production!L21+[1]Production!L23+[1]Production!L25+[1]Production!L27+[1]Production!L41</f>
        <v>1143837.2185220001</v>
      </c>
      <c r="N127" s="6">
        <f>[1]Production!M9+[1]Production!M11+[1]Production!M13+[1]Production!M15+[1]Production!M17+[1]Production!M19+[1]Production!M21+[1]Production!M23+[1]Production!M25+[1]Production!M27+[1]Production!M41</f>
        <v>1162394.564053</v>
      </c>
      <c r="O127" s="6">
        <f>[1]Production!N9+[1]Production!N11+[1]Production!N13+[1]Production!N15+[1]Production!N17+[1]Production!N19+[1]Production!N21+[1]Production!N23+[1]Production!N25+[1]Production!N27+[1]Production!N41</f>
        <v>1181172.4018250001</v>
      </c>
      <c r="P127" s="6">
        <f>[1]Production!O9+[1]Production!O11+[1]Production!O13+[1]Production!O15+[1]Production!O17+[1]Production!O19+[1]Production!O21+[1]Production!O23+[1]Production!O25+[1]Production!O27+[1]Production!O41</f>
        <v>1200204.990735</v>
      </c>
      <c r="Q127" s="6">
        <f>[1]Production!P9+[1]Production!P11+[1]Production!P13+[1]Production!P15+[1]Production!P17+[1]Production!P19+[1]Production!P21+[1]Production!P23+[1]Production!P25+[1]Production!P27+[1]Production!P41</f>
        <v>1219506.9153819999</v>
      </c>
      <c r="R127" s="6">
        <f>[1]Production!Q9+[1]Production!Q11+[1]Production!Q13+[1]Production!Q15+[1]Production!Q17+[1]Production!Q19+[1]Production!Q21+[1]Production!Q23+[1]Production!Q25+[1]Production!Q27+[1]Production!Q41</f>
        <v>1239090.2207000002</v>
      </c>
      <c r="S127" s="6">
        <f>[1]Production!R9+[1]Production!R11+[1]Production!R13+[1]Production!R15+[1]Production!R17+[1]Production!R19+[1]Production!R21+[1]Production!R23+[1]Production!R25+[1]Production!R27+[1]Production!R41</f>
        <v>1258968.0764830003</v>
      </c>
      <c r="T127" s="6">
        <f>[1]Production!S9+[1]Production!S11+[1]Production!S13+[1]Production!S15+[1]Production!S17+[1]Production!S19+[1]Production!S21+[1]Production!S23+[1]Production!S25+[1]Production!S27+[1]Production!S41</f>
        <v>1279154.9634469999</v>
      </c>
      <c r="U127" s="6">
        <f>[1]Production!T9+[1]Production!T11+[1]Production!T13+[1]Production!T15+[1]Production!T17+[1]Production!T19+[1]Production!T21+[1]Production!T23+[1]Production!T25+[1]Production!T27+[1]Production!T41</f>
        <v>1299665.8853169999</v>
      </c>
      <c r="V127" s="6">
        <f>[1]Production!U9+[1]Production!U11+[1]Production!U13+[1]Production!U15+[1]Production!U17+[1]Production!U19+[1]Production!U21+[1]Production!U23+[1]Production!U25+[1]Production!U27+[1]Production!U41</f>
        <v>1320515.45695</v>
      </c>
      <c r="W127" s="6">
        <f>[1]Production!V9+[1]Production!V11+[1]Production!V13+[1]Production!V15+[1]Production!V17+[1]Production!V19+[1]Production!V21+[1]Production!V23+[1]Production!V25+[1]Production!V27+[1]Production!V41</f>
        <v>1340867.5348130001</v>
      </c>
      <c r="X127" s="6">
        <f>[1]Production!W9+[1]Production!W11+[1]Production!W13+[1]Production!W15+[1]Production!W17+[1]Production!W19+[1]Production!W21+[1]Production!W23+[1]Production!W25+[1]Production!W27+[1]Production!W41</f>
        <v>1362155.262817</v>
      </c>
      <c r="Y127" s="6">
        <f>[1]Production!X9+[1]Production!X11+[1]Production!X13+[1]Production!X15+[1]Production!X17+[1]Production!X19+[1]Production!X21+[1]Production!X23+[1]Production!X25+[1]Production!X27+[1]Production!X41</f>
        <v>1383892.690063</v>
      </c>
      <c r="Z127" s="6">
        <f>[1]Production!Y9+[1]Production!Y11+[1]Production!Y13+[1]Production!Y15+[1]Production!Y17+[1]Production!Y19+[1]Production!Y21+[1]Production!Y23+[1]Production!Y25+[1]Production!Y27+[1]Production!Y41</f>
        <v>1406061.595186</v>
      </c>
      <c r="AA127" s="6">
        <f>[1]Production!Z9+[1]Production!Z11+[1]Production!Z13+[1]Production!Z15+[1]Production!Z17+[1]Production!Z19+[1]Production!Z21+[1]Production!Z23+[1]Production!Z25+[1]Production!Z27+[1]Production!Z41</f>
        <v>1428657.4596170001</v>
      </c>
      <c r="AB127" s="6">
        <f>[1]Production!AA9+[1]Production!AA11+[1]Production!AA13+[1]Production!AA15+[1]Production!AA17+[1]Production!AA19+[1]Production!AA21+[1]Production!AA23+[1]Production!AA25+[1]Production!AA27+[1]Production!AA41</f>
        <v>1449218.652943</v>
      </c>
      <c r="AC127" s="6">
        <f>[1]Production!AB9+[1]Production!AB11+[1]Production!AB13+[1]Production!AB15+[1]Production!AB17+[1]Production!AB19+[1]Production!AB21+[1]Production!AB23+[1]Production!AB25+[1]Production!AB27+[1]Production!AB41</f>
        <v>1470680.4745759999</v>
      </c>
      <c r="AD127" s="6">
        <f>[1]Production!AC9+[1]Production!AC11+[1]Production!AC13+[1]Production!AC15+[1]Production!AC17+[1]Production!AC19+[1]Production!AC21+[1]Production!AC23+[1]Production!AC25+[1]Production!AC27+[1]Production!AC41</f>
        <v>1492374.6374829998</v>
      </c>
      <c r="AE127" s="6">
        <f>[1]Production!AD9+[1]Production!AD11+[1]Production!AD13+[1]Production!AD15+[1]Production!AD17+[1]Production!AD19+[1]Production!AD21+[1]Production!AD23+[1]Production!AD25+[1]Production!AD27+[1]Production!AD41</f>
        <v>1514317.7264320001</v>
      </c>
      <c r="AF127" s="6">
        <f>[1]Production!AE9+[1]Production!AE11+[1]Production!AE13+[1]Production!AE15+[1]Production!AE17+[1]Production!AE19+[1]Production!AE21+[1]Production!AE23+[1]Production!AE25+[1]Production!AE27+[1]Production!AE41</f>
        <v>1536535.2948359998</v>
      </c>
      <c r="AG127" s="6">
        <f>[1]Production!AF9+[1]Production!AF11+[1]Production!AF13+[1]Production!AF15+[1]Production!AF17+[1]Production!AF19+[1]Production!AF21+[1]Production!AF23+[1]Production!AF25+[1]Production!AF27+[1]Production!AF41</f>
        <v>1559047.915454</v>
      </c>
      <c r="AH127" s="6">
        <f>[1]Production!AG9+[1]Production!AG11+[1]Production!AG13+[1]Production!AG15+[1]Production!AG17+[1]Production!AG19+[1]Production!AG21+[1]Production!AG23+[1]Production!AG25+[1]Production!AG27+[1]Production!AG41</f>
        <v>1581868.43631</v>
      </c>
      <c r="AI127" s="6">
        <f>[1]Production!AH9+[1]Production!AH11+[1]Production!AH13+[1]Production!AH15+[1]Production!AH17+[1]Production!AH19+[1]Production!AH21+[1]Production!AH23+[1]Production!AH25+[1]Production!AH27+[1]Production!AH41</f>
        <v>1605002.2467519999</v>
      </c>
      <c r="AJ127" s="6">
        <f>[1]Production!AI9+[1]Production!AI11+[1]Production!AI13+[1]Production!AI15+[1]Production!AI17+[1]Production!AI19+[1]Production!AI21+[1]Production!AI23+[1]Production!AI25+[1]Production!AI27+[1]Production!AI41</f>
        <v>1628448.6538019998</v>
      </c>
      <c r="AK127" s="6">
        <f>[1]Production!AJ9+[1]Production!AJ11+[1]Production!AJ13+[1]Production!AJ15+[1]Production!AJ17+[1]Production!AJ19+[1]Production!AJ21+[1]Production!AJ23+[1]Production!AJ25+[1]Production!AJ27+[1]Production!AJ41</f>
        <v>1652202.6363610001</v>
      </c>
      <c r="AL127" s="6">
        <f>[1]Production!AK9+[1]Production!AK11+[1]Production!AK13+[1]Production!AK15+[1]Production!AK17+[1]Production!AK19+[1]Production!AK21+[1]Production!AK23+[1]Production!AK25+[1]Production!AK27+[1]Production!AK41</f>
        <v>1676256.569987</v>
      </c>
      <c r="AM127" s="6">
        <f>[1]Production!AL9+[1]Production!AL11+[1]Production!AL13+[1]Production!AL15+[1]Production!AL17+[1]Production!AL19+[1]Production!AL21+[1]Production!AL23+[1]Production!AL25+[1]Production!AL27+[1]Production!AL41</f>
        <v>1700002.687931</v>
      </c>
      <c r="AN127" s="6">
        <f>[1]Production!AM9+[1]Production!AM11+[1]Production!AM13+[1]Production!AM15+[1]Production!AM17+[1]Production!AM19+[1]Production!AM21+[1]Production!AM23+[1]Production!AM25+[1]Production!AM27+[1]Production!AM41</f>
        <v>1723825.4480560001</v>
      </c>
      <c r="AO127" s="6">
        <f>[1]Production!AN9+[1]Production!AN11+[1]Production!AN13+[1]Production!AN15+[1]Production!AN17+[1]Production!AN19+[1]Production!AN21+[1]Production!AN23+[1]Production!AN25+[1]Production!AN27+[1]Production!AN41</f>
        <v>1747767.3372969998</v>
      </c>
      <c r="AP127" s="6">
        <f>[1]Production!AO9+[1]Production!AO11+[1]Production!AO13+[1]Production!AO15+[1]Production!AO17+[1]Production!AO19+[1]Production!AO21+[1]Production!AO23+[1]Production!AO25+[1]Production!AO27+[1]Production!AO41</f>
        <v>1771854.331946</v>
      </c>
      <c r="AQ127" s="6">
        <f>[1]Production!AP9+[1]Production!AP11+[1]Production!AP13+[1]Production!AP15+[1]Production!AP17+[1]Production!AP19+[1]Production!AP21+[1]Production!AP23+[1]Production!AP25+[1]Production!AP27+[1]Production!AP41</f>
        <v>1796106.5162579999</v>
      </c>
      <c r="AR127" s="6">
        <f>[1]Production!AQ9+[1]Production!AQ11+[1]Production!AQ13+[1]Production!AQ15+[1]Production!AQ17+[1]Production!AQ19+[1]Production!AQ21+[1]Production!AQ23+[1]Production!AQ25+[1]Production!AQ27+[1]Production!AQ41</f>
        <v>1820540.3414760004</v>
      </c>
      <c r="AS127" s="6">
        <f>[1]Production!AR9+[1]Production!AR11+[1]Production!AR13+[1]Production!AR15+[1]Production!AR17+[1]Production!AR19+[1]Production!AR21+[1]Production!AR23+[1]Production!AR25+[1]Production!AR27+[1]Production!AR41</f>
        <v>1845169.1029459999</v>
      </c>
      <c r="AT127" s="6">
        <f>[1]Production!AS9+[1]Production!AS11+[1]Production!AS13+[1]Production!AS15+[1]Production!AS17+[1]Production!AS19+[1]Production!AS21+[1]Production!AS23+[1]Production!AS25+[1]Production!AS27+[1]Production!AS41</f>
        <v>1870003.1985849997</v>
      </c>
      <c r="AU127" s="6">
        <f>[1]Production!AT9+[1]Production!AT11+[1]Production!AT13+[1]Production!AT15+[1]Production!AT17+[1]Production!AT19+[1]Production!AT21+[1]Production!AT23+[1]Production!AT25+[1]Production!AT27+[1]Production!AT41</f>
        <v>1895050.5614840002</v>
      </c>
      <c r="AV127" s="6">
        <f>[1]Production!AU9+[1]Production!AU11+[1]Production!AU13+[1]Production!AU15+[1]Production!AU17+[1]Production!AU19+[1]Production!AU21+[1]Production!AU23+[1]Production!AU25+[1]Production!AU27+[1]Production!AU41</f>
        <v>1920317.3149589999</v>
      </c>
      <c r="AW127" s="6">
        <f>[1]Production!AV9+[1]Production!AV11+[1]Production!AV13+[1]Production!AV15+[1]Production!AV17+[1]Production!AV19+[1]Production!AV21+[1]Production!AV23+[1]Production!AV25+[1]Production!AV27+[1]Production!AV41</f>
        <v>1945863.2486370001</v>
      </c>
      <c r="AX127" s="6">
        <f>[1]Production!AW9+[1]Production!AW11+[1]Production!AW13+[1]Production!AW15+[1]Production!AW17+[1]Production!AW19+[1]Production!AW21+[1]Production!AW23+[1]Production!AW25+[1]Production!AW27+[1]Production!AW41</f>
        <v>1971657.5064490002</v>
      </c>
      <c r="AY127" s="6">
        <f>[1]Production!AX9+[1]Production!AX11+[1]Production!AX13+[1]Production!AX15+[1]Production!AX17+[1]Production!AX19+[1]Production!AX21+[1]Production!AX23+[1]Production!AX25+[1]Production!AX27+[1]Production!AX41</f>
        <v>1997700.435266</v>
      </c>
      <c r="AZ127" s="6">
        <f>[1]Production!AY9+[1]Production!AY11+[1]Production!AY13+[1]Production!AY15+[1]Production!AY17+[1]Production!AY19+[1]Production!AY21+[1]Production!AY23+[1]Production!AY25+[1]Production!AY27+[1]Production!AY41</f>
        <v>2023993.0553299999</v>
      </c>
      <c r="BA127" s="6">
        <f>[1]Production!AZ9+[1]Production!AZ11+[1]Production!AZ13+[1]Production!AZ15+[1]Production!AZ17+[1]Production!AZ19+[1]Production!AZ21+[1]Production!AZ23+[1]Production!AZ25+[1]Production!AZ27+[1]Production!AZ41</f>
        <v>2050537.7825150003</v>
      </c>
      <c r="BB127" s="6">
        <f>[1]Production!BA9+[1]Production!BA11+[1]Production!BA13+[1]Production!BA15+[1]Production!BA17+[1]Production!BA19+[1]Production!BA21+[1]Production!BA23+[1]Production!BA25+[1]Production!BA27+[1]Production!BA41</f>
        <v>2290112.6670290004</v>
      </c>
      <c r="BC127" s="6">
        <f>[1]Production!BB9+[1]Production!BB11+[1]Production!BB13+[1]Production!BB15+[1]Production!BB17+[1]Production!BB19+[1]Production!BB21+[1]Production!BB23+[1]Production!BB25+[1]Production!BB27+[1]Production!BB41</f>
        <v>2330263.092402</v>
      </c>
      <c r="BD127" s="6">
        <f>[1]Production!BC9+[1]Production!BC11+[1]Production!BC13+[1]Production!BC15+[1]Production!BC17+[1]Production!BC19+[1]Production!BC21+[1]Production!BC23+[1]Production!BC25+[1]Production!BC27+[1]Production!BC41</f>
        <v>2370971.5196389998</v>
      </c>
      <c r="BE127" s="6">
        <f>[1]Production!BD9+[1]Production!BD11+[1]Production!BD13+[1]Production!BD15+[1]Production!BD17+[1]Production!BD19+[1]Production!BD21+[1]Production!BD23+[1]Production!BD25+[1]Production!BD27+[1]Production!BD41</f>
        <v>2412240.6733629997</v>
      </c>
      <c r="BF127" s="6">
        <f>[1]Production!BE9+[1]Production!BE11+[1]Production!BE13+[1]Production!BE15+[1]Production!BE17+[1]Production!BE19+[1]Production!BE21+[1]Production!BE23+[1]Production!BE25+[1]Production!BE27+[1]Production!BE41</f>
        <v>2454074.2157859998</v>
      </c>
    </row>
    <row r="128" spans="1:58" x14ac:dyDescent="0.35">
      <c r="B128" t="s">
        <v>9</v>
      </c>
      <c r="C128" s="6">
        <f>[1]Production!B29+[1]Production!B31+[1]Production!B33+[1]Production!B35</f>
        <v>121165.405413</v>
      </c>
      <c r="D128" s="6">
        <f>[1]Production!C29+[1]Production!C31+[1]Production!C33+[1]Production!C35</f>
        <v>122672.790399</v>
      </c>
      <c r="E128" s="6">
        <f>[1]Production!D29+[1]Production!D31+[1]Production!D33+[1]Production!D35</f>
        <v>124313.42342000001</v>
      </c>
      <c r="F128" s="6">
        <f>[1]Production!E29+[1]Production!E31+[1]Production!E33+[1]Production!E35</f>
        <v>126051.12417299999</v>
      </c>
      <c r="G128" s="6">
        <f>[1]Production!F29+[1]Production!F31+[1]Production!F33+[1]Production!F35</f>
        <v>127879.958726</v>
      </c>
      <c r="H128" s="6">
        <f>[1]Production!G29+[1]Production!G31+[1]Production!G33+[1]Production!G35</f>
        <v>129789.46696700001</v>
      </c>
      <c r="I128" s="6">
        <f>[1]Production!H29+[1]Production!H31+[1]Production!H33+[1]Production!H35</f>
        <v>131683.41227100001</v>
      </c>
      <c r="J128" s="6">
        <f>[1]Production!I29+[1]Production!I31+[1]Production!I33+[1]Production!I35</f>
        <v>133613.729956</v>
      </c>
      <c r="K128" s="6">
        <f>[1]Production!J29+[1]Production!J31+[1]Production!J33+[1]Production!J35</f>
        <v>135579.085567</v>
      </c>
      <c r="L128" s="6">
        <f>[1]Production!K29+[1]Production!K31+[1]Production!K33+[1]Production!K35</f>
        <v>137576.52681700001</v>
      </c>
      <c r="M128" s="6">
        <f>[1]Production!L29+[1]Production!L31+[1]Production!L33+[1]Production!L35</f>
        <v>139752.547964</v>
      </c>
      <c r="N128" s="6">
        <f>[1]Production!M29+[1]Production!M31+[1]Production!M33+[1]Production!M35</f>
        <v>141845.87867399998</v>
      </c>
      <c r="O128" s="6">
        <f>[1]Production!N29+[1]Production!N31+[1]Production!N33+[1]Production!N35</f>
        <v>143951.640185</v>
      </c>
      <c r="P128" s="6">
        <f>[1]Production!O29+[1]Production!O31+[1]Production!O33+[1]Production!O35</f>
        <v>146073.594255</v>
      </c>
      <c r="Q128" s="6">
        <f>[1]Production!P29+[1]Production!P31+[1]Production!P33+[1]Production!P35</f>
        <v>148212.90214400002</v>
      </c>
      <c r="R128" s="6">
        <f>[1]Production!Q29+[1]Production!Q31+[1]Production!Q33+[1]Production!Q35</f>
        <v>150370.80742200001</v>
      </c>
      <c r="S128" s="6">
        <f>[1]Production!R29+[1]Production!R31+[1]Production!R33+[1]Production!R35</f>
        <v>152549.030898</v>
      </c>
      <c r="T128" s="6">
        <f>[1]Production!S29+[1]Production!S31+[1]Production!S33+[1]Production!S35</f>
        <v>154749.67097000001</v>
      </c>
      <c r="U128" s="6">
        <f>[1]Production!T29+[1]Production!T31+[1]Production!T33+[1]Production!T35</f>
        <v>156975.02450900001</v>
      </c>
      <c r="V128" s="6">
        <f>[1]Production!U29+[1]Production!U31+[1]Production!U33+[1]Production!U35</f>
        <v>159227.43406599999</v>
      </c>
      <c r="W128" s="6">
        <f>[1]Production!V29+[1]Production!V31+[1]Production!V33+[1]Production!V35</f>
        <v>161398.19500899999</v>
      </c>
      <c r="X128" s="6">
        <f>[1]Production!W29+[1]Production!W31+[1]Production!W33+[1]Production!W35</f>
        <v>163681.78264500003</v>
      </c>
      <c r="Y128" s="6">
        <f>[1]Production!X29+[1]Production!X31+[1]Production!X33+[1]Production!X35</f>
        <v>166008.55481100001</v>
      </c>
      <c r="Z128" s="6">
        <f>[1]Production!Y29+[1]Production!Y31+[1]Production!Y33+[1]Production!Y35</f>
        <v>168376.80355599997</v>
      </c>
      <c r="AA128" s="6">
        <f>[1]Production!Z29+[1]Production!Z31+[1]Production!Z33+[1]Production!Z35</f>
        <v>170786.97248699999</v>
      </c>
      <c r="AB128" s="6">
        <f>[1]Production!AA29+[1]Production!AA31+[1]Production!AA33+[1]Production!AA35</f>
        <v>172918.72511299999</v>
      </c>
      <c r="AC128" s="6">
        <f>[1]Production!AB29+[1]Production!AB31+[1]Production!AB33+[1]Production!AB35</f>
        <v>175175.81784599999</v>
      </c>
      <c r="AD128" s="6">
        <f>[1]Production!AC29+[1]Production!AC31+[1]Production!AC33+[1]Production!AC35</f>
        <v>177461.26464199999</v>
      </c>
      <c r="AE128" s="6">
        <f>[1]Production!AD29+[1]Production!AD31+[1]Production!AD33+[1]Production!AD35</f>
        <v>179777.83140800003</v>
      </c>
      <c r="AF128" s="6">
        <f>[1]Production!AE29+[1]Production!AE31+[1]Production!AE33+[1]Production!AE35</f>
        <v>182130.20905599999</v>
      </c>
      <c r="AG128" s="6">
        <f>[1]Production!AF29+[1]Production!AF31+[1]Production!AF33+[1]Production!AF35</f>
        <v>184522.40425999998</v>
      </c>
      <c r="AH128" s="6">
        <f>[1]Production!AG29+[1]Production!AG31+[1]Production!AG33+[1]Production!AG35</f>
        <v>186957.25322000001</v>
      </c>
      <c r="AI128" s="6">
        <f>[1]Production!AH29+[1]Production!AH31+[1]Production!AH33+[1]Production!AH35</f>
        <v>189436.48546</v>
      </c>
      <c r="AJ128" s="6">
        <f>[1]Production!AI29+[1]Production!AI31+[1]Production!AI33+[1]Production!AI35</f>
        <v>191960.94682000001</v>
      </c>
      <c r="AK128" s="6">
        <f>[1]Production!AJ29+[1]Production!AJ31+[1]Production!AJ33+[1]Production!AJ35</f>
        <v>194530.85280999998</v>
      </c>
      <c r="AL128" s="6">
        <f>[1]Production!AK29+[1]Production!AK31+[1]Production!AK33+[1]Production!AK35</f>
        <v>197146.01934999999</v>
      </c>
      <c r="AM128" s="6">
        <f>[1]Production!AL29+[1]Production!AL31+[1]Production!AL33+[1]Production!AL35</f>
        <v>199727.94406000001</v>
      </c>
      <c r="AN128" s="6">
        <f>[1]Production!AM29+[1]Production!AM31+[1]Production!AM33+[1]Production!AM35</f>
        <v>202332.29776000002</v>
      </c>
      <c r="AO128" s="6">
        <f>[1]Production!AN29+[1]Production!AN31+[1]Production!AN33+[1]Production!AN35</f>
        <v>204965.16743999999</v>
      </c>
      <c r="AP128" s="6">
        <f>[1]Production!AO29+[1]Production!AO31+[1]Production!AO33+[1]Production!AO35</f>
        <v>207630.28399</v>
      </c>
      <c r="AQ128" s="6">
        <f>[1]Production!AP29+[1]Production!AP31+[1]Production!AP33+[1]Production!AP35</f>
        <v>210330.63014999998</v>
      </c>
      <c r="AR128" s="6">
        <f>[1]Production!AQ29+[1]Production!AQ31+[1]Production!AQ33+[1]Production!AQ35</f>
        <v>213068.66659000001</v>
      </c>
      <c r="AS128" s="6">
        <f>[1]Production!AR29+[1]Production!AR31+[1]Production!AR33+[1]Production!AR35</f>
        <v>215846.33150999999</v>
      </c>
      <c r="AT128" s="6">
        <f>[1]Production!AS29+[1]Production!AS31+[1]Production!AS33+[1]Production!AS35</f>
        <v>218665.05362999998</v>
      </c>
      <c r="AU128" s="6">
        <f>[1]Production!AT29+[1]Production!AT31+[1]Production!AT33+[1]Production!AT35</f>
        <v>221525.81305</v>
      </c>
      <c r="AV128" s="6">
        <f>[1]Production!AU29+[1]Production!AU31+[1]Production!AU33+[1]Production!AU35</f>
        <v>224429.23676999999</v>
      </c>
      <c r="AW128" s="6">
        <f>[1]Production!AV29+[1]Production!AV31+[1]Production!AV33+[1]Production!AV35</f>
        <v>227382.84237</v>
      </c>
      <c r="AX128" s="6">
        <f>[1]Production!AW29+[1]Production!AW31+[1]Production!AW33+[1]Production!AW35</f>
        <v>230381.78308000002</v>
      </c>
      <c r="AY128" s="6">
        <f>[1]Production!AX29+[1]Production!AX31+[1]Production!AX33+[1]Production!AX35</f>
        <v>233425.65454000002</v>
      </c>
      <c r="AZ128" s="6">
        <f>[1]Production!AY29+[1]Production!AY31+[1]Production!AY33+[1]Production!AY35</f>
        <v>236514.13614000002</v>
      </c>
      <c r="BA128" s="6">
        <f>[1]Production!AZ29+[1]Production!AZ31+[1]Production!AZ33+[1]Production!AZ35</f>
        <v>239646.98979000002</v>
      </c>
      <c r="BB128" s="6">
        <f>[1]Production!BA29+[1]Production!BA31+[1]Production!BA33+[1]Production!BA35</f>
        <v>261541.31211</v>
      </c>
      <c r="BC128" s="6">
        <f>[1]Production!BB29+[1]Production!BB31+[1]Production!BB33+[1]Production!BB35</f>
        <v>265856.45607999997</v>
      </c>
      <c r="BD128" s="6">
        <f>[1]Production!BC29+[1]Production!BC31+[1]Production!BC33+[1]Production!BC35</f>
        <v>270249.49372000003</v>
      </c>
      <c r="BE128" s="6">
        <f>[1]Production!BD29+[1]Production!BD31+[1]Production!BD33+[1]Production!BD35</f>
        <v>274722.02743999998</v>
      </c>
      <c r="BF128" s="6">
        <f>[1]Production!BE29+[1]Production!BE31+[1]Production!BE33+[1]Production!BE35</f>
        <v>279275.68514000002</v>
      </c>
    </row>
    <row r="129" spans="1:58" x14ac:dyDescent="0.35">
      <c r="B129" t="s">
        <v>10</v>
      </c>
      <c r="C129" s="6">
        <f>[1]Production!B37+[1]Production!B39</f>
        <v>2560883.1015999997</v>
      </c>
      <c r="D129" s="6">
        <f>[1]Production!C37+[1]Production!C39</f>
        <v>2593711.7546000001</v>
      </c>
      <c r="E129" s="6">
        <f>[1]Production!D37+[1]Production!D39</f>
        <v>2629752.3511000001</v>
      </c>
      <c r="F129" s="6">
        <f>[1]Production!E37+[1]Production!E39</f>
        <v>2668277.8596999999</v>
      </c>
      <c r="G129" s="6">
        <f>[1]Production!F37+[1]Production!F39</f>
        <v>2709094.5394000001</v>
      </c>
      <c r="H129" s="6">
        <f>[1]Production!G37+[1]Production!G39</f>
        <v>2751940.1954999999</v>
      </c>
      <c r="I129" s="6">
        <f>[1]Production!H37+[1]Production!H39</f>
        <v>2794790.8486000001</v>
      </c>
      <c r="J129" s="6">
        <f>[1]Production!I37+[1]Production!I39</f>
        <v>2838589.3821</v>
      </c>
      <c r="K129" s="6">
        <f>[1]Production!J37+[1]Production!J39</f>
        <v>2883334.1326000001</v>
      </c>
      <c r="L129" s="6">
        <f>[1]Production!K37+[1]Production!K39</f>
        <v>2928981.4973000004</v>
      </c>
      <c r="M129" s="6">
        <f>[1]Production!L37+[1]Production!L39</f>
        <v>2978594.9257</v>
      </c>
      <c r="N129" s="6">
        <f>[1]Production!M37+[1]Production!M39</f>
        <v>3026974.5385000003</v>
      </c>
      <c r="O129" s="6">
        <f>[1]Production!N37+[1]Production!N39</f>
        <v>3075799.7239999999</v>
      </c>
      <c r="P129" s="6">
        <f>[1]Production!O37+[1]Production!O39</f>
        <v>3125138.3232999998</v>
      </c>
      <c r="Q129" s="6">
        <f>[1]Production!P37+[1]Production!P39</f>
        <v>3175001.2837</v>
      </c>
      <c r="R129" s="6">
        <f>[1]Production!Q37+[1]Production!Q39</f>
        <v>3225399.3692999999</v>
      </c>
      <c r="S129" s="6">
        <f>[1]Production!R37+[1]Production!R39</f>
        <v>3276352.4712999999</v>
      </c>
      <c r="T129" s="6">
        <f>[1]Production!S37+[1]Production!S39</f>
        <v>3327888.0215000003</v>
      </c>
      <c r="U129" s="6">
        <f>[1]Production!T37+[1]Production!T39</f>
        <v>3380037.5271999999</v>
      </c>
      <c r="V129" s="6">
        <f>[1]Production!U37+[1]Production!U39</f>
        <v>3432833.6615999998</v>
      </c>
      <c r="W129" s="6">
        <f>[1]Production!V37+[1]Production!V39</f>
        <v>3483988.5131000001</v>
      </c>
      <c r="X129" s="6">
        <f>[1]Production!W37+[1]Production!W39</f>
        <v>3537364.2658000002</v>
      </c>
      <c r="Y129" s="6">
        <f>[1]Production!X37+[1]Production!X39</f>
        <v>3591710.3810999999</v>
      </c>
      <c r="Z129" s="6">
        <f>[1]Production!Y37+[1]Production!Y39</f>
        <v>3646976.2780999998</v>
      </c>
      <c r="AA129" s="6">
        <f>[1]Production!Z37+[1]Production!Z39</f>
        <v>3703156.9861000003</v>
      </c>
      <c r="AB129" s="6">
        <f>[1]Production!AA37+[1]Production!AA39</f>
        <v>3753537.9226000002</v>
      </c>
      <c r="AC129" s="6">
        <f>[1]Production!AB37+[1]Production!AB39</f>
        <v>3806015.406</v>
      </c>
      <c r="AD129" s="6">
        <f>[1]Production!AC37+[1]Production!AC39</f>
        <v>3858924.7325999998</v>
      </c>
      <c r="AE129" s="6">
        <f>[1]Production!AD37+[1]Production!AD39</f>
        <v>3912348.9227999998</v>
      </c>
      <c r="AF129" s="6">
        <f>[1]Production!AE37+[1]Production!AE39</f>
        <v>3966407.1133999997</v>
      </c>
      <c r="AG129" s="6">
        <f>[1]Production!AF37+[1]Production!AF39</f>
        <v>4021200.7971000001</v>
      </c>
      <c r="AH129" s="6">
        <f>[1]Production!AG37+[1]Production!AG39</f>
        <v>4076803.6624000003</v>
      </c>
      <c r="AI129" s="6">
        <f>[1]Production!AH37+[1]Production!AH39</f>
        <v>4133263.4801999996</v>
      </c>
      <c r="AJ129" s="6">
        <f>[1]Production!AI37+[1]Production!AI39</f>
        <v>4190607.5806999998</v>
      </c>
      <c r="AK129" s="6">
        <f>[1]Production!AJ37+[1]Production!AJ39</f>
        <v>4248848.9436999997</v>
      </c>
      <c r="AL129" s="6">
        <f>[1]Production!AK37+[1]Production!AK39</f>
        <v>4307991.6090000002</v>
      </c>
      <c r="AM129" s="6">
        <f>[1]Production!AL37+[1]Production!AL39</f>
        <v>4366403.4264000002</v>
      </c>
      <c r="AN129" s="6">
        <f>[1]Production!AM37+[1]Production!AM39</f>
        <v>4425126.3695</v>
      </c>
      <c r="AO129" s="6">
        <f>[1]Production!AN37+[1]Production!AN39</f>
        <v>4484315.8628000002</v>
      </c>
      <c r="AP129" s="6">
        <f>[1]Production!AO37+[1]Production!AO39</f>
        <v>4544076.1584000001</v>
      </c>
      <c r="AQ129" s="6">
        <f>[1]Production!AP37+[1]Production!AP39</f>
        <v>4604493.1336000003</v>
      </c>
      <c r="AR129" s="6">
        <f>[1]Production!AQ37+[1]Production!AQ39</f>
        <v>4665638.7966</v>
      </c>
      <c r="AS129" s="6">
        <f>[1]Production!AR37+[1]Production!AR39</f>
        <v>4727571.2079999996</v>
      </c>
      <c r="AT129" s="6">
        <f>[1]Production!AS37+[1]Production!AS39</f>
        <v>4790334.9130000006</v>
      </c>
      <c r="AU129" s="6">
        <f>[1]Production!AT37+[1]Production!AT39</f>
        <v>4853962.5980000002</v>
      </c>
      <c r="AV129" s="6">
        <f>[1]Production!AU37+[1]Production!AU39</f>
        <v>4918477.6909999996</v>
      </c>
      <c r="AW129" s="6">
        <f>[1]Production!AV37+[1]Production!AV39</f>
        <v>4984046.2209999999</v>
      </c>
      <c r="AX129" s="6">
        <f>[1]Production!AW37+[1]Production!AW39</f>
        <v>5050588.4369999999</v>
      </c>
      <c r="AY129" s="6">
        <f>[1]Production!AX37+[1]Production!AX39</f>
        <v>5118101.9019999998</v>
      </c>
      <c r="AZ129" s="6">
        <f>[1]Production!AY37+[1]Production!AY39</f>
        <v>5186581.2779999999</v>
      </c>
      <c r="BA129" s="6">
        <f>[1]Production!AZ37+[1]Production!AZ39</f>
        <v>5256022.7939999998</v>
      </c>
      <c r="BB129" s="6">
        <f>[1]Production!BA37+[1]Production!BA39</f>
        <v>5784532.0769999996</v>
      </c>
      <c r="BC129" s="6">
        <f>[1]Production!BB37+[1]Production!BB39</f>
        <v>5881432.5949999997</v>
      </c>
      <c r="BD129" s="6">
        <f>[1]Production!BC37+[1]Production!BC39</f>
        <v>5979896.9780000001</v>
      </c>
      <c r="BE129" s="6">
        <f>[1]Production!BD37+[1]Production!BD39</f>
        <v>6079956.5920000002</v>
      </c>
      <c r="BF129" s="6">
        <f>[1]Production!BE37+[1]Production!BE39</f>
        <v>6181644.392</v>
      </c>
    </row>
    <row r="130" spans="1:58" x14ac:dyDescent="0.35">
      <c r="B130" t="s">
        <v>29</v>
      </c>
      <c r="C130" s="6">
        <f>[1]Production!B43+[1]Production!B47</f>
        <v>35878.822581799999</v>
      </c>
      <c r="D130" s="6">
        <f>[1]Production!C43+[1]Production!C47</f>
        <v>36148.6156195</v>
      </c>
      <c r="E130" s="6">
        <f>[1]Production!D43+[1]Production!D47</f>
        <v>36409.355608400001</v>
      </c>
      <c r="F130" s="6">
        <f>[1]Production!E43+[1]Production!E47</f>
        <v>36704.928322599997</v>
      </c>
      <c r="G130" s="6">
        <f>[1]Production!F43+[1]Production!F47</f>
        <v>37046.735642899999</v>
      </c>
      <c r="H130" s="6">
        <f>[1]Production!G43+[1]Production!G47</f>
        <v>37434.371544399997</v>
      </c>
      <c r="I130" s="6">
        <f>[1]Production!H43+[1]Production!H47</f>
        <v>37840.744417100002</v>
      </c>
      <c r="J130" s="6">
        <f>[1]Production!I43+[1]Production!I47</f>
        <v>38273.115964600001</v>
      </c>
      <c r="K130" s="6">
        <f>[1]Production!J43+[1]Production!J47</f>
        <v>38726.666368099999</v>
      </c>
      <c r="L130" s="6">
        <f>[1]Production!K43+[1]Production!K47</f>
        <v>39196.895113700004</v>
      </c>
      <c r="M130" s="6">
        <f>[1]Production!L43+[1]Production!L47</f>
        <v>39716.669020900001</v>
      </c>
      <c r="N130" s="6">
        <f>[1]Production!M43+[1]Production!M47</f>
        <v>40221.081013699993</v>
      </c>
      <c r="O130" s="6">
        <f>[1]Production!N43+[1]Production!N47</f>
        <v>40731.304401999994</v>
      </c>
      <c r="P130" s="6">
        <f>[1]Production!O43+[1]Production!O47</f>
        <v>41248.025757399999</v>
      </c>
      <c r="Q130" s="6">
        <f>[1]Production!P43+[1]Production!P47</f>
        <v>41770.844068900005</v>
      </c>
      <c r="R130" s="6">
        <f>[1]Production!Q43+[1]Production!Q47</f>
        <v>42299.388055099997</v>
      </c>
      <c r="S130" s="6">
        <f>[1]Production!R43+[1]Production!R47</f>
        <v>42833.469009699998</v>
      </c>
      <c r="T130" s="6">
        <f>[1]Production!S43+[1]Production!S47</f>
        <v>43373.061161200007</v>
      </c>
      <c r="U130" s="6">
        <f>[1]Production!T43+[1]Production!T47</f>
        <v>43918.258465799998</v>
      </c>
      <c r="V130" s="6">
        <f>[1]Production!U43+[1]Production!U47</f>
        <v>44469.236152700003</v>
      </c>
      <c r="W130" s="6">
        <f>[1]Production!V43+[1]Production!V47</f>
        <v>44999.383792500004</v>
      </c>
      <c r="X130" s="6">
        <f>[1]Production!W43+[1]Production!W47</f>
        <v>45555.296911199999</v>
      </c>
      <c r="Y130" s="6">
        <f>[1]Production!X43+[1]Production!X47</f>
        <v>46120.271698000004</v>
      </c>
      <c r="Z130" s="6">
        <f>[1]Production!Y43+[1]Production!Y47</f>
        <v>46693.237829500002</v>
      </c>
      <c r="AA130" s="6">
        <f>[1]Production!Z43+[1]Production!Z47</f>
        <v>47274.184217099995</v>
      </c>
      <c r="AB130" s="6">
        <f>[1]Production!AA43+[1]Production!AA47</f>
        <v>47785.8452874</v>
      </c>
      <c r="AC130" s="6">
        <f>[1]Production!AB43+[1]Production!AB47</f>
        <v>48325.372237999996</v>
      </c>
      <c r="AD130" s="6">
        <f>[1]Production!AC43+[1]Production!AC47</f>
        <v>48870.076851900005</v>
      </c>
      <c r="AE130" s="6">
        <f>[1]Production!AD43+[1]Production!AD47</f>
        <v>49419.507652599998</v>
      </c>
      <c r="AF130" s="6">
        <f>[1]Production!AE43+[1]Production!AE47</f>
        <v>49974.424101900004</v>
      </c>
      <c r="AG130" s="6">
        <f>[1]Production!AF43+[1]Production!AF47</f>
        <v>50535.677384899995</v>
      </c>
      <c r="AH130" s="6">
        <f>[1]Production!AG43+[1]Production!AG47</f>
        <v>51103.9897413</v>
      </c>
      <c r="AI130" s="6">
        <f>[1]Production!AH43+[1]Production!AH47</f>
        <v>51679.913122899998</v>
      </c>
      <c r="AJ130" s="6">
        <f>[1]Production!AI43+[1]Production!AI47</f>
        <v>52263.841036899998</v>
      </c>
      <c r="AK130" s="6">
        <f>[1]Production!AJ43+[1]Production!AJ47</f>
        <v>52856.0366067</v>
      </c>
      <c r="AL130" s="6">
        <f>[1]Production!AK43+[1]Production!AK47</f>
        <v>53456.664233399999</v>
      </c>
      <c r="AM130" s="6">
        <f>[1]Production!AL43+[1]Production!AL47</f>
        <v>54047.134287400004</v>
      </c>
      <c r="AN130" s="6">
        <f>[1]Production!AM43+[1]Production!AM47</f>
        <v>54640.948488299997</v>
      </c>
      <c r="AO130" s="6">
        <f>[1]Production!AN43+[1]Production!AN47</f>
        <v>55239.818163999997</v>
      </c>
      <c r="AP130" s="6">
        <f>[1]Production!AO43+[1]Production!AO47</f>
        <v>55844.524613399997</v>
      </c>
      <c r="AQ130" s="6">
        <f>[1]Production!AP43+[1]Production!AP47</f>
        <v>56455.652209799999</v>
      </c>
      <c r="AR130" s="6">
        <f>[1]Production!AQ43+[1]Production!AQ47</f>
        <v>57073.703215999994</v>
      </c>
      <c r="AS130" s="6">
        <f>[1]Production!AR43+[1]Production!AR47</f>
        <v>57699.104503800001</v>
      </c>
      <c r="AT130" s="6">
        <f>[1]Production!AS43+[1]Production!AS47</f>
        <v>58332.201663800006</v>
      </c>
      <c r="AU130" s="6">
        <f>[1]Production!AT43+[1]Production!AT47</f>
        <v>58973.253456800005</v>
      </c>
      <c r="AV130" s="6">
        <f>[1]Production!AU43+[1]Production!AU47</f>
        <v>59622.413609299998</v>
      </c>
      <c r="AW130" s="6">
        <f>[1]Production!AV43+[1]Production!AV47</f>
        <v>60281.305157399998</v>
      </c>
      <c r="AX130" s="6">
        <f>[1]Production!AW43+[1]Production!AW47</f>
        <v>60948.730601200004</v>
      </c>
      <c r="AY130" s="6">
        <f>[1]Production!AX43+[1]Production!AX47</f>
        <v>61624.418142300005</v>
      </c>
      <c r="AZ130" s="6">
        <f>[1]Production!AY43+[1]Production!AY47</f>
        <v>62308.8395533</v>
      </c>
      <c r="BA130" s="6">
        <f>[1]Production!AZ43+[1]Production!AZ47</f>
        <v>63002.393674999999</v>
      </c>
      <c r="BB130" s="6">
        <f>[1]Production!BA43+[1]Production!BA47</f>
        <v>68714.504469699998</v>
      </c>
      <c r="BC130" s="6">
        <f>[1]Production!BB43+[1]Production!BB47</f>
        <v>69710.393611000007</v>
      </c>
      <c r="BD130" s="6">
        <f>[1]Production!BC43+[1]Production!BC47</f>
        <v>70722.25903239999</v>
      </c>
      <c r="BE130" s="6">
        <f>[1]Production!BD43+[1]Production!BD47</f>
        <v>71750.496934800001</v>
      </c>
      <c r="BF130" s="6">
        <f>[1]Production!BE43+[1]Production!BE47</f>
        <v>72795.515572999997</v>
      </c>
    </row>
    <row r="131" spans="1:58" x14ac:dyDescent="0.35">
      <c r="B131" t="s">
        <v>36</v>
      </c>
      <c r="C131" s="6">
        <f>[1]Production!B45+[1]Production!B49</f>
        <v>4493.4727461000002</v>
      </c>
      <c r="D131" s="6">
        <f>[1]Production!C45+[1]Production!C49</f>
        <v>4520.7024339</v>
      </c>
      <c r="E131" s="6">
        <f>[1]Production!D45+[1]Production!D49</f>
        <v>4545.8350082999996</v>
      </c>
      <c r="F131" s="6">
        <f>[1]Production!E45+[1]Production!E49</f>
        <v>4576.4446496999999</v>
      </c>
      <c r="G131" s="6">
        <f>[1]Production!F45+[1]Production!F49</f>
        <v>4614.3838684000002</v>
      </c>
      <c r="H131" s="6">
        <f>[1]Production!G45+[1]Production!G49</f>
        <v>4659.1592072000003</v>
      </c>
      <c r="I131" s="6">
        <f>[1]Production!H45+[1]Production!H49</f>
        <v>4707.2387956000002</v>
      </c>
      <c r="J131" s="6">
        <f>[1]Production!I45+[1]Production!I49</f>
        <v>4759.0850173999997</v>
      </c>
      <c r="K131" s="6">
        <f>[1]Production!J45+[1]Production!J49</f>
        <v>4813.8899545000004</v>
      </c>
      <c r="L131" s="6">
        <f>[1]Production!K45+[1]Production!K49</f>
        <v>4870.9893606999995</v>
      </c>
      <c r="M131" s="6">
        <f>[1]Production!L45+[1]Production!L49</f>
        <v>4934.0090591000007</v>
      </c>
      <c r="N131" s="6">
        <f>[1]Production!M45+[1]Production!M49</f>
        <v>4995.5617095000007</v>
      </c>
      <c r="O131" s="6">
        <f>[1]Production!N45+[1]Production!N49</f>
        <v>5058.0106900999999</v>
      </c>
      <c r="P131" s="6">
        <f>[1]Production!O45+[1]Production!O49</f>
        <v>5121.3287579999997</v>
      </c>
      <c r="Q131" s="6">
        <f>[1]Production!P45+[1]Production!P49</f>
        <v>5185.4146091000002</v>
      </c>
      <c r="R131" s="6">
        <f>[1]Production!Q45+[1]Production!Q49</f>
        <v>5250.1874920999999</v>
      </c>
      <c r="S131" s="6">
        <f>[1]Production!R45+[1]Production!R49</f>
        <v>5315.5964774999993</v>
      </c>
      <c r="T131" s="6">
        <f>[1]Production!S45+[1]Production!S49</f>
        <v>5381.6151894000004</v>
      </c>
      <c r="U131" s="6">
        <f>[1]Production!T45+[1]Production!T49</f>
        <v>5448.2353675000004</v>
      </c>
      <c r="V131" s="6">
        <f>[1]Production!U45+[1]Production!U49</f>
        <v>5515.4616205999992</v>
      </c>
      <c r="W131" s="6">
        <f>[1]Production!V45+[1]Production!V49</f>
        <v>5580.2585455000008</v>
      </c>
      <c r="X131" s="6">
        <f>[1]Production!W45+[1]Production!W49</f>
        <v>5647.8782811999999</v>
      </c>
      <c r="Y131" s="6">
        <f>[1]Production!X45+[1]Production!X49</f>
        <v>5716.4017715999998</v>
      </c>
      <c r="Z131" s="6">
        <f>[1]Production!Y45+[1]Production!Y49</f>
        <v>5785.7454175999992</v>
      </c>
      <c r="AA131" s="6">
        <f>[1]Production!Z45+[1]Production!Z49</f>
        <v>5855.9171061999996</v>
      </c>
      <c r="AB131" s="6">
        <f>[1]Production!AA45+[1]Production!AA49</f>
        <v>5918.137154</v>
      </c>
      <c r="AC131" s="6">
        <f>[1]Production!AB45+[1]Production!AB49</f>
        <v>5983.3626416999996</v>
      </c>
      <c r="AD131" s="6">
        <f>[1]Production!AC45+[1]Production!AC49</f>
        <v>6048.9299707</v>
      </c>
      <c r="AE131" s="6">
        <f>[1]Production!AD45+[1]Production!AD49</f>
        <v>6114.8490105999999</v>
      </c>
      <c r="AF131" s="6">
        <f>[1]Production!AE45+[1]Production!AE49</f>
        <v>6181.2384746999996</v>
      </c>
      <c r="AG131" s="6">
        <f>[1]Production!AF45+[1]Production!AF49</f>
        <v>6248.2203110999999</v>
      </c>
      <c r="AH131" s="6">
        <f>[1]Production!AG45+[1]Production!AG49</f>
        <v>6315.8973022999999</v>
      </c>
      <c r="AI131" s="6">
        <f>[1]Production!AH45+[1]Production!AH49</f>
        <v>6384.3496315000002</v>
      </c>
      <c r="AJ131" s="6">
        <f>[1]Production!AI45+[1]Production!AI49</f>
        <v>6453.6368487999998</v>
      </c>
      <c r="AK131" s="6">
        <f>[1]Production!AJ45+[1]Production!AJ49</f>
        <v>6523.8015199000001</v>
      </c>
      <c r="AL131" s="6">
        <f>[1]Production!AK45+[1]Production!AK49</f>
        <v>6594.8731792999997</v>
      </c>
      <c r="AM131" s="6">
        <f>[1]Production!AL45+[1]Production!AL49</f>
        <v>6664.7484608000004</v>
      </c>
      <c r="AN131" s="6">
        <f>[1]Production!AM45+[1]Production!AM49</f>
        <v>6734.9530944999997</v>
      </c>
      <c r="AO131" s="6">
        <f>[1]Production!AN45+[1]Production!AN49</f>
        <v>6805.6579976000003</v>
      </c>
      <c r="AP131" s="6">
        <f>[1]Production!AO45+[1]Production!AO49</f>
        <v>6876.9555641000006</v>
      </c>
      <c r="AQ131" s="6">
        <f>[1]Production!AP45+[1]Production!AP49</f>
        <v>6948.9225434999998</v>
      </c>
      <c r="AR131" s="6">
        <f>[1]Production!AQ45+[1]Production!AQ49</f>
        <v>7021.6277915999999</v>
      </c>
      <c r="AS131" s="6">
        <f>[1]Production!AR45+[1]Production!AR49</f>
        <v>7095.1312021000003</v>
      </c>
      <c r="AT131" s="6">
        <f>[1]Production!AS45+[1]Production!AS49</f>
        <v>7169.4825060000003</v>
      </c>
      <c r="AU131" s="6">
        <f>[1]Production!AT45+[1]Production!AT49</f>
        <v>7244.7211039999993</v>
      </c>
      <c r="AV131" s="6">
        <f>[1]Production!AU45+[1]Production!AU49</f>
        <v>7320.8764770999996</v>
      </c>
      <c r="AW131" s="6">
        <f>[1]Production!AV45+[1]Production!AV49</f>
        <v>7398.1588817000002</v>
      </c>
      <c r="AX131" s="6">
        <f>[1]Production!AW45+[1]Production!AW49</f>
        <v>7476.4298848999997</v>
      </c>
      <c r="AY131" s="6">
        <f>[1]Production!AX45+[1]Production!AX49</f>
        <v>7555.6655891999999</v>
      </c>
      <c r="AZ131" s="6">
        <f>[1]Production!AY45+[1]Production!AY49</f>
        <v>7635.9017151999997</v>
      </c>
      <c r="BA131" s="6">
        <f>[1]Production!AZ45+[1]Production!AZ49</f>
        <v>7717.1690810999999</v>
      </c>
      <c r="BB131" s="6">
        <f>[1]Production!BA45+[1]Production!BA49</f>
        <v>8410.6024689999995</v>
      </c>
      <c r="BC131" s="6">
        <f>[1]Production!BB45+[1]Production!BB49</f>
        <v>8527.5116899999994</v>
      </c>
      <c r="BD131" s="6">
        <f>[1]Production!BC45+[1]Production!BC49</f>
        <v>8646.2339209999991</v>
      </c>
      <c r="BE131" s="6">
        <f>[1]Production!BD45+[1]Production!BD49</f>
        <v>8766.8204050000004</v>
      </c>
      <c r="BF131" s="6">
        <f>[1]Production!BE45+[1]Production!BE49</f>
        <v>8889.3251259999997</v>
      </c>
    </row>
    <row r="132" spans="1:58" x14ac:dyDescent="0.35">
      <c r="B132" t="s">
        <v>33</v>
      </c>
      <c r="C132" s="6">
        <f>[1]Production!B51+[1]Production!B53+[1]Production!B55+[1]Production!B57+[1]Production!B59+[1]Production!B61+[1]Production!B63+[1]Production!B65+[1]Production!B67</f>
        <v>67874.252406800006</v>
      </c>
      <c r="D132" s="6">
        <f>[1]Production!C51+[1]Production!C53+[1]Production!C55+[1]Production!C57+[1]Production!C59+[1]Production!C61+[1]Production!C63+[1]Production!C65+[1]Production!C67</f>
        <v>68391.021739599993</v>
      </c>
      <c r="E132" s="6">
        <f>[1]Production!D51+[1]Production!D53+[1]Production!D55+[1]Production!D57+[1]Production!D59+[1]Production!D61+[1]Production!D63+[1]Production!D65+[1]Production!D67</f>
        <v>68841.002032500008</v>
      </c>
      <c r="F132" s="6">
        <f>[1]Production!E51+[1]Production!E53+[1]Production!E55+[1]Production!E57+[1]Production!E59+[1]Production!E61+[1]Production!E63+[1]Production!E65+[1]Production!E67</f>
        <v>69300.824644599998</v>
      </c>
      <c r="G132" s="6">
        <f>[1]Production!F51+[1]Production!F53+[1]Production!F55+[1]Production!F57+[1]Production!F59+[1]Production!F61+[1]Production!F63+[1]Production!F65+[1]Production!F67</f>
        <v>69797.034840200009</v>
      </c>
      <c r="H132" s="6">
        <f>[1]Production!G51+[1]Production!G53+[1]Production!G55+[1]Production!G57+[1]Production!G59+[1]Production!G61+[1]Production!G63+[1]Production!G65+[1]Production!G67</f>
        <v>70342.195075200012</v>
      </c>
      <c r="I132" s="6">
        <f>[1]Production!H51+[1]Production!H53+[1]Production!H55+[1]Production!H57+[1]Production!H59+[1]Production!H61+[1]Production!H63+[1]Production!H65+[1]Production!H67</f>
        <v>70901.765708199993</v>
      </c>
      <c r="J132" s="6">
        <f>[1]Production!I51+[1]Production!I53+[1]Production!I55+[1]Production!I57+[1]Production!I59+[1]Production!I61+[1]Production!I63+[1]Production!I65+[1]Production!I67</f>
        <v>71490.623193200008</v>
      </c>
      <c r="K132" s="6">
        <f>[1]Production!J51+[1]Production!J53+[1]Production!J55+[1]Production!J57+[1]Production!J59+[1]Production!J61+[1]Production!J63+[1]Production!J65+[1]Production!J67</f>
        <v>72105.257046800005</v>
      </c>
      <c r="L132" s="6">
        <f>[1]Production!K51+[1]Production!K53+[1]Production!K55+[1]Production!K57+[1]Production!K59+[1]Production!K61+[1]Production!K63+[1]Production!K65+[1]Production!K67</f>
        <v>72739.210878800004</v>
      </c>
      <c r="M132" s="6">
        <f>[1]Production!L51+[1]Production!L53+[1]Production!L55+[1]Production!L57+[1]Production!L59+[1]Production!L61+[1]Production!L63+[1]Production!L65+[1]Production!L67</f>
        <v>73449.935670300008</v>
      </c>
      <c r="N132" s="6">
        <f>[1]Production!M51+[1]Production!M53+[1]Production!M55+[1]Production!M57+[1]Production!M59+[1]Production!M61+[1]Production!M63+[1]Production!M65+[1]Production!M67</f>
        <v>74132.861988600009</v>
      </c>
      <c r="O132" s="6">
        <f>[1]Production!N51+[1]Production!N53+[1]Production!N55+[1]Production!N57+[1]Production!N59+[1]Production!N61+[1]Production!N63+[1]Production!N65+[1]Production!N67</f>
        <v>74812.288946000001</v>
      </c>
      <c r="P132" s="6">
        <f>[1]Production!O51+[1]Production!O53+[1]Production!O55+[1]Production!O57+[1]Production!O59+[1]Production!O61+[1]Production!O63+[1]Production!O65+[1]Production!O67</f>
        <v>75492.750543499991</v>
      </c>
      <c r="Q132" s="6">
        <f>[1]Production!P51+[1]Production!P53+[1]Production!P55+[1]Production!P57+[1]Production!P59+[1]Production!P61+[1]Production!P63+[1]Production!P65+[1]Production!P67</f>
        <v>76175.569293699999</v>
      </c>
      <c r="R132" s="6">
        <f>[1]Production!Q51+[1]Production!Q53+[1]Production!Q55+[1]Production!Q57+[1]Production!Q59+[1]Production!Q61+[1]Production!Q63+[1]Production!Q65+[1]Production!Q67</f>
        <v>76861.481808100012</v>
      </c>
      <c r="S132" s="6">
        <f>[1]Production!R51+[1]Production!R53+[1]Production!R55+[1]Production!R57+[1]Production!R59+[1]Production!R61+[1]Production!R63+[1]Production!R65+[1]Production!R67</f>
        <v>77551.274005700019</v>
      </c>
      <c r="T132" s="6">
        <f>[1]Production!S51+[1]Production!S53+[1]Production!S55+[1]Production!S57+[1]Production!S59+[1]Production!S61+[1]Production!S63+[1]Production!S65+[1]Production!S67</f>
        <v>78245.906700500011</v>
      </c>
      <c r="U132" s="6">
        <f>[1]Production!T51+[1]Production!T53+[1]Production!T55+[1]Production!T57+[1]Production!T59+[1]Production!T61+[1]Production!T63+[1]Production!T65+[1]Production!T67</f>
        <v>78946.501208299989</v>
      </c>
      <c r="V132" s="6">
        <f>[1]Production!U51+[1]Production!U53+[1]Production!U55+[1]Production!U57+[1]Production!U59+[1]Production!U61+[1]Production!U63+[1]Production!U65+[1]Production!U67</f>
        <v>79654.286928700007</v>
      </c>
      <c r="W132" s="6">
        <f>[1]Production!V51+[1]Production!V53+[1]Production!V55+[1]Production!V57+[1]Production!V59+[1]Production!V61+[1]Production!V63+[1]Production!V65+[1]Production!V67</f>
        <v>80325.074549800003</v>
      </c>
      <c r="X132" s="6">
        <f>[1]Production!W51+[1]Production!W53+[1]Production!W55+[1]Production!W57+[1]Production!W59+[1]Production!W61+[1]Production!W63+[1]Production!W65+[1]Production!W67</f>
        <v>81033.135235900001</v>
      </c>
      <c r="Y132" s="6">
        <f>[1]Production!X51+[1]Production!X53+[1]Production!X55+[1]Production!X57+[1]Production!X59+[1]Production!X61+[1]Production!X63+[1]Production!X65+[1]Production!X67</f>
        <v>81760.230694600017</v>
      </c>
      <c r="Z132" s="6">
        <f>[1]Production!Y51+[1]Production!Y53+[1]Production!Y55+[1]Production!Y57+[1]Production!Y59+[1]Production!Y61+[1]Production!Y63+[1]Production!Y65+[1]Production!Y67</f>
        <v>82503.316802900008</v>
      </c>
      <c r="AA132" s="6">
        <f>[1]Production!Z51+[1]Production!Z53+[1]Production!Z55+[1]Production!Z57+[1]Production!Z59+[1]Production!Z61+[1]Production!Z63+[1]Production!Z65+[1]Production!Z67</f>
        <v>83262.052861300006</v>
      </c>
      <c r="AB132" s="6">
        <f>[1]Production!AA51+[1]Production!AA53+[1]Production!AA55+[1]Production!AA57+[1]Production!AA59+[1]Production!AA61+[1]Production!AA63+[1]Production!AA65+[1]Production!AA67</f>
        <v>83907.153466700009</v>
      </c>
      <c r="AC132" s="6">
        <f>[1]Production!AB51+[1]Production!AB53+[1]Production!AB55+[1]Production!AB57+[1]Production!AB59+[1]Production!AB61+[1]Production!AB63+[1]Production!AB65+[1]Production!AB67</f>
        <v>84585.687261999992</v>
      </c>
      <c r="AD132" s="6">
        <f>[1]Production!AC51+[1]Production!AC53+[1]Production!AC55+[1]Production!AC57+[1]Production!AC59+[1]Production!AC61+[1]Production!AC63+[1]Production!AC65+[1]Production!AC67</f>
        <v>85278.872279999996</v>
      </c>
      <c r="AE132" s="6">
        <f>[1]Production!AD51+[1]Production!AD53+[1]Production!AD55+[1]Production!AD57+[1]Production!AD59+[1]Production!AD61+[1]Production!AD63+[1]Production!AD65+[1]Production!AD67</f>
        <v>85985.662719500004</v>
      </c>
      <c r="AF132" s="6">
        <f>[1]Production!AE51+[1]Production!AE53+[1]Production!AE55+[1]Production!AE57+[1]Production!AE59+[1]Production!AE61+[1]Production!AE63+[1]Production!AE65+[1]Production!AE67</f>
        <v>86707.326498800001</v>
      </c>
      <c r="AG132" s="6">
        <f>[1]Production!AF51+[1]Production!AF53+[1]Production!AF55+[1]Production!AF57+[1]Production!AF59+[1]Production!AF61+[1]Production!AF63+[1]Production!AF65+[1]Production!AF67</f>
        <v>87445.357709700009</v>
      </c>
      <c r="AH132" s="6">
        <f>[1]Production!AG51+[1]Production!AG53+[1]Production!AG55+[1]Production!AG57+[1]Production!AG59+[1]Production!AG61+[1]Production!AG63+[1]Production!AG65+[1]Production!AG67</f>
        <v>88200.958415199988</v>
      </c>
      <c r="AI132" s="6">
        <f>[1]Production!AH51+[1]Production!AH53+[1]Production!AH55+[1]Production!AH57+[1]Production!AH59+[1]Production!AH61+[1]Production!AH63+[1]Production!AH65+[1]Production!AH67</f>
        <v>88974.937253799988</v>
      </c>
      <c r="AJ132" s="6">
        <f>[1]Production!AI51+[1]Production!AI53+[1]Production!AI55+[1]Production!AI57+[1]Production!AI59+[1]Production!AI61+[1]Production!AI63+[1]Production!AI65+[1]Production!AI67</f>
        <v>89767.732504299987</v>
      </c>
      <c r="AK132" s="6">
        <f>[1]Production!AJ51+[1]Production!AJ53+[1]Production!AJ55+[1]Production!AJ57+[1]Production!AJ59+[1]Production!AJ61+[1]Production!AJ63+[1]Production!AJ65+[1]Production!AJ67</f>
        <v>90579.477588699985</v>
      </c>
      <c r="AL132" s="6">
        <f>[1]Production!AK51+[1]Production!AK53+[1]Production!AK55+[1]Production!AK57+[1]Production!AK59+[1]Production!AK61+[1]Production!AK63+[1]Production!AK65+[1]Production!AK67</f>
        <v>91410.078871599995</v>
      </c>
      <c r="AM132" s="6">
        <f>[1]Production!AL51+[1]Production!AL53+[1]Production!AL55+[1]Production!AL57+[1]Production!AL59+[1]Production!AL61+[1]Production!AL63+[1]Production!AL65+[1]Production!AL67</f>
        <v>92228.702077699985</v>
      </c>
      <c r="AN132" s="6">
        <f>[1]Production!AM51+[1]Production!AM53+[1]Production!AM55+[1]Production!AM57+[1]Production!AM59+[1]Production!AM61+[1]Production!AM63+[1]Production!AM65+[1]Production!AM67</f>
        <v>93053.257708900011</v>
      </c>
      <c r="AO132" s="6">
        <f>[1]Production!AN51+[1]Production!AN53+[1]Production!AN55+[1]Production!AN57+[1]Production!AN59+[1]Production!AN61+[1]Production!AN63+[1]Production!AN65+[1]Production!AN67</f>
        <v>93888.561524799996</v>
      </c>
      <c r="AP132" s="6">
        <f>[1]Production!AO51+[1]Production!AO53+[1]Production!AO55+[1]Production!AO57+[1]Production!AO59+[1]Production!AO61+[1]Production!AO63+[1]Production!AO65+[1]Production!AO67</f>
        <v>94736.725999399976</v>
      </c>
      <c r="AQ132" s="6">
        <f>[1]Production!AP51+[1]Production!AP53+[1]Production!AP55+[1]Production!AP57+[1]Production!AP59+[1]Production!AP61+[1]Production!AP63+[1]Production!AP65+[1]Production!AP67</f>
        <v>95599.015620899983</v>
      </c>
      <c r="AR132" s="6">
        <f>[1]Production!AQ51+[1]Production!AQ53+[1]Production!AQ55+[1]Production!AQ57+[1]Production!AQ59+[1]Production!AQ61+[1]Production!AQ63+[1]Production!AQ65+[1]Production!AQ67</f>
        <v>96476.32757009998</v>
      </c>
      <c r="AS132" s="6">
        <f>[1]Production!AR51+[1]Production!AR53+[1]Production!AR55+[1]Production!AR57+[1]Production!AR59+[1]Production!AR61+[1]Production!AR63+[1]Production!AR65+[1]Production!AR67</f>
        <v>97369.329067499973</v>
      </c>
      <c r="AT132" s="6">
        <f>[1]Production!AS51+[1]Production!AS53+[1]Production!AS55+[1]Production!AS57+[1]Production!AS59+[1]Production!AS61+[1]Production!AS63+[1]Production!AS65+[1]Production!AS67</f>
        <v>98278.520115200023</v>
      </c>
      <c r="AU132" s="6">
        <f>[1]Production!AT51+[1]Production!AT53+[1]Production!AT55+[1]Production!AT57+[1]Production!AT59+[1]Production!AT61+[1]Production!AT63+[1]Production!AT65+[1]Production!AT67</f>
        <v>99204.236545399981</v>
      </c>
      <c r="AV132" s="6">
        <f>[1]Production!AU51+[1]Production!AU53+[1]Production!AU55+[1]Production!AU57+[1]Production!AU59+[1]Production!AU61+[1]Production!AU63+[1]Production!AU65+[1]Production!AU67</f>
        <v>100146.58106610001</v>
      </c>
      <c r="AW132" s="6">
        <f>[1]Production!AV51+[1]Production!AV53+[1]Production!AV55+[1]Production!AV57+[1]Production!AV59+[1]Production!AV61+[1]Production!AV63+[1]Production!AV65+[1]Production!AV67</f>
        <v>101107.66570900001</v>
      </c>
      <c r="AX132" s="6">
        <f>[1]Production!AW51+[1]Production!AW53+[1]Production!AW55+[1]Production!AW57+[1]Production!AW59+[1]Production!AW61+[1]Production!AW63+[1]Production!AW65+[1]Production!AW67</f>
        <v>102082.2531719</v>
      </c>
      <c r="AY132" s="6">
        <f>[1]Production!AX51+[1]Production!AX53+[1]Production!AX55+[1]Production!AX57+[1]Production!AX59+[1]Production!AX61+[1]Production!AX63+[1]Production!AX65+[1]Production!AX67</f>
        <v>103068.41832020001</v>
      </c>
      <c r="AZ132" s="6">
        <f>[1]Production!AY51+[1]Production!AY53+[1]Production!AY55+[1]Production!AY57+[1]Production!AY59+[1]Production!AY61+[1]Production!AY63+[1]Production!AY65+[1]Production!AY67</f>
        <v>104068.52545740001</v>
      </c>
      <c r="BA132" s="6">
        <f>[1]Production!AZ51+[1]Production!AZ53+[1]Production!AZ55+[1]Production!AZ57+[1]Production!AZ59+[1]Production!AZ61+[1]Production!AZ63+[1]Production!AZ65+[1]Production!AZ67</f>
        <v>105084.97197869999</v>
      </c>
      <c r="BB132" s="6">
        <f>[1]Production!BA51+[1]Production!BA53+[1]Production!BA55+[1]Production!BA57+[1]Production!BA59+[1]Production!BA61+[1]Production!BA63+[1]Production!BA65+[1]Production!BA67</f>
        <v>111520.97725159999</v>
      </c>
      <c r="BC132" s="6">
        <f>[1]Production!BB51+[1]Production!BB53+[1]Production!BB55+[1]Production!BB57+[1]Production!BB59+[1]Production!BB61+[1]Production!BB63+[1]Production!BB65+[1]Production!BB67</f>
        <v>112942.6055565</v>
      </c>
      <c r="BD132" s="6">
        <f>[1]Production!BC51+[1]Production!BC53+[1]Production!BC55+[1]Production!BC57+[1]Production!BC59+[1]Production!BC61+[1]Production!BC63+[1]Production!BC65+[1]Production!BC67</f>
        <v>114389.35199920001</v>
      </c>
      <c r="BE132" s="6">
        <f>[1]Production!BD51+[1]Production!BD53+[1]Production!BD55+[1]Production!BD57+[1]Production!BD59+[1]Production!BD61+[1]Production!BD63+[1]Production!BD65+[1]Production!BD67</f>
        <v>115861.71159410001</v>
      </c>
      <c r="BF132" s="6">
        <f>[1]Production!BE51+[1]Production!BE53+[1]Production!BE55+[1]Production!BE57+[1]Production!BE59+[1]Production!BE61+[1]Production!BE63+[1]Production!BE65+[1]Production!BE67</f>
        <v>117360.09855449999</v>
      </c>
    </row>
    <row r="133" spans="1:58" x14ac:dyDescent="0.35"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</row>
    <row r="134" spans="1:58" x14ac:dyDescent="0.35">
      <c r="C134" s="2"/>
    </row>
    <row r="135" spans="1:58" x14ac:dyDescent="0.35">
      <c r="A135" s="12" t="s">
        <v>82</v>
      </c>
      <c r="B135" t="s">
        <v>24</v>
      </c>
      <c r="C135" s="2">
        <v>42005</v>
      </c>
      <c r="D135" s="2">
        <v>42370</v>
      </c>
      <c r="E135" s="2">
        <v>42736</v>
      </c>
      <c r="F135" s="2">
        <v>43101</v>
      </c>
      <c r="G135" s="2">
        <v>43466</v>
      </c>
      <c r="H135" s="2">
        <v>43831</v>
      </c>
      <c r="I135" s="2">
        <v>44197</v>
      </c>
      <c r="J135" s="2">
        <v>44562</v>
      </c>
      <c r="K135" s="2">
        <v>44927</v>
      </c>
      <c r="L135" s="2">
        <v>45292</v>
      </c>
      <c r="M135" s="2">
        <v>45658</v>
      </c>
      <c r="N135" s="2">
        <v>46023</v>
      </c>
      <c r="O135" s="2">
        <v>46388</v>
      </c>
      <c r="P135" s="2">
        <v>46753</v>
      </c>
      <c r="Q135" s="2">
        <v>47119</v>
      </c>
      <c r="R135" s="2">
        <v>47484</v>
      </c>
      <c r="S135" s="2">
        <v>47849</v>
      </c>
      <c r="T135" s="2">
        <v>48214</v>
      </c>
      <c r="U135" s="2">
        <v>48580</v>
      </c>
      <c r="V135" s="2">
        <v>48945</v>
      </c>
      <c r="W135" s="2">
        <v>49310</v>
      </c>
      <c r="X135" s="2">
        <v>49675</v>
      </c>
      <c r="Y135" s="2">
        <v>50041</v>
      </c>
      <c r="Z135" s="2">
        <v>50406</v>
      </c>
      <c r="AA135" s="2">
        <v>50771</v>
      </c>
      <c r="AB135" s="2">
        <v>51136</v>
      </c>
      <c r="AC135" s="2">
        <v>51502</v>
      </c>
      <c r="AD135" s="2">
        <v>51867</v>
      </c>
      <c r="AE135" s="2">
        <v>52232</v>
      </c>
      <c r="AF135" s="2">
        <v>52597</v>
      </c>
      <c r="AG135" s="2">
        <v>52963</v>
      </c>
      <c r="AH135" s="2">
        <v>53328</v>
      </c>
      <c r="AI135" s="2">
        <v>53693</v>
      </c>
      <c r="AJ135" s="2">
        <v>54058</v>
      </c>
      <c r="AK135" s="2">
        <v>54424</v>
      </c>
      <c r="AL135" s="2">
        <v>54789</v>
      </c>
      <c r="AM135" s="2">
        <v>54790</v>
      </c>
      <c r="AN135" s="2">
        <v>54791</v>
      </c>
      <c r="AO135" s="2">
        <v>54792</v>
      </c>
      <c r="AP135" s="2">
        <v>54793</v>
      </c>
      <c r="AQ135" s="2">
        <v>54794</v>
      </c>
      <c r="AR135" s="2">
        <v>54795</v>
      </c>
      <c r="AS135" s="2">
        <v>54796</v>
      </c>
      <c r="AT135" s="2">
        <v>54797</v>
      </c>
      <c r="AU135" s="2">
        <v>54798</v>
      </c>
      <c r="AV135" s="2">
        <v>54799</v>
      </c>
      <c r="AW135" s="2">
        <v>54800</v>
      </c>
      <c r="AX135" s="2">
        <v>54801</v>
      </c>
      <c r="AY135" s="2">
        <v>54802</v>
      </c>
      <c r="AZ135" s="2">
        <v>54803</v>
      </c>
      <c r="BA135" s="2">
        <v>54804</v>
      </c>
      <c r="BB135" s="2">
        <v>54805</v>
      </c>
      <c r="BC135" s="2">
        <v>54806</v>
      </c>
      <c r="BD135" s="2">
        <v>54807</v>
      </c>
      <c r="BE135" s="2">
        <v>54808</v>
      </c>
      <c r="BF135" s="2">
        <v>54809</v>
      </c>
    </row>
    <row r="136" spans="1:58" x14ac:dyDescent="0.35">
      <c r="A136" t="s">
        <v>39</v>
      </c>
      <c r="B136" t="s">
        <v>27</v>
      </c>
      <c r="C136" s="6">
        <f>[1]Production!B2</f>
        <v>3802656.1510000001</v>
      </c>
      <c r="D136" s="6">
        <f>[1]Production!C2</f>
        <v>3832679.1129999999</v>
      </c>
      <c r="E136" s="6">
        <f>[1]Production!D2</f>
        <v>3871408.8849999998</v>
      </c>
      <c r="F136" s="6">
        <f>[1]Production!E2</f>
        <v>3915646.148</v>
      </c>
      <c r="G136" s="6">
        <f>[1]Production!F2</f>
        <v>3964366.0920000002</v>
      </c>
      <c r="H136" s="6">
        <f>[1]Production!G2</f>
        <v>4016832.4750000001</v>
      </c>
      <c r="I136" s="6">
        <f>[1]Production!H2</f>
        <v>4069812.0290000001</v>
      </c>
      <c r="J136" s="6">
        <f>[1]Production!I2</f>
        <v>4124562.3859999999</v>
      </c>
      <c r="K136" s="6">
        <f>[1]Production!J2</f>
        <v>4180929.4389999998</v>
      </c>
      <c r="L136" s="6">
        <f>[1]Production!K2</f>
        <v>4238710.2220000001</v>
      </c>
      <c r="M136" s="6">
        <f>[1]Production!L2</f>
        <v>4297528.8190000001</v>
      </c>
      <c r="N136" s="6">
        <f>[1]Production!M2</f>
        <v>4360927.0310000004</v>
      </c>
      <c r="O136" s="6">
        <f>[1]Production!N2</f>
        <v>4425885.4630000005</v>
      </c>
      <c r="P136" s="6">
        <f>[1]Production!O2</f>
        <v>4492023.66</v>
      </c>
      <c r="Q136" s="6">
        <f>[1]Production!P2</f>
        <v>4559157.9519999996</v>
      </c>
      <c r="R136" s="6">
        <f>[1]Production!Q2</f>
        <v>4627180.091</v>
      </c>
      <c r="S136" s="6">
        <f>[1]Production!R2</f>
        <v>4695792.3849999998</v>
      </c>
      <c r="T136" s="6">
        <f>[1]Production!S2</f>
        <v>4765116.0290000001</v>
      </c>
      <c r="U136" s="6">
        <f>[1]Production!T2</f>
        <v>4835147.91</v>
      </c>
      <c r="V136" s="6">
        <f>[1]Production!U2</f>
        <v>4905892.7920000004</v>
      </c>
      <c r="W136" s="6">
        <f>[1]Production!V2</f>
        <v>4974099.0039999997</v>
      </c>
      <c r="X136" s="6">
        <f>[1]Production!W2</f>
        <v>5045216.4079999998</v>
      </c>
      <c r="Y136" s="6">
        <f>[1]Production!X2</f>
        <v>5117443.0480000004</v>
      </c>
      <c r="Z136" s="6">
        <f>[1]Production!Y2</f>
        <v>5190700.2989999996</v>
      </c>
      <c r="AA136" s="6">
        <f>[1]Production!Z2</f>
        <v>5264982.5180000002</v>
      </c>
      <c r="AB136" s="6">
        <f>[1]Production!AA2</f>
        <v>5330906.9740000004</v>
      </c>
      <c r="AC136" s="6">
        <f>[1]Production!AB2</f>
        <v>5399730.5199999996</v>
      </c>
      <c r="AD136" s="6">
        <f>[1]Production!AC2</f>
        <v>5469012.8020000001</v>
      </c>
      <c r="AE136" s="6">
        <f>[1]Production!AD2</f>
        <v>5538860.2359999996</v>
      </c>
      <c r="AF136" s="6">
        <f>[1]Production!AE2</f>
        <v>5609430.358</v>
      </c>
      <c r="AG136" s="6">
        <f>[1]Production!AF2</f>
        <v>5680859.665</v>
      </c>
      <c r="AH136" s="6">
        <f>[1]Production!AG2</f>
        <v>5753318.0460000001</v>
      </c>
      <c r="AI136" s="6">
        <f>[1]Production!AH2</f>
        <v>5826824.2340000002</v>
      </c>
      <c r="AJ136" s="6">
        <f>[1]Production!AI2</f>
        <v>5901410.2779999999</v>
      </c>
      <c r="AK136" s="6">
        <f>[1]Production!AJ2</f>
        <v>5977089.2070000004</v>
      </c>
      <c r="AL136" s="6">
        <f>[1]Production!AK2</f>
        <v>6053861.1830000002</v>
      </c>
      <c r="AM136" s="6">
        <f>[1]Production!AL2</f>
        <v>6130123.3459999999</v>
      </c>
      <c r="AN136" s="6">
        <f>[1]Production!AM2</f>
        <v>6206865.2939999998</v>
      </c>
      <c r="AO136" s="6">
        <f>[1]Production!AN2</f>
        <v>6284235.0489999996</v>
      </c>
      <c r="AP136" s="6">
        <f>[1]Production!AO2</f>
        <v>6362325.1430000002</v>
      </c>
      <c r="AQ136" s="6">
        <f>[1]Production!AP2</f>
        <v>6441210.9749999996</v>
      </c>
      <c r="AR136" s="6">
        <f>[1]Production!AQ2</f>
        <v>6521068.6919999998</v>
      </c>
      <c r="AS136" s="6">
        <f>[1]Production!AR2</f>
        <v>6601873.449</v>
      </c>
      <c r="AT136" s="6">
        <f>[1]Production!AS2</f>
        <v>6683653.4910000004</v>
      </c>
      <c r="AU136" s="6">
        <f>[1]Production!AT2</f>
        <v>6766427.4299999997</v>
      </c>
      <c r="AV136" s="6">
        <f>[1]Production!AU2</f>
        <v>6850205.2769999998</v>
      </c>
      <c r="AW136" s="6">
        <f>[1]Production!AV2</f>
        <v>6935595.4529999997</v>
      </c>
      <c r="AX136" s="6">
        <f>[1]Production!AW2</f>
        <v>7022192.6069999998</v>
      </c>
      <c r="AY136" s="6">
        <f>[1]Production!AX2</f>
        <v>7109939.8739999998</v>
      </c>
      <c r="AZ136" s="6">
        <f>[1]Production!AY2</f>
        <v>7198799.5719999997</v>
      </c>
      <c r="BA136" s="6">
        <f>[1]Production!AZ2</f>
        <v>7288746.108</v>
      </c>
      <c r="BB136" s="6">
        <f>[1]Production!BA2</f>
        <v>8694272.4759999998</v>
      </c>
      <c r="BC136" s="6">
        <f>[1]Production!BB2</f>
        <v>8840634.7420000006</v>
      </c>
      <c r="BD136" s="6">
        <f>[1]Production!BC2</f>
        <v>8989308.7599999998</v>
      </c>
      <c r="BE136" s="6">
        <f>[1]Production!BD2</f>
        <v>9140327.6300000008</v>
      </c>
      <c r="BF136" s="6">
        <f>[1]Production!BE2</f>
        <v>9293727.1170000006</v>
      </c>
    </row>
    <row r="137" spans="1:58" x14ac:dyDescent="0.35">
      <c r="B137" t="s">
        <v>7</v>
      </c>
      <c r="C137" s="6">
        <f>[1]Production!B4+[1]Production!B6</f>
        <v>86919.14662</v>
      </c>
      <c r="D137" s="6">
        <f>[1]Production!C4+[1]Production!C6</f>
        <v>87052.029494999995</v>
      </c>
      <c r="E137" s="6">
        <f>[1]Production!D4+[1]Production!D6</f>
        <v>87411.171323000002</v>
      </c>
      <c r="F137" s="6">
        <f>[1]Production!E4+[1]Production!E6</f>
        <v>87976.407252999998</v>
      </c>
      <c r="G137" s="6">
        <f>[1]Production!F4+[1]Production!F6</f>
        <v>88725.068740000002</v>
      </c>
      <c r="H137" s="6">
        <f>[1]Production!G4+[1]Production!G6</f>
        <v>89627.861353</v>
      </c>
      <c r="I137" s="6">
        <f>[1]Production!H4+[1]Production!H6</f>
        <v>90601.800157000005</v>
      </c>
      <c r="J137" s="6">
        <f>[1]Production!I4+[1]Production!I6</f>
        <v>91651.896631000011</v>
      </c>
      <c r="K137" s="6">
        <f>[1]Production!J4+[1]Production!J6</f>
        <v>92763.388749999998</v>
      </c>
      <c r="L137" s="6">
        <f>[1]Production!K4+[1]Production!K6</f>
        <v>93923.431518999991</v>
      </c>
      <c r="M137" s="6">
        <f>[1]Production!L4+[1]Production!L6</f>
        <v>95089.263993</v>
      </c>
      <c r="N137" s="6">
        <f>[1]Production!M4+[1]Production!M6</f>
        <v>96407.421556999994</v>
      </c>
      <c r="O137" s="6">
        <f>[1]Production!N4+[1]Production!N6</f>
        <v>97763.981379000004</v>
      </c>
      <c r="P137" s="6">
        <f>[1]Production!O4+[1]Production!O6</f>
        <v>99148.513563</v>
      </c>
      <c r="Q137" s="6">
        <f>[1]Production!P4+[1]Production!P6</f>
        <v>100555.427924</v>
      </c>
      <c r="R137" s="6">
        <f>[1]Production!Q4+[1]Production!Q6</f>
        <v>101980.60019900001</v>
      </c>
      <c r="S137" s="6">
        <f>[1]Production!R4+[1]Production!R6</f>
        <v>103415.571837</v>
      </c>
      <c r="T137" s="6">
        <f>[1]Production!S4+[1]Production!S6</f>
        <v>104860.711543</v>
      </c>
      <c r="U137" s="6">
        <f>[1]Production!T4+[1]Production!T6</f>
        <v>106314.757448</v>
      </c>
      <c r="V137" s="6">
        <f>[1]Production!U4+[1]Production!U6</f>
        <v>107777.187553</v>
      </c>
      <c r="W137" s="6">
        <f>[1]Production!V4+[1]Production!V6</f>
        <v>109182.282689</v>
      </c>
      <c r="X137" s="6">
        <f>[1]Production!W4+[1]Production!W6</f>
        <v>110632.18888100001</v>
      </c>
      <c r="Y137" s="6">
        <f>[1]Production!X4+[1]Production!X6</f>
        <v>112099.961442</v>
      </c>
      <c r="Z137" s="6">
        <f>[1]Production!Y4+[1]Production!Y6</f>
        <v>113584.05184599999</v>
      </c>
      <c r="AA137" s="6">
        <f>[1]Production!Z4+[1]Production!Z6</f>
        <v>115084.384405</v>
      </c>
      <c r="AB137" s="6">
        <f>[1]Production!AA4+[1]Production!AA6</f>
        <v>116413.32999299999</v>
      </c>
      <c r="AC137" s="6">
        <f>[1]Production!AB4+[1]Production!AB6</f>
        <v>117775.166424</v>
      </c>
      <c r="AD137" s="6">
        <f>[1]Production!AC4+[1]Production!AC6</f>
        <v>119138.45767999999</v>
      </c>
      <c r="AE137" s="6">
        <f>[1]Production!AD4+[1]Production!AD6</f>
        <v>120507.82592799999</v>
      </c>
      <c r="AF137" s="6">
        <f>[1]Production!AE4+[1]Production!AE6</f>
        <v>121888.492492</v>
      </c>
      <c r="AG137" s="6">
        <f>[1]Production!AF4+[1]Production!AF6</f>
        <v>123284.802775</v>
      </c>
      <c r="AH137" s="6">
        <f>[1]Production!AG4+[1]Production!AG6</f>
        <v>124701.510693</v>
      </c>
      <c r="AI137" s="6">
        <f>[1]Production!AH4+[1]Production!AH6</f>
        <v>126140.00406399999</v>
      </c>
      <c r="AJ137" s="6">
        <f>[1]Production!AI4+[1]Production!AI6</f>
        <v>127601.478155</v>
      </c>
      <c r="AK137" s="6">
        <f>[1]Production!AJ4+[1]Production!AJ6</f>
        <v>129086.466732</v>
      </c>
      <c r="AL137" s="6">
        <f>[1]Production!AK4+[1]Production!AK6</f>
        <v>130595.106302</v>
      </c>
      <c r="AM137" s="6">
        <f>[1]Production!AL4+[1]Production!AL6</f>
        <v>132097.49476100001</v>
      </c>
      <c r="AN137" s="6">
        <f>[1]Production!AM4+[1]Production!AM6</f>
        <v>133609.753287</v>
      </c>
      <c r="AO137" s="6">
        <f>[1]Production!AN4+[1]Production!AN6</f>
        <v>135136.11289399999</v>
      </c>
      <c r="AP137" s="6">
        <f>[1]Production!AO4+[1]Production!AO6</f>
        <v>136678.87319899999</v>
      </c>
      <c r="AQ137" s="6">
        <f>[1]Production!AP4+[1]Production!AP6</f>
        <v>138239.857762</v>
      </c>
      <c r="AR137" s="6">
        <f>[1]Production!AQ4+[1]Production!AQ6</f>
        <v>139823.138026</v>
      </c>
      <c r="AS137" s="6">
        <f>[1]Production!AR4+[1]Production!AR6</f>
        <v>141428.80474999998</v>
      </c>
      <c r="AT137" s="6">
        <f>[1]Production!AS4+[1]Production!AS6</f>
        <v>143057.62372800001</v>
      </c>
      <c r="AU137" s="6">
        <f>[1]Production!AT4+[1]Production!AT6</f>
        <v>144709.954218</v>
      </c>
      <c r="AV137" s="6">
        <f>[1]Production!AU4+[1]Production!AU6</f>
        <v>146385.89749999999</v>
      </c>
      <c r="AW137" s="6">
        <f>[1]Production!AV4+[1]Production!AV6</f>
        <v>148098.23373000001</v>
      </c>
      <c r="AX137" s="6">
        <f>[1]Production!AW4+[1]Production!AW6</f>
        <v>149840.38026899999</v>
      </c>
      <c r="AY137" s="6">
        <f>[1]Production!AX4+[1]Production!AX6</f>
        <v>151610.89684300002</v>
      </c>
      <c r="AZ137" s="6">
        <f>[1]Production!AY4+[1]Production!AY6</f>
        <v>153408.25516600002</v>
      </c>
      <c r="BA137" s="6">
        <f>[1]Production!AZ4+[1]Production!AZ6</f>
        <v>155231.16575400002</v>
      </c>
      <c r="BB137" s="6">
        <f>[1]Production!BA4+[1]Production!BA6</f>
        <v>186397.20084100001</v>
      </c>
      <c r="BC137" s="6">
        <f>[1]Production!BB4+[1]Production!BB6</f>
        <v>189372.32744200001</v>
      </c>
      <c r="BD137" s="6">
        <f>[1]Production!BC4+[1]Production!BC6</f>
        <v>192397.54094400001</v>
      </c>
      <c r="BE137" s="6">
        <f>[1]Production!BD4+[1]Production!BD6</f>
        <v>195473.85499699999</v>
      </c>
      <c r="BF137" s="6">
        <f>[1]Production!BE4+[1]Production!BE6</f>
        <v>198602.34797600002</v>
      </c>
    </row>
    <row r="138" spans="1:58" x14ac:dyDescent="0.35">
      <c r="B138" t="s">
        <v>30</v>
      </c>
      <c r="C138" s="6">
        <f>[1]Production!B8+[1]Production!B10+[1]Production!B12+[1]Production!B14+[1]Production!B16+[1]Production!B18+[1]Production!B20+[1]Production!B22+[1]Production!B24+[1]Production!B26+[1]Production!B40</f>
        <v>959436.30103199999</v>
      </c>
      <c r="D138" s="6">
        <f>[1]Production!C8+[1]Production!C10+[1]Production!C12+[1]Production!C14+[1]Production!C16+[1]Production!C18+[1]Production!C20+[1]Production!C22+[1]Production!C24+[1]Production!C26+[1]Production!C40</f>
        <v>967342.29342400003</v>
      </c>
      <c r="E138" s="6">
        <f>[1]Production!D8+[1]Production!D10+[1]Production!D12+[1]Production!D14+[1]Production!D16+[1]Production!D18+[1]Production!D20+[1]Production!D22+[1]Production!D24+[1]Production!D26+[1]Production!D40</f>
        <v>977694.75666599988</v>
      </c>
      <c r="F138" s="6">
        <f>[1]Production!E8+[1]Production!E10+[1]Production!E12+[1]Production!E14+[1]Production!E16+[1]Production!E18+[1]Production!E20+[1]Production!E22+[1]Production!E24+[1]Production!E26+[1]Production!E40</f>
        <v>989356.08078800014</v>
      </c>
      <c r="G138" s="6">
        <f>[1]Production!F8+[1]Production!F10+[1]Production!F12+[1]Production!F14+[1]Production!F16+[1]Production!F18+[1]Production!F20+[1]Production!F22+[1]Production!F24+[1]Production!F26+[1]Production!F40</f>
        <v>1001939.3815419999</v>
      </c>
      <c r="H138" s="6">
        <f>[1]Production!G8+[1]Production!G10+[1]Production!G12+[1]Production!G14+[1]Production!G16+[1]Production!G18+[1]Production!G20+[1]Production!G22+[1]Production!G24+[1]Production!G26+[1]Production!G40</f>
        <v>1015229.2725000001</v>
      </c>
      <c r="I138" s="6">
        <f>[1]Production!H8+[1]Production!H10+[1]Production!H12+[1]Production!H14+[1]Production!H16+[1]Production!H18+[1]Production!H20+[1]Production!H22+[1]Production!H24+[1]Production!H26+[1]Production!H40</f>
        <v>1028434.4277560002</v>
      </c>
      <c r="J138" s="6">
        <f>[1]Production!I8+[1]Production!I10+[1]Production!I12+[1]Production!I14+[1]Production!I16+[1]Production!I18+[1]Production!I20+[1]Production!I22+[1]Production!I24+[1]Production!I26+[1]Production!I40</f>
        <v>1041913.0122349999</v>
      </c>
      <c r="K138" s="6">
        <f>[1]Production!J8+[1]Production!J10+[1]Production!J12+[1]Production!J14+[1]Production!J16+[1]Production!J18+[1]Production!J20+[1]Production!J22+[1]Production!J24+[1]Production!J26+[1]Production!J40</f>
        <v>1055657.1804530001</v>
      </c>
      <c r="L138" s="6">
        <f>[1]Production!K8+[1]Production!K10+[1]Production!K12+[1]Production!K14+[1]Production!K16+[1]Production!K18+[1]Production!K20+[1]Production!K22+[1]Production!K24+[1]Production!K26+[1]Production!K40</f>
        <v>1069645.689206</v>
      </c>
      <c r="M138" s="6">
        <f>[1]Production!L8+[1]Production!L10+[1]Production!L12+[1]Production!L14+[1]Production!L16+[1]Production!L18+[1]Production!L20+[1]Production!L22+[1]Production!L24+[1]Production!L26+[1]Production!L40</f>
        <v>1083187.824274</v>
      </c>
      <c r="N138" s="6">
        <f>[1]Production!M8+[1]Production!M10+[1]Production!M12+[1]Production!M14+[1]Production!M16+[1]Production!M18+[1]Production!M20+[1]Production!M22+[1]Production!M24+[1]Production!M26+[1]Production!M40</f>
        <v>1098800.661117</v>
      </c>
      <c r="O138" s="6">
        <f>[1]Production!N8+[1]Production!N10+[1]Production!N12+[1]Production!N14+[1]Production!N16+[1]Production!N18+[1]Production!N20+[1]Production!N22+[1]Production!N24+[1]Production!N26+[1]Production!N40</f>
        <v>1114762.9037360002</v>
      </c>
      <c r="P138" s="6">
        <f>[1]Production!O8+[1]Production!O10+[1]Production!O12+[1]Production!O14+[1]Production!O16+[1]Production!O18+[1]Production!O20+[1]Production!O22+[1]Production!O24+[1]Production!O26+[1]Production!O40</f>
        <v>1130976.6090900002</v>
      </c>
      <c r="Q138" s="6">
        <f>[1]Production!P8+[1]Production!P10+[1]Production!P12+[1]Production!P14+[1]Production!P16+[1]Production!P18+[1]Production!P20+[1]Production!P22+[1]Production!P24+[1]Production!P26+[1]Production!P40</f>
        <v>1147401.9599640002</v>
      </c>
      <c r="R138" s="6">
        <f>[1]Production!Q8+[1]Production!Q10+[1]Production!Q12+[1]Production!Q14+[1]Production!Q16+[1]Production!Q18+[1]Production!Q20+[1]Production!Q22+[1]Production!Q24+[1]Production!Q26+[1]Production!Q40</f>
        <v>1164023.559171</v>
      </c>
      <c r="S138" s="6">
        <f>[1]Production!R8+[1]Production!R10+[1]Production!R12+[1]Production!R14+[1]Production!R16+[1]Production!R18+[1]Production!R20+[1]Production!R22+[1]Production!R24+[1]Production!R26+[1]Production!R40</f>
        <v>1180751.376011</v>
      </c>
      <c r="T138" s="6">
        <f>[1]Production!S8+[1]Production!S10+[1]Production!S12+[1]Production!S14+[1]Production!S16+[1]Production!S18+[1]Production!S20+[1]Production!S22+[1]Production!S24+[1]Production!S26+[1]Production!S40</f>
        <v>1197659.2014829998</v>
      </c>
      <c r="U138" s="6">
        <f>[1]Production!T8+[1]Production!T10+[1]Production!T12+[1]Production!T14+[1]Production!T16+[1]Production!T18+[1]Production!T20+[1]Production!T22+[1]Production!T24+[1]Production!T26+[1]Production!T40</f>
        <v>1214759.7708659999</v>
      </c>
      <c r="V138" s="6">
        <f>[1]Production!U8+[1]Production!U10+[1]Production!U12+[1]Production!U14+[1]Production!U16+[1]Production!U18+[1]Production!U20+[1]Production!U22+[1]Production!U24+[1]Production!U26+[1]Production!U40</f>
        <v>1232066.1785209998</v>
      </c>
      <c r="W138" s="6">
        <f>[1]Production!V8+[1]Production!V10+[1]Production!V12+[1]Production!V14+[1]Production!V16+[1]Production!V18+[1]Production!V20+[1]Production!V22+[1]Production!V24+[1]Production!V26+[1]Production!V40</f>
        <v>1248802.0506080003</v>
      </c>
      <c r="X138" s="6">
        <f>[1]Production!W8+[1]Production!W10+[1]Production!W12+[1]Production!W14+[1]Production!W16+[1]Production!W18+[1]Production!W20+[1]Production!W22+[1]Production!W24+[1]Production!W26+[1]Production!W40</f>
        <v>1266303.6664499999</v>
      </c>
      <c r="Y138" s="6">
        <f>[1]Production!X8+[1]Production!X10+[1]Production!X12+[1]Production!X14+[1]Production!X16+[1]Production!X18+[1]Production!X20+[1]Production!X22+[1]Production!X24+[1]Production!X26+[1]Production!X40</f>
        <v>1284126.146868</v>
      </c>
      <c r="Z138" s="6">
        <f>[1]Production!Y8+[1]Production!Y10+[1]Production!Y12+[1]Production!Y14+[1]Production!Y16+[1]Production!Y18+[1]Production!Y20+[1]Production!Y22+[1]Production!Y24+[1]Production!Y26+[1]Production!Y40</f>
        <v>1302256.4104800001</v>
      </c>
      <c r="AA138" s="6">
        <f>[1]Production!Z8+[1]Production!Z10+[1]Production!Z12+[1]Production!Z14+[1]Production!Z16+[1]Production!Z18+[1]Production!Z20+[1]Production!Z22+[1]Production!Z24+[1]Production!Z26+[1]Production!Z40</f>
        <v>1320696.0132180001</v>
      </c>
      <c r="AB138" s="6">
        <f>[1]Production!AA8+[1]Production!AA10+[1]Production!AA12+[1]Production!AA14+[1]Production!AA16+[1]Production!AA18+[1]Production!AA20+[1]Production!AA22+[1]Production!AA24+[1]Production!AA26+[1]Production!AA40</f>
        <v>1337187.1335740001</v>
      </c>
      <c r="AC138" s="6">
        <f>[1]Production!AB8+[1]Production!AB10+[1]Production!AB12+[1]Production!AB14+[1]Production!AB16+[1]Production!AB18+[1]Production!AB20+[1]Production!AB22+[1]Production!AB24+[1]Production!AB26+[1]Production!AB40</f>
        <v>1354481.739509</v>
      </c>
      <c r="AD138" s="6">
        <f>[1]Production!AC8+[1]Production!AC10+[1]Production!AC12+[1]Production!AC14+[1]Production!AC16+[1]Production!AC18+[1]Production!AC20+[1]Production!AC22+[1]Production!AC24+[1]Production!AC26+[1]Production!AC40</f>
        <v>1371947.0158829999</v>
      </c>
      <c r="AE138" s="6">
        <f>[1]Production!AD8+[1]Production!AD10+[1]Production!AD12+[1]Production!AD14+[1]Production!AD16+[1]Production!AD18+[1]Production!AD20+[1]Production!AD22+[1]Production!AD24+[1]Production!AD26+[1]Production!AD40</f>
        <v>1389602.7350399999</v>
      </c>
      <c r="AF138" s="6">
        <f>[1]Production!AE8+[1]Production!AE10+[1]Production!AE12+[1]Production!AE14+[1]Production!AE16+[1]Production!AE18+[1]Production!AE20+[1]Production!AE22+[1]Production!AE24+[1]Production!AE26+[1]Production!AE40</f>
        <v>1407476.9617270001</v>
      </c>
      <c r="AG138" s="6">
        <f>[1]Production!AF8+[1]Production!AF10+[1]Production!AF12+[1]Production!AF14+[1]Production!AF16+[1]Production!AF18+[1]Production!AF20+[1]Production!AF22+[1]Production!AF24+[1]Production!AF26+[1]Production!AF40</f>
        <v>1425592.9081229998</v>
      </c>
      <c r="AH138" s="6">
        <f>[1]Production!AG8+[1]Production!AG10+[1]Production!AG12+[1]Production!AG14+[1]Production!AG16+[1]Production!AG18+[1]Production!AG20+[1]Production!AG22+[1]Production!AG24+[1]Production!AG26+[1]Production!AG40</f>
        <v>1443992.3485620001</v>
      </c>
      <c r="AI138" s="6">
        <f>[1]Production!AH8+[1]Production!AH10+[1]Production!AH12+[1]Production!AH14+[1]Production!AH16+[1]Production!AH18+[1]Production!AH20+[1]Production!AH22+[1]Production!AH24+[1]Production!AH26+[1]Production!AH40</f>
        <v>1462663.1630370002</v>
      </c>
      <c r="AJ138" s="6">
        <f>[1]Production!AI8+[1]Production!AI10+[1]Production!AI12+[1]Production!AI14+[1]Production!AI16+[1]Production!AI18+[1]Production!AI20+[1]Production!AI22+[1]Production!AI24+[1]Production!AI26+[1]Production!AI40</f>
        <v>1481605.8721550002</v>
      </c>
      <c r="AK138" s="6">
        <f>[1]Production!AJ8+[1]Production!AJ10+[1]Production!AJ12+[1]Production!AJ14+[1]Production!AJ16+[1]Production!AJ18+[1]Production!AJ20+[1]Production!AJ22+[1]Production!AJ24+[1]Production!AJ26+[1]Production!AJ40</f>
        <v>1500816.659312</v>
      </c>
      <c r="AL138" s="6">
        <f>[1]Production!AK8+[1]Production!AK10+[1]Production!AK12+[1]Production!AK14+[1]Production!AK16+[1]Production!AK18+[1]Production!AK20+[1]Production!AK22+[1]Production!AK24+[1]Production!AK26+[1]Production!AK40</f>
        <v>1520288.7639840001</v>
      </c>
      <c r="AM138" s="6">
        <f>[1]Production!AL8+[1]Production!AL10+[1]Production!AL12+[1]Production!AL14+[1]Production!AL16+[1]Production!AL18+[1]Production!AL20+[1]Production!AL22+[1]Production!AL24+[1]Production!AL26+[1]Production!AL40</f>
        <v>1539722.3267989999</v>
      </c>
      <c r="AN138" s="6">
        <f>[1]Production!AM8+[1]Production!AM10+[1]Production!AM12+[1]Production!AM14+[1]Production!AM16+[1]Production!AM18+[1]Production!AM20+[1]Production!AM22+[1]Production!AM24+[1]Production!AM26+[1]Production!AM40</f>
        <v>1559265.4116280002</v>
      </c>
      <c r="AO138" s="6">
        <f>[1]Production!AN8+[1]Production!AN10+[1]Production!AN12+[1]Production!AN14+[1]Production!AN16+[1]Production!AN18+[1]Production!AN20+[1]Production!AN22+[1]Production!AN24+[1]Production!AN26+[1]Production!AN40</f>
        <v>1578943.013786</v>
      </c>
      <c r="AP138" s="6">
        <f>[1]Production!AO8+[1]Production!AO10+[1]Production!AO12+[1]Production!AO14+[1]Production!AO16+[1]Production!AO18+[1]Production!AO20+[1]Production!AO22+[1]Production!AO24+[1]Production!AO26+[1]Production!AO40</f>
        <v>1598767.613444</v>
      </c>
      <c r="AQ138" s="6">
        <f>[1]Production!AP8+[1]Production!AP10+[1]Production!AP12+[1]Production!AP14+[1]Production!AP16+[1]Production!AP18+[1]Production!AP20+[1]Production!AP22+[1]Production!AP24+[1]Production!AP26+[1]Production!AP40</f>
        <v>1618747.9249400001</v>
      </c>
      <c r="AR138" s="6">
        <f>[1]Production!AQ8+[1]Production!AQ10+[1]Production!AQ12+[1]Production!AQ14+[1]Production!AQ16+[1]Production!AQ18+[1]Production!AQ20+[1]Production!AQ22+[1]Production!AQ24+[1]Production!AQ26+[1]Production!AQ40</f>
        <v>1638933.3068859999</v>
      </c>
      <c r="AS138" s="6">
        <f>[1]Production!AR8+[1]Production!AR10+[1]Production!AR12+[1]Production!AR14+[1]Production!AR16+[1]Production!AR18+[1]Production!AR20+[1]Production!AR22+[1]Production!AR24+[1]Production!AR26+[1]Production!AR40</f>
        <v>1659296.5634270001</v>
      </c>
      <c r="AT138" s="6">
        <f>[1]Production!AS8+[1]Production!AS10+[1]Production!AS12+[1]Production!AS14+[1]Production!AS16+[1]Production!AS18+[1]Production!AS20+[1]Production!AS22+[1]Production!AS24+[1]Production!AS26+[1]Production!AS40</f>
        <v>1679839.0688119999</v>
      </c>
      <c r="AU138" s="6">
        <f>[1]Production!AT8+[1]Production!AT10+[1]Production!AT12+[1]Production!AT14+[1]Production!AT16+[1]Production!AT18+[1]Production!AT20+[1]Production!AT22+[1]Production!AT24+[1]Production!AT26+[1]Production!AT40</f>
        <v>1700561.1057579999</v>
      </c>
      <c r="AV138" s="6">
        <f>[1]Production!AU8+[1]Production!AU10+[1]Production!AU12+[1]Production!AU14+[1]Production!AU16+[1]Production!AU18+[1]Production!AU20+[1]Production!AU22+[1]Production!AU24+[1]Production!AU26+[1]Production!AU40</f>
        <v>1721461.949545</v>
      </c>
      <c r="AW138" s="6">
        <f>[1]Production!AV8+[1]Production!AV10+[1]Production!AV12+[1]Production!AV14+[1]Production!AV16+[1]Production!AV18+[1]Production!AV20+[1]Production!AV22+[1]Production!AV24+[1]Production!AV26+[1]Production!AV40</f>
        <v>1742740.4732489998</v>
      </c>
      <c r="AX138" s="6">
        <f>[1]Production!AW8+[1]Production!AW10+[1]Production!AW12+[1]Production!AW14+[1]Production!AW16+[1]Production!AW18+[1]Production!AW20+[1]Production!AW22+[1]Production!AW24+[1]Production!AW26+[1]Production!AW40</f>
        <v>1764246.411809</v>
      </c>
      <c r="AY138" s="6">
        <f>[1]Production!AX8+[1]Production!AX10+[1]Production!AX12+[1]Production!AX14+[1]Production!AX16+[1]Production!AX18+[1]Production!AX20+[1]Production!AX22+[1]Production!AX24+[1]Production!AX26+[1]Production!AX40</f>
        <v>1785965.2883969999</v>
      </c>
      <c r="AZ138" s="6">
        <f>[1]Production!AY8+[1]Production!AY10+[1]Production!AY12+[1]Production!AY14+[1]Production!AY16+[1]Production!AY18+[1]Production!AY20+[1]Production!AY22+[1]Production!AY24+[1]Production!AY26+[1]Production!AY40</f>
        <v>1807887.28838</v>
      </c>
      <c r="BA138" s="6">
        <f>[1]Production!AZ8+[1]Production!AZ10+[1]Production!AZ12+[1]Production!AZ14+[1]Production!AZ16+[1]Production!AZ18+[1]Production!AZ20+[1]Production!AZ22+[1]Production!AZ24+[1]Production!AZ26+[1]Production!AZ40</f>
        <v>1830005.9829010002</v>
      </c>
      <c r="BB138" s="6">
        <f>[1]Production!BA8+[1]Production!BA10+[1]Production!BA12+[1]Production!BA14+[1]Production!BA16+[1]Production!BA18+[1]Production!BA20+[1]Production!BA22+[1]Production!BA24+[1]Production!BA26+[1]Production!BA40</f>
        <v>2284220.9772020001</v>
      </c>
      <c r="BC138" s="6">
        <f>[1]Production!BB8+[1]Production!BB10+[1]Production!BB12+[1]Production!BB14+[1]Production!BB16+[1]Production!BB18+[1]Production!BB20+[1]Production!BB22+[1]Production!BB24+[1]Production!BB26+[1]Production!BB40</f>
        <v>2324292.3855250003</v>
      </c>
      <c r="BD138" s="6">
        <f>[1]Production!BC8+[1]Production!BC10+[1]Production!BC12+[1]Production!BC14+[1]Production!BC16+[1]Production!BC18+[1]Production!BC20+[1]Production!BC22+[1]Production!BC24+[1]Production!BC26+[1]Production!BC40</f>
        <v>2364941.92075</v>
      </c>
      <c r="BE138" s="6">
        <f>[1]Production!BD8+[1]Production!BD10+[1]Production!BD12+[1]Production!BD14+[1]Production!BD16+[1]Production!BD18+[1]Production!BD20+[1]Production!BD22+[1]Production!BD24+[1]Production!BD26+[1]Production!BD40</f>
        <v>2406171.2773370002</v>
      </c>
      <c r="BF138" s="6">
        <f>[1]Production!BE8+[1]Production!BE10+[1]Production!BE12+[1]Production!BE14+[1]Production!BE16+[1]Production!BE18+[1]Production!BE20+[1]Production!BE22+[1]Production!BE24+[1]Production!BE26+[1]Production!BE40</f>
        <v>2447982.850503</v>
      </c>
    </row>
    <row r="139" spans="1:58" x14ac:dyDescent="0.35">
      <c r="B139" t="s">
        <v>9</v>
      </c>
      <c r="C139" s="6">
        <f>[1]Production!B28+[1]Production!B30+[1]Production!B32+[1]Production!B34</f>
        <v>118627.50402400002</v>
      </c>
      <c r="D139" s="6">
        <f>[1]Production!C28+[1]Production!C30+[1]Production!C32+[1]Production!C34</f>
        <v>119596.451309</v>
      </c>
      <c r="E139" s="6">
        <f>[1]Production!D28+[1]Production!D30+[1]Production!D32+[1]Production!D34</f>
        <v>120783.03564299998</v>
      </c>
      <c r="F139" s="6">
        <f>[1]Production!E28+[1]Production!E30+[1]Production!E32+[1]Production!E34</f>
        <v>122109.65912200001</v>
      </c>
      <c r="G139" s="6">
        <f>[1]Production!F28+[1]Production!F30+[1]Production!F32+[1]Production!F34</f>
        <v>123558.68882899999</v>
      </c>
      <c r="H139" s="6">
        <f>[1]Production!G28+[1]Production!G30+[1]Production!G32+[1]Production!G34</f>
        <v>125112.638781</v>
      </c>
      <c r="I139" s="6">
        <f>[1]Production!H28+[1]Production!H30+[1]Production!H32+[1]Production!H34</f>
        <v>126667.9684</v>
      </c>
      <c r="J139" s="6">
        <f>[1]Production!I28+[1]Production!I30+[1]Production!I32+[1]Production!I34</f>
        <v>128271.530744</v>
      </c>
      <c r="K139" s="6">
        <f>[1]Production!J28+[1]Production!J30+[1]Production!J32+[1]Production!J34</f>
        <v>129916.18975000001</v>
      </c>
      <c r="L139" s="6">
        <f>[1]Production!K28+[1]Production!K30+[1]Production!K32+[1]Production!K34</f>
        <v>131593.59150400001</v>
      </c>
      <c r="M139" s="6">
        <f>[1]Production!L28+[1]Production!L30+[1]Production!L32+[1]Production!L34</f>
        <v>133222.92806999999</v>
      </c>
      <c r="N139" s="6">
        <f>[1]Production!M28+[1]Production!M30+[1]Production!M32+[1]Production!M34</f>
        <v>135092.299829</v>
      </c>
      <c r="O139" s="6">
        <f>[1]Production!N28+[1]Production!N30+[1]Production!N32+[1]Production!N34</f>
        <v>136992.89334099999</v>
      </c>
      <c r="P139" s="6">
        <f>[1]Production!O28+[1]Production!O30+[1]Production!O32+[1]Production!O34</f>
        <v>138913.93939800002</v>
      </c>
      <c r="Q139" s="6">
        <f>[1]Production!P28+[1]Production!P30+[1]Production!P32+[1]Production!P34</f>
        <v>140850.30786500001</v>
      </c>
      <c r="R139" s="6">
        <f>[1]Production!Q28+[1]Production!Q30+[1]Production!Q32+[1]Production!Q34</f>
        <v>142799.11730300001</v>
      </c>
      <c r="S139" s="6">
        <f>[1]Production!R28+[1]Production!R30+[1]Production!R32+[1]Production!R34</f>
        <v>144748.03934600001</v>
      </c>
      <c r="T139" s="6">
        <f>[1]Production!S28+[1]Production!S30+[1]Production!S32+[1]Production!S34</f>
        <v>146705.42138499999</v>
      </c>
      <c r="U139" s="6">
        <f>[1]Production!T28+[1]Production!T30+[1]Production!T32+[1]Production!T34</f>
        <v>148671.87808300002</v>
      </c>
      <c r="V139" s="6">
        <f>[1]Production!U28+[1]Production!U30+[1]Production!U32+[1]Production!U34</f>
        <v>150648.387995</v>
      </c>
      <c r="W139" s="6">
        <f>[1]Production!V28+[1]Production!V30+[1]Production!V32+[1]Production!V34</f>
        <v>152532.244959</v>
      </c>
      <c r="X139" s="6">
        <f>[1]Production!W28+[1]Production!W30+[1]Production!W32+[1]Production!W34</f>
        <v>154505.50718499999</v>
      </c>
      <c r="Y139" s="6">
        <f>[1]Production!X28+[1]Production!X30+[1]Production!X32+[1]Production!X34</f>
        <v>156503.25876200001</v>
      </c>
      <c r="Z139" s="6">
        <f>[1]Production!Y28+[1]Production!Y30+[1]Production!Y32+[1]Production!Y34</f>
        <v>158524.05387099998</v>
      </c>
      <c r="AA139" s="6">
        <f>[1]Production!Z28+[1]Production!Z30+[1]Production!Z32+[1]Production!Z34</f>
        <v>160568.797949</v>
      </c>
      <c r="AB139" s="6">
        <f>[1]Production!AA28+[1]Production!AA30+[1]Production!AA32+[1]Production!AA34</f>
        <v>162340.42534800002</v>
      </c>
      <c r="AC139" s="6">
        <f>[1]Production!AB28+[1]Production!AB30+[1]Production!AB32+[1]Production!AB34</f>
        <v>164220.073363</v>
      </c>
      <c r="AD139" s="6">
        <f>[1]Production!AC28+[1]Production!AC30+[1]Production!AC32+[1]Production!AC34</f>
        <v>166115.02373700001</v>
      </c>
      <c r="AE139" s="6">
        <f>[1]Production!AD28+[1]Production!AD30+[1]Production!AD32+[1]Production!AD34</f>
        <v>168028.36837499999</v>
      </c>
      <c r="AF139" s="6">
        <f>[1]Production!AE28+[1]Production!AE30+[1]Production!AE32+[1]Production!AE34</f>
        <v>169965.07998900002</v>
      </c>
      <c r="AG139" s="6">
        <f>[1]Production!AF28+[1]Production!AF30+[1]Production!AF32+[1]Production!AF34</f>
        <v>171929.48250399999</v>
      </c>
      <c r="AH139" s="6">
        <f>[1]Production!AG28+[1]Production!AG30+[1]Production!AG32+[1]Production!AG34</f>
        <v>173927.967206</v>
      </c>
      <c r="AI139" s="6">
        <f>[1]Production!AH28+[1]Production!AH30+[1]Production!AH32+[1]Production!AH34</f>
        <v>175959.976284</v>
      </c>
      <c r="AJ139" s="6">
        <f>[1]Production!AI28+[1]Production!AI30+[1]Production!AI32+[1]Production!AI34</f>
        <v>178026.524282</v>
      </c>
      <c r="AK139" s="6">
        <f>[1]Production!AJ28+[1]Production!AJ30+[1]Production!AJ32+[1]Production!AJ34</f>
        <v>180128.00883800001</v>
      </c>
      <c r="AL139" s="6">
        <f>[1]Production!AK28+[1]Production!AK30+[1]Production!AK32+[1]Production!AK34</f>
        <v>182264.39255000002</v>
      </c>
      <c r="AM139" s="6">
        <f>[1]Production!AL28+[1]Production!AL30+[1]Production!AL32+[1]Production!AL34</f>
        <v>184394.61876000001</v>
      </c>
      <c r="AN139" s="6">
        <f>[1]Production!AM28+[1]Production!AM30+[1]Production!AM32+[1]Production!AM34</f>
        <v>186543.86501999997</v>
      </c>
      <c r="AO139" s="6">
        <f>[1]Production!AN28+[1]Production!AN30+[1]Production!AN32+[1]Production!AN34</f>
        <v>188716.32581999997</v>
      </c>
      <c r="AP139" s="6">
        <f>[1]Production!AO28+[1]Production!AO30+[1]Production!AO32+[1]Production!AO34</f>
        <v>190914.42174000002</v>
      </c>
      <c r="AQ139" s="6">
        <f>[1]Production!AP28+[1]Production!AP30+[1]Production!AP32+[1]Production!AP34</f>
        <v>193140.05137999999</v>
      </c>
      <c r="AR139" s="6">
        <f>[1]Production!AQ28+[1]Production!AQ30+[1]Production!AQ32+[1]Production!AQ34</f>
        <v>195399.96015</v>
      </c>
      <c r="AS139" s="6">
        <f>[1]Production!AR28+[1]Production!AR30+[1]Production!AR32+[1]Production!AR34</f>
        <v>197691.08046</v>
      </c>
      <c r="AT139" s="6">
        <f>[1]Production!AS28+[1]Production!AS30+[1]Production!AS32+[1]Production!AS34</f>
        <v>200013.93083999999</v>
      </c>
      <c r="AU139" s="6">
        <f>[1]Production!AT28+[1]Production!AT30+[1]Production!AT32+[1]Production!AT34</f>
        <v>202368.76473999998</v>
      </c>
      <c r="AV139" s="6">
        <f>[1]Production!AU28+[1]Production!AU30+[1]Production!AU32+[1]Production!AU34</f>
        <v>204755.59649999999</v>
      </c>
      <c r="AW139" s="6">
        <f>[1]Production!AV28+[1]Production!AV30+[1]Production!AV32+[1]Production!AV34</f>
        <v>207199.30627999999</v>
      </c>
      <c r="AX139" s="6">
        <f>[1]Production!AW28+[1]Production!AW30+[1]Production!AW32+[1]Production!AW34</f>
        <v>209679.86041000002</v>
      </c>
      <c r="AY139" s="6">
        <f>[1]Production!AX28+[1]Production!AX30+[1]Production!AX32+[1]Production!AX34</f>
        <v>212195.44343999997</v>
      </c>
      <c r="AZ139" s="6">
        <f>[1]Production!AY28+[1]Production!AY30+[1]Production!AY32+[1]Production!AY34</f>
        <v>214744.84315000003</v>
      </c>
      <c r="BA139" s="6">
        <f>[1]Production!AZ28+[1]Production!AZ30+[1]Production!AZ32+[1]Production!AZ34</f>
        <v>217327.18524999998</v>
      </c>
      <c r="BB139" s="6">
        <f>[1]Production!BA28+[1]Production!BA30+[1]Production!BA32+[1]Production!BA34</f>
        <v>260759.47897</v>
      </c>
      <c r="BC139" s="6">
        <f>[1]Production!BB28+[1]Production!BB30+[1]Production!BB32+[1]Production!BB34</f>
        <v>265033.33299999998</v>
      </c>
      <c r="BD139" s="6">
        <f>[1]Production!BC28+[1]Production!BC30+[1]Production!BC32+[1]Production!BC34</f>
        <v>269384.19571</v>
      </c>
      <c r="BE139" s="6">
        <f>[1]Production!BD28+[1]Production!BD30+[1]Production!BD32+[1]Production!BD34</f>
        <v>273813.54222999996</v>
      </c>
      <c r="BF139" s="6">
        <f>[1]Production!BE28+[1]Production!BE30+[1]Production!BE32+[1]Production!BE34</f>
        <v>278322.87751999998</v>
      </c>
    </row>
    <row r="140" spans="1:58" x14ac:dyDescent="0.35">
      <c r="B140" t="s">
        <v>10</v>
      </c>
      <c r="C140" s="6">
        <f>[1]Production!B36+[1]Production!B38</f>
        <v>2531031.4544000002</v>
      </c>
      <c r="D140" s="6">
        <f>[1]Production!C36+[1]Production!C38</f>
        <v>2551611.7996</v>
      </c>
      <c r="E140" s="6">
        <f>[1]Production!D36+[1]Production!D38</f>
        <v>2578003.7053</v>
      </c>
      <c r="F140" s="6">
        <f>[1]Production!E36+[1]Production!E38</f>
        <v>2608177.4989999998</v>
      </c>
      <c r="G140" s="6">
        <f>[1]Production!F36+[1]Production!F38</f>
        <v>2641487.7368000001</v>
      </c>
      <c r="H140" s="6">
        <f>[1]Production!G36+[1]Production!G38</f>
        <v>2677453.5726999999</v>
      </c>
      <c r="I140" s="6">
        <f>[1]Production!H36+[1]Production!H38</f>
        <v>2713893.6897</v>
      </c>
      <c r="J140" s="6">
        <f>[1]Production!I36+[1]Production!I38</f>
        <v>2751638.9839000003</v>
      </c>
      <c r="K140" s="6">
        <f>[1]Production!J36+[1]Production!J38</f>
        <v>2790578.2442999999</v>
      </c>
      <c r="L140" s="6">
        <f>[1]Production!K36+[1]Production!K38</f>
        <v>2830565.7938999999</v>
      </c>
      <c r="M140" s="6">
        <f>[1]Production!L36+[1]Production!L38</f>
        <v>2872088.8018</v>
      </c>
      <c r="N140" s="6">
        <f>[1]Production!M36+[1]Production!M38</f>
        <v>2915582.2522999998</v>
      </c>
      <c r="O140" s="6">
        <f>[1]Production!N36+[1]Production!N38</f>
        <v>2960186.1736000003</v>
      </c>
      <c r="P140" s="6">
        <f>[1]Production!O36+[1]Production!O38</f>
        <v>3005652.5734000001</v>
      </c>
      <c r="Q140" s="6">
        <f>[1]Production!P36+[1]Production!P38</f>
        <v>3051853.5307999998</v>
      </c>
      <c r="R140" s="6">
        <f>[1]Production!Q36+[1]Production!Q38</f>
        <v>3098706.6184</v>
      </c>
      <c r="S140" s="6">
        <f>[1]Production!R36+[1]Production!R38</f>
        <v>3146033.0597000001</v>
      </c>
      <c r="T140" s="6">
        <f>[1]Production!S36+[1]Production!S38</f>
        <v>3193868.6608000002</v>
      </c>
      <c r="U140" s="6">
        <f>[1]Production!T36+[1]Production!T38</f>
        <v>3242198.8029</v>
      </c>
      <c r="V140" s="6">
        <f>[1]Production!U36+[1]Production!U38</f>
        <v>3291014.9110999997</v>
      </c>
      <c r="W140" s="6">
        <f>[1]Production!V36+[1]Production!V38</f>
        <v>3338080.7639000001</v>
      </c>
      <c r="X140" s="6">
        <f>[1]Production!W36+[1]Production!W38</f>
        <v>3387107.8029000005</v>
      </c>
      <c r="Y140" s="6">
        <f>[1]Production!X36+[1]Production!X38</f>
        <v>3436865.1515000002</v>
      </c>
      <c r="Z140" s="6">
        <f>[1]Production!Y36+[1]Production!Y38</f>
        <v>3487294.2584999995</v>
      </c>
      <c r="AA140" s="6">
        <f>[1]Production!Z36+[1]Production!Z38</f>
        <v>3538387.1540999999</v>
      </c>
      <c r="AB140" s="6">
        <f>[1]Production!AA36+[1]Production!AA38</f>
        <v>3583704.4275000002</v>
      </c>
      <c r="AC140" s="6">
        <f>[1]Production!AB36+[1]Production!AB38</f>
        <v>3630924.5344000002</v>
      </c>
      <c r="AD140" s="6">
        <f>[1]Production!AC36+[1]Production!AC38</f>
        <v>3678405.3905999996</v>
      </c>
      <c r="AE140" s="6">
        <f>[1]Production!AD36+[1]Production!AD38</f>
        <v>3726226.6012999997</v>
      </c>
      <c r="AF140" s="6">
        <f>[1]Production!AE36+[1]Production!AE38</f>
        <v>3774504.6271000002</v>
      </c>
      <c r="AG140" s="6">
        <f>[1]Production!AF36+[1]Production!AF38</f>
        <v>3823341.1036999999</v>
      </c>
      <c r="AH140" s="6">
        <f>[1]Production!AG36+[1]Production!AG38</f>
        <v>3872848.8635999998</v>
      </c>
      <c r="AI140" s="6">
        <f>[1]Production!AH36+[1]Production!AH38</f>
        <v>3923057.3990000002</v>
      </c>
      <c r="AJ140" s="6">
        <f>[1]Production!AI36+[1]Production!AI38</f>
        <v>3973994.8588</v>
      </c>
      <c r="AK140" s="6">
        <f>[1]Production!AJ36+[1]Production!AJ38</f>
        <v>4025676.3918000003</v>
      </c>
      <c r="AL140" s="6">
        <f>[1]Production!AK36+[1]Production!AK38</f>
        <v>4078108.4555000002</v>
      </c>
      <c r="AM140" s="6">
        <f>[1]Production!AL36+[1]Production!AL38</f>
        <v>4130090.4216</v>
      </c>
      <c r="AN140" s="6">
        <f>[1]Production!AM36+[1]Production!AM38</f>
        <v>4182405.2335999999</v>
      </c>
      <c r="AO140" s="6">
        <f>[1]Production!AN36+[1]Production!AN38</f>
        <v>4235161.8431000002</v>
      </c>
      <c r="AP140" s="6">
        <f>[1]Production!AO36+[1]Production!AO38</f>
        <v>4288432.8388999999</v>
      </c>
      <c r="AQ140" s="6">
        <f>[1]Production!AP36+[1]Production!AP38</f>
        <v>4342279.7008999996</v>
      </c>
      <c r="AR140" s="6">
        <f>[1]Production!AQ36+[1]Production!AQ38</f>
        <v>4396814.9075999996</v>
      </c>
      <c r="AS140" s="6">
        <f>[1]Production!AR36+[1]Production!AR38</f>
        <v>4452045.4676999999</v>
      </c>
      <c r="AT140" s="6">
        <f>[1]Production!AS36+[1]Production!AS38</f>
        <v>4507996.9000000004</v>
      </c>
      <c r="AU140" s="6">
        <f>[1]Production!AT36+[1]Production!AT38</f>
        <v>4564686.9129999997</v>
      </c>
      <c r="AV140" s="6">
        <f>[1]Production!AU36+[1]Production!AU38</f>
        <v>4622126.2579999994</v>
      </c>
      <c r="AW140" s="6">
        <f>[1]Production!AV36+[1]Production!AV38</f>
        <v>4680673.3369999994</v>
      </c>
      <c r="AX140" s="6">
        <f>[1]Production!AW36+[1]Production!AW38</f>
        <v>4740110.193</v>
      </c>
      <c r="AY140" s="6">
        <f>[1]Production!AX36+[1]Production!AX38</f>
        <v>4800399.0010000002</v>
      </c>
      <c r="AZ140" s="6">
        <f>[1]Production!AY36+[1]Production!AY38</f>
        <v>4861515.1979999999</v>
      </c>
      <c r="BA140" s="6">
        <f>[1]Production!AZ36+[1]Production!AZ38</f>
        <v>4923442.28</v>
      </c>
      <c r="BB140" s="6">
        <f>[1]Production!BA36+[1]Production!BA38</f>
        <v>5776445.5920000002</v>
      </c>
      <c r="BC140" s="6">
        <f>[1]Production!BB36+[1]Production!BB38</f>
        <v>5873018.5240000002</v>
      </c>
      <c r="BD140" s="6">
        <f>[1]Production!BC36+[1]Production!BC38</f>
        <v>5971154.8660000004</v>
      </c>
      <c r="BE140" s="6">
        <f>[1]Production!BD36+[1]Production!BD38</f>
        <v>6070882.9589999998</v>
      </c>
      <c r="BF140" s="6">
        <f>[1]Production!BE36+[1]Production!BE38</f>
        <v>6172232.9479999999</v>
      </c>
    </row>
    <row r="141" spans="1:58" x14ac:dyDescent="0.35">
      <c r="B141" t="s">
        <v>29</v>
      </c>
      <c r="C141" s="6">
        <f>[1]Production!B42+[1]Production!B46</f>
        <v>35143.963512800001</v>
      </c>
      <c r="D141" s="6">
        <f>[1]Production!C42+[1]Production!C46</f>
        <v>35251.831065600003</v>
      </c>
      <c r="E141" s="6">
        <f>[1]Production!D42+[1]Production!D46</f>
        <v>35382.144456499998</v>
      </c>
      <c r="F141" s="6">
        <f>[1]Production!E42+[1]Production!E46</f>
        <v>35551.193255699996</v>
      </c>
      <c r="G141" s="6">
        <f>[1]Production!F42+[1]Production!F46</f>
        <v>35769.649960700001</v>
      </c>
      <c r="H141" s="6">
        <f>[1]Production!G42+[1]Production!G46</f>
        <v>36035.506722099999</v>
      </c>
      <c r="I141" s="6">
        <f>[1]Production!H42+[1]Production!H46</f>
        <v>36320.860094700001</v>
      </c>
      <c r="J141" s="6">
        <f>[1]Production!I42+[1]Production!I46</f>
        <v>36632.826788600003</v>
      </c>
      <c r="K141" s="6">
        <f>[1]Production!J42+[1]Production!J46</f>
        <v>36966.283311799998</v>
      </c>
      <c r="L141" s="6">
        <f>[1]Production!K42+[1]Production!K46</f>
        <v>37316.2791555</v>
      </c>
      <c r="M141" s="6">
        <f>[1]Production!L42+[1]Production!L46</f>
        <v>37651.235181999997</v>
      </c>
      <c r="N141" s="6">
        <f>[1]Production!M42+[1]Production!M46</f>
        <v>38062.32617</v>
      </c>
      <c r="O141" s="6">
        <f>[1]Production!N42+[1]Production!N46</f>
        <v>38488.5515141</v>
      </c>
      <c r="P141" s="6">
        <f>[1]Production!O42+[1]Production!O46</f>
        <v>38924.485157700001</v>
      </c>
      <c r="Q141" s="6">
        <f>[1]Production!P42+[1]Production!P46</f>
        <v>39368.144742199998</v>
      </c>
      <c r="R141" s="6">
        <f>[1]Production!Q42+[1]Production!Q46</f>
        <v>39818.261613499999</v>
      </c>
      <c r="S141" s="6">
        <f>[1]Production!R42+[1]Production!R46</f>
        <v>40271.126228500005</v>
      </c>
      <c r="T141" s="6">
        <f>[1]Production!S42+[1]Production!S46</f>
        <v>40728.278867300003</v>
      </c>
      <c r="U141" s="6">
        <f>[1]Production!T42+[1]Production!T46</f>
        <v>41189.281365499999</v>
      </c>
      <c r="V141" s="6">
        <f>[1]Production!U42+[1]Production!U46</f>
        <v>41653.747659700006</v>
      </c>
      <c r="W141" s="6">
        <f>[1]Production!V42+[1]Production!V46</f>
        <v>42096.879190099993</v>
      </c>
      <c r="X141" s="6">
        <f>[1]Production!W42+[1]Production!W46</f>
        <v>42560.8542676</v>
      </c>
      <c r="Y141" s="6">
        <f>[1]Production!X42+[1]Production!X46</f>
        <v>43030.341868700001</v>
      </c>
      <c r="Z141" s="6">
        <f>[1]Production!Y42+[1]Production!Y46</f>
        <v>43504.161677900003</v>
      </c>
      <c r="AA141" s="6">
        <f>[1]Production!Z42+[1]Production!Z46</f>
        <v>43982.1886591</v>
      </c>
      <c r="AB141" s="6">
        <f>[1]Production!AA42+[1]Production!AA46</f>
        <v>44394.417599499997</v>
      </c>
      <c r="AC141" s="6">
        <f>[1]Production!AB42+[1]Production!AB46</f>
        <v>44829.802625900003</v>
      </c>
      <c r="AD141" s="6">
        <f>[1]Production!AC42+[1]Production!AC46</f>
        <v>45267.138888099995</v>
      </c>
      <c r="AE141" s="6">
        <f>[1]Production!AD42+[1]Production!AD46</f>
        <v>45706.0721854</v>
      </c>
      <c r="AF141" s="6">
        <f>[1]Production!AE42+[1]Production!AE46</f>
        <v>46147.4229443</v>
      </c>
      <c r="AG141" s="6">
        <f>[1]Production!AF42+[1]Production!AF46</f>
        <v>46592.083919500001</v>
      </c>
      <c r="AH141" s="6">
        <f>[1]Production!AG42+[1]Production!AG46</f>
        <v>47041.615507900002</v>
      </c>
      <c r="AI141" s="6">
        <f>[1]Production!AH42+[1]Production!AH46</f>
        <v>47495.908248200001</v>
      </c>
      <c r="AJ141" s="6">
        <f>[1]Production!AI42+[1]Production!AI46</f>
        <v>47955.314793199999</v>
      </c>
      <c r="AK141" s="6">
        <f>[1]Production!AJ42+[1]Production!AJ46</f>
        <v>48420.1043574</v>
      </c>
      <c r="AL141" s="6">
        <f>[1]Production!AK42+[1]Production!AK46</f>
        <v>48890.451539900001</v>
      </c>
      <c r="AM141" s="6">
        <f>[1]Production!AL42+[1]Production!AL46</f>
        <v>49357.566609099995</v>
      </c>
      <c r="AN141" s="6">
        <f>[1]Production!AM42+[1]Production!AM46</f>
        <v>49826.776307599997</v>
      </c>
      <c r="AO141" s="6">
        <f>[1]Production!AN42+[1]Production!AN46</f>
        <v>50299.2961756</v>
      </c>
      <c r="AP141" s="6">
        <f>[1]Production!AO42+[1]Production!AO46</f>
        <v>50775.768954200001</v>
      </c>
      <c r="AQ141" s="6">
        <f>[1]Production!AP42+[1]Production!AP46</f>
        <v>51256.636653600006</v>
      </c>
      <c r="AR141" s="6">
        <f>[1]Production!AQ42+[1]Production!AQ46</f>
        <v>51743.528347399995</v>
      </c>
      <c r="AS141" s="6">
        <f>[1]Production!AR42+[1]Production!AR46</f>
        <v>52235.594095799999</v>
      </c>
      <c r="AT141" s="6">
        <f>[1]Production!AS42+[1]Production!AS46</f>
        <v>52732.937467700001</v>
      </c>
      <c r="AU141" s="6">
        <f>[1]Production!AT42+[1]Production!AT46</f>
        <v>53235.642566999995</v>
      </c>
      <c r="AV141" s="6">
        <f>[1]Production!AU42+[1]Production!AU46</f>
        <v>53743.737983400002</v>
      </c>
      <c r="AW141" s="6">
        <f>[1]Production!AV42+[1]Production!AV46</f>
        <v>54263.3217621</v>
      </c>
      <c r="AX141" s="6">
        <f>[1]Production!AW42+[1]Production!AW46</f>
        <v>54789.394663699997</v>
      </c>
      <c r="AY141" s="6">
        <f>[1]Production!AX42+[1]Production!AX46</f>
        <v>55321.5297536</v>
      </c>
      <c r="AZ141" s="6">
        <f>[1]Production!AY42+[1]Production!AY46</f>
        <v>55859.539413399994</v>
      </c>
      <c r="BA141" s="6">
        <f>[1]Production!AZ42+[1]Production!AZ46</f>
        <v>56403.256102500003</v>
      </c>
      <c r="BB141" s="6">
        <f>[1]Production!BA42+[1]Production!BA46</f>
        <v>68692.123913799995</v>
      </c>
      <c r="BC141" s="6">
        <f>[1]Production!BB42+[1]Production!BB46</f>
        <v>69691.991126299996</v>
      </c>
      <c r="BD141" s="6">
        <f>[1]Production!BC42+[1]Production!BC46</f>
        <v>70708.185975899993</v>
      </c>
      <c r="BE141" s="6">
        <f>[1]Production!BD42+[1]Production!BD46</f>
        <v>71741.107410299999</v>
      </c>
      <c r="BF141" s="6">
        <f>[1]Production!BE42+[1]Production!BE46</f>
        <v>72791.177043200005</v>
      </c>
    </row>
    <row r="142" spans="1:58" x14ac:dyDescent="0.35">
      <c r="B142" t="s">
        <v>36</v>
      </c>
      <c r="C142" s="6">
        <f>+[1]Production!B44+[1]Production!B48</f>
        <v>4410.3127136000003</v>
      </c>
      <c r="D142" s="6">
        <f>+[1]Production!C44+[1]Production!C48</f>
        <v>4418.9266585000005</v>
      </c>
      <c r="E142" s="6">
        <f>+[1]Production!D44+[1]Production!D48</f>
        <v>4427.8697845999995</v>
      </c>
      <c r="F142" s="6">
        <f>+[1]Production!E44+[1]Production!E48</f>
        <v>4442.3789790999999</v>
      </c>
      <c r="G142" s="6">
        <f>+[1]Production!F44+[1]Production!F48</f>
        <v>4464.3345752000005</v>
      </c>
      <c r="H142" s="6">
        <f>+[1]Production!G44+[1]Production!G48</f>
        <v>4493.3456753999999</v>
      </c>
      <c r="I142" s="6">
        <f>+[1]Production!H44+[1]Production!H48</f>
        <v>4525.9151843</v>
      </c>
      <c r="J142" s="6">
        <f>+[1]Production!I44+[1]Production!I48</f>
        <v>4562.5133010999998</v>
      </c>
      <c r="K142" s="6">
        <f>+[1]Production!J44+[1]Production!J48</f>
        <v>4602.2854592000003</v>
      </c>
      <c r="L142" s="6">
        <f>+[1]Production!K44+[1]Production!K48</f>
        <v>4644.4950919000003</v>
      </c>
      <c r="M142" s="6">
        <f>+[1]Production!L44+[1]Production!L48</f>
        <v>4685.41176</v>
      </c>
      <c r="N142" s="6">
        <f>+[1]Production!M44+[1]Production!M48</f>
        <v>4735.3995556</v>
      </c>
      <c r="O142" s="6">
        <f>+[1]Production!N44+[1]Production!N48</f>
        <v>4787.3311993999996</v>
      </c>
      <c r="P142" s="6">
        <f>+[1]Production!O44+[1]Production!O48</f>
        <v>4840.6329833</v>
      </c>
      <c r="Q142" s="6">
        <f>+[1]Production!P44+[1]Production!P48</f>
        <v>4895.0482042999993</v>
      </c>
      <c r="R142" s="6">
        <f>+[1]Production!Q44+[1]Production!Q48</f>
        <v>4950.3904263999993</v>
      </c>
      <c r="S142" s="6">
        <f>+[1]Production!R44+[1]Production!R48</f>
        <v>5006.1945292</v>
      </c>
      <c r="T142" s="6">
        <f>+[1]Production!S44+[1]Production!S48</f>
        <v>5062.5936717000004</v>
      </c>
      <c r="U142" s="6">
        <f>+[1]Production!T44+[1]Production!T48</f>
        <v>5119.4962467000005</v>
      </c>
      <c r="V142" s="6">
        <f>+[1]Production!U44+[1]Production!U48</f>
        <v>5176.8248132999997</v>
      </c>
      <c r="W142" s="6">
        <f>+[1]Production!V44+[1]Production!V48</f>
        <v>5231.7399689000003</v>
      </c>
      <c r="X142" s="6">
        <f>+[1]Production!W44+[1]Production!W48</f>
        <v>5288.9624178000004</v>
      </c>
      <c r="Y142" s="6">
        <f>+[1]Production!X44+[1]Production!X48</f>
        <v>5346.7251194</v>
      </c>
      <c r="Z142" s="6">
        <f>+[1]Production!Y44+[1]Production!Y48</f>
        <v>5404.9166010999998</v>
      </c>
      <c r="AA142" s="6">
        <f>+[1]Production!Z44+[1]Production!Z48</f>
        <v>5463.5194768000001</v>
      </c>
      <c r="AB142" s="6">
        <f>+[1]Production!AA44+[1]Production!AA48</f>
        <v>5514.5870332000004</v>
      </c>
      <c r="AC142" s="6">
        <f>+[1]Production!AB44+[1]Production!AB48</f>
        <v>5568.1043897</v>
      </c>
      <c r="AD142" s="6">
        <f>+[1]Production!AC44+[1]Production!AC48</f>
        <v>5621.5906193000001</v>
      </c>
      <c r="AE142" s="6">
        <f>+[1]Production!AD44+[1]Production!AD48</f>
        <v>5675.0597627999996</v>
      </c>
      <c r="AF142" s="6">
        <f>+[1]Production!AE44+[1]Production!AE48</f>
        <v>5728.6306403999997</v>
      </c>
      <c r="AG142" s="6">
        <f>+[1]Production!AF44+[1]Production!AF48</f>
        <v>5782.4243437000005</v>
      </c>
      <c r="AH142" s="6">
        <f>+[1]Production!AG44+[1]Production!AG48</f>
        <v>5836.6351084999997</v>
      </c>
      <c r="AI142" s="6">
        <f>+[1]Production!AH44+[1]Production!AH48</f>
        <v>5891.2658081</v>
      </c>
      <c r="AJ142" s="6">
        <f>+[1]Production!AI44+[1]Production!AI48</f>
        <v>5946.373028</v>
      </c>
      <c r="AK142" s="6">
        <f>+[1]Production!AJ44+[1]Production!AJ48</f>
        <v>6001.9998587999999</v>
      </c>
      <c r="AL142" s="6">
        <f>+[1]Production!AK44+[1]Production!AK48</f>
        <v>6058.1765667999998</v>
      </c>
      <c r="AM142" s="6">
        <f>+[1]Production!AL44+[1]Production!AL48</f>
        <v>6113.9146332999999</v>
      </c>
      <c r="AN142" s="6">
        <f>+[1]Production!AM44+[1]Production!AM48</f>
        <v>6169.8056053999999</v>
      </c>
      <c r="AO142" s="6">
        <f>+[1]Production!AN44+[1]Production!AN48</f>
        <v>6225.9789307000001</v>
      </c>
      <c r="AP142" s="6">
        <f>+[1]Production!AO44+[1]Production!AO48</f>
        <v>6282.5126994000002</v>
      </c>
      <c r="AQ142" s="6">
        <f>+[1]Production!AP44+[1]Production!AP48</f>
        <v>6339.4669178999993</v>
      </c>
      <c r="AR142" s="6">
        <f>+[1]Production!AQ44+[1]Production!AQ48</f>
        <v>6397.0369939000002</v>
      </c>
      <c r="AS142" s="6">
        <f>+[1]Production!AR44+[1]Production!AR48</f>
        <v>6455.1364429000005</v>
      </c>
      <c r="AT142" s="6">
        <f>+[1]Production!AS44+[1]Production!AS48</f>
        <v>6513.7875369999992</v>
      </c>
      <c r="AU142" s="6">
        <f>+[1]Production!AT44+[1]Production!AT48</f>
        <v>6573.0064719000002</v>
      </c>
      <c r="AV142" s="6">
        <f>+[1]Production!AU44+[1]Production!AU48</f>
        <v>6632.8008583000001</v>
      </c>
      <c r="AW142" s="6">
        <f>+[1]Production!AV44+[1]Production!AV48</f>
        <v>6693.8629619000003</v>
      </c>
      <c r="AX142" s="6">
        <f>+[1]Production!AW44+[1]Production!AW48</f>
        <v>6755.6272299000002</v>
      </c>
      <c r="AY142" s="6">
        <f>+[1]Production!AX44+[1]Production!AX48</f>
        <v>6818.0541594999995</v>
      </c>
      <c r="AZ142" s="6">
        <f>+[1]Production!AY44+[1]Production!AY48</f>
        <v>6881.1212510000005</v>
      </c>
      <c r="BA142" s="6">
        <f>+[1]Production!AZ44+[1]Production!AZ48</f>
        <v>6944.8056866999996</v>
      </c>
      <c r="BB142" s="6">
        <f>+[1]Production!BA44+[1]Production!BA48</f>
        <v>8422.0498750000006</v>
      </c>
      <c r="BC142" s="6">
        <f>+[1]Production!BB44+[1]Production!BB48</f>
        <v>8540.0032289999999</v>
      </c>
      <c r="BD142" s="6">
        <f>+[1]Production!BC44+[1]Production!BC48</f>
        <v>8659.8261920000004</v>
      </c>
      <c r="BE142" s="6">
        <f>+[1]Production!BD44+[1]Production!BD48</f>
        <v>8781.5734149999989</v>
      </c>
      <c r="BF142" s="6">
        <f>+[1]Production!BE44+[1]Production!BE48</f>
        <v>8905.3025539999999</v>
      </c>
    </row>
    <row r="143" spans="1:58" x14ac:dyDescent="0.35">
      <c r="B143" t="s">
        <v>33</v>
      </c>
      <c r="C143" s="6">
        <f>[1]Production!B50+[1]Production!B52+[1]Production!B54+[1]Production!B56+[1]Production!B58+[1]Production!B60+[1]Production!B62+[1]Production!B64+[1]Production!B66</f>
        <v>67087.469177600011</v>
      </c>
      <c r="D143" s="6">
        <f>[1]Production!C50+[1]Production!C52+[1]Production!C54+[1]Production!C56+[1]Production!C58+[1]Production!C60+[1]Production!C62+[1]Production!C64+[1]Production!C66</f>
        <v>67405.781023499992</v>
      </c>
      <c r="E143" s="6">
        <f>[1]Production!D50+[1]Production!D52+[1]Production!D54+[1]Production!D56+[1]Production!D58+[1]Production!D60+[1]Production!D62+[1]Production!D64+[1]Production!D66</f>
        <v>67706.201649300012</v>
      </c>
      <c r="F143" s="6">
        <f>[1]Production!E50+[1]Production!E52+[1]Production!E54+[1]Production!E56+[1]Production!E58+[1]Production!E60+[1]Production!E62+[1]Production!E64+[1]Production!E66</f>
        <v>68032.929130000004</v>
      </c>
      <c r="G143" s="6">
        <f>[1]Production!F50+[1]Production!F52+[1]Production!F54+[1]Production!F56+[1]Production!F58+[1]Production!F60+[1]Production!F62+[1]Production!F64+[1]Production!F66</f>
        <v>68421.231651299997</v>
      </c>
      <c r="H143" s="6">
        <f>[1]Production!G50+[1]Production!G52+[1]Production!G54+[1]Production!G56+[1]Production!G58+[1]Production!G60+[1]Production!G62+[1]Production!G64+[1]Production!G66</f>
        <v>68880.277180500008</v>
      </c>
      <c r="I143" s="6">
        <f>[1]Production!H50+[1]Production!H52+[1]Production!H54+[1]Production!H56+[1]Production!H58+[1]Production!H60+[1]Production!H62+[1]Production!H64+[1]Production!H66</f>
        <v>69367.367535900004</v>
      </c>
      <c r="J143" s="6">
        <f>[1]Production!I50+[1]Production!I52+[1]Production!I54+[1]Production!I56+[1]Production!I58+[1]Production!I60+[1]Production!I62+[1]Production!I64+[1]Production!I66</f>
        <v>69891.622699899992</v>
      </c>
      <c r="K143" s="6">
        <f>[1]Production!J50+[1]Production!J52+[1]Production!J54+[1]Production!J56+[1]Production!J58+[1]Production!J60+[1]Production!J62+[1]Production!J64+[1]Production!J66</f>
        <v>70445.8675277</v>
      </c>
      <c r="L143" s="6">
        <f>[1]Production!K50+[1]Production!K52+[1]Production!K54+[1]Production!K56+[1]Production!K58+[1]Production!K60+[1]Production!K62+[1]Production!K64+[1]Production!K66</f>
        <v>71020.941924899991</v>
      </c>
      <c r="M143" s="6">
        <f>[1]Production!L50+[1]Production!L52+[1]Production!L54+[1]Production!L56+[1]Production!L58+[1]Production!L60+[1]Production!L62+[1]Production!L64+[1]Production!L66</f>
        <v>71603.353858000002</v>
      </c>
      <c r="N143" s="6">
        <f>[1]Production!M50+[1]Production!M52+[1]Production!M54+[1]Production!M56+[1]Production!M58+[1]Production!M60+[1]Production!M62+[1]Production!M64+[1]Production!M66</f>
        <v>72246.67031500001</v>
      </c>
      <c r="O143" s="6">
        <f>[1]Production!N50+[1]Production!N52+[1]Production!N54+[1]Production!N56+[1]Production!N58+[1]Production!N60+[1]Production!N62+[1]Production!N64+[1]Production!N66</f>
        <v>72903.628459600004</v>
      </c>
      <c r="P143" s="6">
        <f>[1]Production!O50+[1]Production!O52+[1]Production!O54+[1]Production!O56+[1]Production!O58+[1]Production!O60+[1]Production!O62+[1]Production!O64+[1]Production!O66</f>
        <v>73566.906096600011</v>
      </c>
      <c r="Q143" s="6">
        <f>[1]Production!P50+[1]Production!P52+[1]Production!P54+[1]Production!P56+[1]Production!P58+[1]Production!P60+[1]Production!P62+[1]Production!P64+[1]Production!P66</f>
        <v>74233.532818499996</v>
      </c>
      <c r="R143" s="6">
        <f>[1]Production!Q50+[1]Production!Q52+[1]Production!Q54+[1]Production!Q56+[1]Production!Q58+[1]Production!Q60+[1]Production!Q62+[1]Production!Q64+[1]Production!Q66</f>
        <v>74901.543927200008</v>
      </c>
      <c r="S143" s="6">
        <f>[1]Production!R50+[1]Production!R52+[1]Production!R54+[1]Production!R56+[1]Production!R58+[1]Production!R60+[1]Production!R62+[1]Production!R64+[1]Production!R66</f>
        <v>75567.017096500014</v>
      </c>
      <c r="T143" s="6">
        <f>[1]Production!S50+[1]Production!S52+[1]Production!S54+[1]Production!S56+[1]Production!S58+[1]Production!S60+[1]Production!S62+[1]Production!S64+[1]Production!S66</f>
        <v>76231.161053900025</v>
      </c>
      <c r="U143" s="6">
        <f>[1]Production!T50+[1]Production!T52+[1]Production!T54+[1]Production!T56+[1]Production!T58+[1]Production!T60+[1]Production!T62+[1]Production!T64+[1]Production!T66</f>
        <v>76893.92264199999</v>
      </c>
      <c r="V143" s="6">
        <f>[1]Production!U50+[1]Production!U52+[1]Production!U54+[1]Production!U56+[1]Production!U58+[1]Production!U60+[1]Production!U62+[1]Production!U64+[1]Production!U66</f>
        <v>77555.555128699983</v>
      </c>
      <c r="W143" s="6">
        <f>[1]Production!V50+[1]Production!V52+[1]Production!V54+[1]Production!V56+[1]Production!V58+[1]Production!V60+[1]Production!V62+[1]Production!V64+[1]Production!V66</f>
        <v>78173.043335400012</v>
      </c>
      <c r="X143" s="6">
        <f>[1]Production!W50+[1]Production!W52+[1]Production!W54+[1]Production!W56+[1]Production!W58+[1]Production!W60+[1]Production!W62+[1]Production!W64+[1]Production!W66</f>
        <v>78817.4257315</v>
      </c>
      <c r="Y143" s="6">
        <f>[1]Production!X50+[1]Production!X52+[1]Production!X54+[1]Production!X56+[1]Production!X58+[1]Production!X60+[1]Production!X62+[1]Production!X64+[1]Production!X66</f>
        <v>79471.462466099983</v>
      </c>
      <c r="Z143" s="6">
        <f>[1]Production!Y50+[1]Production!Y52+[1]Production!Y54+[1]Production!Y56+[1]Production!Y58+[1]Production!Y60+[1]Production!Y62+[1]Production!Y64+[1]Production!Y66</f>
        <v>80132.446014300003</v>
      </c>
      <c r="AA143" s="6">
        <f>[1]Production!Z50+[1]Production!Z52+[1]Production!Z54+[1]Production!Z56+[1]Production!Z58+[1]Production!Z60+[1]Production!Z62+[1]Production!Z64+[1]Production!Z66</f>
        <v>80800.459579499991</v>
      </c>
      <c r="AB143" s="6">
        <f>[1]Production!AA50+[1]Production!AA52+[1]Production!AA54+[1]Production!AA56+[1]Production!AA58+[1]Production!AA60+[1]Production!AA62+[1]Production!AA64+[1]Production!AA66</f>
        <v>81352.653169500001</v>
      </c>
      <c r="AC143" s="6">
        <f>[1]Production!AB50+[1]Production!AB52+[1]Production!AB54+[1]Production!AB56+[1]Production!AB58+[1]Production!AB60+[1]Production!AB62+[1]Production!AB64+[1]Production!AB66</f>
        <v>81931.099312799997</v>
      </c>
      <c r="AD143" s="6">
        <f>[1]Production!AC50+[1]Production!AC52+[1]Production!AC54+[1]Production!AC56+[1]Production!AC58+[1]Production!AC60+[1]Production!AC62+[1]Production!AC64+[1]Production!AC66</f>
        <v>82518.183702199982</v>
      </c>
      <c r="AE143" s="6">
        <f>[1]Production!AD50+[1]Production!AD52+[1]Production!AD54+[1]Production!AD56+[1]Production!AD58+[1]Production!AD60+[1]Production!AD62+[1]Production!AD64+[1]Production!AD66</f>
        <v>83113.573773299984</v>
      </c>
      <c r="AF143" s="6">
        <f>[1]Production!AE50+[1]Production!AE52+[1]Production!AE54+[1]Production!AE56+[1]Production!AE58+[1]Production!AE60+[1]Production!AE62+[1]Production!AE64+[1]Production!AE66</f>
        <v>83719.143383300005</v>
      </c>
      <c r="AG143" s="6">
        <f>[1]Production!AF50+[1]Production!AF52+[1]Production!AF54+[1]Production!AF56+[1]Production!AF58+[1]Production!AF60+[1]Production!AF62+[1]Production!AF64+[1]Production!AF66</f>
        <v>84336.859627900005</v>
      </c>
      <c r="AH143" s="6">
        <f>[1]Production!AG50+[1]Production!AG52+[1]Production!AG54+[1]Production!AG56+[1]Production!AG58+[1]Production!AG60+[1]Production!AG62+[1]Production!AG64+[1]Production!AG66</f>
        <v>84969.105089600009</v>
      </c>
      <c r="AI143" s="6">
        <f>[1]Production!AH50+[1]Production!AH52+[1]Production!AH54+[1]Production!AH56+[1]Production!AH58+[1]Production!AH60+[1]Production!AH62+[1]Production!AH64+[1]Production!AH66</f>
        <v>85616.516680800007</v>
      </c>
      <c r="AJ143" s="6">
        <f>[1]Production!AI50+[1]Production!AI52+[1]Production!AI54+[1]Production!AI56+[1]Production!AI58+[1]Production!AI60+[1]Production!AI62+[1]Production!AI64+[1]Production!AI66</f>
        <v>86279.856309899973</v>
      </c>
      <c r="AK143" s="6">
        <f>[1]Production!AJ50+[1]Production!AJ52+[1]Production!AJ54+[1]Production!AJ56+[1]Production!AJ58+[1]Production!AJ60+[1]Production!AJ62+[1]Production!AJ64+[1]Production!AJ66</f>
        <v>86959.576546100012</v>
      </c>
      <c r="AL143" s="6">
        <f>[1]Production!AK50+[1]Production!AK52+[1]Production!AK54+[1]Production!AK56+[1]Production!AK58+[1]Production!AK60+[1]Production!AK62+[1]Production!AK64+[1]Production!AK66</f>
        <v>87655.837078299999</v>
      </c>
      <c r="AM143" s="6">
        <f>[1]Production!AL50+[1]Production!AL52+[1]Production!AL54+[1]Production!AL56+[1]Production!AL58+[1]Production!AL60+[1]Production!AL62+[1]Production!AL64+[1]Production!AL66</f>
        <v>88347.002781899995</v>
      </c>
      <c r="AN143" s="6">
        <f>[1]Production!AM50+[1]Production!AM52+[1]Production!AM54+[1]Production!AM56+[1]Production!AM58+[1]Production!AM60+[1]Production!AM62+[1]Production!AM64+[1]Production!AM66</f>
        <v>89044.448053900007</v>
      </c>
      <c r="AO143" s="6">
        <f>[1]Production!AN50+[1]Production!AN52+[1]Production!AN54+[1]Production!AN56+[1]Production!AN58+[1]Production!AN60+[1]Production!AN62+[1]Production!AN64+[1]Production!AN66</f>
        <v>89752.479097599979</v>
      </c>
      <c r="AP143" s="6">
        <f>[1]Production!AO50+[1]Production!AO52+[1]Production!AO54+[1]Production!AO56+[1]Production!AO58+[1]Production!AO60+[1]Production!AO62+[1]Production!AO64+[1]Production!AO66</f>
        <v>90473.114173899987</v>
      </c>
      <c r="AQ143" s="6">
        <f>[1]Production!AP50+[1]Production!AP52+[1]Production!AP54+[1]Production!AP56+[1]Production!AP58+[1]Production!AP60+[1]Production!AP62+[1]Production!AP64+[1]Production!AP66</f>
        <v>91207.335945900006</v>
      </c>
      <c r="AR143" s="6">
        <f>[1]Production!AQ50+[1]Production!AQ52+[1]Production!AQ54+[1]Production!AQ56+[1]Production!AQ58+[1]Production!AQ60+[1]Production!AQ62+[1]Production!AQ64+[1]Production!AQ66</f>
        <v>91956.814272399992</v>
      </c>
      <c r="AS143" s="6">
        <f>[1]Production!AR50+[1]Production!AR52+[1]Production!AR54+[1]Production!AR56+[1]Production!AR58+[1]Production!AR60+[1]Production!AR62+[1]Production!AR64+[1]Production!AR66</f>
        <v>92720.803002099987</v>
      </c>
      <c r="AT143" s="6">
        <f>[1]Production!AS50+[1]Production!AS52+[1]Production!AS54+[1]Production!AS56+[1]Production!AS58+[1]Production!AS60+[1]Production!AS62+[1]Production!AS64+[1]Production!AS66</f>
        <v>93499.242884100007</v>
      </c>
      <c r="AU143" s="6">
        <f>[1]Production!AT50+[1]Production!AT52+[1]Production!AT54+[1]Production!AT56+[1]Production!AT58+[1]Production!AT60+[1]Production!AT62+[1]Production!AT64+[1]Production!AT66</f>
        <v>94292.043167299998</v>
      </c>
      <c r="AV143" s="6">
        <f>[1]Production!AU50+[1]Production!AU52+[1]Production!AU54+[1]Production!AU56+[1]Production!AU58+[1]Production!AU60+[1]Production!AU62+[1]Production!AU64+[1]Production!AU66</f>
        <v>95099.037285600018</v>
      </c>
      <c r="AW143" s="6">
        <f>[1]Production!AV50+[1]Production!AV52+[1]Production!AV54+[1]Production!AV56+[1]Production!AV58+[1]Production!AV60+[1]Production!AV62+[1]Production!AV64+[1]Production!AV66</f>
        <v>95926.91809739999</v>
      </c>
      <c r="AX143" s="6">
        <f>[1]Production!AW50+[1]Production!AW52+[1]Production!AW54+[1]Production!AW56+[1]Production!AW58+[1]Production!AW60+[1]Production!AW62+[1]Production!AW64+[1]Production!AW66</f>
        <v>96770.739359200001</v>
      </c>
      <c r="AY143" s="6">
        <f>[1]Production!AX50+[1]Production!AX52+[1]Production!AX54+[1]Production!AX56+[1]Production!AX58+[1]Production!AX60+[1]Production!AX62+[1]Production!AX64+[1]Production!AX66</f>
        <v>97629.660949300014</v>
      </c>
      <c r="AZ143" s="6">
        <f>[1]Production!AY50+[1]Production!AY52+[1]Production!AY54+[1]Production!AY56+[1]Production!AY58+[1]Production!AY60+[1]Production!AY62+[1]Production!AY64+[1]Production!AY66</f>
        <v>98503.3263993</v>
      </c>
      <c r="BA143" s="6">
        <f>[1]Production!AZ50+[1]Production!AZ52+[1]Production!AZ54+[1]Production!AZ56+[1]Production!AZ58+[1]Production!AZ60+[1]Production!AZ62+[1]Production!AZ64+[1]Production!AZ66</f>
        <v>99391.43182160001</v>
      </c>
      <c r="BB143" s="6">
        <f>[1]Production!BA50+[1]Production!BA52+[1]Production!BA54+[1]Production!BA56+[1]Production!BA58+[1]Production!BA60+[1]Production!BA62+[1]Production!BA64+[1]Production!BA66</f>
        <v>109335.0533368</v>
      </c>
      <c r="BC143" s="6">
        <f>[1]Production!BB50+[1]Production!BB52+[1]Production!BB54+[1]Production!BB56+[1]Production!BB58+[1]Production!BB60+[1]Production!BB62+[1]Production!BB64+[1]Production!BB66</f>
        <v>110686.17812879999</v>
      </c>
      <c r="BD143" s="6">
        <f>[1]Production!BC50+[1]Production!BC52+[1]Production!BC54+[1]Production!BC56+[1]Production!BC58+[1]Production!BC60+[1]Production!BC62+[1]Production!BC64+[1]Production!BC66</f>
        <v>112062.22437210001</v>
      </c>
      <c r="BE143" s="6">
        <f>[1]Production!BD50+[1]Production!BD52+[1]Production!BD54+[1]Production!BD56+[1]Production!BD58+[1]Production!BD60+[1]Production!BD62+[1]Production!BD64+[1]Production!BD66</f>
        <v>113463.31569790001</v>
      </c>
      <c r="BF143" s="6">
        <f>[1]Production!BE50+[1]Production!BE52+[1]Production!BE54+[1]Production!BE56+[1]Production!BE58+[1]Production!BE60+[1]Production!BE62+[1]Production!BE64+[1]Production!BE66</f>
        <v>114889.6136365</v>
      </c>
    </row>
    <row r="145" spans="1:5" x14ac:dyDescent="0.35">
      <c r="A145" s="12" t="s">
        <v>83</v>
      </c>
      <c r="B145" t="s">
        <v>14</v>
      </c>
      <c r="C145" s="7" t="s">
        <v>15</v>
      </c>
      <c r="D145" s="7" t="s">
        <v>16</v>
      </c>
      <c r="E145" s="7" t="s">
        <v>17</v>
      </c>
    </row>
    <row r="146" spans="1:5" x14ac:dyDescent="0.35">
      <c r="A146" t="s">
        <v>80</v>
      </c>
      <c r="B146" t="s">
        <v>40</v>
      </c>
      <c r="C146" s="4">
        <f t="shared" ref="C146:C153" si="65">(R136-R125)/R125</f>
        <v>-4.5393931819479261E-2</v>
      </c>
      <c r="D146" s="4">
        <f t="shared" ref="D146:D153" si="66">(S135-S124)/S124</f>
        <v>0</v>
      </c>
      <c r="E146" s="4">
        <f t="shared" ref="E146:E153" si="67">(AL136-AL125)/AL125</f>
        <v>-6.5002261741736303E-2</v>
      </c>
    </row>
    <row r="147" spans="1:5" x14ac:dyDescent="0.35">
      <c r="B147" t="s">
        <v>7</v>
      </c>
      <c r="C147" s="4">
        <f t="shared" si="65"/>
        <v>-5.5234344663263955E-2</v>
      </c>
      <c r="D147" s="4">
        <f t="shared" si="66"/>
        <v>-4.6176143747233354E-2</v>
      </c>
      <c r="E147" s="4">
        <f t="shared" si="67"/>
        <v>-7.952331315361541E-2</v>
      </c>
    </row>
    <row r="148" spans="1:5" x14ac:dyDescent="0.35">
      <c r="B148" t="s">
        <v>30</v>
      </c>
      <c r="C148" s="4">
        <f t="shared" si="65"/>
        <v>-6.0582078911568429E-2</v>
      </c>
      <c r="D148" s="4">
        <f t="shared" si="66"/>
        <v>-5.6025152620205965E-2</v>
      </c>
      <c r="E148" s="4">
        <f t="shared" si="67"/>
        <v>-9.304530630666491E-2</v>
      </c>
    </row>
    <row r="149" spans="1:5" x14ac:dyDescent="0.35">
      <c r="B149" t="s">
        <v>9</v>
      </c>
      <c r="C149" s="4">
        <f t="shared" si="65"/>
        <v>-5.0353457887280254E-2</v>
      </c>
      <c r="D149" s="4">
        <f t="shared" si="66"/>
        <v>-6.2127628121042701E-2</v>
      </c>
      <c r="E149" s="4">
        <f t="shared" si="67"/>
        <v>-7.5485301955704798E-2</v>
      </c>
    </row>
    <row r="150" spans="1:5" x14ac:dyDescent="0.35">
      <c r="B150" t="s">
        <v>10</v>
      </c>
      <c r="C150" s="4">
        <f t="shared" si="65"/>
        <v>-3.9279709702273451E-2</v>
      </c>
      <c r="D150" s="4">
        <f t="shared" si="66"/>
        <v>-5.1137601504764901E-2</v>
      </c>
      <c r="E150" s="4">
        <f t="shared" si="67"/>
        <v>-5.3362024433785293E-2</v>
      </c>
    </row>
    <row r="151" spans="1:5" x14ac:dyDescent="0.35">
      <c r="B151" t="s">
        <v>29</v>
      </c>
      <c r="C151" s="4">
        <f t="shared" si="65"/>
        <v>-5.8656320000848111E-2</v>
      </c>
      <c r="D151" s="4">
        <f t="shared" si="66"/>
        <v>-3.9775760618420669E-2</v>
      </c>
      <c r="E151" s="4">
        <f t="shared" si="67"/>
        <v>-8.5418960553977186E-2</v>
      </c>
    </row>
    <row r="152" spans="1:5" x14ac:dyDescent="0.35">
      <c r="B152" t="s">
        <v>36</v>
      </c>
      <c r="C152" s="4">
        <f t="shared" si="65"/>
        <v>-5.7102163713411688E-2</v>
      </c>
      <c r="D152" s="4">
        <f t="shared" si="66"/>
        <v>-5.9821042760270705E-2</v>
      </c>
      <c r="E152" s="4">
        <f t="shared" si="67"/>
        <v>-8.1380884500491107E-2</v>
      </c>
    </row>
    <row r="153" spans="1:5" x14ac:dyDescent="0.35">
      <c r="B153" t="s">
        <v>33</v>
      </c>
      <c r="C153" s="4">
        <f t="shared" si="65"/>
        <v>-2.5499610920764963E-2</v>
      </c>
      <c r="D153" s="4">
        <f t="shared" si="66"/>
        <v>-5.8206440163327711E-2</v>
      </c>
      <c r="E153" s="4">
        <f t="shared" si="67"/>
        <v>-4.1070326594657314E-2</v>
      </c>
    </row>
    <row r="154" spans="1:5" x14ac:dyDescent="0.35">
      <c r="C154" s="5"/>
      <c r="D154" s="5"/>
      <c r="E154" s="5"/>
    </row>
    <row r="155" spans="1:5" x14ac:dyDescent="0.35">
      <c r="A155" s="12" t="s">
        <v>83</v>
      </c>
      <c r="B155" t="s">
        <v>14</v>
      </c>
      <c r="C155" s="7" t="s">
        <v>15</v>
      </c>
      <c r="D155" s="7" t="s">
        <v>16</v>
      </c>
      <c r="E155" s="7" t="s">
        <v>17</v>
      </c>
    </row>
    <row r="156" spans="1:5" x14ac:dyDescent="0.35">
      <c r="A156" t="s">
        <v>84</v>
      </c>
      <c r="B156" t="s">
        <v>7</v>
      </c>
      <c r="C156" s="4">
        <f>R137/R126-1</f>
        <v>-5.5234344663263935E-2</v>
      </c>
      <c r="D156" s="4">
        <f>AB137/AB126-1</f>
        <v>-6.5337657415153516E-2</v>
      </c>
      <c r="E156" s="4">
        <f>AL137/AL126-1</f>
        <v>-7.9523313153615383E-2</v>
      </c>
    </row>
    <row r="157" spans="1:5" x14ac:dyDescent="0.35">
      <c r="B157" t="s">
        <v>8</v>
      </c>
      <c r="C157" s="4">
        <f>R138/R127-1</f>
        <v>-6.0582078911568416E-2</v>
      </c>
      <c r="D157" s="4">
        <f>AB138/AB127-1</f>
        <v>-7.7304773259364246E-2</v>
      </c>
      <c r="E157" s="4">
        <f>AL138/AL127-1</f>
        <v>-9.3045306306664854E-2</v>
      </c>
    </row>
    <row r="158" spans="1:5" x14ac:dyDescent="0.35">
      <c r="B158" t="s">
        <v>9</v>
      </c>
      <c r="C158" s="4">
        <f>R139/R128-1</f>
        <v>-5.0353457887280295E-2</v>
      </c>
      <c r="D158" s="4">
        <f>AB139/AB128-1</f>
        <v>-6.117498124096854E-2</v>
      </c>
      <c r="E158" s="4">
        <f>AL139/AL128-1</f>
        <v>-7.5485301955704798E-2</v>
      </c>
    </row>
    <row r="159" spans="1:5" x14ac:dyDescent="0.35">
      <c r="B159" t="s">
        <v>10</v>
      </c>
      <c r="C159" s="4">
        <f>R140/R129-1</f>
        <v>-3.9279709702273458E-2</v>
      </c>
      <c r="D159" s="4">
        <f>AB140/AB129-1</f>
        <v>-4.5246244636942379E-2</v>
      </c>
      <c r="E159" s="4">
        <f>AL140/AL129-1</f>
        <v>-5.3362024433785238E-2</v>
      </c>
    </row>
    <row r="160" spans="1:5" x14ac:dyDescent="0.35">
      <c r="B160" t="s">
        <v>12</v>
      </c>
      <c r="C160" s="4">
        <f>R141/R130-1</f>
        <v>-5.8656320000848083E-2</v>
      </c>
      <c r="D160" s="4">
        <f>AB141/AB130-1</f>
        <v>-7.0971386348882781E-2</v>
      </c>
      <c r="E160" s="4">
        <f>AL141/AL130-1</f>
        <v>-8.5418960553977241E-2</v>
      </c>
    </row>
    <row r="161" spans="1:58" x14ac:dyDescent="0.35">
      <c r="B161" t="s">
        <v>11</v>
      </c>
      <c r="C161" s="4">
        <f>R143/R132-1</f>
        <v>-2.5499610920764915E-2</v>
      </c>
      <c r="D161" s="4">
        <f>AB143/AB132-1</f>
        <v>-3.0444368467508642E-2</v>
      </c>
      <c r="E161" s="4">
        <f>AL143/AL132-1</f>
        <v>-4.1070326594657369E-2</v>
      </c>
    </row>
    <row r="162" spans="1:58" x14ac:dyDescent="0.35">
      <c r="C162" s="4"/>
      <c r="D162" s="4"/>
      <c r="E162" s="4"/>
    </row>
    <row r="163" spans="1:58" x14ac:dyDescent="0.35">
      <c r="A163" s="12" t="s">
        <v>41</v>
      </c>
      <c r="C163" s="4"/>
      <c r="D163" s="4"/>
      <c r="E163" s="4"/>
    </row>
    <row r="164" spans="1:58" x14ac:dyDescent="0.35">
      <c r="A164" t="s">
        <v>38</v>
      </c>
      <c r="B164" t="s">
        <v>40</v>
      </c>
      <c r="C164" s="6">
        <f>[1]Capital!B3</f>
        <v>5224351.5990000004</v>
      </c>
      <c r="D164" s="6">
        <f>[1]Capital!C3</f>
        <v>5285939.1890000002</v>
      </c>
      <c r="E164" s="6">
        <f>[1]Capital!D3</f>
        <v>5349468.2699999996</v>
      </c>
      <c r="F164" s="6">
        <f>[1]Capital!E3</f>
        <v>5415267.1299999999</v>
      </c>
      <c r="G164" s="6">
        <f>[1]Capital!F3</f>
        <v>5483570.4560000002</v>
      </c>
      <c r="H164" s="6">
        <f>[1]Capital!G3</f>
        <v>5554548.6670000004</v>
      </c>
      <c r="I164" s="6">
        <f>[1]Capital!H3</f>
        <v>5628132.9570000004</v>
      </c>
      <c r="J164" s="6">
        <f>[1]Capital!I3</f>
        <v>5704292.977</v>
      </c>
      <c r="K164" s="6">
        <f>[1]Capital!J3</f>
        <v>5783028.068</v>
      </c>
      <c r="L164" s="6">
        <f>[1]Capital!K3</f>
        <v>5864354.1339999996</v>
      </c>
      <c r="M164" s="6">
        <f>[1]Capital!L3</f>
        <v>5948646.0389999999</v>
      </c>
      <c r="N164" s="6">
        <f>[1]Capital!M3</f>
        <v>6035819.6490000002</v>
      </c>
      <c r="O164" s="6">
        <f>[1]Capital!N3</f>
        <v>6125820.8250000002</v>
      </c>
      <c r="P164" s="6">
        <f>[1]Capital!O3</f>
        <v>6218620.2939999998</v>
      </c>
      <c r="Q164" s="6">
        <f>[1]Capital!P3</f>
        <v>6314200.1509999996</v>
      </c>
      <c r="R164" s="6">
        <f>[1]Capital!Q3</f>
        <v>6412547.8660000004</v>
      </c>
      <c r="S164" s="6">
        <f>[1]Capital!R3</f>
        <v>6513654.2609999999</v>
      </c>
      <c r="T164" s="6">
        <f>[1]Capital!S3</f>
        <v>6617512.8940000003</v>
      </c>
      <c r="U164" s="6">
        <f>[1]Capital!T3</f>
        <v>6724119.6909999996</v>
      </c>
      <c r="V164" s="6">
        <f>[1]Capital!U3</f>
        <v>6833472.3949999996</v>
      </c>
      <c r="W164" s="6">
        <f>[1]Capital!V3</f>
        <v>6945305.1560000004</v>
      </c>
      <c r="X164" s="6">
        <f>[1]Capital!W3</f>
        <v>7059698.8569999998</v>
      </c>
      <c r="Y164" s="6">
        <f>[1]Capital!X3</f>
        <v>7176711.4029999999</v>
      </c>
      <c r="Z164" s="6">
        <f>[1]Capital!Y3</f>
        <v>7296379.2060000002</v>
      </c>
      <c r="AA164" s="6">
        <f>[1]Capital!Z3</f>
        <v>7418725.773</v>
      </c>
      <c r="AB164" s="6">
        <f>[1]Capital!AA3</f>
        <v>7542993.5420000004</v>
      </c>
      <c r="AC164" s="6">
        <f>[1]Capital!AB3</f>
        <v>7669058.5219999999</v>
      </c>
      <c r="AD164" s="6">
        <f>[1]Capital!AC3</f>
        <v>7796832.5369999995</v>
      </c>
      <c r="AE164" s="6">
        <f>[1]Capital!AD3</f>
        <v>7926240.9440000001</v>
      </c>
      <c r="AF164" s="6">
        <f>[1]Capital!AE3</f>
        <v>8057223.2769999998</v>
      </c>
      <c r="AG164" s="6">
        <f>[1]Capital!AF3</f>
        <v>8189731.7740000002</v>
      </c>
      <c r="AH164" s="6">
        <f>[1]Capital!AG3</f>
        <v>8323728.102</v>
      </c>
      <c r="AI164" s="6">
        <f>[1]Capital!AH3</f>
        <v>8459179.6549999993</v>
      </c>
      <c r="AJ164" s="6">
        <f>[1]Capital!AI3</f>
        <v>8596056.3389999997</v>
      </c>
      <c r="AK164" s="6">
        <f>[1]Capital!AJ3</f>
        <v>8734328.2559999991</v>
      </c>
      <c r="AL164" s="6">
        <f>[1]Capital!AK3</f>
        <v>8873964.3579999991</v>
      </c>
      <c r="AM164" s="6">
        <f>[1]Capital!AL3</f>
        <v>9014742.1789999995</v>
      </c>
      <c r="AN164" s="6">
        <f>[1]Capital!AM3</f>
        <v>9156493.5219999999</v>
      </c>
      <c r="AO164" s="6">
        <f>[1]Capital!AN3</f>
        <v>9299090.3080000002</v>
      </c>
      <c r="AP164" s="6">
        <f>[1]Capital!AO3</f>
        <v>9442431.8110000007</v>
      </c>
      <c r="AQ164" s="6">
        <f>[1]Capital!AP3</f>
        <v>9586438.2229999993</v>
      </c>
      <c r="AR164" s="6">
        <f>[1]Capital!AQ3</f>
        <v>9731047.0309999995</v>
      </c>
      <c r="AS164" s="6">
        <f>[1]Capital!AR3</f>
        <v>9876210.398</v>
      </c>
      <c r="AT164" s="6">
        <f>[1]Capital!AS3</f>
        <v>10021892.93</v>
      </c>
      <c r="AU164" s="6">
        <f>[1]Capital!AT3</f>
        <v>10168069.75</v>
      </c>
      <c r="AV164" s="6">
        <f>[1]Capital!AU3</f>
        <v>10314724.859999999</v>
      </c>
      <c r="AW164" s="6">
        <f>[1]Capital!AV3</f>
        <v>10461867.300000001</v>
      </c>
      <c r="AX164" s="6">
        <f>[1]Capital!AW3</f>
        <v>10609507.949999999</v>
      </c>
      <c r="AY164" s="6">
        <f>[1]Capital!AX3</f>
        <v>10757660.439999999</v>
      </c>
      <c r="AZ164" s="6">
        <f>[1]Capital!AY3</f>
        <v>10906341.779999999</v>
      </c>
      <c r="BA164" s="6">
        <f>[1]Capital!AZ3</f>
        <v>11055572.85</v>
      </c>
      <c r="BB164" s="6">
        <f>[1]Capital!BA3</f>
        <v>12048683.140000001</v>
      </c>
      <c r="BC164" s="6">
        <f>[1]Capital!BB3</f>
        <v>12276883.67</v>
      </c>
      <c r="BD164" s="6">
        <f>[1]Capital!BC3</f>
        <v>12508283.220000001</v>
      </c>
      <c r="BE164" s="6">
        <f>[1]Capital!BD3</f>
        <v>12742824.369999999</v>
      </c>
      <c r="BF164" s="6">
        <f>[1]Capital!BE3</f>
        <v>12980451.76</v>
      </c>
    </row>
    <row r="165" spans="1:58" x14ac:dyDescent="0.35">
      <c r="B165" t="s">
        <v>7</v>
      </c>
      <c r="C165" s="5">
        <f>[1]Capital!B5+[1]Capital!B7</f>
        <v>49062.141071999999</v>
      </c>
      <c r="D165" s="5">
        <f>[1]Capital!C5+[1]Capital!C7</f>
        <v>49625.231839</v>
      </c>
      <c r="E165" s="5">
        <f>[1]Capital!D5+[1]Capital!D7</f>
        <v>50187.860066999994</v>
      </c>
      <c r="F165" s="5">
        <f>[1]Capital!E5+[1]Capital!E7</f>
        <v>50755.068525000002</v>
      </c>
      <c r="G165" s="5">
        <f>[1]Capital!F5+[1]Capital!F7</f>
        <v>51332.564119999995</v>
      </c>
      <c r="H165" s="5">
        <f>[1]Capital!G5+[1]Capital!G7</f>
        <v>51925.404205999999</v>
      </c>
      <c r="I165" s="5">
        <f>[1]Capital!H5+[1]Capital!H7</f>
        <v>52535.760403</v>
      </c>
      <c r="J165" s="5">
        <f>[1]Capital!I5+[1]Capital!I7</f>
        <v>53165.369107999999</v>
      </c>
      <c r="K165" s="5">
        <f>[1]Capital!J5+[1]Capital!J7</f>
        <v>53815.596504000001</v>
      </c>
      <c r="L165" s="5">
        <f>[1]Capital!K5+[1]Capital!K7</f>
        <v>54487.458894000003</v>
      </c>
      <c r="M165" s="5">
        <f>[1]Capital!L5+[1]Capital!L7</f>
        <v>55184.980906999997</v>
      </c>
      <c r="N165" s="5">
        <f>[1]Capital!M5+[1]Capital!M7</f>
        <v>55907.693438000002</v>
      </c>
      <c r="O165" s="5">
        <f>[1]Capital!N5+[1]Capital!N7</f>
        <v>56655.058231999996</v>
      </c>
      <c r="P165" s="5">
        <f>[1]Capital!O5+[1]Capital!O7</f>
        <v>57426.583828000003</v>
      </c>
      <c r="Q165" s="5">
        <f>[1]Capital!P5+[1]Capital!P7</f>
        <v>58221.778238999999</v>
      </c>
      <c r="R165" s="5">
        <f>[1]Capital!Q5+[1]Capital!Q7</f>
        <v>59040.146437000003</v>
      </c>
      <c r="S165" s="5">
        <f>[1]Capital!R5+[1]Capital!R7</f>
        <v>59881.209535000002</v>
      </c>
      <c r="T165" s="5">
        <f>[1]Capital!S5+[1]Capital!S7</f>
        <v>60744.524253000003</v>
      </c>
      <c r="U165" s="5">
        <f>[1]Capital!T5+[1]Capital!T7</f>
        <v>61629.694988000003</v>
      </c>
      <c r="V165" s="5">
        <f>[1]Capital!U5+[1]Capital!U7</f>
        <v>62536.377947999994</v>
      </c>
      <c r="W165" s="5">
        <f>[1]Capital!V5+[1]Capital!V7</f>
        <v>63461.803290999997</v>
      </c>
      <c r="X165" s="5">
        <f>[1]Capital!W5+[1]Capital!W7</f>
        <v>64406.410537999996</v>
      </c>
      <c r="Y165" s="5">
        <f>[1]Capital!X5+[1]Capital!X7</f>
        <v>65370.587391000001</v>
      </c>
      <c r="Z165" s="5">
        <f>[1]Capital!Y5+[1]Capital!Y7</f>
        <v>66354.603759000005</v>
      </c>
      <c r="AA165" s="5">
        <f>[1]Capital!Z5+[1]Capital!Z7</f>
        <v>67358.664676999993</v>
      </c>
      <c r="AB165" s="5">
        <f>[1]Capital!AA5+[1]Capital!AA7</f>
        <v>68375.736446999988</v>
      </c>
      <c r="AC165" s="5">
        <f>[1]Capital!AB5+[1]Capital!AB7</f>
        <v>69404.508201999997</v>
      </c>
      <c r="AD165" s="5">
        <f>[1]Capital!AC5+[1]Capital!AC7</f>
        <v>70444.268050999992</v>
      </c>
      <c r="AE165" s="5">
        <f>[1]Capital!AD5+[1]Capital!AD7</f>
        <v>71494.618349000011</v>
      </c>
      <c r="AF165" s="5">
        <f>[1]Capital!AE5+[1]Capital!AE7</f>
        <v>72555.449383000014</v>
      </c>
      <c r="AG165" s="5">
        <f>[1]Capital!AF5+[1]Capital!AF7</f>
        <v>73626.891381000009</v>
      </c>
      <c r="AH165" s="5">
        <f>[1]Capital!AG5+[1]Capital!AG7</f>
        <v>74709.24790799999</v>
      </c>
      <c r="AI165" s="5">
        <f>[1]Capital!AH5+[1]Capital!AH7</f>
        <v>75802.929793000003</v>
      </c>
      <c r="AJ165" s="5">
        <f>[1]Capital!AI5+[1]Capital!AI7</f>
        <v>76908.40065499999</v>
      </c>
      <c r="AK165" s="5">
        <f>[1]Capital!AJ5+[1]Capital!AJ7</f>
        <v>78026.13751700001</v>
      </c>
      <c r="AL165" s="5">
        <f>[1]Capital!AK5+[1]Capital!AK7</f>
        <v>79156.605979999993</v>
      </c>
      <c r="AM165" s="5">
        <f>[1]Capital!AL5+[1]Capital!AL7</f>
        <v>80298.489170000001</v>
      </c>
      <c r="AN165" s="5">
        <f>[1]Capital!AM5+[1]Capital!AM7</f>
        <v>81450.911075000011</v>
      </c>
      <c r="AO165" s="5">
        <f>[1]Capital!AN5+[1]Capital!AN7</f>
        <v>82613.377718000003</v>
      </c>
      <c r="AP165" s="5">
        <f>[1]Capital!AO5+[1]Capital!AO7</f>
        <v>83785.67747000001</v>
      </c>
      <c r="AQ165" s="5">
        <f>[1]Capital!AP5+[1]Capital!AP7</f>
        <v>84967.821700999993</v>
      </c>
      <c r="AR165" s="5">
        <f>[1]Capital!AQ5+[1]Capital!AQ7</f>
        <v>86160.001187000002</v>
      </c>
      <c r="AS165" s="5">
        <f>[1]Capital!AR5+[1]Capital!AR7</f>
        <v>87362.546195999996</v>
      </c>
      <c r="AT165" s="5">
        <f>[1]Capital!AS5+[1]Capital!AS7</f>
        <v>88575.888329000009</v>
      </c>
      <c r="AU165" s="5">
        <f>[1]Capital!AT5+[1]Capital!AT7</f>
        <v>89800.526157</v>
      </c>
      <c r="AV165" s="5">
        <f>[1]Capital!AU5+[1]Capital!AU7</f>
        <v>91036.996289000002</v>
      </c>
      <c r="AW165" s="5">
        <f>[1]Capital!AV5+[1]Capital!AV7</f>
        <v>92286.009060000011</v>
      </c>
      <c r="AX165" s="5">
        <f>[1]Capital!AW5+[1]Capital!AW7</f>
        <v>93548.237695999997</v>
      </c>
      <c r="AY165" s="5">
        <f>[1]Capital!AX5+[1]Capital!AX7</f>
        <v>94824.318197000001</v>
      </c>
      <c r="AZ165" s="5">
        <f>[1]Capital!AY5+[1]Capital!AY7</f>
        <v>96114.844200000007</v>
      </c>
      <c r="BA165" s="5">
        <f>[1]Capital!AZ5+[1]Capital!AZ7</f>
        <v>97420.367108999999</v>
      </c>
      <c r="BB165" s="5">
        <f>[1]Capital!BA5+[1]Capital!BA7</f>
        <v>105778.84574</v>
      </c>
      <c r="BC165" s="5">
        <f>[1]Capital!BB5+[1]Capital!BB7</f>
        <v>107630.562708</v>
      </c>
      <c r="BD165" s="5">
        <f>[1]Capital!BC5+[1]Capital!BC7</f>
        <v>109510.90927799999</v>
      </c>
      <c r="BE165" s="5">
        <f>[1]Capital!BD5+[1]Capital!BD7</f>
        <v>111420.20065100001</v>
      </c>
      <c r="BF165" s="5">
        <f>[1]Capital!BE5+[1]Capital!BE7</f>
        <v>113358.79536300001</v>
      </c>
    </row>
    <row r="166" spans="1:58" x14ac:dyDescent="0.35">
      <c r="B166" t="s">
        <v>30</v>
      </c>
      <c r="C166" s="5">
        <f>[1]Capital!B9+[1]Capital!B11+[1]Capital!B13+[1]Capital!B15+[1]Capital!B17+[1]Capital!B19+[1]Capital!B21+[1]Capital!B23+[1]Capital!B25+[1]Capital!B27+[1]Capital!B41</f>
        <v>2595738.3102210006</v>
      </c>
      <c r="D166" s="5">
        <f>[1]Capital!C9+[1]Capital!C11+[1]Capital!C13+[1]Capital!C15+[1]Capital!C17+[1]Capital!C19+[1]Capital!C21+[1]Capital!C23+[1]Capital!C25+[1]Capital!C27+[1]Capital!C41</f>
        <v>2626423.7680189996</v>
      </c>
      <c r="E166" s="5">
        <f>[1]Capital!D9+[1]Capital!D11+[1]Capital!D13+[1]Capital!D15+[1]Capital!D17+[1]Capital!D19+[1]Capital!D21+[1]Capital!D23+[1]Capital!D25+[1]Capital!D27+[1]Capital!D41</f>
        <v>2658230.4610699997</v>
      </c>
      <c r="F166" s="5">
        <f>[1]Capital!E9+[1]Capital!E11+[1]Capital!E13+[1]Capital!E15+[1]Capital!E17+[1]Capital!E19+[1]Capital!E21+[1]Capital!E23+[1]Capital!E25+[1]Capital!E27+[1]Capital!E41</f>
        <v>2691317.0445999997</v>
      </c>
      <c r="G166" s="5">
        <f>[1]Capital!F9+[1]Capital!F11+[1]Capital!F13+[1]Capital!F15+[1]Capital!F17+[1]Capital!F19+[1]Capital!F21+[1]Capital!F23+[1]Capital!F25+[1]Capital!F27+[1]Capital!F41</f>
        <v>2725774.2721040007</v>
      </c>
      <c r="H166" s="5">
        <f>[1]Capital!G9+[1]Capital!G11+[1]Capital!G13+[1]Capital!G15+[1]Capital!G17+[1]Capital!G19+[1]Capital!G21+[1]Capital!G23+[1]Capital!G25+[1]Capital!G27+[1]Capital!G41</f>
        <v>2761659.2562609999</v>
      </c>
      <c r="I166" s="5">
        <f>[1]Capital!H9+[1]Capital!H11+[1]Capital!H13+[1]Capital!H15+[1]Capital!H17+[1]Capital!H19+[1]Capital!H21+[1]Capital!H23+[1]Capital!H25+[1]Capital!H27+[1]Capital!H41</f>
        <v>2798928.3271930004</v>
      </c>
      <c r="J166" s="5">
        <f>[1]Capital!I9+[1]Capital!I11+[1]Capital!I13+[1]Capital!I15+[1]Capital!I17+[1]Capital!I19+[1]Capital!I21+[1]Capital!I23+[1]Capital!I25+[1]Capital!I27+[1]Capital!I41</f>
        <v>2837557.0754559999</v>
      </c>
      <c r="K166" s="5">
        <f>[1]Capital!J9+[1]Capital!J11+[1]Capital!J13+[1]Capital!J15+[1]Capital!J17+[1]Capital!J19+[1]Capital!J21+[1]Capital!J23+[1]Capital!J25+[1]Capital!J27+[1]Capital!J41</f>
        <v>2877540.5144679998</v>
      </c>
      <c r="L166" s="5">
        <f>[1]Capital!K9+[1]Capital!K11+[1]Capital!K13+[1]Capital!K15+[1]Capital!K17+[1]Capital!K19+[1]Capital!K21+[1]Capital!K23+[1]Capital!K25+[1]Capital!K27+[1]Capital!K41</f>
        <v>2918887.6048699999</v>
      </c>
      <c r="M166" s="5">
        <f>[1]Capital!L9+[1]Capital!L11+[1]Capital!L13+[1]Capital!L15+[1]Capital!L17+[1]Capital!L19+[1]Capital!L21+[1]Capital!L23+[1]Capital!L25+[1]Capital!L27+[1]Capital!L41</f>
        <v>2961771.2852459997</v>
      </c>
      <c r="N166" s="5">
        <f>[1]Capital!M9+[1]Capital!M11+[1]Capital!M13+[1]Capital!M15+[1]Capital!M17+[1]Capital!M19+[1]Capital!M21+[1]Capital!M23+[1]Capital!M25+[1]Capital!M27+[1]Capital!M41</f>
        <v>3006175.5672189998</v>
      </c>
      <c r="O166" s="5">
        <f>[1]Capital!N9+[1]Capital!N11+[1]Capital!N13+[1]Capital!N15+[1]Capital!N17+[1]Capital!N19+[1]Capital!N21+[1]Capital!N23+[1]Capital!N25+[1]Capital!N27+[1]Capital!N41</f>
        <v>3052093.3309200001</v>
      </c>
      <c r="P166" s="5">
        <f>[1]Capital!O9+[1]Capital!O11+[1]Capital!O13+[1]Capital!O15+[1]Capital!O17+[1]Capital!O19+[1]Capital!O21+[1]Capital!O23+[1]Capital!O25+[1]Capital!O27+[1]Capital!O41</f>
        <v>3099527.2704680003</v>
      </c>
      <c r="Q166" s="5">
        <f>[1]Capital!P9+[1]Capital!P11+[1]Capital!P13+[1]Capital!P15+[1]Capital!P17+[1]Capital!P19+[1]Capital!P21+[1]Capital!P23+[1]Capital!P25+[1]Capital!P27+[1]Capital!P41</f>
        <v>3148485.3308700002</v>
      </c>
      <c r="R166" s="5">
        <f>[1]Capital!Q9+[1]Capital!Q11+[1]Capital!Q13+[1]Capital!Q15+[1]Capital!Q17+[1]Capital!Q19+[1]Capital!Q21+[1]Capital!Q23+[1]Capital!Q25+[1]Capital!Q27+[1]Capital!Q41</f>
        <v>3198978.0066920002</v>
      </c>
      <c r="S166" s="5">
        <f>[1]Capital!R9+[1]Capital!R11+[1]Capital!R13+[1]Capital!R15+[1]Capital!R17+[1]Capital!R19+[1]Capital!R21+[1]Capital!R23+[1]Capital!R25+[1]Capital!R27+[1]Capital!R41</f>
        <v>3251017.0121919997</v>
      </c>
      <c r="T166" s="5">
        <f>[1]Capital!S9+[1]Capital!S11+[1]Capital!S13+[1]Capital!S15+[1]Capital!S17+[1]Capital!S19+[1]Capital!S21+[1]Capital!S23+[1]Capital!S25+[1]Capital!S27+[1]Capital!S41</f>
        <v>3304614.6109259999</v>
      </c>
      <c r="U166" s="5">
        <f>[1]Capital!T9+[1]Capital!T11+[1]Capital!T13+[1]Capital!T15+[1]Capital!T17+[1]Capital!T19+[1]Capital!T21+[1]Capital!T23+[1]Capital!T25+[1]Capital!T27+[1]Capital!T41</f>
        <v>3359783.1668199999</v>
      </c>
      <c r="V166" s="5">
        <f>[1]Capital!U9+[1]Capital!U11+[1]Capital!U13+[1]Capital!U15+[1]Capital!U17+[1]Capital!U19+[1]Capital!U21+[1]Capital!U23+[1]Capital!U25+[1]Capital!U27+[1]Capital!U41</f>
        <v>3416534.6985350004</v>
      </c>
      <c r="W166" s="5">
        <f>[1]Capital!V9+[1]Capital!V11+[1]Capital!V13+[1]Capital!V15+[1]Capital!V17+[1]Capital!V19+[1]Capital!V21+[1]Capital!V23+[1]Capital!V25+[1]Capital!V27+[1]Capital!V41</f>
        <v>3474763.0479840003</v>
      </c>
      <c r="X166" s="5">
        <f>[1]Capital!W9+[1]Capital!W11+[1]Capital!W13+[1]Capital!W15+[1]Capital!W17+[1]Capital!W19+[1]Capital!W21+[1]Capital!W23+[1]Capital!W25+[1]Capital!W27+[1]Capital!W41</f>
        <v>3534506.2238929998</v>
      </c>
      <c r="Y166" s="5">
        <f>[1]Capital!X9+[1]Capital!X11+[1]Capital!X13+[1]Capital!X15+[1]Capital!X17+[1]Capital!X19+[1]Capital!X21+[1]Capital!X23+[1]Capital!X25+[1]Capital!X27+[1]Capital!X41</f>
        <v>3595795.744132</v>
      </c>
      <c r="Z166" s="5">
        <f>[1]Capital!Y9+[1]Capital!Y11+[1]Capital!Y13+[1]Capital!Y15+[1]Capital!Y17+[1]Capital!Y19+[1]Capital!Y21+[1]Capital!Y23+[1]Capital!Y25+[1]Capital!Y27+[1]Capital!Y41</f>
        <v>3658653.9745820002</v>
      </c>
      <c r="AA166" s="5">
        <f>[1]Capital!Z9+[1]Capital!Z11+[1]Capital!Z13+[1]Capital!Z15+[1]Capital!Z17+[1]Capital!Z19+[1]Capital!Z21+[1]Capital!Z23+[1]Capital!Z25+[1]Capital!Z27+[1]Capital!Z41</f>
        <v>3723096.151935</v>
      </c>
      <c r="AB166" s="5">
        <f>[1]Capital!AA9+[1]Capital!AA11+[1]Capital!AA13+[1]Capital!AA15+[1]Capital!AA17+[1]Capital!AA19+[1]Capital!AA21+[1]Capital!AA23+[1]Capital!AA25+[1]Capital!AA27+[1]Capital!AA41</f>
        <v>3788788.5616059997</v>
      </c>
      <c r="AC166" s="5">
        <f>[1]Capital!AB9+[1]Capital!AB11+[1]Capital!AB13+[1]Capital!AB15+[1]Capital!AB17+[1]Capital!AB19+[1]Capital!AB21+[1]Capital!AB23+[1]Capital!AB25+[1]Capital!AB27+[1]Capital!AB41</f>
        <v>3855652.4753279998</v>
      </c>
      <c r="AD166" s="5">
        <f>[1]Capital!AC9+[1]Capital!AC11+[1]Capital!AC13+[1]Capital!AC15+[1]Capital!AC17+[1]Capital!AC19+[1]Capital!AC21+[1]Capital!AC23+[1]Capital!AC25+[1]Capital!AC27+[1]Capital!AC41</f>
        <v>3923627.305377</v>
      </c>
      <c r="AE166" s="5">
        <f>[1]Capital!AD9+[1]Capital!AD11+[1]Capital!AD13+[1]Capital!AD15+[1]Capital!AD17+[1]Capital!AD19+[1]Capital!AD21+[1]Capital!AD23+[1]Capital!AD25+[1]Capital!AD27+[1]Capital!AD41</f>
        <v>3992658.658206</v>
      </c>
      <c r="AF166" s="5">
        <f>[1]Capital!AE9+[1]Capital!AE11+[1]Capital!AE13+[1]Capital!AE15+[1]Capital!AE17+[1]Capital!AE19+[1]Capital!AE21+[1]Capital!AE23+[1]Capital!AE25+[1]Capital!AE27+[1]Capital!AE41</f>
        <v>4062696.7691690004</v>
      </c>
      <c r="AG166" s="5">
        <f>[1]Capital!AF9+[1]Capital!AF11+[1]Capital!AF13+[1]Capital!AF15+[1]Capital!AF17+[1]Capital!AF19+[1]Capital!AF21+[1]Capital!AF23+[1]Capital!AF25+[1]Capital!AF27+[1]Capital!AF41</f>
        <v>4133695.4369689999</v>
      </c>
      <c r="AH166" s="5">
        <f>[1]Capital!AG9+[1]Capital!AG11+[1]Capital!AG13+[1]Capital!AG15+[1]Capital!AG17+[1]Capital!AG19+[1]Capital!AG21+[1]Capital!AG23+[1]Capital!AG25+[1]Capital!AG27+[1]Capital!AG41</f>
        <v>4205610.7682929998</v>
      </c>
      <c r="AI166" s="5">
        <f>[1]Capital!AH9+[1]Capital!AH11+[1]Capital!AH13+[1]Capital!AH15+[1]Capital!AH17+[1]Capital!AH19+[1]Capital!AH21+[1]Capital!AH23+[1]Capital!AH25+[1]Capital!AH27+[1]Capital!AH41</f>
        <v>4278399.8867950002</v>
      </c>
      <c r="AJ166" s="5">
        <f>[1]Capital!AI9+[1]Capital!AI11+[1]Capital!AI13+[1]Capital!AI15+[1]Capital!AI17+[1]Capital!AI19+[1]Capital!AI21+[1]Capital!AI23+[1]Capital!AI25+[1]Capital!AI27+[1]Capital!AI41</f>
        <v>4352019.8127779998</v>
      </c>
      <c r="AK166" s="5">
        <f>[1]Capital!AJ9+[1]Capital!AJ11+[1]Capital!AJ13+[1]Capital!AJ15+[1]Capital!AJ17+[1]Capital!AJ19+[1]Capital!AJ21+[1]Capital!AJ23+[1]Capital!AJ25+[1]Capital!AJ27+[1]Capital!AJ41</f>
        <v>4426426.6880250005</v>
      </c>
      <c r="AL166" s="5">
        <f>[1]Capital!AK9+[1]Capital!AK11+[1]Capital!AK13+[1]Capital!AK15+[1]Capital!AK17+[1]Capital!AK19+[1]Capital!AK21+[1]Capital!AK23+[1]Capital!AK25+[1]Capital!AK27+[1]Capital!AK41</f>
        <v>4501575.3911820007</v>
      </c>
      <c r="AM166" s="5">
        <f>[1]Capital!AL9+[1]Capital!AL11+[1]Capital!AL13+[1]Capital!AL15+[1]Capital!AL17+[1]Capital!AL19+[1]Capital!AL21+[1]Capital!AL23+[1]Capital!AL25+[1]Capital!AL27+[1]Capital!AL41</f>
        <v>4577334.7615879998</v>
      </c>
      <c r="AN166" s="5">
        <f>[1]Capital!AM9+[1]Capital!AM11+[1]Capital!AM13+[1]Capital!AM15+[1]Capital!AM17+[1]Capital!AM19+[1]Capital!AM21+[1]Capital!AM23+[1]Capital!AM25+[1]Capital!AM27+[1]Capital!AM41</f>
        <v>4653591.2275710003</v>
      </c>
      <c r="AO166" s="5">
        <f>[1]Capital!AN9+[1]Capital!AN11+[1]Capital!AN13+[1]Capital!AN15+[1]Capital!AN17+[1]Capital!AN19+[1]Capital!AN21+[1]Capital!AN23+[1]Capital!AN25+[1]Capital!AN27+[1]Capital!AN41</f>
        <v>4730246.8600470005</v>
      </c>
      <c r="AP166" s="5">
        <f>[1]Capital!AO9+[1]Capital!AO11+[1]Capital!AO13+[1]Capital!AO15+[1]Capital!AO17+[1]Capital!AO19+[1]Capital!AO21+[1]Capital!AO23+[1]Capital!AO25+[1]Capital!AO27+[1]Capital!AO41</f>
        <v>4807215.6663910002</v>
      </c>
      <c r="AQ166" s="5">
        <f>[1]Capital!AP9+[1]Capital!AP11+[1]Capital!AP13+[1]Capital!AP15+[1]Capital!AP17+[1]Capital!AP19+[1]Capital!AP21+[1]Capital!AP23+[1]Capital!AP25+[1]Capital!AP27+[1]Capital!AP41</f>
        <v>4884421.4728590008</v>
      </c>
      <c r="AR166" s="5">
        <f>[1]Capital!AQ9+[1]Capital!AQ11+[1]Capital!AQ13+[1]Capital!AQ15+[1]Capital!AQ17+[1]Capital!AQ19+[1]Capital!AQ21+[1]Capital!AQ23+[1]Capital!AQ25+[1]Capital!AQ27+[1]Capital!AQ41</f>
        <v>4961796.740720001</v>
      </c>
      <c r="AS166" s="5">
        <f>[1]Capital!AR9+[1]Capital!AR11+[1]Capital!AR13+[1]Capital!AR15+[1]Capital!AR17+[1]Capital!AR19+[1]Capital!AR21+[1]Capital!AR23+[1]Capital!AR25+[1]Capital!AR27+[1]Capital!AR41</f>
        <v>5039281.7950299997</v>
      </c>
      <c r="AT166" s="5">
        <f>[1]Capital!AS9+[1]Capital!AS11+[1]Capital!AS13+[1]Capital!AS15+[1]Capital!AS17+[1]Capital!AS19+[1]Capital!AS21+[1]Capital!AS23+[1]Capital!AS25+[1]Capital!AS27+[1]Capital!AS41</f>
        <v>5116824.2139000008</v>
      </c>
      <c r="AU166" s="5">
        <f>[1]Capital!AT9+[1]Capital!AT11+[1]Capital!AT13+[1]Capital!AT15+[1]Capital!AT17+[1]Capital!AT19+[1]Capital!AT21+[1]Capital!AT23+[1]Capital!AT25+[1]Capital!AT27+[1]Capital!AT41</f>
        <v>5194378.3093799995</v>
      </c>
      <c r="AV166" s="5">
        <f>[1]Capital!AU9+[1]Capital!AU11+[1]Capital!AU13+[1]Capital!AU15+[1]Capital!AU17+[1]Capital!AU19+[1]Capital!AU21+[1]Capital!AU23+[1]Capital!AU25+[1]Capital!AU27+[1]Capital!AU41</f>
        <v>5271904.7168499995</v>
      </c>
      <c r="AW166" s="5">
        <f>[1]Capital!AV9+[1]Capital!AV11+[1]Capital!AV13+[1]Capital!AV15+[1]Capital!AV17+[1]Capital!AV19+[1]Capital!AV21+[1]Capital!AV23+[1]Capital!AV25+[1]Capital!AV27+[1]Capital!AV41</f>
        <v>5349377.8348899996</v>
      </c>
      <c r="AX166" s="5">
        <f>[1]Capital!AW9+[1]Capital!AW11+[1]Capital!AW13+[1]Capital!AW15+[1]Capital!AW17+[1]Capital!AW19+[1]Capital!AW21+[1]Capital!AW23+[1]Capital!AW25+[1]Capital!AW27+[1]Capital!AW41</f>
        <v>5426776.20689</v>
      </c>
      <c r="AY166" s="5">
        <f>[1]Capital!AX9+[1]Capital!AX11+[1]Capital!AX13+[1]Capital!AX15+[1]Capital!AX17+[1]Capital!AX19+[1]Capital!AX21+[1]Capital!AX23+[1]Capital!AX25+[1]Capital!AX27+[1]Capital!AX41</f>
        <v>5504082.6805300005</v>
      </c>
      <c r="AZ166" s="5">
        <f>[1]Capital!AY9+[1]Capital!AY11+[1]Capital!AY13+[1]Capital!AY15+[1]Capital!AY17+[1]Capital!AY19+[1]Capital!AY21+[1]Capital!AY23+[1]Capital!AY25+[1]Capital!AY27+[1]Capital!AY41</f>
        <v>5581284.7027599998</v>
      </c>
      <c r="BA166" s="5">
        <f>[1]Capital!AZ9+[1]Capital!AZ11+[1]Capital!AZ13+[1]Capital!AZ15+[1]Capital!AZ17+[1]Capital!AZ19+[1]Capital!AZ21+[1]Capital!AZ23+[1]Capital!AZ25+[1]Capital!AZ27+[1]Capital!AZ41</f>
        <v>5658374.6014299998</v>
      </c>
      <c r="BB166" s="5">
        <f>[1]Capital!BA9+[1]Capital!BA11+[1]Capital!BA13+[1]Capital!BA15+[1]Capital!BA17+[1]Capital!BA19+[1]Capital!BA21+[1]Capital!BA23+[1]Capital!BA25+[1]Capital!BA27+[1]Capital!BA41</f>
        <v>6246370.856639999</v>
      </c>
      <c r="BC166" s="5">
        <f>[1]Capital!BB9+[1]Capital!BB11+[1]Capital!BB13+[1]Capital!BB15+[1]Capital!BB17+[1]Capital!BB19+[1]Capital!BB21+[1]Capital!BB23+[1]Capital!BB25+[1]Capital!BB27+[1]Capital!BB41</f>
        <v>6372193.4947399991</v>
      </c>
      <c r="BD166" s="5">
        <f>[1]Capital!BC9+[1]Capital!BC11+[1]Capital!BC13+[1]Capital!BC15+[1]Capital!BC17+[1]Capital!BC19+[1]Capital!BC21+[1]Capital!BC23+[1]Capital!BC25+[1]Capital!BC27+[1]Capital!BC41</f>
        <v>6499612.5427000001</v>
      </c>
      <c r="BE166" s="5">
        <f>[1]Capital!BD9+[1]Capital!BD11+[1]Capital!BD13+[1]Capital!BD15+[1]Capital!BD17+[1]Capital!BD19+[1]Capital!BD21+[1]Capital!BD23+[1]Capital!BD25+[1]Capital!BD27+[1]Capital!BD41</f>
        <v>6628559.49125</v>
      </c>
      <c r="BF166" s="5">
        <f>[1]Capital!BE9+[1]Capital!BE11+[1]Capital!BE13+[1]Capital!BE15+[1]Capital!BE17+[1]Capital!BE19+[1]Capital!BE21+[1]Capital!BE23+[1]Capital!BE25+[1]Capital!BE27+[1]Capital!BE41</f>
        <v>6758966.3143799994</v>
      </c>
    </row>
    <row r="167" spans="1:58" x14ac:dyDescent="0.35">
      <c r="B167" t="s">
        <v>9</v>
      </c>
      <c r="C167" s="5">
        <f>[1]Capital!B29+[1]Capital!B31+[1]Capital!B33+[1]Capital!B35</f>
        <v>88561.469265999986</v>
      </c>
      <c r="D167" s="5">
        <f>[1]Capital!C29+[1]Capital!C31+[1]Capital!C33+[1]Capital!C35</f>
        <v>89608.593986000007</v>
      </c>
      <c r="E167" s="5">
        <f>[1]Capital!D29+[1]Capital!D31+[1]Capital!D33+[1]Capital!D35</f>
        <v>90688.423627000011</v>
      </c>
      <c r="F167" s="5">
        <f>[1]Capital!E29+[1]Capital!E31+[1]Capital!E33+[1]Capital!E35</f>
        <v>91805.446395000006</v>
      </c>
      <c r="G167" s="5">
        <f>[1]Capital!F29+[1]Capital!F31+[1]Capital!F33+[1]Capital!F35</f>
        <v>92962.692792000002</v>
      </c>
      <c r="H167" s="5">
        <f>[1]Capital!G29+[1]Capital!G31+[1]Capital!G33+[1]Capital!G35</f>
        <v>94162.076824000003</v>
      </c>
      <c r="I167" s="5">
        <f>[1]Capital!H29+[1]Capital!H31+[1]Capital!H33+[1]Capital!H35</f>
        <v>95400.400450000001</v>
      </c>
      <c r="J167" s="5">
        <f>[1]Capital!I29+[1]Capital!I31+[1]Capital!I33+[1]Capital!I35</f>
        <v>96676.077161000008</v>
      </c>
      <c r="K167" s="5">
        <f>[1]Capital!J29+[1]Capital!J31+[1]Capital!J33+[1]Capital!J35</f>
        <v>97988.168074999994</v>
      </c>
      <c r="L167" s="5">
        <f>[1]Capital!K29+[1]Capital!K31+[1]Capital!K33+[1]Capital!K35</f>
        <v>99335.946866999991</v>
      </c>
      <c r="M167" s="5">
        <f>[1]Capital!L29+[1]Capital!L31+[1]Capital!L33+[1]Capital!L35</f>
        <v>100726.26735499999</v>
      </c>
      <c r="N167" s="5">
        <f>[1]Capital!M29+[1]Capital!M31+[1]Capital!M33+[1]Capital!M35</f>
        <v>102154.553636</v>
      </c>
      <c r="O167" s="5">
        <f>[1]Capital!N29+[1]Capital!N31+[1]Capital!N33+[1]Capital!N35</f>
        <v>103618.311552</v>
      </c>
      <c r="P167" s="5">
        <f>[1]Capital!O29+[1]Capital!O31+[1]Capital!O33+[1]Capital!O35</f>
        <v>105116.060489</v>
      </c>
      <c r="Q167" s="5">
        <f>[1]Capital!P29+[1]Capital!P31+[1]Capital!P33+[1]Capital!P35</f>
        <v>106646.752439</v>
      </c>
      <c r="R167" s="5">
        <f>[1]Capital!Q29+[1]Capital!Q31+[1]Capital!Q33+[1]Capital!Q35</f>
        <v>108209.578909</v>
      </c>
      <c r="S167" s="5">
        <f>[1]Capital!R29+[1]Capital!R31+[1]Capital!R33+[1]Capital!R35</f>
        <v>109803.917694</v>
      </c>
      <c r="T167" s="5">
        <f>[1]Capital!S29+[1]Capital!S31+[1]Capital!S33+[1]Capital!S35</f>
        <v>111429.31979200001</v>
      </c>
      <c r="U167" s="5">
        <f>[1]Capital!T29+[1]Capital!T31+[1]Capital!T33+[1]Capital!T35</f>
        <v>113085.50140000001</v>
      </c>
      <c r="V167" s="5">
        <f>[1]Capital!U29+[1]Capital!U31+[1]Capital!U33+[1]Capital!U35</f>
        <v>114772.33207699998</v>
      </c>
      <c r="W167" s="5">
        <f>[1]Capital!V29+[1]Capital!V31+[1]Capital!V33+[1]Capital!V35</f>
        <v>116484.182007</v>
      </c>
      <c r="X167" s="5">
        <f>[1]Capital!W29+[1]Capital!W31+[1]Capital!W33+[1]Capital!W35</f>
        <v>118224.12845600001</v>
      </c>
      <c r="Y167" s="5">
        <f>[1]Capital!X29+[1]Capital!X31+[1]Capital!X33+[1]Capital!X35</f>
        <v>119993.81565499998</v>
      </c>
      <c r="Z167" s="5">
        <f>[1]Capital!Y29+[1]Capital!Y31+[1]Capital!Y33+[1]Capital!Y35</f>
        <v>121794.24009499999</v>
      </c>
      <c r="AA167" s="5">
        <f>[1]Capital!Z29+[1]Capital!Z31+[1]Capital!Z33+[1]Capital!Z35</f>
        <v>123626.173945</v>
      </c>
      <c r="AB167" s="5">
        <f>[1]Capital!AA29+[1]Capital!AA31+[1]Capital!AA33+[1]Capital!AA35</f>
        <v>125473.92529599999</v>
      </c>
      <c r="AC167" s="5">
        <f>[1]Capital!AB29+[1]Capital!AB31+[1]Capital!AB33+[1]Capital!AB35</f>
        <v>127338.90733399999</v>
      </c>
      <c r="AD167" s="5">
        <f>[1]Capital!AC29+[1]Capital!AC31+[1]Capital!AC33+[1]Capital!AC35</f>
        <v>129222.01728799999</v>
      </c>
      <c r="AE167" s="5">
        <f>[1]Capital!AD29+[1]Capital!AD31+[1]Capital!AD33+[1]Capital!AD35</f>
        <v>131123.91691</v>
      </c>
      <c r="AF167" s="5">
        <f>[1]Capital!AE29+[1]Capital!AE31+[1]Capital!AE33+[1]Capital!AE35</f>
        <v>133045.33600299997</v>
      </c>
      <c r="AG167" s="5">
        <f>[1]Capital!AF29+[1]Capital!AF31+[1]Capital!AF33+[1]Capital!AF35</f>
        <v>134987.13655999998</v>
      </c>
      <c r="AH167" s="5">
        <f>[1]Capital!AG29+[1]Capital!AG31+[1]Capital!AG33+[1]Capital!AG35</f>
        <v>136950.28220800002</v>
      </c>
      <c r="AI167" s="5">
        <f>[1]Capital!AH29+[1]Capital!AH31+[1]Capital!AH33+[1]Capital!AH35</f>
        <v>138935.78243699999</v>
      </c>
      <c r="AJ167" s="5">
        <f>[1]Capital!AI29+[1]Capital!AI31+[1]Capital!AI33+[1]Capital!AI35</f>
        <v>140944.640388</v>
      </c>
      <c r="AK167" s="5">
        <f>[1]Capital!AJ29+[1]Capital!AJ31+[1]Capital!AJ33+[1]Capital!AJ35</f>
        <v>142977.81443100001</v>
      </c>
      <c r="AL167" s="5">
        <f>[1]Capital!AK29+[1]Capital!AK31+[1]Capital!AK33+[1]Capital!AK35</f>
        <v>145036.194999</v>
      </c>
      <c r="AM167" s="5">
        <f>[1]Capital!AL29+[1]Capital!AL31+[1]Capital!AL33+[1]Capital!AL35</f>
        <v>147116.58021399999</v>
      </c>
      <c r="AN167" s="5">
        <f>[1]Capital!AM29+[1]Capital!AM31+[1]Capital!AM33+[1]Capital!AM35</f>
        <v>149217.737253</v>
      </c>
      <c r="AO167" s="5">
        <f>[1]Capital!AN29+[1]Capital!AN31+[1]Capital!AN33+[1]Capital!AN35</f>
        <v>151339.35127499999</v>
      </c>
      <c r="AP167" s="5">
        <f>[1]Capital!AO29+[1]Capital!AO31+[1]Capital!AO33+[1]Capital!AO35</f>
        <v>153481.53258299999</v>
      </c>
      <c r="AQ167" s="5">
        <f>[1]Capital!AP29+[1]Capital!AP31+[1]Capital!AP33+[1]Capital!AP35</f>
        <v>155644.63017300001</v>
      </c>
      <c r="AR167" s="5">
        <f>[1]Capital!AQ29+[1]Capital!AQ31+[1]Capital!AQ33+[1]Capital!AQ35</f>
        <v>157829.15088</v>
      </c>
      <c r="AS167" s="5">
        <f>[1]Capital!AR29+[1]Capital!AR31+[1]Capital!AR33+[1]Capital!AR35</f>
        <v>160035.71114500001</v>
      </c>
      <c r="AT167" s="5">
        <f>[1]Capital!AS29+[1]Capital!AS31+[1]Capital!AS33+[1]Capital!AS35</f>
        <v>162264.999744</v>
      </c>
      <c r="AU167" s="5">
        <f>[1]Capital!AT29+[1]Capital!AT31+[1]Capital!AT33+[1]Capital!AT35</f>
        <v>164517.74662599998</v>
      </c>
      <c r="AV167" s="5">
        <f>[1]Capital!AU29+[1]Capital!AU31+[1]Capital!AU33+[1]Capital!AU35</f>
        <v>166794.69827299999</v>
      </c>
      <c r="AW167" s="5">
        <f>[1]Capital!AV29+[1]Capital!AV31+[1]Capital!AV33+[1]Capital!AV35</f>
        <v>169096.96742599999</v>
      </c>
      <c r="AX167" s="5">
        <f>[1]Capital!AW29+[1]Capital!AW31+[1]Capital!AW33+[1]Capital!AW35</f>
        <v>171425.46867100001</v>
      </c>
      <c r="AY167" s="5">
        <f>[1]Capital!AX29+[1]Capital!AX31+[1]Capital!AX33+[1]Capital!AX35</f>
        <v>173781.00948400001</v>
      </c>
      <c r="AZ167" s="5">
        <f>[1]Capital!AY29+[1]Capital!AY31+[1]Capital!AY33+[1]Capital!AY35</f>
        <v>176164.33032000001</v>
      </c>
      <c r="BA167" s="5">
        <f>[1]Capital!AZ29+[1]Capital!AZ31+[1]Capital!AZ33+[1]Capital!AZ35</f>
        <v>178576.122298</v>
      </c>
      <c r="BB167" s="5">
        <f>[1]Capital!BA29+[1]Capital!BA31+[1]Capital!BA33+[1]Capital!BA35</f>
        <v>190473.653915</v>
      </c>
      <c r="BC167" s="5">
        <f>[1]Capital!BB29+[1]Capital!BB31+[1]Capital!BB33+[1]Capital!BB35</f>
        <v>193819.84670199998</v>
      </c>
      <c r="BD167" s="5">
        <f>[1]Capital!BC29+[1]Capital!BC31+[1]Capital!BC33+[1]Capital!BC35</f>
        <v>197228.11242799999</v>
      </c>
      <c r="BE167" s="5">
        <f>[1]Capital!BD29+[1]Capital!BD31+[1]Capital!BD33+[1]Capital!BD35</f>
        <v>200699.30374500001</v>
      </c>
      <c r="BF167" s="5">
        <f>[1]Capital!BE29+[1]Capital!BE31+[1]Capital!BE33+[1]Capital!BE35</f>
        <v>204234.30295299998</v>
      </c>
    </row>
    <row r="168" spans="1:58" x14ac:dyDescent="0.35">
      <c r="B168" t="s">
        <v>10</v>
      </c>
      <c r="C168" s="5">
        <f>[1]Capital!B37+[1]Capital!B39</f>
        <v>2425814.7522</v>
      </c>
      <c r="D168" s="5">
        <f>[1]Capital!C37+[1]Capital!C39</f>
        <v>2454366.3103999998</v>
      </c>
      <c r="E168" s="5">
        <f>[1]Capital!D37+[1]Capital!D39</f>
        <v>2483721.5929</v>
      </c>
      <c r="F168" s="5">
        <f>[1]Capital!E37+[1]Capital!E39</f>
        <v>2514041.4032999999</v>
      </c>
      <c r="G168" s="5">
        <f>[1]Capital!F37+[1]Capital!F39</f>
        <v>2545457.4739000001</v>
      </c>
      <c r="H168" s="5">
        <f>[1]Capital!G37+[1]Capital!G39</f>
        <v>2578071.0338999997</v>
      </c>
      <c r="I168" s="5">
        <f>[1]Capital!H37+[1]Capital!H39</f>
        <v>2611854.9687999999</v>
      </c>
      <c r="J168" s="5">
        <f>[1]Capital!I37+[1]Capital!I39</f>
        <v>2646800.0476000002</v>
      </c>
      <c r="K168" s="5">
        <f>[1]Capital!J37+[1]Capital!J39</f>
        <v>2682907.3775999998</v>
      </c>
      <c r="L168" s="5">
        <f>[1]Capital!K37+[1]Capital!K39</f>
        <v>2720181.4369999999</v>
      </c>
      <c r="M168" s="5">
        <f>[1]Capital!L37+[1]Capital!L39</f>
        <v>2758807.7577</v>
      </c>
      <c r="N168" s="5">
        <f>[1]Capital!M37+[1]Capital!M39</f>
        <v>2798723.5497999997</v>
      </c>
      <c r="O168" s="5">
        <f>[1]Capital!N37+[1]Capital!N39</f>
        <v>2839885.1687000003</v>
      </c>
      <c r="P168" s="5">
        <f>[1]Capital!O37+[1]Capital!O39</f>
        <v>2882262.7248</v>
      </c>
      <c r="Q168" s="5">
        <f>[1]Capital!P37+[1]Capital!P39</f>
        <v>2925831.915</v>
      </c>
      <c r="R168" s="5">
        <f>[1]Capital!Q37+[1]Capital!Q39</f>
        <v>2970570.9926</v>
      </c>
      <c r="S168" s="5">
        <f>[1]Capital!R37+[1]Capital!R39</f>
        <v>3016460.1132</v>
      </c>
      <c r="T168" s="5">
        <f>[1]Capital!S37+[1]Capital!S39</f>
        <v>3063481.3831000002</v>
      </c>
      <c r="U168" s="5">
        <f>[1]Capital!T37+[1]Capital!T39</f>
        <v>3111618.9092000001</v>
      </c>
      <c r="V168" s="5">
        <f>[1]Capital!U37+[1]Capital!U39</f>
        <v>3160858.7024000003</v>
      </c>
      <c r="W168" s="5">
        <f>[1]Capital!V37+[1]Capital!V39</f>
        <v>3211052.0767999999</v>
      </c>
      <c r="X168" s="5">
        <f>[1]Capital!W37+[1]Capital!W39</f>
        <v>3262237.0321</v>
      </c>
      <c r="Y168" s="5">
        <f>[1]Capital!X37+[1]Capital!X39</f>
        <v>3314436.7344</v>
      </c>
      <c r="Z168" s="5">
        <f>[1]Capital!Y37+[1]Capital!Y39</f>
        <v>3367663.0592999998</v>
      </c>
      <c r="AA168" s="5">
        <f>[1]Capital!Z37+[1]Capital!Z39</f>
        <v>3421922.5170999998</v>
      </c>
      <c r="AB168" s="5">
        <f>[1]Capital!AA37+[1]Capital!AA39</f>
        <v>3476821.4264000002</v>
      </c>
      <c r="AC168" s="5">
        <f>[1]Capital!AB37+[1]Capital!AB39</f>
        <v>3532314.5965999998</v>
      </c>
      <c r="AD168" s="5">
        <f>[1]Capital!AC37+[1]Capital!AC39</f>
        <v>3588373.7563999998</v>
      </c>
      <c r="AE168" s="5">
        <f>[1]Capital!AD37+[1]Capital!AD39</f>
        <v>3644977.8015000001</v>
      </c>
      <c r="AF168" s="5">
        <f>[1]Capital!AE37+[1]Capital!AE39</f>
        <v>3702114.7292999998</v>
      </c>
      <c r="AG168" s="5">
        <f>[1]Capital!AF37+[1]Capital!AF39</f>
        <v>3759781.2017000001</v>
      </c>
      <c r="AH168" s="5">
        <f>[1]Capital!AG37+[1]Capital!AG39</f>
        <v>3817980.6348999999</v>
      </c>
      <c r="AI168" s="5">
        <f>[1]Capital!AH37+[1]Capital!AH39</f>
        <v>3876720.9471999998</v>
      </c>
      <c r="AJ168" s="5">
        <f>[1]Capital!AI37+[1]Capital!AI39</f>
        <v>3936012.5954999998</v>
      </c>
      <c r="AK168" s="5">
        <f>[1]Capital!AJ37+[1]Capital!AJ39</f>
        <v>3995867.1521000001</v>
      </c>
      <c r="AL168" s="5">
        <f>[1]Capital!AK37+[1]Capital!AK39</f>
        <v>4056296.4017999996</v>
      </c>
      <c r="AM168" s="5">
        <f>[1]Capital!AL37+[1]Capital!AL39</f>
        <v>4117214.6132</v>
      </c>
      <c r="AN168" s="5">
        <f>[1]Capital!AM37+[1]Capital!AM39</f>
        <v>4178569.6765000001</v>
      </c>
      <c r="AO168" s="5">
        <f>[1]Capital!AN37+[1]Capital!AN39</f>
        <v>4240332.1859999998</v>
      </c>
      <c r="AP168" s="5">
        <f>[1]Capital!AO37+[1]Capital!AO39</f>
        <v>4302487.1961000003</v>
      </c>
      <c r="AQ168" s="5">
        <f>[1]Capital!AP37+[1]Capital!AP39</f>
        <v>4365030.2625000002</v>
      </c>
      <c r="AR168" s="5">
        <f>[1]Capital!AQ37+[1]Capital!AQ39</f>
        <v>4427965.1781000001</v>
      </c>
      <c r="AS168" s="5">
        <f>[1]Capital!AR37+[1]Capital!AR39</f>
        <v>4491302.2568999995</v>
      </c>
      <c r="AT168" s="5">
        <f>[1]Capital!AS37+[1]Capital!AS39</f>
        <v>4555056.7986000003</v>
      </c>
      <c r="AU168" s="5">
        <f>[1]Capital!AT37+[1]Capital!AT39</f>
        <v>4619247.7501999997</v>
      </c>
      <c r="AV168" s="5">
        <f>[1]Capital!AU37+[1]Capital!AU39</f>
        <v>4683896.5971999997</v>
      </c>
      <c r="AW168" s="5">
        <f>[1]Capital!AV37+[1]Capital!AV39</f>
        <v>4749035.4183999998</v>
      </c>
      <c r="AX168" s="5">
        <f>[1]Capital!AW37+[1]Capital!AW39</f>
        <v>4814694.4593000002</v>
      </c>
      <c r="AY168" s="5">
        <f>[1]Capital!AX37+[1]Capital!AX39</f>
        <v>4880902.7228999995</v>
      </c>
      <c r="AZ168" s="5">
        <f>[1]Capital!AY37+[1]Capital!AY39</f>
        <v>4947688.0760000004</v>
      </c>
      <c r="BA168" s="5">
        <f>[1]Capital!AZ37+[1]Capital!AZ39</f>
        <v>5015077.3728999998</v>
      </c>
      <c r="BB168" s="5">
        <f>[1]Capital!BA37+[1]Capital!BA39</f>
        <v>5391191.7537000002</v>
      </c>
      <c r="BC168" s="5">
        <f>[1]Capital!BB37+[1]Capital!BB39</f>
        <v>5486764.8571000006</v>
      </c>
      <c r="BD168" s="5">
        <f>[1]Capital!BC37+[1]Capital!BC39</f>
        <v>5583821.4360000007</v>
      </c>
      <c r="BE168" s="5">
        <f>[1]Capital!BD37+[1]Capital!BD39</f>
        <v>5682371.216</v>
      </c>
      <c r="BF168" s="5">
        <f>[1]Capital!BE37+[1]Capital!BE39</f>
        <v>5782425.4280000003</v>
      </c>
    </row>
    <row r="169" spans="1:58" x14ac:dyDescent="0.35">
      <c r="B169" t="s">
        <v>29</v>
      </c>
      <c r="C169" s="5">
        <f>[1]Capital!B43+[1]Capital!B47</f>
        <v>22930.647962299998</v>
      </c>
      <c r="D169" s="5">
        <f>[1]Capital!C43+[1]Capital!C47</f>
        <v>23191.660401099998</v>
      </c>
      <c r="E169" s="5">
        <f>[1]Capital!D43+[1]Capital!D47</f>
        <v>23447.8429578</v>
      </c>
      <c r="F169" s="5">
        <f>[1]Capital!E43+[1]Capital!E47</f>
        <v>23699.838781899998</v>
      </c>
      <c r="G169" s="5">
        <f>[1]Capital!F43+[1]Capital!F47</f>
        <v>23949.752385799999</v>
      </c>
      <c r="H169" s="5">
        <f>[1]Capital!G43+[1]Capital!G47</f>
        <v>24200.066042599999</v>
      </c>
      <c r="I169" s="5">
        <f>[1]Capital!H43+[1]Capital!H47</f>
        <v>24452.219570599998</v>
      </c>
      <c r="J169" s="5">
        <f>[1]Capital!I43+[1]Capital!I47</f>
        <v>24707.5857521</v>
      </c>
      <c r="K169" s="5">
        <f>[1]Capital!J43+[1]Capital!J47</f>
        <v>24967.296806599999</v>
      </c>
      <c r="L169" s="5">
        <f>[1]Capital!K43+[1]Capital!K47</f>
        <v>25232.198608900002</v>
      </c>
      <c r="M169" s="5">
        <f>[1]Capital!L43+[1]Capital!L47</f>
        <v>25504.353024300002</v>
      </c>
      <c r="N169" s="5">
        <f>[1]Capital!M43+[1]Capital!M47</f>
        <v>25783.529643900001</v>
      </c>
      <c r="O169" s="5">
        <f>[1]Capital!N43+[1]Capital!N47</f>
        <v>26069.618658200001</v>
      </c>
      <c r="P169" s="5">
        <f>[1]Capital!O43+[1]Capital!O47</f>
        <v>26362.589616699999</v>
      </c>
      <c r="Q169" s="5">
        <f>[1]Capital!P43+[1]Capital!P47</f>
        <v>26662.414267</v>
      </c>
      <c r="R169" s="5">
        <f>[1]Capital!Q43+[1]Capital!Q47</f>
        <v>26969.0439468</v>
      </c>
      <c r="S169" s="5">
        <f>[1]Capital!R43+[1]Capital!R47</f>
        <v>27282.4109259</v>
      </c>
      <c r="T169" s="5">
        <f>[1]Capital!S43+[1]Capital!S47</f>
        <v>27602.436214500001</v>
      </c>
      <c r="U169" s="5">
        <f>[1]Capital!T43+[1]Capital!T47</f>
        <v>27929.0373482</v>
      </c>
      <c r="V169" s="5">
        <f>[1]Capital!U43+[1]Capital!U47</f>
        <v>28262.134352000001</v>
      </c>
      <c r="W169" s="5">
        <f>[1]Capital!V43+[1]Capital!V47</f>
        <v>28600.567951199999</v>
      </c>
      <c r="X169" s="5">
        <f>[1]Capital!W43+[1]Capital!W47</f>
        <v>28944.7461859</v>
      </c>
      <c r="Y169" s="5">
        <f>[1]Capital!X43+[1]Capital!X47</f>
        <v>29294.8921271</v>
      </c>
      <c r="Z169" s="5">
        <f>[1]Capital!Y43+[1]Capital!Y47</f>
        <v>29651.1059164</v>
      </c>
      <c r="AA169" s="5">
        <f>[1]Capital!Z43+[1]Capital!Z47</f>
        <v>30013.443452700001</v>
      </c>
      <c r="AB169" s="5">
        <f>[1]Capital!AA43+[1]Capital!AA47</f>
        <v>30378.809379099999</v>
      </c>
      <c r="AC169" s="5">
        <f>[1]Capital!AB43+[1]Capital!AB47</f>
        <v>30747.122574899997</v>
      </c>
      <c r="AD169" s="5">
        <f>[1]Capital!AC43+[1]Capital!AC47</f>
        <v>31118.362427100001</v>
      </c>
      <c r="AE169" s="5">
        <f>[1]Capital!AD43+[1]Capital!AD47</f>
        <v>31492.487860999998</v>
      </c>
      <c r="AF169" s="5">
        <f>[1]Capital!AE43+[1]Capital!AE47</f>
        <v>31869.484015400001</v>
      </c>
      <c r="AG169" s="5">
        <f>[1]Capital!AF43+[1]Capital!AF47</f>
        <v>32249.3803238</v>
      </c>
      <c r="AH169" s="5">
        <f>[1]Capital!AG43+[1]Capital!AG47</f>
        <v>32632.249690799999</v>
      </c>
      <c r="AI169" s="5">
        <f>[1]Capital!AH43+[1]Capital!AH47</f>
        <v>33018.200097000001</v>
      </c>
      <c r="AJ169" s="5">
        <f>[1]Capital!AI43+[1]Capital!AI47</f>
        <v>33407.3644862</v>
      </c>
      <c r="AK169" s="5">
        <f>[1]Capital!AJ43+[1]Capital!AJ47</f>
        <v>33799.891620399998</v>
      </c>
      <c r="AL169" s="5">
        <f>[1]Capital!AK43+[1]Capital!AK47</f>
        <v>34195.938669299998</v>
      </c>
      <c r="AM169" s="5">
        <f>[1]Capital!AL43+[1]Capital!AL47</f>
        <v>34594.906595499997</v>
      </c>
      <c r="AN169" s="5">
        <f>[1]Capital!AM43+[1]Capital!AM47</f>
        <v>34996.521031999997</v>
      </c>
      <c r="AO169" s="5">
        <f>[1]Capital!AN43+[1]Capital!AN47</f>
        <v>35400.693366400003</v>
      </c>
      <c r="AP169" s="5">
        <f>[1]Capital!AO43+[1]Capital!AO47</f>
        <v>35807.426754600005</v>
      </c>
      <c r="AQ169" s="5">
        <f>[1]Capital!AP43+[1]Capital!AP47</f>
        <v>36216.777233100001</v>
      </c>
      <c r="AR169" s="5">
        <f>[1]Capital!AQ43+[1]Capital!AQ47</f>
        <v>36628.837449700004</v>
      </c>
      <c r="AS169" s="5">
        <f>[1]Capital!AR43+[1]Capital!AR47</f>
        <v>37043.727560799998</v>
      </c>
      <c r="AT169" s="5">
        <f>[1]Capital!AS43+[1]Capital!AS47</f>
        <v>37461.588403300004</v>
      </c>
      <c r="AU169" s="5">
        <f>[1]Capital!AT43+[1]Capital!AT47</f>
        <v>37882.575032199995</v>
      </c>
      <c r="AV169" s="5">
        <f>[1]Capital!AU43+[1]Capital!AU47</f>
        <v>38306.849927199997</v>
      </c>
      <c r="AW169" s="5">
        <f>[1]Capital!AV43+[1]Capital!AV47</f>
        <v>38734.6400221</v>
      </c>
      <c r="AX169" s="5">
        <f>[1]Capital!AW43+[1]Capital!AW47</f>
        <v>39166.137895500004</v>
      </c>
      <c r="AY169" s="5">
        <f>[1]Capital!AX43+[1]Capital!AX47</f>
        <v>39601.508157899996</v>
      </c>
      <c r="AZ169" s="5">
        <f>[1]Capital!AY43+[1]Capital!AY47</f>
        <v>40040.922120099996</v>
      </c>
      <c r="BA169" s="5">
        <f>[1]Capital!AZ43+[1]Capital!AZ47</f>
        <v>40484.565223600002</v>
      </c>
      <c r="BB169" s="5">
        <f>[1]Capital!BA43+[1]Capital!BA47</f>
        <v>43271.201263000003</v>
      </c>
      <c r="BC169" s="5">
        <f>[1]Capital!BB43+[1]Capital!BB47</f>
        <v>43925.573724000002</v>
      </c>
      <c r="BD169" s="5">
        <f>[1]Capital!BC43+[1]Capital!BC47</f>
        <v>44590.604775</v>
      </c>
      <c r="BE169" s="5">
        <f>[1]Capital!BD43+[1]Capital!BD47</f>
        <v>45266.370203999999</v>
      </c>
      <c r="BF169" s="5">
        <f>[1]Capital!BE43+[1]Capital!BE47</f>
        <v>45952.961798999997</v>
      </c>
    </row>
    <row r="170" spans="1:58" x14ac:dyDescent="0.35">
      <c r="B170" t="s">
        <v>36</v>
      </c>
      <c r="C170" s="5">
        <f>[1]Capital!B45+[1]Capital!B49</f>
        <v>1942.1812264</v>
      </c>
      <c r="D170" s="5">
        <f>[1]Capital!C45+[1]Capital!C49</f>
        <v>1964.1139651000001</v>
      </c>
      <c r="E170" s="5">
        <f>[1]Capital!D45+[1]Capital!D49</f>
        <v>1985.4144655</v>
      </c>
      <c r="F170" s="5">
        <f>[1]Capital!E45+[1]Capital!E49</f>
        <v>2006.1488116</v>
      </c>
      <c r="G170" s="5">
        <f>[1]Capital!F45+[1]Capital!F49</f>
        <v>2026.5393736999999</v>
      </c>
      <c r="H170" s="5">
        <f>[1]Capital!G45+[1]Capital!G49</f>
        <v>2046.8383769</v>
      </c>
      <c r="I170" s="5">
        <f>[1]Capital!H45+[1]Capital!H49</f>
        <v>2067.2054673000002</v>
      </c>
      <c r="J170" s="5">
        <f>[1]Capital!I45+[1]Capital!I49</f>
        <v>2087.7823171</v>
      </c>
      <c r="K170" s="5">
        <f>[1]Capital!J45+[1]Capital!J49</f>
        <v>2108.6816552999999</v>
      </c>
      <c r="L170" s="5">
        <f>[1]Capital!K45+[1]Capital!K49</f>
        <v>2129.9871149999999</v>
      </c>
      <c r="M170" s="5">
        <f>[1]Capital!L45+[1]Capital!L49</f>
        <v>2151.8715192999998</v>
      </c>
      <c r="N170" s="5">
        <f>[1]Capital!M45+[1]Capital!M49</f>
        <v>2174.3284466999999</v>
      </c>
      <c r="O170" s="5">
        <f>[1]Capital!N45+[1]Capital!N49</f>
        <v>2197.3590374</v>
      </c>
      <c r="P170" s="5">
        <f>[1]Capital!O45+[1]Capital!O49</f>
        <v>2220.9674755999999</v>
      </c>
      <c r="Q170" s="5">
        <f>[1]Capital!P45+[1]Capital!P49</f>
        <v>2245.155714</v>
      </c>
      <c r="R170" s="5">
        <f>[1]Capital!Q45+[1]Capital!Q49</f>
        <v>2269.9223415000001</v>
      </c>
      <c r="S170" s="5">
        <f>[1]Capital!R45+[1]Capital!R49</f>
        <v>2295.2630921999998</v>
      </c>
      <c r="T170" s="5">
        <f>[1]Capital!S45+[1]Capital!S49</f>
        <v>2321.1717140999999</v>
      </c>
      <c r="U170" s="5">
        <f>[1]Capital!T45+[1]Capital!T49</f>
        <v>2347.6407648999998</v>
      </c>
      <c r="V170" s="5">
        <f>[1]Capital!U45+[1]Capital!U49</f>
        <v>2374.6622250999999</v>
      </c>
      <c r="W170" s="5">
        <f>[1]Capital!V45+[1]Capital!V49</f>
        <v>2402.1441449999998</v>
      </c>
      <c r="X170" s="5">
        <f>[1]Capital!W45+[1]Capital!W49</f>
        <v>2430.1142866</v>
      </c>
      <c r="Y170" s="5">
        <f>[1]Capital!X45+[1]Capital!X49</f>
        <v>2458.5851970000003</v>
      </c>
      <c r="Z170" s="5">
        <f>[1]Capital!Y45+[1]Capital!Y49</f>
        <v>2487.5603996999998</v>
      </c>
      <c r="AA170" s="5">
        <f>[1]Capital!Z45+[1]Capital!Z49</f>
        <v>2517.0402994999999</v>
      </c>
      <c r="AB170" s="5">
        <f>[1]Capital!AA45+[1]Capital!AA49</f>
        <v>2546.7821978000002</v>
      </c>
      <c r="AC170" s="5">
        <f>[1]Capital!AB45+[1]Capital!AB49</f>
        <v>2576.7741543000002</v>
      </c>
      <c r="AD170" s="5">
        <f>[1]Capital!AC45+[1]Capital!AC49</f>
        <v>2607.0064647999998</v>
      </c>
      <c r="AE170" s="5">
        <f>[1]Capital!AD45+[1]Capital!AD49</f>
        <v>2637.4685067</v>
      </c>
      <c r="AF170" s="5">
        <f>[1]Capital!AE45+[1]Capital!AE49</f>
        <v>2668.1526833000003</v>
      </c>
      <c r="AG170" s="5">
        <f>[1]Capital!AF45+[1]Capital!AF49</f>
        <v>2699.0557809000002</v>
      </c>
      <c r="AH170" s="5">
        <f>[1]Capital!AG45+[1]Capital!AG49</f>
        <v>2730.1787901000002</v>
      </c>
      <c r="AI170" s="5">
        <f>[1]Capital!AH45+[1]Capital!AH49</f>
        <v>2761.5261479000001</v>
      </c>
      <c r="AJ170" s="5">
        <f>[1]Capital!AI45+[1]Capital!AI49</f>
        <v>2793.1048801000002</v>
      </c>
      <c r="AK170" s="5">
        <f>[1]Capital!AJ45+[1]Capital!AJ49</f>
        <v>2824.9238129</v>
      </c>
      <c r="AL170" s="5">
        <f>[1]Capital!AK45+[1]Capital!AK49</f>
        <v>2856.9929486000001</v>
      </c>
      <c r="AM170" s="5">
        <f>[1]Capital!AL45+[1]Capital!AL49</f>
        <v>2889.2644344</v>
      </c>
      <c r="AN170" s="5">
        <f>[1]Capital!AM45+[1]Capital!AM49</f>
        <v>2921.7155473000003</v>
      </c>
      <c r="AO170" s="5">
        <f>[1]Capital!AN45+[1]Capital!AN49</f>
        <v>2954.3375189999997</v>
      </c>
      <c r="AP170" s="5">
        <f>[1]Capital!AO45+[1]Capital!AO49</f>
        <v>2987.1287404000004</v>
      </c>
      <c r="AQ170" s="5">
        <f>[1]Capital!AP45+[1]Capital!AP49</f>
        <v>3020.0920709000002</v>
      </c>
      <c r="AR170" s="5">
        <f>[1]Capital!AQ45+[1]Capital!AQ49</f>
        <v>3053.2336889999997</v>
      </c>
      <c r="AS170" s="5">
        <f>[1]Capital!AR45+[1]Capital!AR49</f>
        <v>3086.5624175000003</v>
      </c>
      <c r="AT170" s="5">
        <f>[1]Capital!AS45+[1]Capital!AS49</f>
        <v>3120.089164</v>
      </c>
      <c r="AU170" s="5">
        <f>[1]Capital!AT45+[1]Capital!AT49</f>
        <v>3153.8263910999999</v>
      </c>
      <c r="AV170" s="5">
        <f>[1]Capital!AU45+[1]Capital!AU49</f>
        <v>3187.7876286999999</v>
      </c>
      <c r="AW170" s="5">
        <f>[1]Capital!AV45+[1]Capital!AV49</f>
        <v>3221.9922231</v>
      </c>
      <c r="AX170" s="5">
        <f>[1]Capital!AW45+[1]Capital!AW49</f>
        <v>3256.4569193000002</v>
      </c>
      <c r="AY170" s="5">
        <f>[1]Capital!AX45+[1]Capital!AX49</f>
        <v>3291.1963139</v>
      </c>
      <c r="AZ170" s="5">
        <f>[1]Capital!AY45+[1]Capital!AY49</f>
        <v>3326.2252785000001</v>
      </c>
      <c r="BA170" s="5">
        <f>[1]Capital!AZ45+[1]Capital!AZ49</f>
        <v>3361.5595202000004</v>
      </c>
      <c r="BB170" s="5">
        <f>[1]Capital!BA45+[1]Capital!BA49</f>
        <v>3588.2409678999998</v>
      </c>
      <c r="BC170" s="5">
        <f>[1]Capital!BB45+[1]Capital!BB49</f>
        <v>3640.4128946999999</v>
      </c>
      <c r="BD170" s="5">
        <f>[1]Capital!BC45+[1]Capital!BC49</f>
        <v>3693.3943216000002</v>
      </c>
      <c r="BE170" s="5">
        <f>[1]Capital!BD45+[1]Capital!BD49</f>
        <v>3747.1915847999999</v>
      </c>
      <c r="BF170" s="5">
        <f>[1]Capital!BE45+[1]Capital!BE49</f>
        <v>3801.8124930999998</v>
      </c>
    </row>
    <row r="171" spans="1:58" x14ac:dyDescent="0.35">
      <c r="B171" t="s">
        <v>33</v>
      </c>
      <c r="C171" s="5">
        <f>[1]Capital!B51+[1]Capital!B53+[1]Capital!B55+[1]Capital!B57+[1]Capital!B59+[1]Capital!B61+[1]Capital!B63+[1]Capital!B65+[1]Capital!B67</f>
        <v>40302.096713759995</v>
      </c>
      <c r="D171" s="5">
        <f>[1]Capital!C51+[1]Capital!C53+[1]Capital!C55+[1]Capital!C57+[1]Capital!C59+[1]Capital!C61+[1]Capital!C63+[1]Capital!C65+[1]Capital!C67</f>
        <v>40759.510624930001</v>
      </c>
      <c r="E171" s="5">
        <f>[1]Capital!D51+[1]Capital!D53+[1]Capital!D55+[1]Capital!D57+[1]Capital!D59+[1]Capital!D61+[1]Capital!D63+[1]Capital!D65+[1]Capital!D67</f>
        <v>41206.675207150001</v>
      </c>
      <c r="F171" s="5">
        <f>[1]Capital!E51+[1]Capital!E53+[1]Capital!E55+[1]Capital!E57+[1]Capital!E59+[1]Capital!E61+[1]Capital!E63+[1]Capital!E65+[1]Capital!E67</f>
        <v>41642.179729310003</v>
      </c>
      <c r="G171" s="5">
        <f>[1]Capital!F51+[1]Capital!F53+[1]Capital!F55+[1]Capital!F57+[1]Capital!F59+[1]Capital!F61+[1]Capital!F63+[1]Capital!F65+[1]Capital!F67</f>
        <v>42067.16105106</v>
      </c>
      <c r="H171" s="5">
        <f>[1]Capital!G51+[1]Capital!G53+[1]Capital!G55+[1]Capital!G57+[1]Capital!G59+[1]Capital!G61+[1]Capital!G63+[1]Capital!G65+[1]Capital!G67</f>
        <v>42483.991788469997</v>
      </c>
      <c r="I171" s="5">
        <f>[1]Capital!H51+[1]Capital!H53+[1]Capital!H55+[1]Capital!H57+[1]Capital!H59+[1]Capital!H61+[1]Capital!H63+[1]Capital!H65+[1]Capital!H67</f>
        <v>42894.074909250005</v>
      </c>
      <c r="J171" s="5">
        <f>[1]Capital!I51+[1]Capital!I53+[1]Capital!I55+[1]Capital!I57+[1]Capital!I59+[1]Capital!I61+[1]Capital!I63+[1]Capital!I65+[1]Capital!I67</f>
        <v>43299.039717570005</v>
      </c>
      <c r="K171" s="5">
        <f>[1]Capital!J51+[1]Capital!J53+[1]Capital!J55+[1]Capital!J57+[1]Capital!J59+[1]Capital!J61+[1]Capital!J63+[1]Capital!J65+[1]Capital!J67</f>
        <v>43700.43281273001</v>
      </c>
      <c r="L171" s="5">
        <f>[1]Capital!K51+[1]Capital!K53+[1]Capital!K55+[1]Capital!K57+[1]Capital!K59+[1]Capital!K61+[1]Capital!K63+[1]Capital!K65+[1]Capital!K67</f>
        <v>44099.500901599997</v>
      </c>
      <c r="M171" s="5">
        <f>[1]Capital!L51+[1]Capital!L53+[1]Capital!L55+[1]Capital!L57+[1]Capital!L59+[1]Capital!L61+[1]Capital!L63+[1]Capital!L65+[1]Capital!L67</f>
        <v>44499.523443940001</v>
      </c>
      <c r="N171" s="5">
        <f>[1]Capital!M51+[1]Capital!M53+[1]Capital!M55+[1]Capital!M57+[1]Capital!M59+[1]Capital!M61+[1]Capital!M63+[1]Capital!M65+[1]Capital!M67</f>
        <v>44900.426087959997</v>
      </c>
      <c r="O171" s="5">
        <f>[1]Capital!N51+[1]Capital!N53+[1]Capital!N55+[1]Capital!N57+[1]Capital!N59+[1]Capital!N61+[1]Capital!N63+[1]Capital!N65+[1]Capital!N67</f>
        <v>45301.977478600005</v>
      </c>
      <c r="P171" s="5">
        <f>[1]Capital!O51+[1]Capital!O53+[1]Capital!O55+[1]Capital!O57+[1]Capital!O59+[1]Capital!O61+[1]Capital!O63+[1]Capital!O65+[1]Capital!O67</f>
        <v>45704.096960530012</v>
      </c>
      <c r="Q171" s="5">
        <f>[1]Capital!P51+[1]Capital!P53+[1]Capital!P55+[1]Capital!P57+[1]Capital!P59+[1]Capital!P61+[1]Capital!P63+[1]Capital!P65+[1]Capital!P67</f>
        <v>46106.803829769997</v>
      </c>
      <c r="R171" s="5">
        <f>[1]Capital!Q51+[1]Capital!Q53+[1]Capital!Q55+[1]Capital!Q57+[1]Capital!Q59+[1]Capital!Q61+[1]Capital!Q63+[1]Capital!Q65+[1]Capital!Q67</f>
        <v>46510.175300049996</v>
      </c>
      <c r="S171" s="5">
        <f>[1]Capital!R51+[1]Capital!R53+[1]Capital!R55+[1]Capital!R57+[1]Capital!R59+[1]Capital!R61+[1]Capital!R63+[1]Capital!R65+[1]Capital!R67</f>
        <v>46914.333865579989</v>
      </c>
      <c r="T171" s="5">
        <f>[1]Capital!S51+[1]Capital!S53+[1]Capital!S55+[1]Capital!S57+[1]Capital!S59+[1]Capital!S61+[1]Capital!S63+[1]Capital!S65+[1]Capital!S67</f>
        <v>47319.448738209998</v>
      </c>
      <c r="U171" s="5">
        <f>[1]Capital!T51+[1]Capital!T53+[1]Capital!T55+[1]Capital!T57+[1]Capital!T59+[1]Capital!T61+[1]Capital!T63+[1]Capital!T65+[1]Capital!T67</f>
        <v>47725.740912769987</v>
      </c>
      <c r="V171" s="5">
        <f>[1]Capital!U51+[1]Capital!U53+[1]Capital!U55+[1]Capital!U57+[1]Capital!U59+[1]Capital!U61+[1]Capital!U63+[1]Capital!U65+[1]Capital!U67</f>
        <v>48133.487003039991</v>
      </c>
      <c r="W171" s="5">
        <f>[1]Capital!V51+[1]Capital!V53+[1]Capital!V55+[1]Capital!V57+[1]Capital!V59+[1]Capital!V61+[1]Capital!V63+[1]Capital!V65+[1]Capital!V67</f>
        <v>48541.33282363999</v>
      </c>
      <c r="X171" s="5">
        <f>[1]Capital!W51+[1]Capital!W53+[1]Capital!W55+[1]Capital!W57+[1]Capital!W59+[1]Capital!W61+[1]Capital!W63+[1]Capital!W65+[1]Capital!W67</f>
        <v>48950.201261549984</v>
      </c>
      <c r="Y171" s="5">
        <f>[1]Capital!X51+[1]Capital!X53+[1]Capital!X55+[1]Capital!X57+[1]Capital!X59+[1]Capital!X61+[1]Capital!X63+[1]Capital!X65+[1]Capital!X67</f>
        <v>49361.042690449991</v>
      </c>
      <c r="Z171" s="5">
        <f>[1]Capital!Y51+[1]Capital!Y53+[1]Capital!Y55+[1]Capital!Y57+[1]Capital!Y59+[1]Capital!Y61+[1]Capital!Y63+[1]Capital!Y65+[1]Capital!Y67</f>
        <v>49774.66165111999</v>
      </c>
      <c r="AA171" s="5">
        <f>[1]Capital!Z51+[1]Capital!Z53+[1]Capital!Z55+[1]Capital!Z57+[1]Capital!Z59+[1]Capital!Z61+[1]Capital!Z63+[1]Capital!Z65+[1]Capital!Z67</f>
        <v>50191.781660230008</v>
      </c>
      <c r="AB171" s="5">
        <f>[1]Capital!AA51+[1]Capital!AA53+[1]Capital!AA55+[1]Capital!AA57+[1]Capital!AA59+[1]Capital!AA61+[1]Capital!AA63+[1]Capital!AA65+[1]Capital!AA67</f>
        <v>50608.300214079994</v>
      </c>
      <c r="AC171" s="5">
        <f>[1]Capital!AB51+[1]Capital!AB53+[1]Capital!AB55+[1]Capital!AB57+[1]Capital!AB59+[1]Capital!AB61+[1]Capital!AB63+[1]Capital!AB65+[1]Capital!AB67</f>
        <v>51024.137020139999</v>
      </c>
      <c r="AD171" s="5">
        <f>[1]Capital!AC51+[1]Capital!AC53+[1]Capital!AC55+[1]Capital!AC57+[1]Capital!AC59+[1]Capital!AC61+[1]Capital!AC63+[1]Capital!AC65+[1]Capital!AC67</f>
        <v>51439.820879169994</v>
      </c>
      <c r="AE171" s="5">
        <f>[1]Capital!AD51+[1]Capital!AD53+[1]Capital!AD55+[1]Capital!AD57+[1]Capital!AD59+[1]Capital!AD61+[1]Capital!AD63+[1]Capital!AD65+[1]Capital!AD67</f>
        <v>51855.99254621</v>
      </c>
      <c r="AF171" s="5">
        <f>[1]Capital!AE51+[1]Capital!AE53+[1]Capital!AE55+[1]Capital!AE57+[1]Capital!AE59+[1]Capital!AE61+[1]Capital!AE63+[1]Capital!AE65+[1]Capital!AE67</f>
        <v>52273.355880059993</v>
      </c>
      <c r="AG171" s="5">
        <f>[1]Capital!AF51+[1]Capital!AF53+[1]Capital!AF55+[1]Capital!AF57+[1]Capital!AF59+[1]Capital!AF61+[1]Capital!AF63+[1]Capital!AF65+[1]Capital!AF67</f>
        <v>52692.671151950002</v>
      </c>
      <c r="AH171" s="5">
        <f>[1]Capital!AG51+[1]Capital!AG53+[1]Capital!AG55+[1]Capital!AG57+[1]Capital!AG59+[1]Capital!AG61+[1]Capital!AG63+[1]Capital!AG65+[1]Capital!AG67</f>
        <v>53114.739795639995</v>
      </c>
      <c r="AI171" s="5">
        <f>[1]Capital!AH51+[1]Capital!AH53+[1]Capital!AH55+[1]Capital!AH57+[1]Capital!AH59+[1]Capital!AH61+[1]Capital!AH63+[1]Capital!AH65+[1]Capital!AH67</f>
        <v>53540.383012560007</v>
      </c>
      <c r="AJ171" s="5">
        <f>[1]Capital!AI51+[1]Capital!AI53+[1]Capital!AI55+[1]Capital!AI57+[1]Capital!AI59+[1]Capital!AI61+[1]Capital!AI63+[1]Capital!AI65+[1]Capital!AI67</f>
        <v>53970.419950029995</v>
      </c>
      <c r="AK171" s="5">
        <f>[1]Capital!AJ51+[1]Capital!AJ53+[1]Capital!AJ55+[1]Capital!AJ57+[1]Capital!AJ59+[1]Capital!AJ61+[1]Capital!AJ63+[1]Capital!AJ65+[1]Capital!AJ67</f>
        <v>54405.648729429995</v>
      </c>
      <c r="AL171" s="5">
        <f>[1]Capital!AK51+[1]Capital!AK53+[1]Capital!AK55+[1]Capital!AK57+[1]Capital!AK59+[1]Capital!AK61+[1]Capital!AK63+[1]Capital!AK65+[1]Capital!AK67</f>
        <v>54846.83189713001</v>
      </c>
      <c r="AM171" s="5">
        <f>[1]Capital!AL51+[1]Capital!AL53+[1]Capital!AL55+[1]Capital!AL57+[1]Capital!AL59+[1]Capital!AL61+[1]Capital!AL63+[1]Capital!AL65+[1]Capital!AL67</f>
        <v>55293.564050490008</v>
      </c>
      <c r="AN171" s="5">
        <f>[1]Capital!AM51+[1]Capital!AM53+[1]Capital!AM55+[1]Capital!AM57+[1]Capital!AM59+[1]Capital!AM61+[1]Capital!AM63+[1]Capital!AM65+[1]Capital!AM67</f>
        <v>55745.73322645</v>
      </c>
      <c r="AO171" s="5">
        <f>[1]Capital!AN51+[1]Capital!AN53+[1]Capital!AN55+[1]Capital!AN57+[1]Capital!AN59+[1]Capital!AN61+[1]Capital!AN63+[1]Capital!AN65+[1]Capital!AN67</f>
        <v>56203.501358700007</v>
      </c>
      <c r="AP171" s="5">
        <f>[1]Capital!AO51+[1]Capital!AO53+[1]Capital!AO55+[1]Capital!AO57+[1]Capital!AO59+[1]Capital!AO61+[1]Capital!AO63+[1]Capital!AO65+[1]Capital!AO67</f>
        <v>56667.18189462</v>
      </c>
      <c r="AQ171" s="5">
        <f>[1]Capital!AP51+[1]Capital!AP53+[1]Capital!AP55+[1]Capital!AP57+[1]Capital!AP59+[1]Capital!AP61+[1]Capital!AP63+[1]Capital!AP65+[1]Capital!AP67</f>
        <v>57137.16672994</v>
      </c>
      <c r="AR171" s="5">
        <f>[1]Capital!AQ51+[1]Capital!AQ53+[1]Capital!AQ55+[1]Capital!AQ57+[1]Capital!AQ59+[1]Capital!AQ61+[1]Capital!AQ63+[1]Capital!AQ65+[1]Capital!AQ67</f>
        <v>57613.888360540004</v>
      </c>
      <c r="AS171" s="5">
        <f>[1]Capital!AR51+[1]Capital!AR53+[1]Capital!AR55+[1]Capital!AR57+[1]Capital!AR59+[1]Capital!AR61+[1]Capital!AR63+[1]Capital!AR65+[1]Capital!AR67</f>
        <v>58097.798851979998</v>
      </c>
      <c r="AT171" s="5">
        <f>[1]Capital!AS51+[1]Capital!AS53+[1]Capital!AS55+[1]Capital!AS57+[1]Capital!AS59+[1]Capital!AS61+[1]Capital!AS63+[1]Capital!AS65+[1]Capital!AS67</f>
        <v>58589.356367690016</v>
      </c>
      <c r="AU171" s="5">
        <f>[1]Capital!AT51+[1]Capital!AT53+[1]Capital!AT55+[1]Capital!AT57+[1]Capital!AT59+[1]Capital!AT61+[1]Capital!AT63+[1]Capital!AT65+[1]Capital!AT67</f>
        <v>59089.014638200009</v>
      </c>
      <c r="AV171" s="5">
        <f>[1]Capital!AU51+[1]Capital!AU53+[1]Capital!AU55+[1]Capital!AU57+[1]Capital!AU59+[1]Capital!AU61+[1]Capital!AU63+[1]Capital!AU65+[1]Capital!AU67</f>
        <v>59597.210833030011</v>
      </c>
      <c r="AW171" s="5">
        <f>[1]Capital!AV51+[1]Capital!AV53+[1]Capital!AV55+[1]Capital!AV57+[1]Capital!AV59+[1]Capital!AV61+[1]Capital!AV63+[1]Capital!AV65+[1]Capital!AV67</f>
        <v>60114.435335649992</v>
      </c>
      <c r="AX171" s="5">
        <f>[1]Capital!AW51+[1]Capital!AW53+[1]Capital!AW55+[1]Capital!AW57+[1]Capital!AW59+[1]Capital!AW61+[1]Capital!AW63+[1]Capital!AW65+[1]Capital!AW67</f>
        <v>60640.984039259994</v>
      </c>
      <c r="AY171" s="5">
        <f>[1]Capital!AX51+[1]Capital!AX53+[1]Capital!AX55+[1]Capital!AX57+[1]Capital!AX59+[1]Capital!AX61+[1]Capital!AX63+[1]Capital!AX65+[1]Capital!AX67</f>
        <v>61177.005114900006</v>
      </c>
      <c r="AZ171" s="5">
        <f>[1]Capital!AY51+[1]Capital!AY53+[1]Capital!AY55+[1]Capital!AY57+[1]Capital!AY59+[1]Capital!AY61+[1]Capital!AY63+[1]Capital!AY65+[1]Capital!AY67</f>
        <v>61722.675833279995</v>
      </c>
      <c r="BA171" s="5">
        <f>[1]Capital!AZ51+[1]Capital!AZ53+[1]Capital!AZ55+[1]Capital!AZ57+[1]Capital!AZ59+[1]Capital!AZ61+[1]Capital!AZ63+[1]Capital!AZ65+[1]Capital!AZ67</f>
        <v>62278.258534700006</v>
      </c>
      <c r="BB171" s="5">
        <f>[1]Capital!BA51+[1]Capital!BA53+[1]Capital!BA55+[1]Capital!BA57+[1]Capital!BA59+[1]Capital!BA61+[1]Capital!BA63+[1]Capital!BA65+[1]Capital!BA67</f>
        <v>68008.589476100009</v>
      </c>
      <c r="BC171" s="5">
        <f>[1]Capital!BB51+[1]Capital!BB53+[1]Capital!BB55+[1]Capital!BB57+[1]Capital!BB59+[1]Capital!BB61+[1]Capital!BB63+[1]Capital!BB65+[1]Capital!BB67</f>
        <v>68908.919014700019</v>
      </c>
      <c r="BD171" s="5">
        <f>[1]Capital!BC51+[1]Capital!BC53+[1]Capital!BC55+[1]Capital!BC57+[1]Capital!BC59+[1]Capital!BC61+[1]Capital!BC63+[1]Capital!BC65+[1]Capital!BC67</f>
        <v>69826.220295000006</v>
      </c>
      <c r="BE171" s="5">
        <f>[1]Capital!BD51+[1]Capital!BD53+[1]Capital!BD55+[1]Capital!BD57+[1]Capital!BD59+[1]Capital!BD61+[1]Capital!BD63+[1]Capital!BD65+[1]Capital!BD67</f>
        <v>70760.591945599997</v>
      </c>
      <c r="BF171" s="5">
        <f>[1]Capital!BE51+[1]Capital!BE53+[1]Capital!BE55+[1]Capital!BE57+[1]Capital!BE59+[1]Capital!BE61+[1]Capital!BE63+[1]Capital!BE65+[1]Capital!BE67</f>
        <v>71712.145180200008</v>
      </c>
    </row>
    <row r="172" spans="1:58" x14ac:dyDescent="0.35"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  <c r="BD172" s="5"/>
      <c r="BE172" s="5"/>
      <c r="BF172" s="5"/>
    </row>
    <row r="173" spans="1:58" x14ac:dyDescent="0.35">
      <c r="A173" s="12" t="s">
        <v>41</v>
      </c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  <c r="BD173" s="5"/>
      <c r="BE173" s="5"/>
      <c r="BF173" s="5"/>
    </row>
    <row r="174" spans="1:58" x14ac:dyDescent="0.35">
      <c r="A174" t="s">
        <v>39</v>
      </c>
      <c r="B174" t="s">
        <v>40</v>
      </c>
      <c r="C174" s="5">
        <f>[1]Capital!B2</f>
        <v>5219826.1320000002</v>
      </c>
      <c r="D174" s="5">
        <f>[1]Capital!C2</f>
        <v>5274071.9390000002</v>
      </c>
      <c r="E174" s="5">
        <f>[1]Capital!D2</f>
        <v>5328391.2939999998</v>
      </c>
      <c r="F174" s="5">
        <f>[1]Capital!E2</f>
        <v>5383582.335</v>
      </c>
      <c r="G174" s="5">
        <f>[1]Capital!F2</f>
        <v>5440118.5410000002</v>
      </c>
      <c r="H174" s="5">
        <f>[1]Capital!G2</f>
        <v>5498297.1409999998</v>
      </c>
      <c r="I174" s="5">
        <f>[1]Capital!H2</f>
        <v>5558120.0839999998</v>
      </c>
      <c r="J174" s="5">
        <f>[1]Capital!I2</f>
        <v>5619601.9000000004</v>
      </c>
      <c r="K174" s="5">
        <f>[1]Capital!J2</f>
        <v>5682772.1749999998</v>
      </c>
      <c r="L174" s="5">
        <f>[1]Capital!K2</f>
        <v>5747666.9289999995</v>
      </c>
      <c r="M174" s="5">
        <f>[1]Capital!L2</f>
        <v>5814294.9910000004</v>
      </c>
      <c r="N174" s="5">
        <f>[1]Capital!M2</f>
        <v>5882984.9249999998</v>
      </c>
      <c r="O174" s="5">
        <f>[1]Capital!N2</f>
        <v>5953900.1960000005</v>
      </c>
      <c r="P174" s="5">
        <f>[1]Capital!O2</f>
        <v>6027119.9000000004</v>
      </c>
      <c r="Q174" s="5">
        <f>[1]Capital!P2</f>
        <v>6102686.159</v>
      </c>
      <c r="R174" s="5">
        <f>[1]Capital!Q2</f>
        <v>6180625.7070000004</v>
      </c>
      <c r="S174" s="5">
        <f>[1]Capital!R2</f>
        <v>6260940.1310000001</v>
      </c>
      <c r="T174" s="5">
        <f>[1]Capital!S2</f>
        <v>6343636.0099999998</v>
      </c>
      <c r="U174" s="5">
        <f>[1]Capital!T2</f>
        <v>6428723.1469999999</v>
      </c>
      <c r="V174" s="5">
        <f>[1]Capital!U2</f>
        <v>6516212.7860000003</v>
      </c>
      <c r="W174" s="5">
        <f>[1]Capital!V2</f>
        <v>6605869.5149999997</v>
      </c>
      <c r="X174" s="5">
        <f>[1]Capital!W2</f>
        <v>6697782.307</v>
      </c>
      <c r="Y174" s="5">
        <f>[1]Capital!X2</f>
        <v>6792017.8059999999</v>
      </c>
      <c r="Z174" s="5">
        <f>[1]Capital!Y2</f>
        <v>6888621.8049999997</v>
      </c>
      <c r="AA174" s="5">
        <f>[1]Capital!Z2</f>
        <v>6987627.8090000004</v>
      </c>
      <c r="AB174" s="5">
        <f>[1]Capital!AA2</f>
        <v>7088347.5889999997</v>
      </c>
      <c r="AC174" s="5">
        <f>[1]Capital!AB2</f>
        <v>7190693.1140000001</v>
      </c>
      <c r="AD174" s="5">
        <f>[1]Capital!AC2</f>
        <v>7294607.3339999998</v>
      </c>
      <c r="AE174" s="5">
        <f>[1]Capital!AD2</f>
        <v>7400043.557</v>
      </c>
      <c r="AF174" s="5">
        <f>[1]Capital!AE2</f>
        <v>7506966.4119999995</v>
      </c>
      <c r="AG174" s="5">
        <f>[1]Capital!AF2</f>
        <v>7615350.835</v>
      </c>
      <c r="AH174" s="5">
        <f>[1]Capital!AG2</f>
        <v>7725185.1440000003</v>
      </c>
      <c r="AI174" s="5">
        <f>[1]Capital!AH2</f>
        <v>7836459.7249999996</v>
      </c>
      <c r="AJ174" s="5">
        <f>[1]Capital!AI2</f>
        <v>7949164.7630000003</v>
      </c>
      <c r="AK174" s="5">
        <f>[1]Capital!AJ2</f>
        <v>8063288.4900000002</v>
      </c>
      <c r="AL174" s="5">
        <f>[1]Capital!AK2</f>
        <v>8178816.0880000005</v>
      </c>
      <c r="AM174" s="5">
        <f>[1]Capital!AL2</f>
        <v>8295612.5159999998</v>
      </c>
      <c r="AN174" s="5">
        <f>[1]Capital!AM2</f>
        <v>8413569.9649999999</v>
      </c>
      <c r="AO174" s="5">
        <f>[1]Capital!AN2</f>
        <v>8532601.7850000001</v>
      </c>
      <c r="AP174" s="5">
        <f>[1]Capital!AO2</f>
        <v>8652635.3839999996</v>
      </c>
      <c r="AQ174" s="5">
        <f>[1]Capital!AP2</f>
        <v>8773609.2009999994</v>
      </c>
      <c r="AR174" s="5">
        <f>[1]Capital!AQ2</f>
        <v>8895481.0889999997</v>
      </c>
      <c r="AS174" s="5">
        <f>[1]Capital!AR2</f>
        <v>9018214.3350000009</v>
      </c>
      <c r="AT174" s="5">
        <f>[1]Capital!AS2</f>
        <v>9141777.6150000002</v>
      </c>
      <c r="AU174" s="5">
        <f>[1]Capital!AT2</f>
        <v>9266144.5500000007</v>
      </c>
      <c r="AV174" s="5">
        <f>[1]Capital!AU2</f>
        <v>9391293.057</v>
      </c>
      <c r="AW174" s="5">
        <f>[1]Capital!AV2</f>
        <v>9517254.9829999991</v>
      </c>
      <c r="AX174" s="5">
        <f>[1]Capital!AW2</f>
        <v>9644048.5380000006</v>
      </c>
      <c r="AY174" s="5">
        <f>[1]Capital!AX2</f>
        <v>9771682.9560000002</v>
      </c>
      <c r="AZ174" s="5">
        <f>[1]Capital!AY2</f>
        <v>9900162.5109999999</v>
      </c>
      <c r="BA174" s="5">
        <f>[1]Capital!AZ2</f>
        <v>10029489.289999999</v>
      </c>
      <c r="BB174" s="5">
        <f>[1]Capital!BA2</f>
        <v>11978567.880000001</v>
      </c>
      <c r="BC174" s="5">
        <f>[1]Capital!BB2</f>
        <v>12204228.35</v>
      </c>
      <c r="BD174" s="5">
        <f>[1]Capital!BC2</f>
        <v>12433206.91</v>
      </c>
      <c r="BE174" s="5">
        <f>[1]Capital!BD2</f>
        <v>12665453.859999999</v>
      </c>
      <c r="BF174" s="5">
        <f>[1]Capital!BE2</f>
        <v>12900919.949999999</v>
      </c>
    </row>
    <row r="175" spans="1:58" x14ac:dyDescent="0.35">
      <c r="B175" t="s">
        <v>7</v>
      </c>
      <c r="C175" s="5">
        <f>[1]Capital!B4+[1]Capital!B6</f>
        <v>49009.750025000001</v>
      </c>
      <c r="D175" s="5">
        <f>[1]Capital!C4+[1]Capital!C6</f>
        <v>49489.466540000001</v>
      </c>
      <c r="E175" s="5">
        <f>[1]Capital!D4+[1]Capital!D6</f>
        <v>49948.926072000002</v>
      </c>
      <c r="F175" s="5">
        <f>[1]Capital!E4+[1]Capital!E6</f>
        <v>50399.08496</v>
      </c>
      <c r="G175" s="5">
        <f>[1]Capital!F4+[1]Capital!F6</f>
        <v>50849.207425999994</v>
      </c>
      <c r="H175" s="5">
        <f>[1]Capital!G4+[1]Capital!G6</f>
        <v>51306.745200999998</v>
      </c>
      <c r="I175" s="5">
        <f>[1]Capital!H4+[1]Capital!H6</f>
        <v>51775.621746999997</v>
      </c>
      <c r="J175" s="5">
        <f>[1]Capital!I4+[1]Capital!I6</f>
        <v>52258.936429000001</v>
      </c>
      <c r="K175" s="5">
        <f>[1]Capital!J4+[1]Capital!J6</f>
        <v>52759.112998000004</v>
      </c>
      <c r="L175" s="5">
        <f>[1]Capital!K4+[1]Capital!K6</f>
        <v>53277.97264</v>
      </c>
      <c r="M175" s="5">
        <f>[1]Capital!L4+[1]Capital!L6</f>
        <v>53815.732749999996</v>
      </c>
      <c r="N175" s="5">
        <f>[1]Capital!M4+[1]Capital!M6</f>
        <v>54377.291438</v>
      </c>
      <c r="O175" s="5">
        <f>[1]Capital!N4+[1]Capital!N6</f>
        <v>54964.811252</v>
      </c>
      <c r="P175" s="5">
        <f>[1]Capital!O4+[1]Capital!O6</f>
        <v>55579.144415000002</v>
      </c>
      <c r="Q175" s="5">
        <f>[1]Capital!P4+[1]Capital!P6</f>
        <v>56220.578514000001</v>
      </c>
      <c r="R175" s="5">
        <f>[1]Capital!Q4+[1]Capital!Q6</f>
        <v>56889.127359999999</v>
      </c>
      <c r="S175" s="5">
        <f>[1]Capital!R4+[1]Capital!R6</f>
        <v>57584.449455000002</v>
      </c>
      <c r="T175" s="5">
        <f>[1]Capital!S4+[1]Capital!S6</f>
        <v>58306.174389</v>
      </c>
      <c r="U175" s="5">
        <f>[1]Capital!T4+[1]Capital!T6</f>
        <v>59053.891985000002</v>
      </c>
      <c r="V175" s="5">
        <f>[1]Capital!U4+[1]Capital!U6</f>
        <v>59827.171491999994</v>
      </c>
      <c r="W175" s="5">
        <f>[1]Capital!V4+[1]Capital!V6</f>
        <v>60623.262771000002</v>
      </c>
      <c r="X175" s="5">
        <f>[1]Capital!W4+[1]Capital!W6</f>
        <v>61442.359615000001</v>
      </c>
      <c r="Y175" s="5">
        <f>[1]Capital!X4+[1]Capital!X6</f>
        <v>62284.602415000001</v>
      </c>
      <c r="Z175" s="5">
        <f>[1]Capital!Y4+[1]Capital!Y6</f>
        <v>63150.009855000004</v>
      </c>
      <c r="AA175" s="5">
        <f>[1]Capital!Z4+[1]Capital!Z6</f>
        <v>64038.533831000001</v>
      </c>
      <c r="AB175" s="5">
        <f>[1]Capital!AA4+[1]Capital!AA6</f>
        <v>64943.393524999999</v>
      </c>
      <c r="AC175" s="5">
        <f>[1]Capital!AB4+[1]Capital!AB6</f>
        <v>65863.174228000003</v>
      </c>
      <c r="AD175" s="5">
        <f>[1]Capital!AC4+[1]Capital!AC6</f>
        <v>66797.034694999995</v>
      </c>
      <c r="AE175" s="5">
        <f>[1]Capital!AD4+[1]Capital!AD6</f>
        <v>67744.434697000004</v>
      </c>
      <c r="AF175" s="5">
        <f>[1]Capital!AE4+[1]Capital!AE6</f>
        <v>68705.09997000001</v>
      </c>
      <c r="AG175" s="5">
        <f>[1]Capital!AF4+[1]Capital!AF6</f>
        <v>69678.978145000001</v>
      </c>
      <c r="AH175" s="5">
        <f>[1]Capital!AG4+[1]Capital!AG6</f>
        <v>70666.24115799999</v>
      </c>
      <c r="AI175" s="5">
        <f>[1]Capital!AH4+[1]Capital!AH6</f>
        <v>71667.143975999992</v>
      </c>
      <c r="AJ175" s="5">
        <f>[1]Capital!AI4+[1]Capital!AI6</f>
        <v>72681.98603</v>
      </c>
      <c r="AK175" s="5">
        <f>[1]Capital!AJ4+[1]Capital!AJ6</f>
        <v>73711.074770000007</v>
      </c>
      <c r="AL175" s="5">
        <f>[1]Capital!AK4+[1]Capital!AK6</f>
        <v>74754.703378000006</v>
      </c>
      <c r="AM175" s="5">
        <f>[1]Capital!AL4+[1]Capital!AL6</f>
        <v>75812.095984</v>
      </c>
      <c r="AN175" s="5">
        <f>[1]Capital!AM4+[1]Capital!AM6</f>
        <v>76882.643112000005</v>
      </c>
      <c r="AO175" s="5">
        <f>[1]Capital!AN4+[1]Capital!AN6</f>
        <v>77965.976989000003</v>
      </c>
      <c r="AP175" s="5">
        <f>[1]Capital!AO4+[1]Capital!AO6</f>
        <v>79061.888399000003</v>
      </c>
      <c r="AQ175" s="5">
        <f>[1]Capital!AP4+[1]Capital!AP6</f>
        <v>80170.288392999995</v>
      </c>
      <c r="AR175" s="5">
        <f>[1]Capital!AQ4+[1]Capital!AQ6</f>
        <v>81291.291945999998</v>
      </c>
      <c r="AS175" s="5">
        <f>[1]Capital!AR4+[1]Capital!AR6</f>
        <v>82425.067047000004</v>
      </c>
      <c r="AT175" s="5">
        <f>[1]Capital!AS4+[1]Capital!AS6</f>
        <v>83571.832932999998</v>
      </c>
      <c r="AU175" s="5">
        <f>[1]Capital!AT4+[1]Capital!AT6</f>
        <v>84731.840335000001</v>
      </c>
      <c r="AV175" s="5">
        <f>[1]Capital!AU4+[1]Capital!AU6</f>
        <v>85905.355723000001</v>
      </c>
      <c r="AW175" s="5">
        <f>[1]Capital!AV4+[1]Capital!AV6</f>
        <v>87093.16227999999</v>
      </c>
      <c r="AX175" s="5">
        <f>[1]Capital!AW4+[1]Capital!AW6</f>
        <v>88295.876037000009</v>
      </c>
      <c r="AY175" s="5">
        <f>[1]Capital!AX4+[1]Capital!AX6</f>
        <v>89514.002070000002</v>
      </c>
      <c r="AZ175" s="5">
        <f>[1]Capital!AY4+[1]Capital!AY6</f>
        <v>90747.94256000001</v>
      </c>
      <c r="BA175" s="5">
        <f>[1]Capital!AZ4+[1]Capital!AZ6</f>
        <v>91998.014702</v>
      </c>
      <c r="BB175" s="5">
        <f>[1]Capital!BA4+[1]Capital!BA6</f>
        <v>105834.417663</v>
      </c>
      <c r="BC175" s="5">
        <f>[1]Capital!BB4+[1]Capital!BB6</f>
        <v>107731.277131</v>
      </c>
      <c r="BD175" s="5">
        <f>[1]Capital!BC4+[1]Capital!BC6</f>
        <v>109661.173695</v>
      </c>
      <c r="BE175" s="5">
        <f>[1]Capital!BD4+[1]Capital!BD6</f>
        <v>111624.429311</v>
      </c>
      <c r="BF175" s="5">
        <f>[1]Capital!BE4+[1]Capital!BE6</f>
        <v>113621.388359</v>
      </c>
    </row>
    <row r="176" spans="1:58" x14ac:dyDescent="0.35">
      <c r="B176" t="s">
        <v>30</v>
      </c>
      <c r="C176" s="5">
        <f>[1]Capital!B8+[1]Capital!B10+[1]Capital!B13+[1]Capital!B14+[1]Capital!B16+[1]Capital!B18+[1]Capital!B20+[1]Capital!B22+[1]Capital!B24+[1]Capital!B26+[1]Capital!B40</f>
        <v>2593285.2529989998</v>
      </c>
      <c r="D176" s="5">
        <f>[1]Capital!C8+[1]Capital!C10+[1]Capital!C13+[1]Capital!C14+[1]Capital!C16+[1]Capital!C18+[1]Capital!C20+[1]Capital!C22+[1]Capital!C24+[1]Capital!C26+[1]Capital!C40</f>
        <v>2620028.1986619998</v>
      </c>
      <c r="E176" s="5">
        <f>[1]Capital!D8+[1]Capital!D10+[1]Capital!D13+[1]Capital!D14+[1]Capital!D16+[1]Capital!D18+[1]Capital!D20+[1]Capital!D22+[1]Capital!D24+[1]Capital!D26+[1]Capital!D40</f>
        <v>2646891.9406910003</v>
      </c>
      <c r="F176" s="5">
        <f>[1]Capital!E8+[1]Capital!E10+[1]Capital!E13+[1]Capital!E14+[1]Capital!E16+[1]Capital!E18+[1]Capital!E20+[1]Capital!E22+[1]Capital!E24+[1]Capital!E26+[1]Capital!E40</f>
        <v>2674270.433766</v>
      </c>
      <c r="G176" s="5">
        <f>[1]Capital!F8+[1]Capital!F10+[1]Capital!F13+[1]Capital!F14+[1]Capital!F16+[1]Capital!F18+[1]Capital!F20+[1]Capital!F22+[1]Capital!F24+[1]Capital!F26+[1]Capital!F40</f>
        <v>2702367.6803780003</v>
      </c>
      <c r="H176" s="5">
        <f>[1]Capital!G8+[1]Capital!G10+[1]Capital!G13+[1]Capital!G14+[1]Capital!G16+[1]Capital!G18+[1]Capital!G20+[1]Capital!G22+[1]Capital!G24+[1]Capital!G26+[1]Capital!G40</f>
        <v>2731291.9872590001</v>
      </c>
      <c r="I176" s="5">
        <f>[1]Capital!H8+[1]Capital!H10+[1]Capital!H13+[1]Capital!H14+[1]Capital!H16+[1]Capital!H18+[1]Capital!H20+[1]Capital!H22+[1]Capital!H24+[1]Capital!H26+[1]Capital!H40</f>
        <v>2761018.925392</v>
      </c>
      <c r="J176" s="5">
        <f>[1]Capital!I8+[1]Capital!I10+[1]Capital!I13+[1]Capital!I14+[1]Capital!I16+[1]Capital!I18+[1]Capital!I20+[1]Capital!I22+[1]Capital!I24+[1]Capital!I26+[1]Capital!I40</f>
        <v>2791529.2902430003</v>
      </c>
      <c r="K176" s="5">
        <f>[1]Capital!J8+[1]Capital!J10+[1]Capital!J13+[1]Capital!J14+[1]Capital!J16+[1]Capital!J18+[1]Capital!J20+[1]Capital!J22+[1]Capital!J24+[1]Capital!J26+[1]Capital!J40</f>
        <v>2822817.0235930001</v>
      </c>
      <c r="L176" s="5">
        <f>[1]Capital!K8+[1]Capital!K10+[1]Capital!K13+[1]Capital!K14+[1]Capital!K16+[1]Capital!K18+[1]Capital!K20+[1]Capital!K22+[1]Capital!K24+[1]Capital!K26+[1]Capital!K40</f>
        <v>2854887.1559019997</v>
      </c>
      <c r="M176" s="5">
        <f>[1]Capital!L8+[1]Capital!L10+[1]Capital!L13+[1]Capital!L14+[1]Capital!L16+[1]Capital!L18+[1]Capital!L20+[1]Capital!L22+[1]Capital!L24+[1]Capital!L26+[1]Capital!L40</f>
        <v>2887700.176031</v>
      </c>
      <c r="N176" s="5">
        <f>[1]Capital!M8+[1]Capital!M10+[1]Capital!M13+[1]Capital!M14+[1]Capital!M16+[1]Capital!M18+[1]Capital!M20+[1]Capital!M22+[1]Capital!M24+[1]Capital!M26+[1]Capital!M40</f>
        <v>2921459.7845679997</v>
      </c>
      <c r="O176" s="5">
        <f>[1]Capital!N8+[1]Capital!N10+[1]Capital!N13+[1]Capital!N14+[1]Capital!N16+[1]Capital!N18+[1]Capital!N20+[1]Capital!N22+[1]Capital!N24+[1]Capital!N26+[1]Capital!N40</f>
        <v>2956267.8700700002</v>
      </c>
      <c r="P176" s="5">
        <f>[1]Capital!O8+[1]Capital!O10+[1]Capital!O13+[1]Capital!O14+[1]Capital!O16+[1]Capital!O18+[1]Capital!O20+[1]Capital!O22+[1]Capital!O24+[1]Capital!O26+[1]Capital!O40</f>
        <v>2992178.5290820003</v>
      </c>
      <c r="Q176" s="5">
        <f>[1]Capital!P8+[1]Capital!P10+[1]Capital!P13+[1]Capital!P14+[1]Capital!P16+[1]Capital!P18+[1]Capital!P20+[1]Capital!P22+[1]Capital!P24+[1]Capital!P26+[1]Capital!P40</f>
        <v>3029226.1325809998</v>
      </c>
      <c r="R176" s="5">
        <f>[1]Capital!Q8+[1]Capital!Q10+[1]Capital!Q13+[1]Capital!Q14+[1]Capital!Q16+[1]Capital!Q18+[1]Capital!Q20+[1]Capital!Q22+[1]Capital!Q24+[1]Capital!Q26+[1]Capital!Q40</f>
        <v>3067437.8169849999</v>
      </c>
      <c r="S176" s="5">
        <f>[1]Capital!R8+[1]Capital!R10+[1]Capital!R13+[1]Capital!R14+[1]Capital!R16+[1]Capital!R18+[1]Capital!R20+[1]Capital!R22+[1]Capital!R24+[1]Capital!R26+[1]Capital!R40</f>
        <v>3106828.5380259999</v>
      </c>
      <c r="T176" s="5">
        <f>[1]Capital!S8+[1]Capital!S10+[1]Capital!S13+[1]Capital!S14+[1]Capital!S16+[1]Capital!S18+[1]Capital!S20+[1]Capital!S22+[1]Capital!S24+[1]Capital!S26+[1]Capital!S40</f>
        <v>3147417.7112739999</v>
      </c>
      <c r="U176" s="5">
        <f>[1]Capital!T8+[1]Capital!T10+[1]Capital!T13+[1]Capital!T14+[1]Capital!T16+[1]Capital!T18+[1]Capital!T20+[1]Capital!T22+[1]Capital!T24+[1]Capital!T26+[1]Capital!T40</f>
        <v>3189227.7912389999</v>
      </c>
      <c r="V176" s="5">
        <f>[1]Capital!U8+[1]Capital!U10+[1]Capital!U13+[1]Capital!U14+[1]Capital!U16+[1]Capital!U18+[1]Capital!U20+[1]Capital!U22+[1]Capital!U24+[1]Capital!U26+[1]Capital!U40</f>
        <v>3232282.959725</v>
      </c>
      <c r="W176" s="5">
        <f>[1]Capital!V8+[1]Capital!V10+[1]Capital!V13+[1]Capital!V14+[1]Capital!V16+[1]Capital!V18+[1]Capital!V20+[1]Capital!V22+[1]Capital!V24+[1]Capital!V26+[1]Capital!V40</f>
        <v>3276500.6479549999</v>
      </c>
      <c r="X176" s="5">
        <f>[1]Capital!W8+[1]Capital!W10+[1]Capital!W13+[1]Capital!W14+[1]Capital!W16+[1]Capital!W18+[1]Capital!W20+[1]Capital!W22+[1]Capital!W24+[1]Capital!W26+[1]Capital!W40</f>
        <v>3321931.9068130003</v>
      </c>
      <c r="Y176" s="5">
        <f>[1]Capital!X8+[1]Capital!X10+[1]Capital!X13+[1]Capital!X14+[1]Capital!X16+[1]Capital!X18+[1]Capital!X20+[1]Capital!X22+[1]Capital!X24+[1]Capital!X26+[1]Capital!X40</f>
        <v>3368623.0624290002</v>
      </c>
      <c r="Z176" s="5">
        <f>[1]Capital!Y8+[1]Capital!Y10+[1]Capital!Y13+[1]Capital!Y14+[1]Capital!Y16+[1]Capital!Y18+[1]Capital!Y20+[1]Capital!Y22+[1]Capital!Y24+[1]Capital!Y26+[1]Capital!Y40</f>
        <v>3416612.5947899995</v>
      </c>
      <c r="AA176" s="5">
        <f>[1]Capital!Z8+[1]Capital!Z10+[1]Capital!Z13+[1]Capital!Z14+[1]Capital!Z16+[1]Capital!Z18+[1]Capital!Z20+[1]Capital!Z22+[1]Capital!Z24+[1]Capital!Z26+[1]Capital!Z40</f>
        <v>3465932.9278790001</v>
      </c>
      <c r="AB176" s="5">
        <f>[1]Capital!AA8+[1]Capital!AA10+[1]Capital!AA13+[1]Capital!AA14+[1]Capital!AA16+[1]Capital!AA18+[1]Capital!AA20+[1]Capital!AA22+[1]Capital!AA24+[1]Capital!AA26+[1]Capital!AA40</f>
        <v>3516301.5292000002</v>
      </c>
      <c r="AC176" s="5">
        <f>[1]Capital!AB8+[1]Capital!AB10+[1]Capital!AB13+[1]Capital!AB14+[1]Capital!AB16+[1]Capital!AB18+[1]Capital!AB20+[1]Capital!AB22+[1]Capital!AB24+[1]Capital!AB26+[1]Capital!AB40</f>
        <v>3567673.2295019999</v>
      </c>
      <c r="AD176" s="5">
        <f>[1]Capital!AC8+[1]Capital!AC10+[1]Capital!AC13+[1]Capital!AC14+[1]Capital!AC16+[1]Capital!AC18+[1]Capital!AC20+[1]Capital!AC22+[1]Capital!AC24+[1]Capital!AC26+[1]Capital!AC40</f>
        <v>3620019.115551</v>
      </c>
      <c r="AE176" s="5">
        <f>[1]Capital!AD8+[1]Capital!AD10+[1]Capital!AD13+[1]Capital!AD14+[1]Capital!AD16+[1]Capital!AD18+[1]Capital!AD20+[1]Capital!AD22+[1]Capital!AD24+[1]Capital!AD26+[1]Capital!AD40</f>
        <v>3673315.202242</v>
      </c>
      <c r="AF176" s="5">
        <f>[1]Capital!AE8+[1]Capital!AE10+[1]Capital!AE13+[1]Capital!AE14+[1]Capital!AE16+[1]Capital!AE18+[1]Capital!AE20+[1]Capital!AE22+[1]Capital!AE24+[1]Capital!AE26+[1]Capital!AE40</f>
        <v>3727540.8779179999</v>
      </c>
      <c r="AG176" s="5">
        <f>[1]Capital!AF8+[1]Capital!AF10+[1]Capital!AF13+[1]Capital!AF14+[1]Capital!AF16+[1]Capital!AF18+[1]Capital!AF20+[1]Capital!AF22+[1]Capital!AF24+[1]Capital!AF26+[1]Capital!AF40</f>
        <v>3782677.8907869998</v>
      </c>
      <c r="AH176" s="5">
        <f>[1]Capital!AG8+[1]Capital!AG10+[1]Capital!AG13+[1]Capital!AG14+[1]Capital!AG16+[1]Capital!AG18+[1]Capital!AG20+[1]Capital!AG22+[1]Capital!AG24+[1]Capital!AG26+[1]Capital!AG40</f>
        <v>3838712.3662179997</v>
      </c>
      <c r="AI176" s="5">
        <f>[1]Capital!AH8+[1]Capital!AH10+[1]Capital!AH13+[1]Capital!AH14+[1]Capital!AH16+[1]Capital!AH18+[1]Capital!AH20+[1]Capital!AH22+[1]Capital!AH24+[1]Capital!AH26+[1]Capital!AH40</f>
        <v>3895629.2062529996</v>
      </c>
      <c r="AJ176" s="5">
        <f>[1]Capital!AI8+[1]Capital!AI10+[1]Capital!AI13+[1]Capital!AI14+[1]Capital!AI16+[1]Capital!AI18+[1]Capital!AI20+[1]Capital!AI22+[1]Capital!AI24+[1]Capital!AI26+[1]Capital!AI40</f>
        <v>3953411.4594000001</v>
      </c>
      <c r="AK176" s="5">
        <f>[1]Capital!AJ8+[1]Capital!AJ10+[1]Capital!AJ13+[1]Capital!AJ14+[1]Capital!AJ16+[1]Capital!AJ18+[1]Capital!AJ20+[1]Capital!AJ22+[1]Capital!AJ24+[1]Capital!AJ26+[1]Capital!AJ40</f>
        <v>4012039.7323390003</v>
      </c>
      <c r="AL176" s="5">
        <f>[1]Capital!AK8+[1]Capital!AK10+[1]Capital!AK13+[1]Capital!AK14+[1]Capital!AK16+[1]Capital!AK18+[1]Capital!AK20+[1]Capital!AK22+[1]Capital!AK24+[1]Capital!AK26+[1]Capital!AK40</f>
        <v>4071491.8491510004</v>
      </c>
      <c r="AM176" s="5">
        <f>[1]Capital!AL8+[1]Capital!AL10+[1]Capital!AL13+[1]Capital!AL14+[1]Capital!AL16+[1]Capital!AL18+[1]Capital!AL20+[1]Capital!AL22+[1]Capital!AL24+[1]Capital!AL26+[1]Capital!AL40</f>
        <v>4131698.080205</v>
      </c>
      <c r="AN176" s="5">
        <f>[1]Capital!AM8+[1]Capital!AM10+[1]Capital!AM13+[1]Capital!AM14+[1]Capital!AM16+[1]Capital!AM18+[1]Capital!AM20+[1]Capital!AM22+[1]Capital!AM24+[1]Capital!AM26+[1]Capital!AM40</f>
        <v>4192590.8017680002</v>
      </c>
      <c r="AO176" s="5">
        <f>[1]Capital!AN8+[1]Capital!AN10+[1]Capital!AN13+[1]Capital!AN14+[1]Capital!AN16+[1]Capital!AN18+[1]Capital!AN20+[1]Capital!AN22+[1]Capital!AN24+[1]Capital!AN26+[1]Capital!AN40</f>
        <v>4254107.6807800001</v>
      </c>
      <c r="AP176" s="5">
        <f>[1]Capital!AO8+[1]Capital!AO10+[1]Capital!AO13+[1]Capital!AO14+[1]Capital!AO16+[1]Capital!AO18+[1]Capital!AO20+[1]Capital!AO22+[1]Capital!AO24+[1]Capital!AO26+[1]Capital!AO40</f>
        <v>4316190.7531610001</v>
      </c>
      <c r="AQ176" s="5">
        <f>[1]Capital!AP8+[1]Capital!AP10+[1]Capital!AP13+[1]Capital!AP14+[1]Capital!AP16+[1]Capital!AP18+[1]Capital!AP20+[1]Capital!AP22+[1]Capital!AP24+[1]Capital!AP26+[1]Capital!AP40</f>
        <v>4378785.8341119997</v>
      </c>
      <c r="AR176" s="5">
        <f>[1]Capital!AQ8+[1]Capital!AQ10+[1]Capital!AQ13+[1]Capital!AQ14+[1]Capital!AQ16+[1]Capital!AQ18+[1]Capital!AQ20+[1]Capital!AQ22+[1]Capital!AQ24+[1]Capital!AQ26+[1]Capital!AQ40</f>
        <v>4441847.6251179995</v>
      </c>
      <c r="AS176" s="5">
        <f>[1]Capital!AR8+[1]Capital!AR10+[1]Capital!AR13+[1]Capital!AR14+[1]Capital!AR16+[1]Capital!AR18+[1]Capital!AR20+[1]Capital!AR22+[1]Capital!AR24+[1]Capital!AR26+[1]Capital!AR40</f>
        <v>4505332.6146029998</v>
      </c>
      <c r="AT176" s="5">
        <f>[1]Capital!AS8+[1]Capital!AS10+[1]Capital!AS13+[1]Capital!AS14+[1]Capital!AS16+[1]Capital!AS18+[1]Capital!AS20+[1]Capital!AS22+[1]Capital!AS24+[1]Capital!AS26+[1]Capital!AS40</f>
        <v>4569199.7186939996</v>
      </c>
      <c r="AU176" s="5">
        <f>[1]Capital!AT8+[1]Capital!AT10+[1]Capital!AT13+[1]Capital!AT14+[1]Capital!AT16+[1]Capital!AT18+[1]Capital!AT20+[1]Capital!AT22+[1]Capital!AT24+[1]Capital!AT26+[1]Capital!AT40</f>
        <v>4633410.5082060006</v>
      </c>
      <c r="AV176" s="5">
        <f>[1]Capital!AU8+[1]Capital!AU10+[1]Capital!AU13+[1]Capital!AU14+[1]Capital!AU16+[1]Capital!AU18+[1]Capital!AU20+[1]Capital!AU22+[1]Capital!AU24+[1]Capital!AU26+[1]Capital!AU40</f>
        <v>4697929.2326889997</v>
      </c>
      <c r="AW176" s="5">
        <f>[1]Capital!AV8+[1]Capital!AV10+[1]Capital!AV13+[1]Capital!AV14+[1]Capital!AV16+[1]Capital!AV18+[1]Capital!AV20+[1]Capital!AV22+[1]Capital!AV24+[1]Capital!AV26+[1]Capital!AV40</f>
        <v>4762748.3597530005</v>
      </c>
      <c r="AX176" s="5">
        <f>[1]Capital!AW8+[1]Capital!AW10+[1]Capital!AW13+[1]Capital!AW14+[1]Capital!AW16+[1]Capital!AW18+[1]Capital!AW20+[1]Capital!AW22+[1]Capital!AW24+[1]Capital!AW26+[1]Capital!AW40</f>
        <v>4827854.7689129999</v>
      </c>
      <c r="AY176" s="5">
        <f>[1]Capital!AX8+[1]Capital!AX10+[1]Capital!AX13+[1]Capital!AX14+[1]Capital!AX16+[1]Capital!AX18+[1]Capital!AX20+[1]Capital!AX22+[1]Capital!AX24+[1]Capital!AX26+[1]Capital!AX40</f>
        <v>4893232.4223600002</v>
      </c>
      <c r="AZ176" s="5">
        <f>[1]Capital!AY8+[1]Capital!AY10+[1]Capital!AY13+[1]Capital!AY14+[1]Capital!AY16+[1]Capital!AY18+[1]Capital!AY20+[1]Capital!AY22+[1]Capital!AY24+[1]Capital!AY26+[1]Capital!AY40</f>
        <v>4958864.290719999</v>
      </c>
      <c r="BA176" s="5">
        <f>[1]Capital!AZ8+[1]Capital!AZ10+[1]Capital!AZ13+[1]Capital!AZ14+[1]Capital!AZ16+[1]Capital!AZ18+[1]Capital!AZ20+[1]Capital!AZ22+[1]Capital!AZ24+[1]Capital!AZ26+[1]Capital!AZ40</f>
        <v>5024733.6870300006</v>
      </c>
      <c r="BB176" s="5">
        <f>[1]Capital!BA8+[1]Capital!BA10+[1]Capital!BA13+[1]Capital!BA14+[1]Capital!BA16+[1]Capital!BA18+[1]Capital!BA20+[1]Capital!BA22+[1]Capital!BA24+[1]Capital!BA26+[1]Capital!BA40</f>
        <v>6209852.2842600001</v>
      </c>
      <c r="BC176" s="5">
        <f>[1]Capital!BB8+[1]Capital!BB10+[1]Capital!BB13+[1]Capital!BB14+[1]Capital!BB16+[1]Capital!BB18+[1]Capital!BB20+[1]Capital!BB22+[1]Capital!BB24+[1]Capital!BB26+[1]Capital!BB40</f>
        <v>6334641.4243200002</v>
      </c>
      <c r="BD176" s="5">
        <f>[1]Capital!BC8+[1]Capital!BC10+[1]Capital!BC13+[1]Capital!BC14+[1]Capital!BC16+[1]Capital!BC18+[1]Capital!BC20+[1]Capital!BC22+[1]Capital!BC24+[1]Capital!BC26+[1]Capital!BC40</f>
        <v>6461142.51413</v>
      </c>
      <c r="BE176" s="5">
        <f>[1]Capital!BD8+[1]Capital!BD10+[1]Capital!BD13+[1]Capital!BD14+[1]Capital!BD16+[1]Capital!BD18+[1]Capital!BD20+[1]Capital!BD22+[1]Capital!BD24+[1]Capital!BD26+[1]Capital!BD40</f>
        <v>6589295.0747100003</v>
      </c>
      <c r="BF176" s="5">
        <f>[1]Capital!BE8+[1]Capital!BE10+[1]Capital!BE13+[1]Capital!BE14+[1]Capital!BE16+[1]Capital!BE18+[1]Capital!BE20+[1]Capital!BE22+[1]Capital!BE24+[1]Capital!BE26+[1]Capital!BE40</f>
        <v>6719038.0679900004</v>
      </c>
    </row>
    <row r="177" spans="1:58" x14ac:dyDescent="0.35">
      <c r="B177" t="s">
        <v>9</v>
      </c>
      <c r="C177" s="5">
        <f>[1]Capital!B28+[1]Capital!B30+[1]Capital!B32+[1]Capital!B34</f>
        <v>88414.910653999992</v>
      </c>
      <c r="D177" s="5">
        <f>[1]Capital!C28+[1]Capital!C30+[1]Capital!C32+[1]Capital!C34</f>
        <v>89252.617783999987</v>
      </c>
      <c r="E177" s="5">
        <f>[1]Capital!D28+[1]Capital!D30+[1]Capital!D32+[1]Capital!D34</f>
        <v>90092.322092000002</v>
      </c>
      <c r="F177" s="5">
        <f>[1]Capital!E28+[1]Capital!E30+[1]Capital!E32+[1]Capital!E34</f>
        <v>90950.259988000005</v>
      </c>
      <c r="G177" s="5">
        <f>[1]Capital!F28+[1]Capital!F30+[1]Capital!F32+[1]Capital!F34</f>
        <v>91834.177190999995</v>
      </c>
      <c r="H177" s="5">
        <f>[1]Capital!G28+[1]Capital!G30+[1]Capital!G32+[1]Capital!G34</f>
        <v>92748.161053999997</v>
      </c>
      <c r="I177" s="5">
        <f>[1]Capital!H28+[1]Capital!H30+[1]Capital!H32+[1]Capital!H34</f>
        <v>93690.144757999995</v>
      </c>
      <c r="J177" s="5">
        <f>[1]Capital!I28+[1]Capital!I30+[1]Capital!I32+[1]Capital!I34</f>
        <v>94659.247059000001</v>
      </c>
      <c r="K177" s="5">
        <f>[1]Capital!J28+[1]Capital!J30+[1]Capital!J32+[1]Capital!J34</f>
        <v>95654.951543000003</v>
      </c>
      <c r="L177" s="5">
        <f>[1]Capital!K28+[1]Capital!K30+[1]Capital!K32+[1]Capital!K34</f>
        <v>96676.722030999998</v>
      </c>
      <c r="M177" s="5">
        <f>[1]Capital!L28+[1]Capital!L30+[1]Capital!L32+[1]Capital!L34</f>
        <v>97718.767756999994</v>
      </c>
      <c r="N177" s="5">
        <f>[1]Capital!M28+[1]Capital!M30+[1]Capital!M32+[1]Capital!M34</f>
        <v>98792.255602000005</v>
      </c>
      <c r="O177" s="5">
        <f>[1]Capital!N28+[1]Capital!N30+[1]Capital!N32+[1]Capital!N34</f>
        <v>99900.363317999989</v>
      </c>
      <c r="P177" s="5">
        <f>[1]Capital!O28+[1]Capital!O30+[1]Capital!O32+[1]Capital!O34</f>
        <v>101043.20372400001</v>
      </c>
      <c r="Q177" s="5">
        <f>[1]Capital!P28+[1]Capital!P30+[1]Capital!P32+[1]Capital!P34</f>
        <v>102219.89323100001</v>
      </c>
      <c r="R177" s="5">
        <f>[1]Capital!Q28+[1]Capital!Q30+[1]Capital!Q32+[1]Capital!Q34</f>
        <v>103429.28454399999</v>
      </c>
      <c r="S177" s="5">
        <f>[1]Capital!R28+[1]Capital!R30+[1]Capital!R32+[1]Capital!R34</f>
        <v>104669.60393300001</v>
      </c>
      <c r="T177" s="5">
        <f>[1]Capital!S28+[1]Capital!S30+[1]Capital!S32+[1]Capital!S34</f>
        <v>105939.541583</v>
      </c>
      <c r="U177" s="5">
        <f>[1]Capital!T28+[1]Capital!T30+[1]Capital!T32+[1]Capital!T34</f>
        <v>107238.065512</v>
      </c>
      <c r="V177" s="5">
        <f>[1]Capital!U28+[1]Capital!U30+[1]Capital!U32+[1]Capital!U34</f>
        <v>108564.339894</v>
      </c>
      <c r="W177" s="5">
        <f>[1]Capital!V28+[1]Capital!V30+[1]Capital!V32+[1]Capital!V34</f>
        <v>109912.555074</v>
      </c>
      <c r="X177" s="5">
        <f>[1]Capital!W28+[1]Capital!W30+[1]Capital!W32+[1]Capital!W34</f>
        <v>111284.89088200001</v>
      </c>
      <c r="Y177" s="5">
        <f>[1]Capital!X28+[1]Capital!X30+[1]Capital!X32+[1]Capital!X34</f>
        <v>112682.27538800001</v>
      </c>
      <c r="Z177" s="5">
        <f>[1]Capital!Y28+[1]Capital!Y30+[1]Capital!Y32+[1]Capital!Y34</f>
        <v>114105.09432999999</v>
      </c>
      <c r="AA177" s="5">
        <f>[1]Capital!Z28+[1]Capital!Z30+[1]Capital!Z32+[1]Capital!Z34</f>
        <v>115553.583008</v>
      </c>
      <c r="AB177" s="5">
        <f>[1]Capital!AA28+[1]Capital!AA30+[1]Capital!AA32+[1]Capital!AA34</f>
        <v>117013.20549699999</v>
      </c>
      <c r="AC177" s="5">
        <f>[1]Capital!AB28+[1]Capital!AB30+[1]Capital!AB32+[1]Capital!AB34</f>
        <v>118485.212097</v>
      </c>
      <c r="AD177" s="5">
        <f>[1]Capital!AC28+[1]Capital!AC30+[1]Capital!AC32+[1]Capital!AC34</f>
        <v>119970.28199799999</v>
      </c>
      <c r="AE177" s="5">
        <f>[1]Capital!AD28+[1]Capital!AD30+[1]Capital!AD32+[1]Capital!AD34</f>
        <v>121468.85337</v>
      </c>
      <c r="AF177" s="5">
        <f>[1]Capital!AE28+[1]Capital!AE30+[1]Capital!AE32+[1]Capital!AE34</f>
        <v>122981.430389</v>
      </c>
      <c r="AG177" s="5">
        <f>[1]Capital!AF28+[1]Capital!AF30+[1]Capital!AF32+[1]Capital!AF34</f>
        <v>124508.651255</v>
      </c>
      <c r="AH177" s="5">
        <f>[1]Capital!AG28+[1]Capital!AG30+[1]Capital!AG32+[1]Capital!AG34</f>
        <v>126051.45013899999</v>
      </c>
      <c r="AI177" s="5">
        <f>[1]Capital!AH28+[1]Capital!AH30+[1]Capital!AH32+[1]Capital!AH34</f>
        <v>127610.70567600001</v>
      </c>
      <c r="AJ177" s="5">
        <f>[1]Capital!AI28+[1]Capital!AI30+[1]Capital!AI32+[1]Capital!AI34</f>
        <v>129187.25249900001</v>
      </c>
      <c r="AK177" s="5">
        <f>[1]Capital!AJ28+[1]Capital!AJ30+[1]Capital!AJ32+[1]Capital!AJ34</f>
        <v>130781.867829</v>
      </c>
      <c r="AL177" s="5">
        <f>[1]Capital!AK28+[1]Capital!AK30+[1]Capital!AK32+[1]Capital!AK34</f>
        <v>132395.256135</v>
      </c>
      <c r="AM177" s="5">
        <f>[1]Capital!AL28+[1]Capital!AL30+[1]Capital!AL32+[1]Capital!AL34</f>
        <v>134026.301488</v>
      </c>
      <c r="AN177" s="5">
        <f>[1]Capital!AM28+[1]Capital!AM30+[1]Capital!AM32+[1]Capital!AM34</f>
        <v>135674.53771900001</v>
      </c>
      <c r="AO177" s="5">
        <f>[1]Capital!AN28+[1]Capital!AN30+[1]Capital!AN32+[1]Capital!AN34</f>
        <v>137339.84677200002</v>
      </c>
      <c r="AP177" s="5">
        <f>[1]Capital!AO28+[1]Capital!AO30+[1]Capital!AO32+[1]Capital!AO34</f>
        <v>139022.27911199999</v>
      </c>
      <c r="AQ177" s="5">
        <f>[1]Capital!AP28+[1]Capital!AP30+[1]Capital!AP32+[1]Capital!AP34</f>
        <v>140721.98790599999</v>
      </c>
      <c r="AR177" s="5">
        <f>[1]Capital!AQ28+[1]Capital!AQ30+[1]Capital!AQ32+[1]Capital!AQ34</f>
        <v>142439.510416</v>
      </c>
      <c r="AS177" s="5">
        <f>[1]Capital!AR28+[1]Capital!AR30+[1]Capital!AR32+[1]Capital!AR34</f>
        <v>144175.26625499999</v>
      </c>
      <c r="AT177" s="5">
        <f>[1]Capital!AS28+[1]Capital!AS30+[1]Capital!AS32+[1]Capital!AS34</f>
        <v>145929.63897</v>
      </c>
      <c r="AU177" s="5">
        <f>[1]Capital!AT28+[1]Capital!AT30+[1]Capital!AT32+[1]Capital!AT34</f>
        <v>147702.999297</v>
      </c>
      <c r="AV177" s="5">
        <f>[1]Capital!AU28+[1]Capital!AU30+[1]Capital!AU32+[1]Capital!AU34</f>
        <v>149495.705204</v>
      </c>
      <c r="AW177" s="5">
        <f>[1]Capital!AV28+[1]Capital!AV30+[1]Capital!AV32+[1]Capital!AV34</f>
        <v>151309.51851300002</v>
      </c>
      <c r="AX177" s="5">
        <f>[1]Capital!AW28+[1]Capital!AW30+[1]Capital!AW32+[1]Capital!AW34</f>
        <v>153145.383585</v>
      </c>
      <c r="AY177" s="5">
        <f>[1]Capital!AX28+[1]Capital!AX30+[1]Capital!AX32+[1]Capital!AX34</f>
        <v>155003.866404</v>
      </c>
      <c r="AZ177" s="5">
        <f>[1]Capital!AY28+[1]Capital!AY30+[1]Capital!AY32+[1]Capital!AY34</f>
        <v>156885.34955799999</v>
      </c>
      <c r="BA177" s="5">
        <f>[1]Capital!AZ28+[1]Capital!AZ30+[1]Capital!AZ32+[1]Capital!AZ34</f>
        <v>158790.11522899999</v>
      </c>
      <c r="BB177" s="5">
        <f>[1]Capital!BA28+[1]Capital!BA30+[1]Capital!BA32+[1]Capital!BA34</f>
        <v>188979.61027599999</v>
      </c>
      <c r="BC177" s="5">
        <f>[1]Capital!BB28+[1]Capital!BB30+[1]Capital!BB32+[1]Capital!BB34</f>
        <v>192243.26931099998</v>
      </c>
      <c r="BD177" s="5">
        <f>[1]Capital!BC28+[1]Capital!BC30+[1]Capital!BC32+[1]Capital!BC34</f>
        <v>195567.47106400001</v>
      </c>
      <c r="BE177" s="5">
        <f>[1]Capital!BD28+[1]Capital!BD30+[1]Capital!BD32+[1]Capital!BD34</f>
        <v>198953.04954800001</v>
      </c>
      <c r="BF177" s="5">
        <f>[1]Capital!BE28+[1]Capital!BE30+[1]Capital!BE32+[1]Capital!BE34</f>
        <v>202400.852641</v>
      </c>
    </row>
    <row r="178" spans="1:58" x14ac:dyDescent="0.35">
      <c r="B178" t="s">
        <v>10</v>
      </c>
      <c r="C178" s="5">
        <f>[1]Capital!B36+[1]Capital!B38</f>
        <v>2424019.122</v>
      </c>
      <c r="D178" s="5">
        <f>[1]Capital!C36+[1]Capital!C38</f>
        <v>2449583.7591999997</v>
      </c>
      <c r="E178" s="5">
        <f>[1]Capital!D36+[1]Capital!D38</f>
        <v>2475159.3337000003</v>
      </c>
      <c r="F178" s="5">
        <f>[1]Capital!E36+[1]Capital!E38</f>
        <v>2501116.2453999999</v>
      </c>
      <c r="G178" s="5">
        <f>[1]Capital!F36+[1]Capital!F38</f>
        <v>2527699.4586</v>
      </c>
      <c r="H178" s="5">
        <f>[1]Capital!G36+[1]Capital!G38</f>
        <v>2555078.5978000001</v>
      </c>
      <c r="I178" s="5">
        <f>[1]Capital!H36+[1]Capital!H38</f>
        <v>2583273.4241999998</v>
      </c>
      <c r="J178" s="5">
        <f>[1]Capital!I36+[1]Capital!I38</f>
        <v>2612311.1191999996</v>
      </c>
      <c r="K178" s="5">
        <f>[1]Capital!J36+[1]Capital!J38</f>
        <v>2642221.7999999998</v>
      </c>
      <c r="L178" s="5">
        <f>[1]Capital!K36+[1]Capital!K38</f>
        <v>2673032.4402000001</v>
      </c>
      <c r="M178" s="5">
        <f>[1]Capital!L36+[1]Capital!L38</f>
        <v>2704797.7783999997</v>
      </c>
      <c r="N178" s="5">
        <f>[1]Capital!M36+[1]Capital!M38</f>
        <v>2737619.4021000001</v>
      </c>
      <c r="O178" s="5">
        <f>[1]Capital!N36+[1]Capital!N38</f>
        <v>2771549.9894000003</v>
      </c>
      <c r="P178" s="5">
        <f>[1]Capital!O36+[1]Capital!O38</f>
        <v>2806611.9643999999</v>
      </c>
      <c r="Q178" s="5">
        <f>[1]Capital!P36+[1]Capital!P38</f>
        <v>2842812.9482000005</v>
      </c>
      <c r="R178" s="5">
        <f>[1]Capital!Q36+[1]Capital!Q38</f>
        <v>2880153.3854</v>
      </c>
      <c r="S178" s="5">
        <f>[1]Capital!R36+[1]Capital!R38</f>
        <v>2918622.2620000001</v>
      </c>
      <c r="T178" s="5">
        <f>[1]Capital!S36+[1]Capital!S38</f>
        <v>2958208.6717999997</v>
      </c>
      <c r="U178" s="5">
        <f>[1]Capital!T36+[1]Capital!T38</f>
        <v>2998901.6778000002</v>
      </c>
      <c r="V178" s="5">
        <f>[1]Capital!U36+[1]Capital!U38</f>
        <v>3040689.8924000002</v>
      </c>
      <c r="W178" s="5">
        <f>[1]Capital!V36+[1]Capital!V38</f>
        <v>3083431.9088000003</v>
      </c>
      <c r="X178" s="5">
        <f>[1]Capital!W36+[1]Capital!W38</f>
        <v>3127162.568</v>
      </c>
      <c r="Y178" s="5">
        <f>[1]Capital!X36+[1]Capital!X38</f>
        <v>3171900.5496</v>
      </c>
      <c r="Z178" s="5">
        <f>[1]Capital!Y36+[1]Capital!Y38</f>
        <v>3217652.4266999997</v>
      </c>
      <c r="AA178" s="5">
        <f>[1]Capital!Z36+[1]Capital!Z38</f>
        <v>3264418.8435</v>
      </c>
      <c r="AB178" s="5">
        <f>[1]Capital!AA36+[1]Capital!AA38</f>
        <v>3311822.5159999998</v>
      </c>
      <c r="AC178" s="5">
        <f>[1]Capital!AB36+[1]Capital!AB38</f>
        <v>3359821.1242</v>
      </c>
      <c r="AD178" s="5">
        <f>[1]Capital!AC36+[1]Capital!AC38</f>
        <v>3408386.4188999999</v>
      </c>
      <c r="AE178" s="5">
        <f>[1]Capital!AD36+[1]Capital!AD38</f>
        <v>3457495.4000999997</v>
      </c>
      <c r="AF178" s="5">
        <f>[1]Capital!AE36+[1]Capital!AE38</f>
        <v>3507132.5521999998</v>
      </c>
      <c r="AG178" s="5">
        <f>[1]Capital!AF36+[1]Capital!AF38</f>
        <v>3557289.8124000002</v>
      </c>
      <c r="AH178" s="5">
        <f>[1]Capital!AG36+[1]Capital!AG38</f>
        <v>3607967.4009999996</v>
      </c>
      <c r="AI178" s="5">
        <f>[1]Capital!AH36+[1]Capital!AH38</f>
        <v>3659168.7582</v>
      </c>
      <c r="AJ178" s="5">
        <f>[1]Capital!AI36+[1]Capital!AI38</f>
        <v>3710898.9506999999</v>
      </c>
      <c r="AK178" s="5">
        <f>[1]Capital!AJ36+[1]Capital!AJ38</f>
        <v>3763163.5669</v>
      </c>
      <c r="AL178" s="5">
        <f>[1]Capital!AK36+[1]Capital!AK38</f>
        <v>3815968.0369999995</v>
      </c>
      <c r="AM178" s="5">
        <f>[1]Capital!AL36+[1]Capital!AL38</f>
        <v>3869248.9462000001</v>
      </c>
      <c r="AN178" s="5">
        <f>[1]Capital!AM36+[1]Capital!AM38</f>
        <v>3922967.0259000002</v>
      </c>
      <c r="AO178" s="5">
        <f>[1]Capital!AN36+[1]Capital!AN38</f>
        <v>3977098.0543</v>
      </c>
      <c r="AP178" s="5">
        <f>[1]Capital!AO36+[1]Capital!AO38</f>
        <v>4031627.0385000003</v>
      </c>
      <c r="AQ178" s="5">
        <f>[1]Capital!AP36+[1]Capital!AP38</f>
        <v>4086545.9564999999</v>
      </c>
      <c r="AR178" s="5">
        <f>[1]Capital!AQ36+[1]Capital!AQ38</f>
        <v>4141856.5734000001</v>
      </c>
      <c r="AS178" s="5">
        <f>[1]Capital!AR36+[1]Capital!AR38</f>
        <v>4197564.4453999996</v>
      </c>
      <c r="AT178" s="5">
        <f>[1]Capital!AS36+[1]Capital!AS38</f>
        <v>4253678.1314000003</v>
      </c>
      <c r="AU178" s="5">
        <f>[1]Capital!AT36+[1]Capital!AT38</f>
        <v>4310208.5140000004</v>
      </c>
      <c r="AV178" s="5">
        <f>[1]Capital!AU36+[1]Capital!AU38</f>
        <v>4367168.1398</v>
      </c>
      <c r="AW178" s="5">
        <f>[1]Capital!AV36+[1]Capital!AV38</f>
        <v>4424592.7725999998</v>
      </c>
      <c r="AX178" s="5">
        <f>[1]Capital!AW36+[1]Capital!AW38</f>
        <v>4482511.4433000004</v>
      </c>
      <c r="AY178" s="5">
        <f>[1]Capital!AX36+[1]Capital!AX38</f>
        <v>4540947.8236999996</v>
      </c>
      <c r="AZ178" s="5">
        <f>[1]Capital!AY36+[1]Capital!AY38</f>
        <v>4599922.0338000003</v>
      </c>
      <c r="BA178" s="5">
        <f>[1]Capital!AZ36+[1]Capital!AZ38</f>
        <v>4659451.9362000003</v>
      </c>
      <c r="BB178" s="5">
        <f>[1]Capital!BA36+[1]Capital!BA38</f>
        <v>5359346.3844000008</v>
      </c>
      <c r="BC178" s="5">
        <f>[1]Capital!BB36+[1]Capital!BB38</f>
        <v>5453406.2421000004</v>
      </c>
      <c r="BD178" s="5">
        <f>[1]Capital!BC36+[1]Capital!BC38</f>
        <v>5548944.1100000003</v>
      </c>
      <c r="BE178" s="5">
        <f>[1]Capital!BD36+[1]Capital!BD38</f>
        <v>5645969.352</v>
      </c>
      <c r="BF178" s="5">
        <f>[1]Capital!BE36+[1]Capital!BE38</f>
        <v>5744492.3270000005</v>
      </c>
    </row>
    <row r="179" spans="1:58" x14ac:dyDescent="0.35">
      <c r="B179" t="s">
        <v>29</v>
      </c>
      <c r="C179" s="5">
        <f>[1]Capital!B42+[1]Capital!B46</f>
        <v>22900.818386299998</v>
      </c>
      <c r="D179" s="5">
        <f>[1]Capital!C42+[1]Capital!C46</f>
        <v>23116.848902599999</v>
      </c>
      <c r="E179" s="5">
        <f>[1]Capital!D42+[1]Capital!D46</f>
        <v>23319.4462609</v>
      </c>
      <c r="F179" s="5">
        <f>[1]Capital!E42+[1]Capital!E46</f>
        <v>23511.6568582</v>
      </c>
      <c r="G179" s="5">
        <f>[1]Capital!F42+[1]Capital!F46</f>
        <v>23696.664587499999</v>
      </c>
      <c r="H179" s="5">
        <f>[1]Capital!G42+[1]Capital!G46</f>
        <v>23877.549949299999</v>
      </c>
      <c r="I179" s="5">
        <f>[1]Capital!H42+[1]Capital!H46</f>
        <v>24056.1646736</v>
      </c>
      <c r="J179" s="5">
        <f>[1]Capital!I42+[1]Capital!I46</f>
        <v>24234.2225549</v>
      </c>
      <c r="K179" s="5">
        <f>[1]Capital!J42+[1]Capital!J46</f>
        <v>24413.155939200002</v>
      </c>
      <c r="L179" s="5">
        <f>[1]Capital!K42+[1]Capital!K46</f>
        <v>24594.0742613</v>
      </c>
      <c r="M179" s="5">
        <f>[1]Capital!L42+[1]Capital!L46</f>
        <v>24776.699614199999</v>
      </c>
      <c r="N179" s="5">
        <f>[1]Capital!M42+[1]Capital!M46</f>
        <v>24963.954526200003</v>
      </c>
      <c r="O179" s="5">
        <f>[1]Capital!N42+[1]Capital!N46</f>
        <v>25157.265171200001</v>
      </c>
      <c r="P179" s="5">
        <f>[1]Capital!O42+[1]Capital!O46</f>
        <v>25357.305402800001</v>
      </c>
      <c r="Q179" s="5">
        <f>[1]Capital!P42+[1]Capital!P46</f>
        <v>25564.4195746</v>
      </c>
      <c r="R179" s="5">
        <f>[1]Capital!Q42+[1]Capital!Q46</f>
        <v>25778.785710700002</v>
      </c>
      <c r="S179" s="5">
        <f>[1]Capital!R42+[1]Capital!R46</f>
        <v>26000.371129400002</v>
      </c>
      <c r="T179" s="5">
        <f>[1]Capital!S42+[1]Capital!S46</f>
        <v>26229.1307075</v>
      </c>
      <c r="U179" s="5">
        <f>[1]Capital!T42+[1]Capital!T46</f>
        <v>26464.9917719</v>
      </c>
      <c r="V179" s="5">
        <f>[1]Capital!U42+[1]Capital!U46</f>
        <v>26707.850836199999</v>
      </c>
      <c r="W179" s="5">
        <f>[1]Capital!V42+[1]Capital!V46</f>
        <v>26956.604573800003</v>
      </c>
      <c r="X179" s="5">
        <f>[1]Capital!W42+[1]Capital!W46</f>
        <v>27211.527851199997</v>
      </c>
      <c r="Y179" s="5">
        <f>[1]Capital!X42+[1]Capital!X46</f>
        <v>27472.716410599998</v>
      </c>
      <c r="Z179" s="5">
        <f>[1]Capital!Y42+[1]Capital!Y46</f>
        <v>27740.143079900001</v>
      </c>
      <c r="AA179" s="5">
        <f>[1]Capital!Z42+[1]Capital!Z46</f>
        <v>28013.732364299998</v>
      </c>
      <c r="AB179" s="5">
        <f>[1]Capital!AA42+[1]Capital!AA46</f>
        <v>28290.6085852</v>
      </c>
      <c r="AC179" s="5">
        <f>[1]Capital!AB42+[1]Capital!AB46</f>
        <v>28570.610546399999</v>
      </c>
      <c r="AD179" s="5">
        <f>[1]Capital!AC42+[1]Capital!AC46</f>
        <v>28853.615442500002</v>
      </c>
      <c r="AE179" s="5">
        <f>[1]Capital!AD42+[1]Capital!AD46</f>
        <v>29139.479431600001</v>
      </c>
      <c r="AF179" s="5">
        <f>[1]Capital!AE42+[1]Capital!AE46</f>
        <v>29428.086928100001</v>
      </c>
      <c r="AG179" s="5">
        <f>[1]Capital!AF42+[1]Capital!AF46</f>
        <v>29719.368661</v>
      </c>
      <c r="AH179" s="5">
        <f>[1]Capital!AG42+[1]Capital!AG46</f>
        <v>30013.332710800001</v>
      </c>
      <c r="AI179" s="5">
        <f>[1]Capital!AH42+[1]Capital!AH46</f>
        <v>30310.006168900003</v>
      </c>
      <c r="AJ179" s="5">
        <f>[1]Capital!AI42+[1]Capital!AI46</f>
        <v>30609.434374200002</v>
      </c>
      <c r="AK179" s="5">
        <f>[1]Capital!AJ42+[1]Capital!AJ46</f>
        <v>30911.677445400001</v>
      </c>
      <c r="AL179" s="5">
        <f>[1]Capital!AK42+[1]Capital!AK46</f>
        <v>31216.805003300004</v>
      </c>
      <c r="AM179" s="5">
        <f>[1]Capital!AL42+[1]Capital!AL46</f>
        <v>31524.536760800002</v>
      </c>
      <c r="AN179" s="5">
        <f>[1]Capital!AM42+[1]Capital!AM46</f>
        <v>31834.7011126</v>
      </c>
      <c r="AO179" s="5">
        <f>[1]Capital!AN42+[1]Capital!AN46</f>
        <v>32147.216022699999</v>
      </c>
      <c r="AP179" s="5">
        <f>[1]Capital!AO42+[1]Capital!AO46</f>
        <v>32462.054716900002</v>
      </c>
      <c r="AQ179" s="5">
        <f>[1]Capital!AP42+[1]Capital!AP46</f>
        <v>32779.225824200003</v>
      </c>
      <c r="AR179" s="5">
        <f>[1]Capital!AQ42+[1]Capital!AQ46</f>
        <v>33098.813734700001</v>
      </c>
      <c r="AS179" s="5">
        <f>[1]Capital!AR42+[1]Capital!AR46</f>
        <v>33420.8910904</v>
      </c>
      <c r="AT179" s="5">
        <f>[1]Capital!AS42+[1]Capital!AS46</f>
        <v>33745.528841600004</v>
      </c>
      <c r="AU179" s="5">
        <f>[1]Capital!AT42+[1]Capital!AT46</f>
        <v>34072.799332800001</v>
      </c>
      <c r="AV179" s="5">
        <f>[1]Capital!AU42+[1]Capital!AU46</f>
        <v>34402.774761699999</v>
      </c>
      <c r="AW179" s="5">
        <f>[1]Capital!AV42+[1]Capital!AV46</f>
        <v>34735.767969200002</v>
      </c>
      <c r="AX179" s="5">
        <f>[1]Capital!AW42+[1]Capital!AW46</f>
        <v>35071.961117299994</v>
      </c>
      <c r="AY179" s="5">
        <f>[1]Capital!AX42+[1]Capital!AX46</f>
        <v>35411.471193600002</v>
      </c>
      <c r="AZ179" s="5">
        <f>[1]Capital!AY42+[1]Capital!AY46</f>
        <v>35754.384381199998</v>
      </c>
      <c r="BA179" s="5">
        <f>[1]Capital!AZ42+[1]Capital!AZ46</f>
        <v>36100.767824299997</v>
      </c>
      <c r="BB179" s="5">
        <f>[1]Capital!BA42+[1]Capital!BA46</f>
        <v>43084.703591199999</v>
      </c>
      <c r="BC179" s="5">
        <f>[1]Capital!BB42+[1]Capital!BB46</f>
        <v>43734.392432000001</v>
      </c>
      <c r="BD179" s="5">
        <f>[1]Capital!BC42+[1]Capital!BC46</f>
        <v>44395.129217000002</v>
      </c>
      <c r="BE179" s="5">
        <f>[1]Capital!BD42+[1]Capital!BD46</f>
        <v>45066.992703000004</v>
      </c>
      <c r="BF179" s="5">
        <f>[1]Capital!BE42+[1]Capital!BE46</f>
        <v>45750.076520999995</v>
      </c>
    </row>
    <row r="180" spans="1:58" x14ac:dyDescent="0.35">
      <c r="B180" t="s">
        <v>36</v>
      </c>
      <c r="C180" s="5">
        <f>[1]Capital!B44+[1]Capital!B48</f>
        <v>1939.8986560999999</v>
      </c>
      <c r="D180" s="5">
        <f>[1]Capital!C44+[1]Capital!C48</f>
        <v>1958.3885175999999</v>
      </c>
      <c r="E180" s="5">
        <f>[1]Capital!D44+[1]Capital!D48</f>
        <v>1975.5607337000001</v>
      </c>
      <c r="F180" s="5">
        <f>[1]Capital!E44+[1]Capital!E48</f>
        <v>1991.6475342000001</v>
      </c>
      <c r="G180" s="5">
        <f>[1]Capital!F44+[1]Capital!F48</f>
        <v>2006.9415203999999</v>
      </c>
      <c r="H180" s="5">
        <f>[1]Capital!G44+[1]Capital!G48</f>
        <v>2021.7374298</v>
      </c>
      <c r="I180" s="5">
        <f>[1]Capital!H44+[1]Capital!H48</f>
        <v>2036.2294612000001</v>
      </c>
      <c r="J180" s="5">
        <f>[1]Capital!I44+[1]Capital!I48</f>
        <v>2050.5912936999998</v>
      </c>
      <c r="K180" s="5">
        <f>[1]Capital!J44+[1]Capital!J48</f>
        <v>2064.9653331</v>
      </c>
      <c r="L180" s="5">
        <f>[1]Capital!K44+[1]Capital!K48</f>
        <v>2079.4619241</v>
      </c>
      <c r="M180" s="5">
        <f>[1]Capital!L44+[1]Capital!L48</f>
        <v>2094.0801802000001</v>
      </c>
      <c r="N180" s="5">
        <f>[1]Capital!M44+[1]Capital!M48</f>
        <v>2109.0619196000002</v>
      </c>
      <c r="O180" s="5">
        <f>[1]Capital!N44+[1]Capital!N48</f>
        <v>2124.5279916999998</v>
      </c>
      <c r="P180" s="5">
        <f>[1]Capital!O44+[1]Capital!O48</f>
        <v>2140.5406330000001</v>
      </c>
      <c r="Q180" s="5">
        <f>[1]Capital!P44+[1]Capital!P48</f>
        <v>2157.1358894</v>
      </c>
      <c r="R180" s="5">
        <f>[1]Capital!Q44+[1]Capital!Q48</f>
        <v>2174.3358014999999</v>
      </c>
      <c r="S180" s="5">
        <f>[1]Capital!R44+[1]Capital!R48</f>
        <v>2192.1448115000003</v>
      </c>
      <c r="T180" s="5">
        <f>[1]Capital!S44+[1]Capital!S48</f>
        <v>2210.5648759999999</v>
      </c>
      <c r="U180" s="5">
        <f>[1]Capital!T44+[1]Capital!T48</f>
        <v>2229.5942572000004</v>
      </c>
      <c r="V180" s="5">
        <f>[1]Capital!U44+[1]Capital!U48</f>
        <v>2249.2274008999998</v>
      </c>
      <c r="W180" s="5">
        <f>[1]Capital!V44+[1]Capital!V48</f>
        <v>2269.3803816999998</v>
      </c>
      <c r="X180" s="5">
        <f>[1]Capital!W44+[1]Capital!W48</f>
        <v>2290.0735658999997</v>
      </c>
      <c r="Y180" s="5">
        <f>[1]Capital!X44+[1]Capital!X48</f>
        <v>2311.3120727999999</v>
      </c>
      <c r="Z180" s="5">
        <f>[1]Capital!Y44+[1]Capital!Y48</f>
        <v>2333.0913756999998</v>
      </c>
      <c r="AA180" s="5">
        <f>[1]Capital!Z44+[1]Capital!Z48</f>
        <v>2355.4029142999998</v>
      </c>
      <c r="AB180" s="5">
        <f>[1]Capital!AA44+[1]Capital!AA48</f>
        <v>2378.0218253000003</v>
      </c>
      <c r="AC180" s="5">
        <f>[1]Capital!AB44+[1]Capital!AB48</f>
        <v>2400.9299249000001</v>
      </c>
      <c r="AD180" s="5">
        <f>[1]Capital!AC44+[1]Capital!AC48</f>
        <v>2424.1095187000001</v>
      </c>
      <c r="AE180" s="5">
        <f>[1]Capital!AD44+[1]Capital!AD48</f>
        <v>2447.5416432000002</v>
      </c>
      <c r="AF180" s="5">
        <f>[1]Capital!AE44+[1]Capital!AE48</f>
        <v>2471.2101605000003</v>
      </c>
      <c r="AG180" s="5">
        <f>[1]Capital!AF44+[1]Capital!AF48</f>
        <v>2495.1031293000001</v>
      </c>
      <c r="AH180" s="5">
        <f>[1]Capital!AG44+[1]Capital!AG48</f>
        <v>2519.2151443000002</v>
      </c>
      <c r="AI180" s="5">
        <f>[1]Capital!AH44+[1]Capital!AH48</f>
        <v>2543.5428233000002</v>
      </c>
      <c r="AJ180" s="5">
        <f>[1]Capital!AI44+[1]Capital!AI48</f>
        <v>2568.0847752999998</v>
      </c>
      <c r="AK180" s="5">
        <f>[1]Capital!AJ44+[1]Capital!AJ48</f>
        <v>2592.8412663999998</v>
      </c>
      <c r="AL180" s="5">
        <f>[1]Capital!AK44+[1]Capital!AK48</f>
        <v>2617.8137619000004</v>
      </c>
      <c r="AM180" s="5">
        <f>[1]Capital!AL44+[1]Capital!AL48</f>
        <v>2642.9770332000003</v>
      </c>
      <c r="AN180" s="5">
        <f>[1]Capital!AM44+[1]Capital!AM48</f>
        <v>2668.3142970999997</v>
      </c>
      <c r="AO180" s="5">
        <f>[1]Capital!AN44+[1]Capital!AN48</f>
        <v>2693.8156232000001</v>
      </c>
      <c r="AP180" s="5">
        <f>[1]Capital!AO44+[1]Capital!AO48</f>
        <v>2719.4755467999998</v>
      </c>
      <c r="AQ180" s="5">
        <f>[1]Capital!AP44+[1]Capital!AP48</f>
        <v>2745.2917587000002</v>
      </c>
      <c r="AR180" s="5">
        <f>[1]Capital!AQ44+[1]Capital!AQ48</f>
        <v>2771.2682915999999</v>
      </c>
      <c r="AS180" s="5">
        <f>[1]Capital!AR44+[1]Capital!AR48</f>
        <v>2797.4088257000003</v>
      </c>
      <c r="AT180" s="5">
        <f>[1]Capital!AS44+[1]Capital!AS48</f>
        <v>2823.7174672000001</v>
      </c>
      <c r="AU180" s="5">
        <f>[1]Capital!AT44+[1]Capital!AT48</f>
        <v>2850.1988822000003</v>
      </c>
      <c r="AV180" s="5">
        <f>[1]Capital!AU44+[1]Capital!AU48</f>
        <v>2876.8580861999999</v>
      </c>
      <c r="AW180" s="5">
        <f>[1]Capital!AV44+[1]Capital!AV48</f>
        <v>2903.7188034999999</v>
      </c>
      <c r="AX180" s="5">
        <f>[1]Capital!AW44+[1]Capital!AW48</f>
        <v>2930.7949535000002</v>
      </c>
      <c r="AY180" s="5">
        <f>[1]Capital!AX44+[1]Capital!AX48</f>
        <v>2958.0957836999996</v>
      </c>
      <c r="AZ180" s="5">
        <f>[1]Capital!AY44+[1]Capital!AY48</f>
        <v>2985.6283143999999</v>
      </c>
      <c r="BA180" s="5">
        <f>[1]Capital!AZ44+[1]Capital!AZ48</f>
        <v>3013.3981306000001</v>
      </c>
      <c r="BB180" s="5">
        <f>[1]Capital!BA44+[1]Capital!BA48</f>
        <v>3576.4547395999998</v>
      </c>
      <c r="BC180" s="5">
        <f>[1]Capital!BB44+[1]Capital!BB48</f>
        <v>3628.4320534999997</v>
      </c>
      <c r="BD180" s="5">
        <f>[1]Capital!BC44+[1]Capital!BC48</f>
        <v>3681.2543048999996</v>
      </c>
      <c r="BE180" s="5">
        <f>[1]Capital!BD44+[1]Capital!BD48</f>
        <v>3734.9281551999998</v>
      </c>
      <c r="BF180" s="5">
        <f>[1]Capital!BE44+[1]Capital!BE48</f>
        <v>3789.4617128</v>
      </c>
    </row>
    <row r="181" spans="1:58" x14ac:dyDescent="0.35">
      <c r="B181" t="s">
        <v>33</v>
      </c>
      <c r="C181" s="5">
        <f>[1]Capital!B50+[1]Capital!B52+[1]Capital!B54+[1]Capital!B56+[1]Capital!B58+[1]Capital!B60+[1]Capital!B62+[1]Capital!B64+[1]Capital!B66</f>
        <v>40272.438098269995</v>
      </c>
      <c r="D181" s="5">
        <f>[1]Capital!C50+[1]Capital!C52+[1]Capital!C54+[1]Capital!C56+[1]Capital!C58+[1]Capital!C60+[1]Capital!C62+[1]Capital!C64+[1]Capital!C66</f>
        <v>40684.120114429992</v>
      </c>
      <c r="E181" s="5">
        <f>[1]Capital!D50+[1]Capital!D52+[1]Capital!D54+[1]Capital!D56+[1]Capital!D58+[1]Capital!D60+[1]Capital!D62+[1]Capital!D64+[1]Capital!D66</f>
        <v>41076.287002339996</v>
      </c>
      <c r="F181" s="5">
        <f>[1]Capital!E50+[1]Capital!E52+[1]Capital!E54+[1]Capital!E56+[1]Capital!E58+[1]Capital!E60+[1]Capital!E62+[1]Capital!E64+[1]Capital!E66</f>
        <v>41450.513142019998</v>
      </c>
      <c r="G181" s="5">
        <f>[1]Capital!F50+[1]Capital!F52+[1]Capital!F54+[1]Capital!F56+[1]Capital!F58+[1]Capital!F60+[1]Capital!F62+[1]Capital!F64+[1]Capital!F66</f>
        <v>41810.031784110004</v>
      </c>
      <c r="H181" s="5">
        <f>[1]Capital!G50+[1]Capital!G52+[1]Capital!G54+[1]Capital!G56+[1]Capital!G58+[1]Capital!G60+[1]Capital!G62+[1]Capital!G64+[1]Capital!G66</f>
        <v>42158.875248240001</v>
      </c>
      <c r="I181" s="5">
        <f>[1]Capital!H50+[1]Capital!H52+[1]Capital!H54+[1]Capital!H56+[1]Capital!H58+[1]Capital!H60+[1]Capital!H62+[1]Capital!H64+[1]Capital!H66</f>
        <v>42499.627427830004</v>
      </c>
      <c r="J181" s="5">
        <f>[1]Capital!I50+[1]Capital!I52+[1]Capital!I54+[1]Capital!I56+[1]Capital!I58+[1]Capital!I60+[1]Capital!I62+[1]Capital!I64+[1]Capital!I66</f>
        <v>42834.702014349998</v>
      </c>
      <c r="K181" s="5">
        <f>[1]Capital!J50+[1]Capital!J52+[1]Capital!J54+[1]Capital!J56+[1]Capital!J58+[1]Capital!J60+[1]Capital!J62+[1]Capital!J64+[1]Capital!J66</f>
        <v>43166.147444069997</v>
      </c>
      <c r="L181" s="5">
        <f>[1]Capital!K50+[1]Capital!K52+[1]Capital!K54+[1]Capital!K56+[1]Capital!K58+[1]Capital!K60+[1]Capital!K62+[1]Capital!K64+[1]Capital!K66</f>
        <v>43495.508592979997</v>
      </c>
      <c r="M181" s="5">
        <f>[1]Capital!L50+[1]Capital!L52+[1]Capital!L54+[1]Capital!L56+[1]Capital!L58+[1]Capital!L60+[1]Capital!L62+[1]Capital!L64+[1]Capital!L66</f>
        <v>43823.636049450004</v>
      </c>
      <c r="N181" s="5">
        <f>[1]Capital!M50+[1]Capital!M52+[1]Capital!M54+[1]Capital!M56+[1]Capital!M58+[1]Capital!M60+[1]Capital!M62+[1]Capital!M64+[1]Capital!M66</f>
        <v>44153.133585449999</v>
      </c>
      <c r="O181" s="5">
        <f>[1]Capital!N50+[1]Capital!N52+[1]Capital!N54+[1]Capital!N56+[1]Capital!N58+[1]Capital!N60+[1]Capital!N62+[1]Capital!N64+[1]Capital!N66</f>
        <v>44485.333184850002</v>
      </c>
      <c r="P181" s="5">
        <f>[1]Capital!O50+[1]Capital!O52+[1]Capital!O54+[1]Capital!O56+[1]Capital!O58+[1]Capital!O60+[1]Capital!O62+[1]Capital!O64+[1]Capital!O66</f>
        <v>44820.844813229996</v>
      </c>
      <c r="Q181" s="5">
        <f>[1]Capital!P50+[1]Capital!P52+[1]Capital!P54+[1]Capital!P56+[1]Capital!P58+[1]Capital!P60+[1]Capital!P62+[1]Capital!P64+[1]Capital!P66</f>
        <v>45159.929448930001</v>
      </c>
      <c r="R181" s="5">
        <f>[1]Capital!Q50+[1]Capital!Q52+[1]Capital!Q54+[1]Capital!Q56+[1]Capital!Q58+[1]Capital!Q60+[1]Capital!Q62+[1]Capital!Q64+[1]Capital!Q66</f>
        <v>45502.657510449993</v>
      </c>
      <c r="S181" s="5">
        <f>[1]Capital!R50+[1]Capital!R52+[1]Capital!R54+[1]Capital!R56+[1]Capital!R58+[1]Capital!R60+[1]Capital!R62+[1]Capital!R64+[1]Capital!R66</f>
        <v>45848.88879967</v>
      </c>
      <c r="T181" s="5">
        <f>[1]Capital!S50+[1]Capital!S52+[1]Capital!S54+[1]Capital!S56+[1]Capital!S58+[1]Capital!S60+[1]Capital!S62+[1]Capital!S64+[1]Capital!S66</f>
        <v>46198.460171089995</v>
      </c>
      <c r="U181" s="5">
        <f>[1]Capital!T50+[1]Capital!T52+[1]Capital!T54+[1]Capital!T56+[1]Capital!T58+[1]Capital!T60+[1]Capital!T62+[1]Capital!T64+[1]Capital!T66</f>
        <v>46551.199147019994</v>
      </c>
      <c r="V181" s="5">
        <f>[1]Capital!U50+[1]Capital!U52+[1]Capital!U54+[1]Capital!U56+[1]Capital!U58+[1]Capital!U60+[1]Capital!U62+[1]Capital!U64+[1]Capital!U66</f>
        <v>46906.938809299987</v>
      </c>
      <c r="W181" s="5">
        <f>[1]Capital!V50+[1]Capital!V52+[1]Capital!V54+[1]Capital!V56+[1]Capital!V58+[1]Capital!V60+[1]Capital!V62+[1]Capital!V64+[1]Capital!V66</f>
        <v>47263.929867099992</v>
      </c>
      <c r="X181" s="5">
        <f>[1]Capital!W50+[1]Capital!W52+[1]Capital!W54+[1]Capital!W56+[1]Capital!W58+[1]Capital!W60+[1]Capital!W62+[1]Capital!W64+[1]Capital!W66</f>
        <v>47622.580944249996</v>
      </c>
      <c r="Y181" s="5">
        <f>[1]Capital!X50+[1]Capital!X52+[1]Capital!X54+[1]Capital!X56+[1]Capital!X58+[1]Capital!X60+[1]Capital!X62+[1]Capital!X64+[1]Capital!X66</f>
        <v>47983.342989869998</v>
      </c>
      <c r="Z181" s="5">
        <f>[1]Capital!Y50+[1]Capital!Y52+[1]Capital!Y54+[1]Capital!Y56+[1]Capital!Y58+[1]Capital!Y60+[1]Capital!Y62+[1]Capital!Y64+[1]Capital!Y66</f>
        <v>48346.550864090008</v>
      </c>
      <c r="AA181" s="5">
        <f>[1]Capital!Z50+[1]Capital!Z52+[1]Capital!Z54+[1]Capital!Z56+[1]Capital!Z58+[1]Capital!Z60+[1]Capital!Z62+[1]Capital!Z64+[1]Capital!Z66</f>
        <v>48712.494335669988</v>
      </c>
      <c r="AB181" s="5">
        <f>[1]Capital!AA50+[1]Capital!AA52+[1]Capital!AA54+[1]Capital!AA56+[1]Capital!AA58+[1]Capital!AA60+[1]Capital!AA62+[1]Capital!AA64+[1]Capital!AA66</f>
        <v>49076.933359200004</v>
      </c>
      <c r="AC181" s="5">
        <f>[1]Capital!AB50+[1]Capital!AB52+[1]Capital!AB54+[1]Capital!AB56+[1]Capital!AB58+[1]Capital!AB60+[1]Capital!AB62+[1]Capital!AB64+[1]Capital!AB66</f>
        <v>49439.520975249994</v>
      </c>
      <c r="AD181" s="5">
        <f>[1]Capital!AC50+[1]Capital!AC52+[1]Capital!AC54+[1]Capital!AC56+[1]Capital!AC58+[1]Capital!AC60+[1]Capital!AC62+[1]Capital!AC64+[1]Capital!AC66</f>
        <v>49800.531831649998</v>
      </c>
      <c r="AE181" s="5">
        <f>[1]Capital!AD50+[1]Capital!AD52+[1]Capital!AD54+[1]Capital!AD56+[1]Capital!AD58+[1]Capital!AD60+[1]Capital!AD62+[1]Capital!AD64+[1]Capital!AD66</f>
        <v>50160.391159710009</v>
      </c>
      <c r="AF181" s="5">
        <f>[1]Capital!AE50+[1]Capital!AE52+[1]Capital!AE54+[1]Capital!AE56+[1]Capital!AE58+[1]Capital!AE60+[1]Capital!AE62+[1]Capital!AE64+[1]Capital!AE66</f>
        <v>50519.627952930015</v>
      </c>
      <c r="AG181" s="5">
        <f>[1]Capital!AF50+[1]Capital!AF52+[1]Capital!AF54+[1]Capital!AF56+[1]Capital!AF58+[1]Capital!AF60+[1]Capital!AF62+[1]Capital!AF64+[1]Capital!AF66</f>
        <v>50878.86280612</v>
      </c>
      <c r="AH181" s="5">
        <f>[1]Capital!AG50+[1]Capital!AG52+[1]Capital!AG54+[1]Capital!AG56+[1]Capital!AG58+[1]Capital!AG60+[1]Capital!AG62+[1]Capital!AG64+[1]Capital!AG66</f>
        <v>51238.816252569995</v>
      </c>
      <c r="AI181" s="5">
        <f>[1]Capital!AH50+[1]Capital!AH52+[1]Capital!AH54+[1]Capital!AH56+[1]Capital!AH58+[1]Capital!AH60+[1]Capital!AH62+[1]Capital!AH64+[1]Capital!AH66</f>
        <v>51600.244091219996</v>
      </c>
      <c r="AJ181" s="5">
        <f>[1]Capital!AI50+[1]Capital!AI52+[1]Capital!AI54+[1]Capital!AI56+[1]Capital!AI58+[1]Capital!AI60+[1]Capital!AI62+[1]Capital!AI64+[1]Capital!AI66</f>
        <v>51963.919595090003</v>
      </c>
      <c r="AK181" s="5">
        <f>[1]Capital!AJ50+[1]Capital!AJ52+[1]Capital!AJ54+[1]Capital!AJ56+[1]Capital!AJ58+[1]Capital!AJ60+[1]Capital!AJ62+[1]Capital!AJ64+[1]Capital!AJ66</f>
        <v>52330.615586269996</v>
      </c>
      <c r="AL181" s="5">
        <f>[1]Capital!AK50+[1]Capital!AK52+[1]Capital!AK54+[1]Capital!AK56+[1]Capital!AK58+[1]Capital!AK60+[1]Capital!AK62+[1]Capital!AK64+[1]Capital!AK66</f>
        <v>52701.087253439997</v>
      </c>
      <c r="AM181" s="5">
        <f>[1]Capital!AL50+[1]Capital!AL52+[1]Capital!AL54+[1]Capital!AL56+[1]Capital!AL58+[1]Capital!AL60+[1]Capital!AL62+[1]Capital!AL64+[1]Capital!AL66</f>
        <v>53075.273241399998</v>
      </c>
      <c r="AN181" s="5">
        <f>[1]Capital!AM50+[1]Capital!AM52+[1]Capital!AM54+[1]Capital!AM56+[1]Capital!AM58+[1]Capital!AM60+[1]Capital!AM62+[1]Capital!AM64+[1]Capital!AM66</f>
        <v>53453.26626448</v>
      </c>
      <c r="AO181" s="5">
        <f>[1]Capital!AN50+[1]Capital!AN52+[1]Capital!AN54+[1]Capital!AN56+[1]Capital!AN58+[1]Capital!AN60+[1]Capital!AN62+[1]Capital!AN64+[1]Capital!AN66</f>
        <v>53835.362613359997</v>
      </c>
      <c r="AP181" s="5">
        <f>[1]Capital!AO50+[1]Capital!AO52+[1]Capital!AO54+[1]Capital!AO56+[1]Capital!AO58+[1]Capital!AO60+[1]Capital!AO62+[1]Capital!AO64+[1]Capital!AO66</f>
        <v>54221.982247349995</v>
      </c>
      <c r="AQ181" s="5">
        <f>[1]Capital!AP50+[1]Capital!AP52+[1]Capital!AP54+[1]Capital!AP56+[1]Capital!AP58+[1]Capital!AP60+[1]Capital!AP62+[1]Capital!AP64+[1]Capital!AP66</f>
        <v>54613.602463580006</v>
      </c>
      <c r="AR181" s="5">
        <f>[1]Capital!AQ50+[1]Capital!AQ52+[1]Capital!AQ54+[1]Capital!AQ56+[1]Capital!AQ58+[1]Capital!AQ60+[1]Capital!AQ62+[1]Capital!AQ64+[1]Capital!AQ66</f>
        <v>55010.760724669999</v>
      </c>
      <c r="AS181" s="5">
        <f>[1]Capital!AR50+[1]Capital!AR52+[1]Capital!AR54+[1]Capital!AR56+[1]Capital!AR58+[1]Capital!AR60+[1]Capital!AR62+[1]Capital!AR64+[1]Capital!AR66</f>
        <v>55413.966386780005</v>
      </c>
      <c r="AT181" s="5">
        <f>[1]Capital!AS50+[1]Capital!AS52+[1]Capital!AS54+[1]Capital!AS56+[1]Capital!AS58+[1]Capital!AS60+[1]Capital!AS62+[1]Capital!AS64+[1]Capital!AS66</f>
        <v>55823.698085140008</v>
      </c>
      <c r="AU181" s="5">
        <f>[1]Capital!AT50+[1]Capital!AT52+[1]Capital!AT54+[1]Capital!AT56+[1]Capital!AT58+[1]Capital!AT60+[1]Capital!AT62+[1]Capital!AT64+[1]Capital!AT66</f>
        <v>56240.402731689996</v>
      </c>
      <c r="AV181" s="5">
        <f>[1]Capital!AU50+[1]Capital!AU52+[1]Capital!AU54+[1]Capital!AU56+[1]Capital!AU58+[1]Capital!AU60+[1]Capital!AU62+[1]Capital!AU64+[1]Capital!AU66</f>
        <v>56664.492866990011</v>
      </c>
      <c r="AW181" s="5">
        <f>[1]Capital!AV50+[1]Capital!AV52+[1]Capital!AV54+[1]Capital!AV56+[1]Capital!AV58+[1]Capital!AV60+[1]Capital!AV62+[1]Capital!AV64+[1]Capital!AV66</f>
        <v>57096.594893840003</v>
      </c>
      <c r="AX181" s="5">
        <f>[1]Capital!AW50+[1]Capital!AW52+[1]Capital!AW54+[1]Capital!AW56+[1]Capital!AW58+[1]Capital!AW60+[1]Capital!AW62+[1]Capital!AW64+[1]Capital!AW66</f>
        <v>57537.200041560012</v>
      </c>
      <c r="AY181" s="5">
        <f>[1]Capital!AX50+[1]Capital!AX52+[1]Capital!AX54+[1]Capital!AX56+[1]Capital!AX58+[1]Capital!AX60+[1]Capital!AX62+[1]Capital!AX64+[1]Capital!AX66</f>
        <v>57986.704312720009</v>
      </c>
      <c r="AZ181" s="5">
        <f>[1]Capital!AY50+[1]Capital!AY52+[1]Capital!AY54+[1]Capital!AY56+[1]Capital!AY58+[1]Capital!AY60+[1]Capital!AY62+[1]Capital!AY64+[1]Capital!AY66</f>
        <v>58445.443126979997</v>
      </c>
      <c r="BA181" s="5">
        <f>[1]Capital!AZ50+[1]Capital!AZ52+[1]Capital!AZ54+[1]Capital!AZ56+[1]Capital!AZ58+[1]Capital!AZ60+[1]Capital!AZ62+[1]Capital!AZ64+[1]Capital!AZ66</f>
        <v>58913.705103179993</v>
      </c>
      <c r="BB181" s="5">
        <f>[1]Capital!BA50+[1]Capital!BA52+[1]Capital!BA54+[1]Capital!BA56+[1]Capital!BA58+[1]Capital!BA60+[1]Capital!BA62+[1]Capital!BA64+[1]Capital!BA66</f>
        <v>68170.981550700002</v>
      </c>
      <c r="BC181" s="5">
        <f>[1]Capital!BB50+[1]Capital!BB52+[1]Capital!BB54+[1]Capital!BB56+[1]Capital!BB58+[1]Capital!BB60+[1]Capital!BB62+[1]Capital!BB64+[1]Capital!BB66</f>
        <v>69131.744166999997</v>
      </c>
      <c r="BD181" s="5">
        <f>[1]Capital!BC50+[1]Capital!BC52+[1]Capital!BC54+[1]Capital!BC56+[1]Capital!BC58+[1]Capital!BC60+[1]Capital!BC62+[1]Capital!BC64+[1]Capital!BC66</f>
        <v>70114.828281199996</v>
      </c>
      <c r="BE181" s="5">
        <f>[1]Capital!BD50+[1]Capital!BD52+[1]Capital!BD54+[1]Capital!BD56+[1]Capital!BD58+[1]Capital!BD60+[1]Capital!BD62+[1]Capital!BD64+[1]Capital!BD66</f>
        <v>71120.353023399992</v>
      </c>
      <c r="BF181" s="5">
        <f>[1]Capital!BE50+[1]Capital!BE52+[1]Capital!BE54+[1]Capital!BE56+[1]Capital!BE58+[1]Capital!BE60+[1]Capital!BE62+[1]Capital!BE64+[1]Capital!BE66</f>
        <v>72148.430556299994</v>
      </c>
    </row>
    <row r="182" spans="1:58" x14ac:dyDescent="0.35"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  <c r="BD182" s="5"/>
      <c r="BE182" s="5"/>
      <c r="BF182" s="5"/>
    </row>
    <row r="183" spans="1:58" x14ac:dyDescent="0.35">
      <c r="C183" s="2">
        <v>42005</v>
      </c>
      <c r="D183" s="2">
        <v>42370</v>
      </c>
      <c r="E183" s="2">
        <v>42736</v>
      </c>
      <c r="F183" s="2">
        <v>43101</v>
      </c>
      <c r="G183" s="2">
        <v>43466</v>
      </c>
      <c r="H183" s="2">
        <v>43831</v>
      </c>
      <c r="I183" s="2">
        <v>44197</v>
      </c>
      <c r="J183" s="2">
        <v>44562</v>
      </c>
      <c r="K183" s="2">
        <v>44927</v>
      </c>
      <c r="L183" s="2">
        <v>45292</v>
      </c>
      <c r="M183" s="2">
        <v>45658</v>
      </c>
      <c r="N183" s="2">
        <v>46023</v>
      </c>
      <c r="O183" s="2">
        <v>46388</v>
      </c>
      <c r="P183" s="2">
        <v>46753</v>
      </c>
      <c r="Q183" s="2">
        <v>47119</v>
      </c>
      <c r="R183" s="2">
        <v>47484</v>
      </c>
      <c r="S183" s="2">
        <v>47849</v>
      </c>
      <c r="T183" s="2">
        <v>48214</v>
      </c>
      <c r="U183" s="2">
        <v>48580</v>
      </c>
      <c r="V183" s="2">
        <v>48945</v>
      </c>
      <c r="W183" s="2">
        <v>49310</v>
      </c>
      <c r="X183" s="2">
        <v>49675</v>
      </c>
      <c r="Y183" s="2">
        <v>50041</v>
      </c>
      <c r="Z183" s="2">
        <v>50406</v>
      </c>
      <c r="AA183" s="2">
        <v>50771</v>
      </c>
      <c r="AB183" s="2">
        <v>51136</v>
      </c>
      <c r="AC183" s="2">
        <v>51502</v>
      </c>
      <c r="AD183" s="2">
        <v>51867</v>
      </c>
      <c r="AE183" s="2">
        <v>52232</v>
      </c>
      <c r="AF183" s="2">
        <v>52597</v>
      </c>
      <c r="AG183" s="2">
        <v>52963</v>
      </c>
      <c r="AH183" s="2">
        <v>53328</v>
      </c>
      <c r="AI183" s="2">
        <v>53693</v>
      </c>
      <c r="AJ183" s="2">
        <v>54058</v>
      </c>
      <c r="AK183" s="2">
        <v>54424</v>
      </c>
      <c r="AL183" s="2">
        <v>54789</v>
      </c>
      <c r="AM183" s="2">
        <v>54790</v>
      </c>
      <c r="AN183" s="2">
        <v>54791</v>
      </c>
      <c r="AO183" s="2">
        <v>54792</v>
      </c>
      <c r="AP183" s="2">
        <v>54793</v>
      </c>
      <c r="AQ183" s="2">
        <v>54794</v>
      </c>
      <c r="AR183" s="2">
        <v>54795</v>
      </c>
      <c r="AS183" s="2">
        <v>54796</v>
      </c>
      <c r="AT183" s="2">
        <v>54797</v>
      </c>
      <c r="AU183" s="2">
        <v>54798</v>
      </c>
      <c r="AV183" s="2">
        <v>54799</v>
      </c>
      <c r="AW183" s="2">
        <v>54800</v>
      </c>
      <c r="AX183" s="2">
        <v>54801</v>
      </c>
      <c r="AY183" s="2">
        <v>54802</v>
      </c>
      <c r="AZ183" s="2">
        <v>54803</v>
      </c>
      <c r="BA183" s="2">
        <v>54804</v>
      </c>
      <c r="BB183" s="2">
        <v>54805</v>
      </c>
      <c r="BC183" s="2">
        <v>54806</v>
      </c>
      <c r="BD183" s="2">
        <v>54807</v>
      </c>
      <c r="BE183" s="2">
        <v>54808</v>
      </c>
      <c r="BF183" s="2">
        <v>54809</v>
      </c>
    </row>
    <row r="184" spans="1:58" x14ac:dyDescent="0.35">
      <c r="A184" s="12" t="s">
        <v>42</v>
      </c>
      <c r="B184" t="s">
        <v>40</v>
      </c>
      <c r="C184" s="9">
        <f t="shared" ref="C184:AL184" si="68">C174/C136/(C164/C125)-1</f>
        <v>1.4033255974235326E-2</v>
      </c>
      <c r="D184" s="9">
        <f t="shared" si="68"/>
        <v>1.7433415537032593E-2</v>
      </c>
      <c r="E184" s="9">
        <f t="shared" si="68"/>
        <v>1.9385639665835619E-2</v>
      </c>
      <c r="F184" s="9">
        <f t="shared" si="68"/>
        <v>2.0519476277243598E-2</v>
      </c>
      <c r="G184" s="9">
        <f t="shared" si="68"/>
        <v>2.1077105457538936E-2</v>
      </c>
      <c r="H184" s="9">
        <f t="shared" si="68"/>
        <v>2.119305647137093E-2</v>
      </c>
      <c r="I184" s="9">
        <f t="shared" si="68"/>
        <v>2.0985304097170365E-2</v>
      </c>
      <c r="J184" s="9">
        <f t="shared" si="68"/>
        <v>2.0507458251655786E-2</v>
      </c>
      <c r="K184" s="9">
        <f t="shared" si="68"/>
        <v>1.9816205871374004E-2</v>
      </c>
      <c r="L184" s="9">
        <f t="shared" si="68"/>
        <v>1.8960824408335242E-2</v>
      </c>
      <c r="M184" s="9">
        <f t="shared" si="68"/>
        <v>1.9007803434947013E-2</v>
      </c>
      <c r="N184" s="9">
        <f t="shared" si="68"/>
        <v>1.7432711330493955E-2</v>
      </c>
      <c r="O184" s="9">
        <f t="shared" si="68"/>
        <v>1.5601259544997248E-2</v>
      </c>
      <c r="P184" s="9">
        <f t="shared" si="68"/>
        <v>1.3657008178032504E-2</v>
      </c>
      <c r="Q184" s="9">
        <f t="shared" si="68"/>
        <v>1.1664991100930999E-2</v>
      </c>
      <c r="R184" s="9">
        <f t="shared" si="68"/>
        <v>9.6657708450385016E-3</v>
      </c>
      <c r="S184" s="9">
        <f t="shared" si="68"/>
        <v>7.7357545230505309E-3</v>
      </c>
      <c r="T184" s="9">
        <f t="shared" si="68"/>
        <v>5.8602597038390769E-3</v>
      </c>
      <c r="U184" s="9">
        <f t="shared" si="68"/>
        <v>4.0524449650591876E-3</v>
      </c>
      <c r="V184" s="9">
        <f t="shared" si="68"/>
        <v>2.3230530403277605E-3</v>
      </c>
      <c r="W184" s="9">
        <f t="shared" si="68"/>
        <v>6.8224539901895476E-4</v>
      </c>
      <c r="X184" s="9">
        <f t="shared" si="68"/>
        <v>-8.7074196267189485E-4</v>
      </c>
      <c r="Y184" s="9">
        <f t="shared" si="68"/>
        <v>-2.33234729950893E-3</v>
      </c>
      <c r="Z184" s="9">
        <f t="shared" si="68"/>
        <v>-3.7021201408224957E-3</v>
      </c>
      <c r="AA184" s="9">
        <f t="shared" si="68"/>
        <v>-4.9815854364400058E-3</v>
      </c>
      <c r="AB184" s="9">
        <f t="shared" si="68"/>
        <v>-6.1685602572543186E-3</v>
      </c>
      <c r="AC184" s="9">
        <f t="shared" si="68"/>
        <v>-7.2929207887160175E-3</v>
      </c>
      <c r="AD184" s="9">
        <f t="shared" si="68"/>
        <v>-8.3412308183674622E-3</v>
      </c>
      <c r="AE184" s="9">
        <f t="shared" si="68"/>
        <v>-9.3141639608896876E-3</v>
      </c>
      <c r="AF184" s="9">
        <f t="shared" si="68"/>
        <v>-1.0213324645877764E-2</v>
      </c>
      <c r="AG184" s="9">
        <f t="shared" si="68"/>
        <v>-1.1040940595097859E-2</v>
      </c>
      <c r="AH184" s="9">
        <f t="shared" si="68"/>
        <v>-1.1810674333210147E-2</v>
      </c>
      <c r="AI184" s="9">
        <f t="shared" si="68"/>
        <v>-1.2516181992172859E-2</v>
      </c>
      <c r="AJ184" s="9">
        <f t="shared" si="68"/>
        <v>-1.3158638720932259E-2</v>
      </c>
      <c r="AK184" s="9">
        <f t="shared" si="68"/>
        <v>-1.3739527213924019E-2</v>
      </c>
      <c r="AL184" s="9">
        <f t="shared" si="68"/>
        <v>-1.4260403529546606E-2</v>
      </c>
      <c r="AM184" s="9">
        <f t="shared" ref="AM184:BC184" si="69">AM174/AM136/(AM164/AM125)-1</f>
        <v>-1.4821138131232647E-2</v>
      </c>
      <c r="AN184" s="9">
        <f t="shared" si="69"/>
        <v>-1.5342828647591289E-2</v>
      </c>
      <c r="AO184" s="9">
        <f t="shared" si="69"/>
        <v>-1.5815133865154873E-2</v>
      </c>
      <c r="AP184" s="9">
        <f t="shared" si="69"/>
        <v>-1.6231973273648448E-2</v>
      </c>
      <c r="AQ184" s="9">
        <f t="shared" si="69"/>
        <v>-1.6589801221955525E-2</v>
      </c>
      <c r="AR184" s="9">
        <f t="shared" si="69"/>
        <v>-1.6902811432787712E-2</v>
      </c>
      <c r="AS184" s="9">
        <f t="shared" si="69"/>
        <v>-1.7158078192515469E-2</v>
      </c>
      <c r="AT184" s="9">
        <f t="shared" si="69"/>
        <v>-1.7354236032665948E-2</v>
      </c>
      <c r="AU184" s="9">
        <f t="shared" si="69"/>
        <v>-1.7491211214199498E-2</v>
      </c>
      <c r="AV184" s="9">
        <f t="shared" si="69"/>
        <v>-1.756974282092949E-2</v>
      </c>
      <c r="AW184" s="9">
        <f t="shared" si="69"/>
        <v>-1.7644451710535192E-2</v>
      </c>
      <c r="AX184" s="9">
        <f t="shared" si="69"/>
        <v>-1.7674486127206124E-2</v>
      </c>
      <c r="AY184" s="9">
        <f t="shared" si="69"/>
        <v>-1.765498553592848E-2</v>
      </c>
      <c r="AZ184" s="9">
        <f t="shared" si="69"/>
        <v>-1.7584374127722957E-2</v>
      </c>
      <c r="BA184" s="9">
        <f t="shared" si="69"/>
        <v>-1.7462959724968363E-2</v>
      </c>
      <c r="BB184" s="9">
        <f t="shared" si="69"/>
        <v>-3.7714110063516992E-3</v>
      </c>
      <c r="BC184" s="9">
        <f t="shared" si="69"/>
        <v>-3.8419386882917461E-3</v>
      </c>
      <c r="BD184" s="9">
        <f t="shared" ref="BD184:BF184" si="70">BD174/BD136/(BD164/BD125)-1</f>
        <v>-3.9012745783723046E-3</v>
      </c>
      <c r="BE184" s="9">
        <f t="shared" si="70"/>
        <v>-3.948911519975451E-3</v>
      </c>
      <c r="BF184" s="9">
        <f t="shared" si="70"/>
        <v>-3.984532117403683E-3</v>
      </c>
    </row>
    <row r="185" spans="1:58" x14ac:dyDescent="0.35">
      <c r="A185" t="s">
        <v>85</v>
      </c>
      <c r="B185" t="s">
        <v>7</v>
      </c>
      <c r="C185" s="9">
        <f t="shared" ref="C185:AL185" si="71">C175/C137/(C165/C126)-1</f>
        <v>1.5943752699419722E-2</v>
      </c>
      <c r="D185" s="9">
        <f t="shared" si="71"/>
        <v>2.0575377778394355E-2</v>
      </c>
      <c r="E185" s="9">
        <f t="shared" si="71"/>
        <v>2.3595105791690552E-2</v>
      </c>
      <c r="F185" s="9">
        <f t="shared" si="71"/>
        <v>2.5540956838722373E-2</v>
      </c>
      <c r="G185" s="9">
        <f t="shared" si="71"/>
        <v>2.6666445402743877E-2</v>
      </c>
      <c r="H185" s="9">
        <f t="shared" si="71"/>
        <v>2.7187299554170874E-2</v>
      </c>
      <c r="I185" s="9">
        <f t="shared" si="71"/>
        <v>2.7289936983555529E-2</v>
      </c>
      <c r="J185" s="9">
        <f t="shared" si="71"/>
        <v>2.7086736973809256E-2</v>
      </c>
      <c r="K185" s="9">
        <f t="shared" si="71"/>
        <v>2.66787840177789E-2</v>
      </c>
      <c r="L185" s="9">
        <f t="shared" si="71"/>
        <v>2.6145227344585908E-2</v>
      </c>
      <c r="M185" s="9">
        <f t="shared" si="71"/>
        <v>2.6788202596532029E-2</v>
      </c>
      <c r="N185" s="9">
        <f t="shared" si="71"/>
        <v>2.5550834021693669E-2</v>
      </c>
      <c r="O185" s="9">
        <f t="shared" si="71"/>
        <v>2.4130999629883521E-2</v>
      </c>
      <c r="P185" s="9">
        <f t="shared" si="71"/>
        <v>2.2674434635156171E-2</v>
      </c>
      <c r="Q185" s="9">
        <f t="shared" si="71"/>
        <v>2.124813967542627E-2</v>
      </c>
      <c r="R185" s="9">
        <f t="shared" si="71"/>
        <v>1.9900368914866684E-2</v>
      </c>
      <c r="S185" s="9">
        <f t="shared" si="71"/>
        <v>1.8718592618540697E-2</v>
      </c>
      <c r="T185" s="9">
        <f t="shared" si="71"/>
        <v>1.7702546857084389E-2</v>
      </c>
      <c r="U185" s="9">
        <f t="shared" si="71"/>
        <v>1.6868462629188397E-2</v>
      </c>
      <c r="V185" s="9">
        <f t="shared" si="71"/>
        <v>1.6224424387160319E-2</v>
      </c>
      <c r="W185" s="9">
        <f t="shared" si="71"/>
        <v>1.5769118493735634E-2</v>
      </c>
      <c r="X185" s="9">
        <f t="shared" si="71"/>
        <v>1.5510978965111555E-2</v>
      </c>
      <c r="Y185" s="9">
        <f t="shared" si="71"/>
        <v>1.5434634995342478E-2</v>
      </c>
      <c r="Z185" s="9">
        <f t="shared" si="71"/>
        <v>1.5532813902377152E-2</v>
      </c>
      <c r="AA185" s="9">
        <f t="shared" si="71"/>
        <v>1.5795975431744713E-2</v>
      </c>
      <c r="AB185" s="9">
        <f t="shared" si="71"/>
        <v>1.6197719545930633E-2</v>
      </c>
      <c r="AC185" s="9">
        <f t="shared" si="71"/>
        <v>1.6740362068411452E-2</v>
      </c>
      <c r="AD185" s="9">
        <f t="shared" si="71"/>
        <v>1.7404381123304891E-2</v>
      </c>
      <c r="AE185" s="9">
        <f t="shared" si="71"/>
        <v>1.8180608244670049E-2</v>
      </c>
      <c r="AF185" s="9">
        <f t="shared" si="71"/>
        <v>1.906100171909908E-2</v>
      </c>
      <c r="AG185" s="9">
        <f t="shared" si="71"/>
        <v>2.0037270470647073E-2</v>
      </c>
      <c r="AH185" s="9">
        <f t="shared" si="71"/>
        <v>2.1089117551953418E-2</v>
      </c>
      <c r="AI185" s="9">
        <f t="shared" si="71"/>
        <v>2.2215339652355892E-2</v>
      </c>
      <c r="AJ185" s="9">
        <f t="shared" si="71"/>
        <v>2.3409502596917875E-2</v>
      </c>
      <c r="AK185" s="9">
        <f t="shared" si="71"/>
        <v>2.4665913632205161E-2</v>
      </c>
      <c r="AL185" s="9">
        <f t="shared" si="71"/>
        <v>2.5979219467059167E-2</v>
      </c>
      <c r="AM185" s="9">
        <f t="shared" ref="AM185:BC185" si="72">AM175/AM137/(AM165/AM126)-1</f>
        <v>2.723327026345812E-2</v>
      </c>
      <c r="AN185" s="9">
        <f t="shared" si="72"/>
        <v>2.8496674930367671E-2</v>
      </c>
      <c r="AO185" s="9">
        <f t="shared" si="72"/>
        <v>2.9777319809775271E-2</v>
      </c>
      <c r="AP185" s="9">
        <f t="shared" si="72"/>
        <v>3.1084998238767758E-2</v>
      </c>
      <c r="AQ185" s="9">
        <f t="shared" si="72"/>
        <v>3.2427050512324307E-2</v>
      </c>
      <c r="AR185" s="9">
        <f t="shared" si="72"/>
        <v>3.3790417553862806E-2</v>
      </c>
      <c r="AS185" s="9">
        <f t="shared" si="72"/>
        <v>3.518659370238586E-2</v>
      </c>
      <c r="AT185" s="9">
        <f t="shared" si="72"/>
        <v>3.6617179019287738E-2</v>
      </c>
      <c r="AU185" s="9">
        <f t="shared" si="72"/>
        <v>3.8082688763445782E-2</v>
      </c>
      <c r="AV185" s="9">
        <f t="shared" si="72"/>
        <v>3.9582171142896527E-2</v>
      </c>
      <c r="AW185" s="9">
        <f t="shared" si="72"/>
        <v>4.1054756597793007E-2</v>
      </c>
      <c r="AX185" s="9">
        <f t="shared" si="72"/>
        <v>4.2532749874131692E-2</v>
      </c>
      <c r="AY185" s="9">
        <f t="shared" si="72"/>
        <v>4.4022988379442296E-2</v>
      </c>
      <c r="AZ185" s="9">
        <f t="shared" si="72"/>
        <v>4.5531117091200723E-2</v>
      </c>
      <c r="BA185" s="9">
        <f t="shared" si="72"/>
        <v>4.7060486791980827E-2</v>
      </c>
      <c r="BB185" s="9">
        <f t="shared" si="72"/>
        <v>5.6381957856215248E-3</v>
      </c>
      <c r="BC185" s="9">
        <f t="shared" si="72"/>
        <v>6.185596096760948E-3</v>
      </c>
      <c r="BD185" s="9">
        <f t="shared" ref="BD185:BF185" si="73">BD175/BD137/(BD165/BD126)-1</f>
        <v>6.7571042982161877E-3</v>
      </c>
      <c r="BE185" s="9">
        <f t="shared" si="73"/>
        <v>7.352203953093106E-3</v>
      </c>
      <c r="BF185" s="9">
        <f t="shared" si="73"/>
        <v>7.9700543077732E-3</v>
      </c>
    </row>
    <row r="186" spans="1:58" x14ac:dyDescent="0.35">
      <c r="B186" t="s">
        <v>30</v>
      </c>
      <c r="C186" s="9">
        <f t="shared" ref="C186:AL186" si="74">C176/C138/(C166/C127)-1</f>
        <v>2.1163881384932637E-2</v>
      </c>
      <c r="D186" s="9">
        <f t="shared" si="74"/>
        <v>2.478564288233609E-2</v>
      </c>
      <c r="E186" s="9">
        <f t="shared" si="74"/>
        <v>2.6910227105811924E-2</v>
      </c>
      <c r="F186" s="9">
        <f t="shared" si="74"/>
        <v>2.819927912926623E-2</v>
      </c>
      <c r="G186" s="9">
        <f t="shared" si="74"/>
        <v>2.8940910084600091E-2</v>
      </c>
      <c r="H186" s="9">
        <f t="shared" si="74"/>
        <v>2.9293681138559124E-2</v>
      </c>
      <c r="I186" s="9">
        <f t="shared" si="74"/>
        <v>2.9388989503347451E-2</v>
      </c>
      <c r="J186" s="9">
        <f t="shared" si="74"/>
        <v>2.9266242803071885E-2</v>
      </c>
      <c r="K186" s="9">
        <f t="shared" si="74"/>
        <v>2.896964773641697E-2</v>
      </c>
      <c r="L186" s="9">
        <f t="shared" si="74"/>
        <v>2.853553713089152E-2</v>
      </c>
      <c r="M186" s="9">
        <f t="shared" si="74"/>
        <v>2.9582222433347738E-2</v>
      </c>
      <c r="N186" s="9">
        <f t="shared" si="74"/>
        <v>2.8064185383048112E-2</v>
      </c>
      <c r="O186" s="9">
        <f t="shared" si="74"/>
        <v>2.6305736407687741E-2</v>
      </c>
      <c r="P186" s="9">
        <f t="shared" si="74"/>
        <v>2.4457263357641645E-2</v>
      </c>
      <c r="Q186" s="9">
        <f t="shared" si="74"/>
        <v>2.2583310857299699E-2</v>
      </c>
      <c r="R186" s="9">
        <f t="shared" si="74"/>
        <v>2.0717762303142928E-2</v>
      </c>
      <c r="S186" s="9">
        <f t="shared" si="74"/>
        <v>1.8953349267003317E-2</v>
      </c>
      <c r="T186" s="9">
        <f t="shared" si="74"/>
        <v>1.7240096808567973E-2</v>
      </c>
      <c r="U186" s="9">
        <f t="shared" si="74"/>
        <v>1.5583434757014736E-2</v>
      </c>
      <c r="V186" s="9">
        <f t="shared" si="74"/>
        <v>1.3988407804130576E-2</v>
      </c>
      <c r="W186" s="9">
        <f t="shared" si="74"/>
        <v>1.2458745956451356E-2</v>
      </c>
      <c r="X186" s="9">
        <f t="shared" si="74"/>
        <v>1.099899437921259E-2</v>
      </c>
      <c r="Y186" s="9">
        <f t="shared" si="74"/>
        <v>9.6064811957143892E-3</v>
      </c>
      <c r="Z186" s="9">
        <f t="shared" si="74"/>
        <v>8.2825305317444364E-3</v>
      </c>
      <c r="AA186" s="9">
        <f t="shared" si="74"/>
        <v>7.0270769630360608E-3</v>
      </c>
      <c r="AB186" s="9">
        <f t="shared" si="74"/>
        <v>5.8366729828809305E-3</v>
      </c>
      <c r="AC186" s="9">
        <f t="shared" si="74"/>
        <v>4.6906471308627573E-3</v>
      </c>
      <c r="AD186" s="9">
        <f t="shared" si="74"/>
        <v>3.6068940292521834E-3</v>
      </c>
      <c r="AE186" s="9">
        <f t="shared" si="74"/>
        <v>2.5876698209961191E-3</v>
      </c>
      <c r="AF186" s="9">
        <f t="shared" si="74"/>
        <v>1.6344470390312615E-3</v>
      </c>
      <c r="AG186" s="9">
        <f t="shared" si="74"/>
        <v>7.4821074975495172E-4</v>
      </c>
      <c r="AH186" s="9">
        <f t="shared" si="74"/>
        <v>-8.7576758933116672E-5</v>
      </c>
      <c r="AI186" s="9">
        <f t="shared" si="74"/>
        <v>-8.5720747963613508E-4</v>
      </c>
      <c r="AJ186" s="9">
        <f t="shared" si="74"/>
        <v>-1.5587120783384645E-3</v>
      </c>
      <c r="AK186" s="9">
        <f t="shared" si="74"/>
        <v>-2.190536392571274E-3</v>
      </c>
      <c r="AL186" s="9">
        <f t="shared" si="74"/>
        <v>-2.7513685316530312E-3</v>
      </c>
      <c r="AM186" s="9">
        <f t="shared" ref="AM186:BC186" si="75">AM176/AM138/(AM166/AM127)-1</f>
        <v>-3.3949039851529639E-3</v>
      </c>
      <c r="AN186" s="9">
        <f t="shared" si="75"/>
        <v>-3.9813108745258008E-3</v>
      </c>
      <c r="AO186" s="9">
        <f t="shared" si="75"/>
        <v>-4.4986909919692009E-3</v>
      </c>
      <c r="AP186" s="9">
        <f t="shared" si="75"/>
        <v>-4.9390200433313547E-3</v>
      </c>
      <c r="AQ186" s="9">
        <f t="shared" si="75"/>
        <v>-5.2969802649269759E-3</v>
      </c>
      <c r="AR186" s="9">
        <f t="shared" si="75"/>
        <v>-5.594053910774277E-3</v>
      </c>
      <c r="AS186" s="9">
        <f t="shared" si="75"/>
        <v>-5.8077473199469321E-3</v>
      </c>
      <c r="AT186" s="9">
        <f t="shared" si="75"/>
        <v>-5.9360691904856155E-3</v>
      </c>
      <c r="AU186" s="9">
        <f t="shared" si="75"/>
        <v>-5.9785347800744848E-3</v>
      </c>
      <c r="AV186" s="9">
        <f t="shared" si="75"/>
        <v>-5.9356745046629245E-3</v>
      </c>
      <c r="AW186" s="9">
        <f t="shared" si="75"/>
        <v>-5.891103102207973E-3</v>
      </c>
      <c r="AX186" s="9">
        <f t="shared" si="75"/>
        <v>-5.7753677781241519E-3</v>
      </c>
      <c r="AY186" s="9">
        <f t="shared" si="75"/>
        <v>-5.5836734591514503E-3</v>
      </c>
      <c r="AZ186" s="9">
        <f t="shared" si="75"/>
        <v>-5.3146686698775092E-3</v>
      </c>
      <c r="BA186" s="9">
        <f t="shared" si="75"/>
        <v>-4.9689812214813722E-3</v>
      </c>
      <c r="BB186" s="9">
        <f t="shared" si="75"/>
        <v>-3.2821464647670995E-3</v>
      </c>
      <c r="BC186" s="9">
        <f t="shared" si="75"/>
        <v>-3.3394258183653269E-3</v>
      </c>
      <c r="BD186" s="9">
        <f t="shared" ref="BD186:BF186" si="76">BD176/BD138/(BD166/BD127)-1</f>
        <v>-3.3843333408267728E-3</v>
      </c>
      <c r="BE186" s="9">
        <f t="shared" si="76"/>
        <v>-3.4160345222543631E-3</v>
      </c>
      <c r="BF186" s="9">
        <f t="shared" si="76"/>
        <v>-3.4338280245942432E-3</v>
      </c>
    </row>
    <row r="187" spans="1:58" x14ac:dyDescent="0.35">
      <c r="B187" t="s">
        <v>9</v>
      </c>
      <c r="C187" s="9">
        <f t="shared" ref="C187:AL187" si="77">C177/C139/(C167/C128)-1</f>
        <v>1.9703585534652124E-2</v>
      </c>
      <c r="D187" s="9">
        <f t="shared" si="77"/>
        <v>2.1647909302350499E-2</v>
      </c>
      <c r="E187" s="9">
        <f t="shared" si="77"/>
        <v>2.2463971732896049E-2</v>
      </c>
      <c r="F187" s="9">
        <f t="shared" si="77"/>
        <v>2.2662197320012289E-2</v>
      </c>
      <c r="G187" s="9">
        <f t="shared" si="77"/>
        <v>2.2409415748273043E-2</v>
      </c>
      <c r="H187" s="9">
        <f t="shared" si="77"/>
        <v>2.1803871031164324E-2</v>
      </c>
      <c r="I187" s="9">
        <f t="shared" si="77"/>
        <v>2.0958240860063038E-2</v>
      </c>
      <c r="J187" s="9">
        <f t="shared" si="77"/>
        <v>1.991701354552311E-2</v>
      </c>
      <c r="K187" s="9">
        <f t="shared" si="77"/>
        <v>1.8739728899404007E-2</v>
      </c>
      <c r="L187" s="9">
        <f t="shared" si="77"/>
        <v>1.7478127416669764E-2</v>
      </c>
      <c r="M187" s="9">
        <f t="shared" si="77"/>
        <v>1.7691158311769373E-2</v>
      </c>
      <c r="N187" s="9">
        <f t="shared" si="77"/>
        <v>1.5433056694853731E-2</v>
      </c>
      <c r="O187" s="9">
        <f t="shared" si="77"/>
        <v>1.309258293174631E-2</v>
      </c>
      <c r="P187" s="9">
        <f t="shared" si="77"/>
        <v>1.0796942701825518E-2</v>
      </c>
      <c r="Q187" s="9">
        <f t="shared" si="77"/>
        <v>8.5931136602921399E-3</v>
      </c>
      <c r="R187" s="9">
        <f t="shared" si="77"/>
        <v>6.5047349623859052E-3</v>
      </c>
      <c r="S187" s="9">
        <f t="shared" si="77"/>
        <v>4.6146532594348866E-3</v>
      </c>
      <c r="T187" s="9">
        <f t="shared" si="77"/>
        <v>2.8643219379314022E-3</v>
      </c>
      <c r="U187" s="9">
        <f t="shared" si="77"/>
        <v>1.252872399541971E-3</v>
      </c>
      <c r="V187" s="9">
        <f t="shared" si="77"/>
        <v>-2.2241076309514884E-4</v>
      </c>
      <c r="W187" s="9">
        <f t="shared" si="77"/>
        <v>-1.5706001785732449E-3</v>
      </c>
      <c r="X187" s="9">
        <f t="shared" si="77"/>
        <v>-2.7903662140512653E-3</v>
      </c>
      <c r="Y187" s="9">
        <f t="shared" si="77"/>
        <v>-3.897962712193892E-3</v>
      </c>
      <c r="Z187" s="9">
        <f t="shared" si="77"/>
        <v>-4.9030959006286512E-3</v>
      </c>
      <c r="AA187" s="9">
        <f t="shared" si="77"/>
        <v>-5.816453372798347E-3</v>
      </c>
      <c r="AB187" s="9">
        <f t="shared" si="77"/>
        <v>-6.6627138934970409E-3</v>
      </c>
      <c r="AC187" s="9">
        <f t="shared" si="77"/>
        <v>-7.4533147890147866E-3</v>
      </c>
      <c r="AD187" s="9">
        <f t="shared" si="77"/>
        <v>-8.1823725848829687E-3</v>
      </c>
      <c r="AE187" s="9">
        <f t="shared" si="77"/>
        <v>-8.8564818317665717E-3</v>
      </c>
      <c r="AF187" s="9">
        <f t="shared" si="77"/>
        <v>-9.4824644700115535E-3</v>
      </c>
      <c r="AG187" s="9">
        <f t="shared" si="77"/>
        <v>-1.0066793754057834E-2</v>
      </c>
      <c r="AH187" s="9">
        <f t="shared" si="77"/>
        <v>-1.0632107240071464E-2</v>
      </c>
      <c r="AI187" s="9">
        <f t="shared" si="77"/>
        <v>-1.116749959210972E-2</v>
      </c>
      <c r="AJ187" s="9">
        <f t="shared" si="77"/>
        <v>-1.1676171166744131E-2</v>
      </c>
      <c r="AK187" s="9">
        <f t="shared" si="77"/>
        <v>-1.2161100511141054E-2</v>
      </c>
      <c r="AL187" s="9">
        <f t="shared" si="77"/>
        <v>-1.2624818797696169E-2</v>
      </c>
      <c r="AM187" s="9">
        <f t="shared" ref="AM187:BC187" si="78">AM177/AM139/(AM167/AM128)-1</f>
        <v>-1.3223039351634824E-2</v>
      </c>
      <c r="AN187" s="9">
        <f t="shared" si="78"/>
        <v>-1.3806482875501791E-2</v>
      </c>
      <c r="AO187" s="9">
        <f t="shared" si="78"/>
        <v>-1.4366900229287549E-2</v>
      </c>
      <c r="AP187" s="9">
        <f t="shared" si="78"/>
        <v>-1.4900182960608244E-2</v>
      </c>
      <c r="AQ187" s="9">
        <f t="shared" si="78"/>
        <v>-1.5404151982569503E-2</v>
      </c>
      <c r="AR187" s="9">
        <f t="shared" si="78"/>
        <v>-1.5901954055199563E-2</v>
      </c>
      <c r="AS187" s="9">
        <f t="shared" si="78"/>
        <v>-1.6370704425819893E-2</v>
      </c>
      <c r="AT187" s="9">
        <f t="shared" si="78"/>
        <v>-1.6809235163403158E-2</v>
      </c>
      <c r="AU187" s="9">
        <f t="shared" si="78"/>
        <v>-1.7217486994207665E-2</v>
      </c>
      <c r="AV187" s="9">
        <f t="shared" si="78"/>
        <v>-1.7595991903386343E-2</v>
      </c>
      <c r="AW187" s="9">
        <f t="shared" si="78"/>
        <v>-1.8026372558810455E-2</v>
      </c>
      <c r="AX187" s="9">
        <f t="shared" si="78"/>
        <v>-1.843292810937025E-2</v>
      </c>
      <c r="AY187" s="9">
        <f t="shared" si="78"/>
        <v>-1.8810827665330265E-2</v>
      </c>
      <c r="AZ187" s="9">
        <f t="shared" si="78"/>
        <v>-1.9158637345036866E-2</v>
      </c>
      <c r="BA187" s="9">
        <f t="shared" si="78"/>
        <v>-1.9476518387187336E-2</v>
      </c>
      <c r="BB187" s="9">
        <f t="shared" si="78"/>
        <v>-4.8690593586189213E-3</v>
      </c>
      <c r="BC187" s="9">
        <f t="shared" si="78"/>
        <v>-5.0537698595797265E-3</v>
      </c>
      <c r="BD187" s="9">
        <f t="shared" ref="BD187:BF187" si="79">BD177/BD139/(BD167/BD128)-1</f>
        <v>-5.2348142376216211E-3</v>
      </c>
      <c r="BE187" s="9">
        <f t="shared" si="79"/>
        <v>-5.4118195360129961E-3</v>
      </c>
      <c r="BF187" s="9">
        <f t="shared" si="79"/>
        <v>-5.5845337401694284E-3</v>
      </c>
    </row>
    <row r="188" spans="1:58" x14ac:dyDescent="0.35">
      <c r="B188" t="s">
        <v>10</v>
      </c>
      <c r="C188" s="9">
        <f t="shared" ref="C188:AL188" si="80">C178/C140/(C168/C129)-1</f>
        <v>1.1045313962387615E-2</v>
      </c>
      <c r="D188" s="9">
        <f t="shared" si="80"/>
        <v>1.4518617920532551E-2</v>
      </c>
      <c r="E188" s="9">
        <f t="shared" si="80"/>
        <v>1.6556596596759787E-2</v>
      </c>
      <c r="F188" s="9">
        <f t="shared" si="80"/>
        <v>1.77833925401083E-2</v>
      </c>
      <c r="G188" s="9">
        <f t="shared" si="80"/>
        <v>1.8439304616287178E-2</v>
      </c>
      <c r="H188" s="9">
        <f t="shared" si="80"/>
        <v>1.8653373186110045E-2</v>
      </c>
      <c r="I188" s="9">
        <f t="shared" si="80"/>
        <v>1.8539320851187924E-2</v>
      </c>
      <c r="J188" s="9">
        <f t="shared" si="80"/>
        <v>1.8157314107620781E-2</v>
      </c>
      <c r="K188" s="9">
        <f t="shared" si="80"/>
        <v>1.757015497019121E-2</v>
      </c>
      <c r="L188" s="9">
        <f t="shared" si="80"/>
        <v>1.6833231080255251E-2</v>
      </c>
      <c r="M188" s="9">
        <f t="shared" si="80"/>
        <v>1.6779880713174711E-2</v>
      </c>
      <c r="N188" s="9">
        <f t="shared" si="80"/>
        <v>1.5538839938261439E-2</v>
      </c>
      <c r="O188" s="9">
        <f t="shared" si="80"/>
        <v>1.40537242997687E-2</v>
      </c>
      <c r="P188" s="9">
        <f t="shared" si="80"/>
        <v>1.2463261089867173E-2</v>
      </c>
      <c r="Q188" s="9">
        <f t="shared" si="80"/>
        <v>1.0832346259922465E-2</v>
      </c>
      <c r="R188" s="9">
        <f t="shared" si="80"/>
        <v>9.2034307714248254E-3</v>
      </c>
      <c r="S188" s="9">
        <f t="shared" si="80"/>
        <v>7.6451964340424894E-3</v>
      </c>
      <c r="T188" s="9">
        <f t="shared" si="80"/>
        <v>6.1557464052404143E-3</v>
      </c>
      <c r="U188" s="9">
        <f t="shared" si="80"/>
        <v>4.7492858315669739E-3</v>
      </c>
      <c r="V188" s="9">
        <f t="shared" si="80"/>
        <v>3.4366474863645191E-3</v>
      </c>
      <c r="W188" s="9">
        <f t="shared" si="80"/>
        <v>2.2288213766992193E-3</v>
      </c>
      <c r="X188" s="9">
        <f t="shared" si="80"/>
        <v>1.1190154102880268E-3</v>
      </c>
      <c r="Y188" s="9">
        <f t="shared" si="80"/>
        <v>1.120175597639772E-4</v>
      </c>
      <c r="Z188" s="9">
        <f t="shared" si="80"/>
        <v>-7.9444435036568617E-4</v>
      </c>
      <c r="AA188" s="9">
        <f t="shared" si="80"/>
        <v>-1.60481432676296E-3</v>
      </c>
      <c r="AB188" s="9">
        <f t="shared" si="80"/>
        <v>-2.3153421700123911E-3</v>
      </c>
      <c r="AC188" s="9">
        <f t="shared" si="80"/>
        <v>-2.9656988836288534E-3</v>
      </c>
      <c r="AD188" s="9">
        <f t="shared" si="80"/>
        <v>-3.5445844450329167E-3</v>
      </c>
      <c r="AE188" s="9">
        <f t="shared" si="80"/>
        <v>-4.0557198653878856E-3</v>
      </c>
      <c r="AF188" s="9">
        <f t="shared" si="80"/>
        <v>-4.5037393112844493E-3</v>
      </c>
      <c r="AG188" s="9">
        <f t="shared" si="80"/>
        <v>-4.8938951194394953E-3</v>
      </c>
      <c r="AH188" s="9">
        <f t="shared" si="80"/>
        <v>-5.2404185055175967E-3</v>
      </c>
      <c r="AI188" s="9">
        <f t="shared" si="80"/>
        <v>-5.5422725489899793E-3</v>
      </c>
      <c r="AJ188" s="9">
        <f t="shared" si="80"/>
        <v>-5.8032426491746447E-3</v>
      </c>
      <c r="AK188" s="9">
        <f t="shared" si="80"/>
        <v>-6.0272350228289806E-3</v>
      </c>
      <c r="AL188" s="9">
        <f t="shared" si="80"/>
        <v>-6.2180067120486404E-3</v>
      </c>
      <c r="AM188" s="9">
        <f t="shared" ref="AM188:BC188" si="81">AM178/AM140/(AM168/AM129)-1</f>
        <v>-6.4551726787609454E-3</v>
      </c>
      <c r="AN188" s="9">
        <f t="shared" si="81"/>
        <v>-6.6859520090687408E-3</v>
      </c>
      <c r="AO188" s="9">
        <f t="shared" si="81"/>
        <v>-6.9008676218849097E-3</v>
      </c>
      <c r="AP188" s="9">
        <f t="shared" si="81"/>
        <v>-7.09487782333873E-3</v>
      </c>
      <c r="AQ188" s="9">
        <f t="shared" si="81"/>
        <v>-7.2653889059338672E-3</v>
      </c>
      <c r="AR188" s="9">
        <f t="shared" si="81"/>
        <v>-7.4239564175974104E-3</v>
      </c>
      <c r="AS188" s="9">
        <f t="shared" si="81"/>
        <v>-7.561560265811007E-3</v>
      </c>
      <c r="AT188" s="9">
        <f t="shared" si="81"/>
        <v>-7.6769099669977692E-3</v>
      </c>
      <c r="AU188" s="9">
        <f t="shared" si="81"/>
        <v>-7.7697688081487248E-3</v>
      </c>
      <c r="AV188" s="9">
        <f t="shared" si="81"/>
        <v>-7.8404536554510518E-3</v>
      </c>
      <c r="AW188" s="9">
        <f t="shared" si="81"/>
        <v>-7.9315795717189719E-3</v>
      </c>
      <c r="AX188" s="9">
        <f t="shared" si="81"/>
        <v>-8.0124598161647187E-3</v>
      </c>
      <c r="AY188" s="9">
        <f t="shared" si="81"/>
        <v>-8.0770207245908221E-3</v>
      </c>
      <c r="AZ188" s="9">
        <f t="shared" si="81"/>
        <v>-8.123275986847589E-3</v>
      </c>
      <c r="BA188" s="9">
        <f t="shared" si="81"/>
        <v>-8.1509364618219671E-3</v>
      </c>
      <c r="BB188" s="9">
        <f t="shared" si="81"/>
        <v>-4.5152881580919901E-3</v>
      </c>
      <c r="BC188" s="9">
        <f t="shared" si="81"/>
        <v>-4.6558780453577198E-3</v>
      </c>
      <c r="BD188" s="9">
        <f t="shared" ref="BD188:BF188" si="82">BD178/BD140/(BD168/BD129)-1</f>
        <v>-4.7912267583254398E-3</v>
      </c>
      <c r="BE188" s="9">
        <f t="shared" si="82"/>
        <v>-4.9210641484708217E-3</v>
      </c>
      <c r="BF188" s="9">
        <f t="shared" si="82"/>
        <v>-5.0452665356431892E-3</v>
      </c>
    </row>
    <row r="189" spans="1:58" x14ac:dyDescent="0.35">
      <c r="B189" t="s">
        <v>29</v>
      </c>
      <c r="C189" s="9">
        <f t="shared" ref="C189:AL189" si="83">(C179+C180)/(C141+C142)/((C169+C170)/(C130+C131))-1</f>
        <v>1.9363173657777066E-2</v>
      </c>
      <c r="D189" s="9">
        <f t="shared" si="83"/>
        <v>2.1889078256114747E-2</v>
      </c>
      <c r="E189" s="9">
        <f t="shared" si="83"/>
        <v>2.3173858132339742E-2</v>
      </c>
      <c r="F189" s="9">
        <f t="shared" si="83"/>
        <v>2.4061636053436253E-2</v>
      </c>
      <c r="G189" s="9">
        <f t="shared" si="83"/>
        <v>2.4601046612126698E-2</v>
      </c>
      <c r="H189" s="9">
        <f t="shared" si="83"/>
        <v>2.4851104845463379E-2</v>
      </c>
      <c r="I189" s="9">
        <f t="shared" si="83"/>
        <v>2.4875306326832103E-2</v>
      </c>
      <c r="J189" s="9">
        <f t="shared" si="83"/>
        <v>2.4685629900144113E-2</v>
      </c>
      <c r="K189" s="9">
        <f t="shared" si="83"/>
        <v>2.4311170752625344E-2</v>
      </c>
      <c r="L189" s="9">
        <f t="shared" si="83"/>
        <v>2.3784424188978637E-2</v>
      </c>
      <c r="M189" s="9">
        <f t="shared" si="83"/>
        <v>2.4705286911152813E-2</v>
      </c>
      <c r="N189" s="9">
        <f t="shared" si="83"/>
        <v>2.3081833578633137E-2</v>
      </c>
      <c r="O189" s="9">
        <f t="shared" si="83"/>
        <v>2.12022150897897E-2</v>
      </c>
      <c r="P189" s="9">
        <f t="shared" si="83"/>
        <v>1.9260859806514041E-2</v>
      </c>
      <c r="Q189" s="9">
        <f t="shared" si="83"/>
        <v>1.7318066102961271E-2</v>
      </c>
      <c r="R189" s="9">
        <f t="shared" si="83"/>
        <v>1.540880305073733E-2</v>
      </c>
      <c r="S189" s="9">
        <f t="shared" si="83"/>
        <v>1.3624172652344058E-2</v>
      </c>
      <c r="T189" s="9">
        <f t="shared" si="83"/>
        <v>1.1925048771115998E-2</v>
      </c>
      <c r="U189" s="9">
        <f t="shared" si="83"/>
        <v>1.0324084541949663E-2</v>
      </c>
      <c r="V189" s="9">
        <f t="shared" si="83"/>
        <v>8.8323270547936428E-3</v>
      </c>
      <c r="W189" s="9">
        <f t="shared" si="83"/>
        <v>7.4451008852605138E-3</v>
      </c>
      <c r="X189" s="9">
        <f t="shared" si="83"/>
        <v>6.1909407250577697E-3</v>
      </c>
      <c r="Y189" s="9">
        <f t="shared" si="83"/>
        <v>5.0547860134158018E-3</v>
      </c>
      <c r="Z189" s="9">
        <f t="shared" si="83"/>
        <v>4.0335462046925397E-3</v>
      </c>
      <c r="AA189" s="9">
        <f t="shared" si="83"/>
        <v>3.1224443815247582E-3</v>
      </c>
      <c r="AB189" s="9">
        <f t="shared" si="83"/>
        <v>2.2784178844292846E-3</v>
      </c>
      <c r="AC189" s="9">
        <f t="shared" si="83"/>
        <v>1.5305751292280512E-3</v>
      </c>
      <c r="AD189" s="9">
        <f t="shared" si="83"/>
        <v>8.7424511435640895E-4</v>
      </c>
      <c r="AE189" s="9">
        <f t="shared" si="83"/>
        <v>3.0171759918218299E-4</v>
      </c>
      <c r="AF189" s="9">
        <f t="shared" si="83"/>
        <v>-1.9541941480794023E-4</v>
      </c>
      <c r="AG189" s="9">
        <f t="shared" si="83"/>
        <v>-6.2493477311031942E-4</v>
      </c>
      <c r="AH189" s="9">
        <f t="shared" si="83"/>
        <v>-1.0097487292728413E-3</v>
      </c>
      <c r="AI189" s="9">
        <f t="shared" si="83"/>
        <v>-1.3409069687270181E-3</v>
      </c>
      <c r="AJ189" s="9">
        <f t="shared" si="83"/>
        <v>-1.6226138071504526E-3</v>
      </c>
      <c r="AK189" s="9">
        <f t="shared" si="83"/>
        <v>-1.8596356020275095E-3</v>
      </c>
      <c r="AL189" s="9">
        <f t="shared" si="83"/>
        <v>-2.0564190348022482E-3</v>
      </c>
      <c r="AM189" s="9">
        <f t="shared" ref="AM189:BC189" si="84">(AM179+AM180)/(AM141+AM142)/((AM169+AM170)/(AM130+AM131))-1</f>
        <v>-2.3702173861049891E-3</v>
      </c>
      <c r="AN189" s="9">
        <f t="shared" si="84"/>
        <v>-2.6552935102632791E-3</v>
      </c>
      <c r="AO189" s="9">
        <f t="shared" si="84"/>
        <v>-2.9059920454562738E-3</v>
      </c>
      <c r="AP189" s="9">
        <f t="shared" si="84"/>
        <v>-3.1230461954915301E-3</v>
      </c>
      <c r="AQ189" s="9">
        <f t="shared" si="84"/>
        <v>-3.3071764500897105E-3</v>
      </c>
      <c r="AR189" s="9">
        <f t="shared" si="84"/>
        <v>-3.4819195897390909E-3</v>
      </c>
      <c r="AS189" s="9">
        <f t="shared" si="84"/>
        <v>-3.62546631334415E-3</v>
      </c>
      <c r="AT189" s="9">
        <f t="shared" si="84"/>
        <v>-3.7367014681595201E-3</v>
      </c>
      <c r="AU189" s="9">
        <f t="shared" si="84"/>
        <v>-3.8159365010326241E-3</v>
      </c>
      <c r="AV189" s="9">
        <f t="shared" si="84"/>
        <v>-3.8643316298848651E-3</v>
      </c>
      <c r="AW189" s="9">
        <f t="shared" si="84"/>
        <v>-3.9638944502405904E-3</v>
      </c>
      <c r="AX189" s="9">
        <f t="shared" si="84"/>
        <v>-4.0426081102737932E-3</v>
      </c>
      <c r="AY189" s="9">
        <f t="shared" si="84"/>
        <v>-4.0989043921213497E-3</v>
      </c>
      <c r="AZ189" s="9">
        <f t="shared" si="84"/>
        <v>-4.1248786555508898E-3</v>
      </c>
      <c r="BA189" s="9">
        <f t="shared" si="84"/>
        <v>-4.115222245569039E-3</v>
      </c>
      <c r="BB189" s="9">
        <f t="shared" si="84"/>
        <v>-4.0902821510452325E-3</v>
      </c>
      <c r="BC189" s="9">
        <f t="shared" si="84"/>
        <v>-4.195930160900696E-3</v>
      </c>
      <c r="BD189" s="9">
        <f t="shared" ref="BD189:BF189" si="85">(BD179+BD180)/(BD141+BD142)/((BD169+BD170)/(BD130+BD131))-1</f>
        <v>-4.2938519498608718E-3</v>
      </c>
      <c r="BE189" s="9">
        <f t="shared" si="85"/>
        <v>-4.3843283318697468E-3</v>
      </c>
      <c r="BF189" s="9">
        <f t="shared" si="85"/>
        <v>-4.4677866069477989E-3</v>
      </c>
    </row>
    <row r="190" spans="1:58" x14ac:dyDescent="0.35">
      <c r="B190" t="s">
        <v>33</v>
      </c>
      <c r="C190" s="9">
        <f t="shared" ref="C190:AL190" si="86">C181/C143/(C171/C132)-1</f>
        <v>1.0983184585796169E-2</v>
      </c>
      <c r="D190" s="9">
        <f t="shared" si="86"/>
        <v>1.2739883491098336E-2</v>
      </c>
      <c r="E190" s="9">
        <f t="shared" si="86"/>
        <v>1.3543371935511361E-2</v>
      </c>
      <c r="F190" s="9">
        <f t="shared" si="86"/>
        <v>1.3948016208805925E-2</v>
      </c>
      <c r="G190" s="9">
        <f t="shared" si="86"/>
        <v>1.3872582656970556E-2</v>
      </c>
      <c r="H190" s="9">
        <f t="shared" si="86"/>
        <v>1.3408937673361265E-2</v>
      </c>
      <c r="I190" s="9">
        <f t="shared" si="86"/>
        <v>1.2720623501377482E-2</v>
      </c>
      <c r="J190" s="9">
        <f t="shared" si="86"/>
        <v>1.1908967014980343E-2</v>
      </c>
      <c r="K190" s="9">
        <f t="shared" si="86"/>
        <v>1.1041446100148233E-2</v>
      </c>
      <c r="L190" s="9">
        <f t="shared" si="86"/>
        <v>1.016634751983303E-2</v>
      </c>
      <c r="M190" s="9">
        <f t="shared" si="86"/>
        <v>1.0208696798478245E-2</v>
      </c>
      <c r="N190" s="9">
        <f t="shared" si="86"/>
        <v>9.0298163204878268E-3</v>
      </c>
      <c r="O190" s="9">
        <f t="shared" si="86"/>
        <v>7.681966389819106E-3</v>
      </c>
      <c r="P190" s="9">
        <f t="shared" si="86"/>
        <v>6.3467834900656772E-3</v>
      </c>
      <c r="Q190" s="9">
        <f t="shared" si="86"/>
        <v>5.0873718542003843E-3</v>
      </c>
      <c r="R190" s="9">
        <f t="shared" si="86"/>
        <v>3.937712032478613E-3</v>
      </c>
      <c r="S190" s="9">
        <f t="shared" si="86"/>
        <v>2.9514664643117694E-3</v>
      </c>
      <c r="T190" s="9">
        <f t="shared" si="86"/>
        <v>2.1135095362638801E-3</v>
      </c>
      <c r="U190" s="9">
        <f t="shared" si="86"/>
        <v>1.4264652606281736E-3</v>
      </c>
      <c r="V190" s="9">
        <f t="shared" si="86"/>
        <v>8.8921534851271744E-4</v>
      </c>
      <c r="W190" s="9">
        <f t="shared" si="86"/>
        <v>4.8884312397334817E-4</v>
      </c>
      <c r="X190" s="9">
        <f t="shared" si="86"/>
        <v>2.2762056359204585E-4</v>
      </c>
      <c r="Y190" s="9">
        <f t="shared" si="86"/>
        <v>8.538324132345565E-5</v>
      </c>
      <c r="Z190" s="9">
        <f t="shared" si="86"/>
        <v>4.6486546187773925E-5</v>
      </c>
      <c r="AA190" s="9">
        <f t="shared" si="86"/>
        <v>9.4501620986120471E-5</v>
      </c>
      <c r="AB190" s="9">
        <f t="shared" si="86"/>
        <v>1.909792106864483E-4</v>
      </c>
      <c r="AC190" s="9">
        <f t="shared" si="86"/>
        <v>3.3781469497684569E-4</v>
      </c>
      <c r="AD190" s="9">
        <f t="shared" si="86"/>
        <v>5.2126037165312056E-4</v>
      </c>
      <c r="AE190" s="9">
        <f t="shared" si="86"/>
        <v>7.2799536519951857E-4</v>
      </c>
      <c r="AF190" s="9">
        <f t="shared" si="86"/>
        <v>9.4630574791287891E-4</v>
      </c>
      <c r="AG190" s="9">
        <f t="shared" si="86"/>
        <v>1.1669721251330589E-3</v>
      </c>
      <c r="AH190" s="9">
        <f t="shared" si="86"/>
        <v>1.3739508706172021E-3</v>
      </c>
      <c r="AI190" s="9">
        <f t="shared" si="86"/>
        <v>1.5679488144340059E-3</v>
      </c>
      <c r="AJ190" s="9">
        <f t="shared" si="86"/>
        <v>1.7444542058731027E-3</v>
      </c>
      <c r="AK190" s="9">
        <f t="shared" si="86"/>
        <v>1.8996980273142672E-3</v>
      </c>
      <c r="AL190" s="9">
        <f t="shared" si="86"/>
        <v>2.0312609394899095E-3</v>
      </c>
      <c r="AM190" s="9">
        <f t="shared" ref="AM190:BC190" si="87">AM181/AM143/(AM171/AM132)-1</f>
        <v>2.0558575262985546E-3</v>
      </c>
      <c r="AN190" s="9">
        <f t="shared" si="87"/>
        <v>2.0452911706378973E-3</v>
      </c>
      <c r="AO190" s="9">
        <f t="shared" si="87"/>
        <v>2.0064163906352572E-3</v>
      </c>
      <c r="AP190" s="9">
        <f t="shared" si="87"/>
        <v>1.9420590388476988E-3</v>
      </c>
      <c r="AQ190" s="9">
        <f t="shared" si="87"/>
        <v>1.8570837762945658E-3</v>
      </c>
      <c r="AR190" s="9">
        <f t="shared" si="87"/>
        <v>1.7452922175884567E-3</v>
      </c>
      <c r="AS190" s="9">
        <f t="shared" si="87"/>
        <v>1.6236067386927733E-3</v>
      </c>
      <c r="AT190" s="9">
        <f t="shared" si="87"/>
        <v>1.498700822549548E-3</v>
      </c>
      <c r="AU190" s="9">
        <f t="shared" si="87"/>
        <v>1.375235862323132E-3</v>
      </c>
      <c r="AV190" s="9">
        <f t="shared" si="87"/>
        <v>1.2558766332881888E-3</v>
      </c>
      <c r="AW190" s="9">
        <f t="shared" si="87"/>
        <v>1.0943923500585928E-3</v>
      </c>
      <c r="AX190" s="9">
        <f t="shared" si="87"/>
        <v>8.9535040729149529E-4</v>
      </c>
      <c r="AY190" s="9">
        <f t="shared" si="87"/>
        <v>6.5424953865611535E-4</v>
      </c>
      <c r="AZ190" s="9">
        <f t="shared" si="87"/>
        <v>4.0168531564233056E-4</v>
      </c>
      <c r="BA190" s="9">
        <f t="shared" si="87"/>
        <v>1.6474557642420784E-4</v>
      </c>
      <c r="BB190" s="9">
        <f t="shared" si="87"/>
        <v>2.2428448509804522E-2</v>
      </c>
      <c r="BC190" s="9">
        <f t="shared" si="87"/>
        <v>2.3685348665945183E-2</v>
      </c>
      <c r="BD190" s="9">
        <f t="shared" ref="BD190:BF190" si="88">BD181/BD143/(BD171/BD132)-1</f>
        <v>2.4985452524077578E-2</v>
      </c>
      <c r="BE190" s="9">
        <f t="shared" si="88"/>
        <v>2.6329744699673974E-2</v>
      </c>
      <c r="BF190" s="9">
        <f t="shared" si="88"/>
        <v>2.7717781782209183E-2</v>
      </c>
    </row>
    <row r="192" spans="1:58" x14ac:dyDescent="0.35">
      <c r="A192" s="12" t="s">
        <v>86</v>
      </c>
      <c r="B192" t="s">
        <v>27</v>
      </c>
      <c r="C192" s="5">
        <f>[1]Results!F1434</f>
        <v>27189.233509999998</v>
      </c>
      <c r="D192" s="5">
        <f>[1]Results!G1434</f>
        <v>27055.759119999999</v>
      </c>
      <c r="E192" s="5">
        <f>[1]Results!H1434</f>
        <v>26961.422020000002</v>
      </c>
      <c r="F192" s="5">
        <f>[1]Results!I1434</f>
        <v>26912.047640000001</v>
      </c>
      <c r="G192" s="5">
        <f>[1]Results!J1434</f>
        <v>26904.765169999999</v>
      </c>
      <c r="H192" s="5">
        <f>[1]Results!K1434</f>
        <v>26933.310860000001</v>
      </c>
      <c r="I192" s="5">
        <f>[1]Results!L1434</f>
        <v>26979.821499999998</v>
      </c>
      <c r="J192" s="5">
        <f>[1]Results!M1434</f>
        <v>27039.47666</v>
      </c>
      <c r="K192" s="5">
        <f>[1]Results!N1434</f>
        <v>27108.617320000001</v>
      </c>
      <c r="L192" s="5">
        <f>[1]Results!O1434</f>
        <v>27184.228050000002</v>
      </c>
      <c r="M192" s="5">
        <f>[1]Results!P1434</f>
        <v>27266.763650000001</v>
      </c>
      <c r="N192" s="5">
        <f>[1]Results!Q1434</f>
        <v>27360.653869999998</v>
      </c>
      <c r="O192" s="5">
        <f>[1]Results!R1434</f>
        <v>27461.889780000001</v>
      </c>
      <c r="P192" s="5">
        <f>[1]Results!S1434</f>
        <v>27566.935890000001</v>
      </c>
      <c r="Q192" s="5">
        <f>[1]Results!T1434</f>
        <v>27673.260020000002</v>
      </c>
      <c r="R192" s="5">
        <f>[1]Results!U1434</f>
        <v>27779.18014</v>
      </c>
      <c r="S192" s="5">
        <f>[1]Results!V1434</f>
        <v>27883.328440000001</v>
      </c>
      <c r="T192" s="5">
        <f>[1]Results!W1434</f>
        <v>27985.06826</v>
      </c>
      <c r="U192" s="5">
        <f>[1]Results!X1434</f>
        <v>28084.163219999999</v>
      </c>
      <c r="V192" s="5">
        <f>[1]Results!Y1434</f>
        <v>28180.610680000002</v>
      </c>
      <c r="W192" s="5">
        <f>[1]Results!Z1434</f>
        <v>28263.092540000001</v>
      </c>
      <c r="X192" s="5">
        <f>[1]Results!AA1434</f>
        <v>28345.400020000001</v>
      </c>
      <c r="Y192" s="5">
        <f>[1]Results!AB1434</f>
        <v>28428.175469999998</v>
      </c>
      <c r="Z192" s="5">
        <f>[1]Results!AC1434</f>
        <v>28511.415550000002</v>
      </c>
      <c r="AA192" s="5">
        <f>[1]Results!AD1434</f>
        <v>28595.02289</v>
      </c>
      <c r="AB192" s="5">
        <f>[1]Results!AE1434</f>
        <v>28647.748820000001</v>
      </c>
      <c r="AC192" s="5">
        <f>[1]Results!AF1434</f>
        <v>28691.876609999999</v>
      </c>
      <c r="AD192" s="5">
        <f>[1]Results!AG1434</f>
        <v>28731.080620000001</v>
      </c>
      <c r="AE192" s="5">
        <f>[1]Results!AH1434</f>
        <v>28767.646379999998</v>
      </c>
      <c r="AF192" s="5">
        <f>[1]Results!AI1434</f>
        <v>28803.183710000001</v>
      </c>
      <c r="AG192" s="5">
        <f>[1]Results!AJ1434</f>
        <v>28838.82717</v>
      </c>
      <c r="AH192" s="5">
        <f>[1]Results!AK1434</f>
        <v>28875.37095</v>
      </c>
      <c r="AI192" s="5">
        <f>[1]Results!AL1434</f>
        <v>28913.28672</v>
      </c>
      <c r="AJ192" s="5">
        <f>[1]Results!AM1434</f>
        <v>28952.775290000001</v>
      </c>
      <c r="AK192" s="5">
        <f>[1]Results!AN1434</f>
        <v>28993.85456</v>
      </c>
      <c r="AL192" s="5">
        <f>[1]Results!AO1434</f>
        <v>29036.42713</v>
      </c>
      <c r="AM192" s="5">
        <f>[1]Results!AP1434</f>
        <v>29074.017500000002</v>
      </c>
      <c r="AN192" s="5">
        <f>[1]Results!AQ1434</f>
        <v>29107.958910000001</v>
      </c>
      <c r="AO192" s="5">
        <f>[1]Results!AR1434</f>
        <v>29139.470389999999</v>
      </c>
      <c r="AP192" s="5">
        <f>[1]Results!AS1434</f>
        <v>29169.489010000001</v>
      </c>
      <c r="AQ192" s="5">
        <f>[1]Results!AT1434</f>
        <v>29198.7035</v>
      </c>
      <c r="AR192" s="5">
        <f>[1]Results!AU1434</f>
        <v>29227.637040000001</v>
      </c>
      <c r="AS192" s="5">
        <f>[1]Results!AV1434</f>
        <v>29256.681329999999</v>
      </c>
      <c r="AT192" s="5">
        <f>[1]Results!AW1434</f>
        <v>29286.04292</v>
      </c>
      <c r="AU192" s="5">
        <f>[1]Results!AX1434</f>
        <v>29315.803899999999</v>
      </c>
      <c r="AV192" s="5">
        <f>[1]Results!AY1434</f>
        <v>29345.962630000002</v>
      </c>
      <c r="AW192" s="5">
        <f>[1]Results!AZ1434</f>
        <v>29377.058949999999</v>
      </c>
      <c r="AX192" s="5">
        <f>[1]Results!BA1434</f>
        <v>29409.137180000002</v>
      </c>
      <c r="AY192" s="5">
        <f>[1]Results!BB1434</f>
        <v>29442.015159999999</v>
      </c>
      <c r="AZ192" s="5">
        <f>[1]Results!BC1434</f>
        <v>29475.451010000001</v>
      </c>
      <c r="BA192" s="5">
        <f>[1]Results!BD1434</f>
        <v>29509.212309999999</v>
      </c>
      <c r="BB192" s="5">
        <f>[1]Results!BE1434</f>
        <v>31151.28602</v>
      </c>
      <c r="BC192" s="5">
        <f>[1]Results!BF1434</f>
        <v>31189.76338</v>
      </c>
      <c r="BD192" s="5">
        <f>[1]Results!BG1434</f>
        <v>31227.690480000001</v>
      </c>
      <c r="BE192" s="5">
        <f>[1]Results!BH1434</f>
        <v>31265.089660000001</v>
      </c>
      <c r="BF192" s="5">
        <f>[1]Results!BI1434</f>
        <v>31301.985199999999</v>
      </c>
    </row>
    <row r="193" spans="1:58" x14ac:dyDescent="0.35">
      <c r="A193" t="s">
        <v>39</v>
      </c>
      <c r="B193" t="s">
        <v>7</v>
      </c>
      <c r="C193" s="5">
        <f>[1]Results!F1435</f>
        <v>757.78187869999999</v>
      </c>
      <c r="D193" s="5">
        <f>[1]Results!G1435</f>
        <v>753.16943100000003</v>
      </c>
      <c r="E193" s="5">
        <f>[1]Results!H1435</f>
        <v>748.31211659999997</v>
      </c>
      <c r="F193" s="5">
        <f>[1]Results!I1435</f>
        <v>744.55526380000003</v>
      </c>
      <c r="G193" s="5">
        <f>[1]Results!J1435</f>
        <v>742.40161409999996</v>
      </c>
      <c r="H193" s="5">
        <f>[1]Results!K1435</f>
        <v>741.87394219999999</v>
      </c>
      <c r="I193" s="5">
        <f>[1]Results!L1435</f>
        <v>742.50877969999999</v>
      </c>
      <c r="J193" s="5">
        <f>[1]Results!M1435</f>
        <v>744.02852099999996</v>
      </c>
      <c r="K193" s="5">
        <f>[1]Results!N1435</f>
        <v>746.18841970000005</v>
      </c>
      <c r="L193" s="5">
        <f>[1]Results!O1435</f>
        <v>748.78366600000004</v>
      </c>
      <c r="M193" s="5">
        <f>[1]Results!P1435</f>
        <v>751.49137050000002</v>
      </c>
      <c r="N193" s="5">
        <f>[1]Results!Q1435</f>
        <v>754.92734700000005</v>
      </c>
      <c r="O193" s="5">
        <f>[1]Results!R1435</f>
        <v>758.78695419999997</v>
      </c>
      <c r="P193" s="5">
        <f>[1]Results!S1435</f>
        <v>762.85545209999998</v>
      </c>
      <c r="Q193" s="5">
        <f>[1]Results!T1435</f>
        <v>766.99658729999999</v>
      </c>
      <c r="R193" s="5">
        <f>[1]Results!U1435</f>
        <v>771.12645980000002</v>
      </c>
      <c r="S193" s="5">
        <f>[1]Results!V1435</f>
        <v>775.2442274</v>
      </c>
      <c r="T193" s="5">
        <f>[1]Results!W1435</f>
        <v>779.28817149999998</v>
      </c>
      <c r="U193" s="5">
        <f>[1]Results!X1435</f>
        <v>783.22834250000005</v>
      </c>
      <c r="V193" s="5">
        <f>[1]Results!Y1435</f>
        <v>787.05466490000003</v>
      </c>
      <c r="W193" s="5">
        <f>[1]Results!Z1435</f>
        <v>790.48063339999999</v>
      </c>
      <c r="X193" s="5">
        <f>[1]Results!AA1435</f>
        <v>793.81498309999995</v>
      </c>
      <c r="Y193" s="5">
        <f>[1]Results!AB1435</f>
        <v>797.10974920000001</v>
      </c>
      <c r="Z193" s="5">
        <f>[1]Results!AC1435</f>
        <v>800.38596059999998</v>
      </c>
      <c r="AA193" s="5">
        <f>[1]Results!AD1435</f>
        <v>803.65368190000004</v>
      </c>
      <c r="AB193" s="5">
        <f>[1]Results!AE1435</f>
        <v>806.13083140000003</v>
      </c>
      <c r="AC193" s="5">
        <f>[1]Results!AF1435</f>
        <v>808.24652509999999</v>
      </c>
      <c r="AD193" s="5">
        <f>[1]Results!AG1435</f>
        <v>810.1481794</v>
      </c>
      <c r="AE193" s="5">
        <f>[1]Results!AH1435</f>
        <v>811.93547690000003</v>
      </c>
      <c r="AF193" s="5">
        <f>[1]Results!AI1435</f>
        <v>813.68068349999999</v>
      </c>
      <c r="AG193" s="5">
        <f>[1]Results!AJ1435</f>
        <v>815.43527310000002</v>
      </c>
      <c r="AH193" s="5">
        <f>[1]Results!AK1435</f>
        <v>817.21964660000003</v>
      </c>
      <c r="AI193" s="5">
        <f>[1]Results!AL1435</f>
        <v>819.06427129999997</v>
      </c>
      <c r="AJ193" s="5">
        <f>[1]Results!AM1435</f>
        <v>820.98435270000004</v>
      </c>
      <c r="AK193" s="5">
        <f>[1]Results!AN1435</f>
        <v>822.98480789999996</v>
      </c>
      <c r="AL193" s="5">
        <f>[1]Results!AO1435</f>
        <v>825.06422629999997</v>
      </c>
      <c r="AM193" s="5">
        <f>[1]Results!AP1435</f>
        <v>826.91925549999996</v>
      </c>
      <c r="AN193" s="5">
        <f>[1]Results!AQ1435</f>
        <v>828.63867359999995</v>
      </c>
      <c r="AO193" s="5">
        <f>[1]Results!AR1435</f>
        <v>830.28893719999996</v>
      </c>
      <c r="AP193" s="5">
        <f>[1]Results!AS1435</f>
        <v>831.91424159999997</v>
      </c>
      <c r="AQ193" s="5">
        <f>[1]Results!AT1435</f>
        <v>833.54327290000003</v>
      </c>
      <c r="AR193" s="5">
        <f>[1]Results!AU1435</f>
        <v>835.17297210000004</v>
      </c>
      <c r="AS193" s="5">
        <f>[1]Results!AV1435</f>
        <v>836.82944280000004</v>
      </c>
      <c r="AT193" s="5">
        <f>[1]Results!AW1435</f>
        <v>838.52623080000001</v>
      </c>
      <c r="AU193" s="5">
        <f>[1]Results!AX1435</f>
        <v>840.26864990000001</v>
      </c>
      <c r="AV193" s="5">
        <f>[1]Results!AY1435</f>
        <v>842.05694770000002</v>
      </c>
      <c r="AW193" s="5">
        <f>[1]Results!AZ1435</f>
        <v>843.82707010000001</v>
      </c>
      <c r="AX193" s="5">
        <f>[1]Results!BA1435</f>
        <v>845.6245467</v>
      </c>
      <c r="AY193" s="5">
        <f>[1]Results!BB1435</f>
        <v>847.46641890000001</v>
      </c>
      <c r="AZ193" s="5">
        <f>[1]Results!BC1435</f>
        <v>849.35408480000001</v>
      </c>
      <c r="BA193" s="5">
        <f>[1]Results!BD1435</f>
        <v>851.28179209999996</v>
      </c>
      <c r="BB193" s="5">
        <f>[1]Results!BE1435</f>
        <v>820.99118099999998</v>
      </c>
      <c r="BC193" s="5">
        <f>[1]Results!BF1435</f>
        <v>821.45874209999999</v>
      </c>
      <c r="BD193" s="5">
        <f>[1]Results!BG1435</f>
        <v>821.93549919999998</v>
      </c>
      <c r="BE193" s="5">
        <f>[1]Results!BH1435</f>
        <v>822.4226175</v>
      </c>
      <c r="BF193" s="5">
        <f>[1]Results!BI1435</f>
        <v>822.92123130000004</v>
      </c>
    </row>
    <row r="194" spans="1:58" x14ac:dyDescent="0.35">
      <c r="B194" t="s">
        <v>8</v>
      </c>
      <c r="C194" s="5">
        <f>[1]Results!F1438</f>
        <v>4322.3580030000003</v>
      </c>
      <c r="D194" s="5">
        <f>[1]Results!G1438</f>
        <v>4290.6063359999998</v>
      </c>
      <c r="E194" s="5">
        <f>[1]Results!H1438</f>
        <v>4268.6895569999997</v>
      </c>
      <c r="F194" s="5">
        <f>[1]Results!I1438</f>
        <v>4256.198969</v>
      </c>
      <c r="G194" s="5">
        <f>[1]Results!J1438</f>
        <v>4251.7182249999996</v>
      </c>
      <c r="H194" s="5">
        <f>[1]Results!K1438</f>
        <v>4253.6151159999999</v>
      </c>
      <c r="I194" s="5">
        <f>[1]Results!L1438</f>
        <v>4258.8943859999999</v>
      </c>
      <c r="J194" s="5">
        <f>[1]Results!M1438</f>
        <v>4266.4042559999998</v>
      </c>
      <c r="K194" s="5">
        <f>[1]Results!N1438</f>
        <v>4275.3729499999999</v>
      </c>
      <c r="L194" s="5">
        <f>[1]Results!O1438</f>
        <v>4285.2526159999998</v>
      </c>
      <c r="M194" s="5">
        <f>[1]Results!P1438</f>
        <v>4294.5706980000004</v>
      </c>
      <c r="N194" s="5">
        <f>[1]Results!Q1438</f>
        <v>4307.0668660000001</v>
      </c>
      <c r="O194" s="5">
        <f>[1]Results!R1438</f>
        <v>4321.5299640000003</v>
      </c>
      <c r="P194" s="5">
        <f>[1]Results!S1438</f>
        <v>4337.0341209999997</v>
      </c>
      <c r="Q194" s="5">
        <f>[1]Results!T1438</f>
        <v>4352.9644930000004</v>
      </c>
      <c r="R194" s="5">
        <f>[1]Results!U1438</f>
        <v>4368.9463379999997</v>
      </c>
      <c r="S194" s="5">
        <f>[1]Results!V1438</f>
        <v>4384.6616530000001</v>
      </c>
      <c r="T194" s="5">
        <f>[1]Results!W1438</f>
        <v>4400.0366309999999</v>
      </c>
      <c r="U194" s="5">
        <f>[1]Results!X1438</f>
        <v>4415.0710319999998</v>
      </c>
      <c r="V194" s="5">
        <f>[1]Results!Y1438</f>
        <v>4429.8035739999996</v>
      </c>
      <c r="W194" s="5">
        <f>[1]Results!Z1438</f>
        <v>4442.766877</v>
      </c>
      <c r="X194" s="5">
        <f>[1]Results!AA1438</f>
        <v>4455.6778809999996</v>
      </c>
      <c r="Y194" s="5">
        <f>[1]Results!AB1438</f>
        <v>4468.7506149999999</v>
      </c>
      <c r="Z194" s="5">
        <f>[1]Results!AC1438</f>
        <v>4482.0587770000002</v>
      </c>
      <c r="AA194" s="5">
        <f>[1]Results!AD1438</f>
        <v>4495.6281580000004</v>
      </c>
      <c r="AB194" s="5">
        <f>[1]Results!AE1438</f>
        <v>4505.3329720000002</v>
      </c>
      <c r="AC194" s="5">
        <f>[1]Results!AF1438</f>
        <v>4513.7287120000001</v>
      </c>
      <c r="AD194" s="5">
        <f>[1]Results!AG1438</f>
        <v>4521.3560420000003</v>
      </c>
      <c r="AE194" s="5">
        <f>[1]Results!AH1438</f>
        <v>4528.5654340000001</v>
      </c>
      <c r="AF194" s="5">
        <f>[1]Results!AI1438</f>
        <v>4535.6014359999999</v>
      </c>
      <c r="AG194" s="5">
        <f>[1]Results!AJ1438</f>
        <v>4542.6313879999998</v>
      </c>
      <c r="AH194" s="5">
        <f>[1]Results!AK1438</f>
        <v>4549.7833950000004</v>
      </c>
      <c r="AI194" s="5">
        <f>[1]Results!AL1438</f>
        <v>4557.1124170000003</v>
      </c>
      <c r="AJ194" s="5">
        <f>[1]Results!AM1438</f>
        <v>4564.6327719999999</v>
      </c>
      <c r="AK194" s="5">
        <f>[1]Results!AN1438</f>
        <v>4572.330207</v>
      </c>
      <c r="AL194" s="5">
        <f>[1]Results!AO1438</f>
        <v>4580.1715770000001</v>
      </c>
      <c r="AM194" s="5">
        <f>[1]Results!AP1438</f>
        <v>4587.4266829999997</v>
      </c>
      <c r="AN194" s="5">
        <f>[1]Results!AQ1438</f>
        <v>4594.101705</v>
      </c>
      <c r="AO194" s="5">
        <f>[1]Results!AR1438</f>
        <v>4600.2658769999998</v>
      </c>
      <c r="AP194" s="5">
        <f>[1]Results!AS1438</f>
        <v>4605.9941909999998</v>
      </c>
      <c r="AQ194" s="5">
        <f>[1]Results!AT1438</f>
        <v>4611.3505519999999</v>
      </c>
      <c r="AR194" s="5">
        <f>[1]Results!AU1438</f>
        <v>4616.4115439999996</v>
      </c>
      <c r="AS194" s="5">
        <f>[1]Results!AV1438</f>
        <v>4621.2125679999999</v>
      </c>
      <c r="AT194" s="5">
        <f>[1]Results!AW1438</f>
        <v>4625.7716060000002</v>
      </c>
      <c r="AU194" s="5">
        <f>[1]Results!AX1438</f>
        <v>4630.094838</v>
      </c>
      <c r="AV194" s="5">
        <f>[1]Results!AY1438</f>
        <v>4634.1805329999997</v>
      </c>
      <c r="AW194" s="5">
        <f>[1]Results!AZ1438</f>
        <v>4638.1782030000004</v>
      </c>
      <c r="AX194" s="5">
        <f>[1]Results!BA1438</f>
        <v>4642.0808360000001</v>
      </c>
      <c r="AY194" s="5">
        <f>[1]Results!BB1438</f>
        <v>4645.8565749999998</v>
      </c>
      <c r="AZ194" s="5">
        <f>[1]Results!BC1438</f>
        <v>4649.4693779999998</v>
      </c>
      <c r="BA194" s="5">
        <f>[1]Results!BD1438</f>
        <v>4652.8875939999998</v>
      </c>
      <c r="BB194" s="5">
        <f>[1]Results!BE1438</f>
        <v>5231.1607729999996</v>
      </c>
      <c r="BC194" s="5">
        <f>[1]Results!BF1438</f>
        <v>5242.3388690000002</v>
      </c>
      <c r="BD194" s="5">
        <f>[1]Results!BG1438</f>
        <v>5253.0782669999999</v>
      </c>
      <c r="BE194" s="5">
        <f>[1]Results!BH1438</f>
        <v>5263.3729199999998</v>
      </c>
      <c r="BF194" s="5">
        <f>[1]Results!BI1438</f>
        <v>5273.218406</v>
      </c>
    </row>
    <row r="195" spans="1:58" x14ac:dyDescent="0.35">
      <c r="B195" t="s">
        <v>28</v>
      </c>
      <c r="C195" s="5">
        <f>[1]Results!F1450</f>
        <v>860.23438810000005</v>
      </c>
      <c r="D195" s="5">
        <f>[1]Results!G1450</f>
        <v>854.26643109999998</v>
      </c>
      <c r="E195" s="5">
        <f>[1]Results!H1450</f>
        <v>849.71880980000003</v>
      </c>
      <c r="F195" s="5">
        <f>[1]Results!I1450</f>
        <v>846.63319739999997</v>
      </c>
      <c r="G195" s="5">
        <f>[1]Results!J1450</f>
        <v>844.88007800000003</v>
      </c>
      <c r="H195" s="5">
        <f>[1]Results!K1450</f>
        <v>844.25312029999998</v>
      </c>
      <c r="I195" s="5">
        <f>[1]Results!L1450</f>
        <v>844.21349290000001</v>
      </c>
      <c r="J195" s="5">
        <f>[1]Results!M1450</f>
        <v>844.5959924</v>
      </c>
      <c r="K195" s="5">
        <f>[1]Results!N1450</f>
        <v>845.27278430000001</v>
      </c>
      <c r="L195" s="5">
        <f>[1]Results!O1450</f>
        <v>846.13565419999998</v>
      </c>
      <c r="M195" s="5">
        <f>[1]Results!P1450</f>
        <v>846.95056160000001</v>
      </c>
      <c r="N195" s="5">
        <f>[1]Results!Q1450</f>
        <v>848.30968310000003</v>
      </c>
      <c r="O195" s="5">
        <f>[1]Results!R1450</f>
        <v>849.96851790000005</v>
      </c>
      <c r="P195" s="5">
        <f>[1]Results!S1450</f>
        <v>851.74686320000001</v>
      </c>
      <c r="Q195" s="5">
        <f>[1]Results!T1450</f>
        <v>853.52984979999997</v>
      </c>
      <c r="R195" s="5">
        <f>[1]Results!U1450</f>
        <v>855.24957489999997</v>
      </c>
      <c r="S195" s="5">
        <f>[1]Results!V1450</f>
        <v>856.84868949999998</v>
      </c>
      <c r="T195" s="5">
        <f>[1]Results!W1450</f>
        <v>858.31541010000001</v>
      </c>
      <c r="U195" s="5">
        <f>[1]Results!X1450</f>
        <v>859.65111539999998</v>
      </c>
      <c r="V195" s="5">
        <f>[1]Results!Y1450</f>
        <v>860.86420239999995</v>
      </c>
      <c r="W195" s="5">
        <f>[1]Results!Z1450</f>
        <v>861.64701779999996</v>
      </c>
      <c r="X195" s="5">
        <f>[1]Results!AA1450</f>
        <v>862.39319309999996</v>
      </c>
      <c r="Y195" s="5">
        <f>[1]Results!AB1450</f>
        <v>863.13391469999999</v>
      </c>
      <c r="Z195" s="5">
        <f>[1]Results!AC1450</f>
        <v>863.87466889999996</v>
      </c>
      <c r="AA195" s="5">
        <f>[1]Results!AD1450</f>
        <v>864.61738839999998</v>
      </c>
      <c r="AB195" s="5">
        <f>[1]Results!AE1450</f>
        <v>864.4988697</v>
      </c>
      <c r="AC195" s="5">
        <f>[1]Results!AF1450</f>
        <v>864.14801220000004</v>
      </c>
      <c r="AD195" s="5">
        <f>[1]Results!AG1450</f>
        <v>863.68336680000004</v>
      </c>
      <c r="AE195" s="5">
        <f>[1]Results!AH1450</f>
        <v>863.17321719999995</v>
      </c>
      <c r="AF195" s="5">
        <f>[1]Results!AI1450</f>
        <v>862.66462490000004</v>
      </c>
      <c r="AG195" s="5">
        <f>[1]Results!AJ1450</f>
        <v>862.19052620000002</v>
      </c>
      <c r="AH195" s="5">
        <f>[1]Results!AK1450</f>
        <v>861.7765809</v>
      </c>
      <c r="AI195" s="5">
        <f>[1]Results!AL1450</f>
        <v>861.4344102</v>
      </c>
      <c r="AJ195" s="5">
        <f>[1]Results!AM1450</f>
        <v>861.16800579999995</v>
      </c>
      <c r="AK195" s="5">
        <f>[1]Results!AN1450</f>
        <v>860.97618629999999</v>
      </c>
      <c r="AL195" s="5">
        <f>[1]Results!AO1450</f>
        <v>860.85447050000005</v>
      </c>
      <c r="AM195" s="5">
        <f>[1]Results!AP1450</f>
        <v>860.64930679999998</v>
      </c>
      <c r="AN195" s="5">
        <f>[1]Results!AQ1450</f>
        <v>860.38254189999998</v>
      </c>
      <c r="AO195" s="5">
        <f>[1]Results!AR1450</f>
        <v>860.08104749999995</v>
      </c>
      <c r="AP195" s="5">
        <f>[1]Results!AS1450</f>
        <v>859.7667993</v>
      </c>
      <c r="AQ195" s="5">
        <f>[1]Results!AT1450</f>
        <v>859.45623839999996</v>
      </c>
      <c r="AR195" s="5">
        <f>[1]Results!AU1450</f>
        <v>859.16614760000004</v>
      </c>
      <c r="AS195" s="5">
        <f>[1]Results!AV1450</f>
        <v>858.90370829999995</v>
      </c>
      <c r="AT195" s="5">
        <f>[1]Results!AW1450</f>
        <v>858.67187779999995</v>
      </c>
      <c r="AU195" s="5">
        <f>[1]Results!AX1450</f>
        <v>858.47079310000004</v>
      </c>
      <c r="AV195" s="5">
        <f>[1]Results!AY1450</f>
        <v>858.29865240000004</v>
      </c>
      <c r="AW195" s="5">
        <f>[1]Results!AZ1450</f>
        <v>858.18313039999998</v>
      </c>
      <c r="AX195" s="5">
        <f>[1]Results!BA1450</f>
        <v>858.11719730000004</v>
      </c>
      <c r="AY195" s="5">
        <f>[1]Results!BB1450</f>
        <v>858.08999180000001</v>
      </c>
      <c r="AZ195" s="5">
        <f>[1]Results!BC1450</f>
        <v>858.09111829999995</v>
      </c>
      <c r="BA195" s="5">
        <f>[1]Results!BD1450</f>
        <v>858.1118199</v>
      </c>
      <c r="BB195" s="5">
        <f>[1]Results!BE1450</f>
        <v>906.05349030000002</v>
      </c>
      <c r="BC195" s="5">
        <f>[1]Results!BF1450</f>
        <v>906.0849584</v>
      </c>
      <c r="BD195" s="5">
        <f>[1]Results!BG1450</f>
        <v>906.13729030000002</v>
      </c>
      <c r="BE195" s="5">
        <f>[1]Results!BH1450</f>
        <v>906.21093189999999</v>
      </c>
      <c r="BF195" s="5">
        <f>[1]Results!BI1450</f>
        <v>906.30620550000003</v>
      </c>
    </row>
    <row r="196" spans="1:58" x14ac:dyDescent="0.35">
      <c r="B196" t="s">
        <v>10</v>
      </c>
      <c r="C196" s="5">
        <f>[1]Results!F1455</f>
        <v>21144.679080000002</v>
      </c>
      <c r="D196" s="5">
        <f>[1]Results!G1455</f>
        <v>21054.338670000001</v>
      </c>
      <c r="E196" s="5">
        <f>[1]Results!H1455</f>
        <v>20992.193619999998</v>
      </c>
      <c r="F196" s="5">
        <f>[1]Results!I1455</f>
        <v>20963.00086</v>
      </c>
      <c r="G196" s="5">
        <f>[1]Results!J1455</f>
        <v>20964.863430000001</v>
      </c>
      <c r="H196" s="5">
        <f>[1]Results!K1455</f>
        <v>20993.300230000001</v>
      </c>
      <c r="I196" s="5">
        <f>[1]Results!L1455</f>
        <v>21034.475109999999</v>
      </c>
      <c r="J196" s="5">
        <f>[1]Results!M1455</f>
        <v>21085.174660000001</v>
      </c>
      <c r="K196" s="5">
        <f>[1]Results!N1455</f>
        <v>21142.900949999999</v>
      </c>
      <c r="L196" s="5">
        <f>[1]Results!O1455</f>
        <v>21205.518240000001</v>
      </c>
      <c r="M196" s="5">
        <f>[1]Results!P1455</f>
        <v>21275.539049999999</v>
      </c>
      <c r="N196" s="5">
        <f>[1]Results!Q1455</f>
        <v>21352.399969999999</v>
      </c>
      <c r="O196" s="5">
        <f>[1]Results!R1455</f>
        <v>21433.87876</v>
      </c>
      <c r="P196" s="5">
        <f>[1]Results!S1455</f>
        <v>21517.78111</v>
      </c>
      <c r="Q196" s="5">
        <f>[1]Results!T1455</f>
        <v>21602.45347</v>
      </c>
      <c r="R196" s="5">
        <f>[1]Results!U1455</f>
        <v>21686.747780000002</v>
      </c>
      <c r="S196" s="5">
        <f>[1]Results!V1455</f>
        <v>21769.677739999999</v>
      </c>
      <c r="T196" s="5">
        <f>[1]Results!W1455</f>
        <v>21850.755659999999</v>
      </c>
      <c r="U196" s="5">
        <f>[1]Results!X1455</f>
        <v>21929.774160000001</v>
      </c>
      <c r="V196" s="5">
        <f>[1]Results!Y1455</f>
        <v>22006.692920000001</v>
      </c>
      <c r="W196" s="5">
        <f>[1]Results!Z1455</f>
        <v>22072.286499999998</v>
      </c>
      <c r="X196" s="5">
        <f>[1]Results!AA1455</f>
        <v>22137.88852</v>
      </c>
      <c r="Y196" s="5">
        <f>[1]Results!AB1455</f>
        <v>22203.83827</v>
      </c>
      <c r="Z196" s="5">
        <f>[1]Results!AC1455</f>
        <v>22270.031480000001</v>
      </c>
      <c r="AA196" s="5">
        <f>[1]Results!AD1455</f>
        <v>22336.33296</v>
      </c>
      <c r="AB196" s="5">
        <f>[1]Results!AE1455</f>
        <v>22377.35122</v>
      </c>
      <c r="AC196" s="5">
        <f>[1]Results!AF1455</f>
        <v>22411.697219999998</v>
      </c>
      <c r="AD196" s="5">
        <f>[1]Results!AG1455</f>
        <v>22442.221710000002</v>
      </c>
      <c r="AE196" s="5">
        <f>[1]Results!AH1455</f>
        <v>22470.683550000002</v>
      </c>
      <c r="AF196" s="5">
        <f>[1]Results!AI1455</f>
        <v>22498.323899999999</v>
      </c>
      <c r="AG196" s="5">
        <f>[1]Results!AJ1455</f>
        <v>22526.022519999999</v>
      </c>
      <c r="AH196" s="5">
        <f>[1]Results!AK1455</f>
        <v>22554.39731</v>
      </c>
      <c r="AI196" s="5">
        <f>[1]Results!AL1455</f>
        <v>22583.82185</v>
      </c>
      <c r="AJ196" s="5">
        <f>[1]Results!AM1455</f>
        <v>22614.463029999999</v>
      </c>
      <c r="AK196" s="5">
        <f>[1]Results!AN1455</f>
        <v>22646.349310000001</v>
      </c>
      <c r="AL196" s="5">
        <f>[1]Results!AO1455</f>
        <v>22679.422719999999</v>
      </c>
      <c r="AM196" s="5">
        <f>[1]Results!AP1455</f>
        <v>22708.41143</v>
      </c>
      <c r="AN196" s="5">
        <f>[1]Results!AQ1455</f>
        <v>22734.530170000002</v>
      </c>
      <c r="AO196" s="5">
        <f>[1]Results!AR1455</f>
        <v>22758.831880000002</v>
      </c>
      <c r="AP196" s="5">
        <f>[1]Results!AS1455</f>
        <v>22782.109520000002</v>
      </c>
      <c r="AQ196" s="5">
        <f>[1]Results!AT1455</f>
        <v>22804.940859999999</v>
      </c>
      <c r="AR196" s="5">
        <f>[1]Results!AU1455</f>
        <v>22827.757450000001</v>
      </c>
      <c r="AS196" s="5">
        <f>[1]Results!AV1455</f>
        <v>22850.8819</v>
      </c>
      <c r="AT196" s="5">
        <f>[1]Results!AW1455</f>
        <v>22874.4863</v>
      </c>
      <c r="AU196" s="5">
        <f>[1]Results!AX1455</f>
        <v>22898.641390000001</v>
      </c>
      <c r="AV196" s="5">
        <f>[1]Results!AY1455</f>
        <v>22923.349279999999</v>
      </c>
      <c r="AW196" s="5">
        <f>[1]Results!AZ1455</f>
        <v>22949.035039999999</v>
      </c>
      <c r="AX196" s="5">
        <f>[1]Results!BA1455</f>
        <v>22975.712049999998</v>
      </c>
      <c r="AY196" s="5">
        <f>[1]Results!BB1455</f>
        <v>23003.224819999999</v>
      </c>
      <c r="AZ196" s="5">
        <f>[1]Results!BC1455</f>
        <v>23031.377329999999</v>
      </c>
      <c r="BA196" s="5">
        <f>[1]Results!BD1455</f>
        <v>23059.98403</v>
      </c>
      <c r="BB196" s="5">
        <f>[1]Results!BE1455</f>
        <v>24105.83799</v>
      </c>
      <c r="BC196" s="5">
        <f>[1]Results!BF1455</f>
        <v>24132.885460000001</v>
      </c>
      <c r="BD196" s="5">
        <f>[1]Results!BG1455</f>
        <v>24159.784810000001</v>
      </c>
      <c r="BE196" s="5">
        <f>[1]Results!BH1455</f>
        <v>24186.563109999999</v>
      </c>
      <c r="BF196" s="5">
        <f>[1]Results!BI1455</f>
        <v>24213.247859999999</v>
      </c>
    </row>
    <row r="197" spans="1:58" x14ac:dyDescent="0.35">
      <c r="B197" t="s">
        <v>29</v>
      </c>
      <c r="C197" s="5">
        <f>C202-C198</f>
        <v>10.4626967752</v>
      </c>
      <c r="D197" s="5">
        <f t="shared" ref="D197:AL197" si="89">D202-D198</f>
        <v>10.3528040774</v>
      </c>
      <c r="E197" s="5">
        <f t="shared" si="89"/>
        <v>10.250571535200001</v>
      </c>
      <c r="F197" s="5">
        <f t="shared" si="89"/>
        <v>10.161470390300002</v>
      </c>
      <c r="G197" s="5">
        <f t="shared" si="89"/>
        <v>10.088922463699999</v>
      </c>
      <c r="H197" s="5">
        <f t="shared" si="89"/>
        <v>10.033347800799998</v>
      </c>
      <c r="I197" s="5">
        <f t="shared" si="89"/>
        <v>9.9894639914999992</v>
      </c>
      <c r="J197" s="5">
        <f t="shared" si="89"/>
        <v>9.9552612580000002</v>
      </c>
      <c r="K197" s="5">
        <f t="shared" si="89"/>
        <v>9.9285678297000004</v>
      </c>
      <c r="L197" s="5">
        <f t="shared" si="89"/>
        <v>9.9072723871000008</v>
      </c>
      <c r="M197" s="5">
        <f t="shared" si="89"/>
        <v>9.8853818657000012</v>
      </c>
      <c r="N197" s="5">
        <f t="shared" si="89"/>
        <v>9.8739202404000004</v>
      </c>
      <c r="O197" s="5">
        <f t="shared" si="89"/>
        <v>9.8689051203999973</v>
      </c>
      <c r="P197" s="5">
        <f t="shared" si="89"/>
        <v>9.8673004513999985</v>
      </c>
      <c r="Q197" s="5">
        <f t="shared" si="89"/>
        <v>9.8672312133000002</v>
      </c>
      <c r="R197" s="5">
        <f t="shared" si="89"/>
        <v>9.8676017696000002</v>
      </c>
      <c r="S197" s="5">
        <f t="shared" si="89"/>
        <v>9.8674983828999991</v>
      </c>
      <c r="T197" s="5">
        <f t="shared" si="89"/>
        <v>9.8666836748999991</v>
      </c>
      <c r="U197" s="5">
        <f t="shared" si="89"/>
        <v>9.8650679472999983</v>
      </c>
      <c r="V197" s="5">
        <f t="shared" si="89"/>
        <v>9.8626305718000005</v>
      </c>
      <c r="W197" s="5">
        <f t="shared" si="89"/>
        <v>9.8558706730999983</v>
      </c>
      <c r="X197" s="5">
        <f t="shared" si="89"/>
        <v>9.849161711299999</v>
      </c>
      <c r="Y197" s="5">
        <f t="shared" si="89"/>
        <v>9.8426442756000014</v>
      </c>
      <c r="Z197" s="5">
        <f t="shared" si="89"/>
        <v>9.8361926301999993</v>
      </c>
      <c r="AA197" s="5">
        <f t="shared" si="89"/>
        <v>9.8297095296999988</v>
      </c>
      <c r="AB197" s="5">
        <f t="shared" si="89"/>
        <v>9.8136634239999978</v>
      </c>
      <c r="AC197" s="5">
        <f t="shared" si="89"/>
        <v>9.7953636273000004</v>
      </c>
      <c r="AD197" s="5">
        <f t="shared" si="89"/>
        <v>9.775986145000001</v>
      </c>
      <c r="AE197" s="5">
        <f t="shared" si="89"/>
        <v>9.7560688764000005</v>
      </c>
      <c r="AF197" s="5">
        <f t="shared" si="89"/>
        <v>9.7359610578999991</v>
      </c>
      <c r="AG197" s="5">
        <f t="shared" si="89"/>
        <v>9.7159171032999989</v>
      </c>
      <c r="AH197" s="5">
        <f t="shared" si="89"/>
        <v>9.6961830085000003</v>
      </c>
      <c r="AI197" s="5">
        <f t="shared" si="89"/>
        <v>9.6768647648999995</v>
      </c>
      <c r="AJ197" s="5">
        <f t="shared" si="89"/>
        <v>9.6580198321000008</v>
      </c>
      <c r="AK197" s="5">
        <f t="shared" si="89"/>
        <v>9.6396748443999982</v>
      </c>
      <c r="AL197" s="5">
        <f t="shared" si="89"/>
        <v>9.6218330900999991</v>
      </c>
      <c r="AM197" s="5">
        <f t="shared" ref="AM197:BC197" si="90">AM202-AM198</f>
        <v>9.6030328563000005</v>
      </c>
      <c r="AN197" s="5">
        <f t="shared" si="90"/>
        <v>9.5835420903000017</v>
      </c>
      <c r="AO197" s="5">
        <f t="shared" si="90"/>
        <v>9.5636803147999991</v>
      </c>
      <c r="AP197" s="5">
        <f t="shared" si="90"/>
        <v>9.5436988080000003</v>
      </c>
      <c r="AQ197" s="5">
        <f t="shared" si="90"/>
        <v>9.5237728482999984</v>
      </c>
      <c r="AR197" s="5">
        <f t="shared" si="90"/>
        <v>9.5040954101999997</v>
      </c>
      <c r="AS197" s="5">
        <f t="shared" si="90"/>
        <v>9.4847109084000003</v>
      </c>
      <c r="AT197" s="5">
        <f t="shared" si="90"/>
        <v>9.4656320545000003</v>
      </c>
      <c r="AU197" s="5">
        <f t="shared" si="90"/>
        <v>9.4468551255000008</v>
      </c>
      <c r="AV197" s="5">
        <f t="shared" si="90"/>
        <v>9.4283641491000001</v>
      </c>
      <c r="AW197" s="5">
        <f t="shared" si="90"/>
        <v>9.4105472160999994</v>
      </c>
      <c r="AX197" s="5">
        <f t="shared" si="90"/>
        <v>9.3932693477000004</v>
      </c>
      <c r="AY197" s="5">
        <f t="shared" si="90"/>
        <v>9.3763950107999996</v>
      </c>
      <c r="AZ197" s="5">
        <f t="shared" si="90"/>
        <v>9.3598223133000005</v>
      </c>
      <c r="BA197" s="5">
        <f t="shared" si="90"/>
        <v>9.3434739470999997</v>
      </c>
      <c r="BB197" s="5">
        <f t="shared" si="90"/>
        <v>10.155948501900001</v>
      </c>
      <c r="BC197" s="5">
        <f t="shared" si="90"/>
        <v>10.145430733600001</v>
      </c>
      <c r="BD197" s="5">
        <f t="shared" ref="BD197:BF197" si="91">BD202-BD198</f>
        <v>10.1351860352</v>
      </c>
      <c r="BE197" s="5">
        <f t="shared" si="91"/>
        <v>10.125230133700001</v>
      </c>
      <c r="BF197" s="5">
        <f t="shared" si="91"/>
        <v>10.115579647300001</v>
      </c>
    </row>
    <row r="198" spans="1:58" x14ac:dyDescent="0.35">
      <c r="B198" t="s">
        <v>36</v>
      </c>
      <c r="C198" s="5">
        <f>C200+C201</f>
        <v>7.3275910847999999</v>
      </c>
      <c r="D198" s="5">
        <f t="shared" ref="D198:AL198" si="92">D200+D201</f>
        <v>7.2481648926000002</v>
      </c>
      <c r="E198" s="5">
        <f t="shared" si="92"/>
        <v>7.1660402047999998</v>
      </c>
      <c r="F198" s="5">
        <f t="shared" si="92"/>
        <v>7.0904159796999995</v>
      </c>
      <c r="G198" s="5">
        <f t="shared" si="92"/>
        <v>7.0270358362999996</v>
      </c>
      <c r="H198" s="5">
        <f t="shared" si="92"/>
        <v>6.9775494492000005</v>
      </c>
      <c r="I198" s="5">
        <f t="shared" si="92"/>
        <v>6.9387742184999999</v>
      </c>
      <c r="J198" s="5">
        <f t="shared" si="92"/>
        <v>6.9089536019999995</v>
      </c>
      <c r="K198" s="5">
        <f t="shared" si="92"/>
        <v>6.8860391102999996</v>
      </c>
      <c r="L198" s="5">
        <f t="shared" si="92"/>
        <v>6.8680969929</v>
      </c>
      <c r="M198" s="5">
        <f t="shared" si="92"/>
        <v>6.8507216543</v>
      </c>
      <c r="N198" s="5">
        <f t="shared" si="92"/>
        <v>6.8408411096000004</v>
      </c>
      <c r="O198" s="5">
        <f t="shared" si="92"/>
        <v>6.8355745996000001</v>
      </c>
      <c r="P198" s="5">
        <f t="shared" si="92"/>
        <v>6.8328627486000002</v>
      </c>
      <c r="Q198" s="5">
        <f t="shared" si="92"/>
        <v>6.8314298167</v>
      </c>
      <c r="R198" s="5">
        <f t="shared" si="92"/>
        <v>6.8305090903999996</v>
      </c>
      <c r="S198" s="5">
        <f t="shared" si="92"/>
        <v>6.8294566571000006</v>
      </c>
      <c r="T198" s="5">
        <f t="shared" si="92"/>
        <v>6.8280612651000006</v>
      </c>
      <c r="U198" s="5">
        <f t="shared" si="92"/>
        <v>6.8262071527000003</v>
      </c>
      <c r="V198" s="5">
        <f t="shared" si="92"/>
        <v>6.8238305382000002</v>
      </c>
      <c r="W198" s="5">
        <f t="shared" si="92"/>
        <v>6.8187409669000001</v>
      </c>
      <c r="X198" s="5">
        <f t="shared" si="92"/>
        <v>6.8135774186999996</v>
      </c>
      <c r="Y198" s="5">
        <f t="shared" si="92"/>
        <v>6.8083504644000001</v>
      </c>
      <c r="Z198" s="5">
        <f t="shared" si="92"/>
        <v>6.8029813598000004</v>
      </c>
      <c r="AA198" s="5">
        <f t="shared" si="92"/>
        <v>6.7974182103</v>
      </c>
      <c r="AB198" s="5">
        <f t="shared" si="92"/>
        <v>6.7858103359999999</v>
      </c>
      <c r="AC198" s="5">
        <f t="shared" si="92"/>
        <v>6.7726276027000001</v>
      </c>
      <c r="AD198" s="5">
        <f t="shared" si="92"/>
        <v>6.7584551949999998</v>
      </c>
      <c r="AE198" s="5">
        <f t="shared" si="92"/>
        <v>6.7436118735999999</v>
      </c>
      <c r="AF198" s="5">
        <f t="shared" si="92"/>
        <v>6.7283387820999998</v>
      </c>
      <c r="AG198" s="5">
        <f t="shared" si="92"/>
        <v>6.7128304267000001</v>
      </c>
      <c r="AH198" s="5">
        <f t="shared" si="92"/>
        <v>6.6972774614999997</v>
      </c>
      <c r="AI198" s="5">
        <f t="shared" si="92"/>
        <v>6.6817810950999998</v>
      </c>
      <c r="AJ198" s="5">
        <f t="shared" si="92"/>
        <v>6.6664101778999996</v>
      </c>
      <c r="AK198" s="5">
        <f t="shared" si="92"/>
        <v>6.6512086956000003</v>
      </c>
      <c r="AL198" s="5">
        <f t="shared" si="92"/>
        <v>6.6362008399000008</v>
      </c>
      <c r="AM198" s="5">
        <f t="shared" ref="AM198:BC198" si="93">AM200+AM201</f>
        <v>6.6205056436999996</v>
      </c>
      <c r="AN198" s="5">
        <f t="shared" si="93"/>
        <v>6.6042997996999997</v>
      </c>
      <c r="AO198" s="5">
        <f t="shared" si="93"/>
        <v>6.5877706152000002</v>
      </c>
      <c r="AP198" s="5">
        <f t="shared" si="93"/>
        <v>6.5710684920000002</v>
      </c>
      <c r="AQ198" s="5">
        <f t="shared" si="93"/>
        <v>6.5543060217000004</v>
      </c>
      <c r="AR198" s="5">
        <f t="shared" si="93"/>
        <v>6.5376130097999994</v>
      </c>
      <c r="AS198" s="5">
        <f t="shared" si="93"/>
        <v>6.5210310215999998</v>
      </c>
      <c r="AT198" s="5">
        <f t="shared" si="93"/>
        <v>6.5045834055</v>
      </c>
      <c r="AU198" s="5">
        <f t="shared" si="93"/>
        <v>6.4882809444999996</v>
      </c>
      <c r="AV198" s="5">
        <f t="shared" si="93"/>
        <v>6.4721237809000005</v>
      </c>
      <c r="AW198" s="5">
        <f t="shared" si="93"/>
        <v>6.4563559539000002</v>
      </c>
      <c r="AX198" s="5">
        <f t="shared" si="93"/>
        <v>6.4408984023000002</v>
      </c>
      <c r="AY198" s="5">
        <f t="shared" si="93"/>
        <v>6.4256753391999997</v>
      </c>
      <c r="AZ198" s="5">
        <f t="shared" si="93"/>
        <v>6.4106268466999996</v>
      </c>
      <c r="BA198" s="5">
        <f t="shared" si="93"/>
        <v>6.3957042329</v>
      </c>
      <c r="BB198" s="5">
        <f t="shared" si="93"/>
        <v>6.9507745180999994</v>
      </c>
      <c r="BC198" s="5">
        <f t="shared" si="93"/>
        <v>6.9395229864000001</v>
      </c>
      <c r="BD198" s="5">
        <f t="shared" ref="BD198:BF198" si="94">BD200+BD201</f>
        <v>6.9284598847999996</v>
      </c>
      <c r="BE198" s="5">
        <f t="shared" si="94"/>
        <v>6.9176046962999997</v>
      </c>
      <c r="BF198" s="5">
        <f t="shared" si="94"/>
        <v>6.9069772027000003</v>
      </c>
    </row>
    <row r="199" spans="1:58" x14ac:dyDescent="0.35">
      <c r="B199" t="s">
        <v>11</v>
      </c>
      <c r="C199" s="5">
        <f>[1]Results!F1463</f>
        <v>86.389871189999994</v>
      </c>
      <c r="D199" s="5">
        <f>[1]Results!G1463</f>
        <v>85.777280090000005</v>
      </c>
      <c r="E199" s="5">
        <f>[1]Results!H1463</f>
        <v>85.091307549999996</v>
      </c>
      <c r="F199" s="5">
        <f>[1]Results!I1463</f>
        <v>84.407459189999997</v>
      </c>
      <c r="G199" s="5">
        <f>[1]Results!J1463</f>
        <v>83.785856219999999</v>
      </c>
      <c r="H199" s="5">
        <f>[1]Results!K1463</f>
        <v>83.257555620000005</v>
      </c>
      <c r="I199" s="5">
        <f>[1]Results!L1463</f>
        <v>82.801488140000004</v>
      </c>
      <c r="J199" s="5">
        <f>[1]Results!M1463</f>
        <v>82.409014929999998</v>
      </c>
      <c r="K199" s="5">
        <f>[1]Results!N1463</f>
        <v>82.067609759999996</v>
      </c>
      <c r="L199" s="5">
        <f>[1]Results!O1463</f>
        <v>81.762505860000005</v>
      </c>
      <c r="M199" s="5">
        <f>[1]Results!P1463</f>
        <v>81.475865650000003</v>
      </c>
      <c r="N199" s="5">
        <f>[1]Results!Q1463</f>
        <v>81.235241740000006</v>
      </c>
      <c r="O199" s="5">
        <f>[1]Results!R1463</f>
        <v>81.021108290000001</v>
      </c>
      <c r="P199" s="5">
        <f>[1]Results!S1463</f>
        <v>80.818179990000004</v>
      </c>
      <c r="Q199" s="5">
        <f>[1]Results!T1463</f>
        <v>80.6169498</v>
      </c>
      <c r="R199" s="5">
        <f>[1]Results!U1463</f>
        <v>80.41188185</v>
      </c>
      <c r="S199" s="5">
        <f>[1]Results!V1463</f>
        <v>80.199174020000001</v>
      </c>
      <c r="T199" s="5">
        <f>[1]Results!W1463</f>
        <v>79.977641349999999</v>
      </c>
      <c r="U199" s="5">
        <f>[1]Results!X1463</f>
        <v>79.747299440000006</v>
      </c>
      <c r="V199" s="5">
        <f>[1]Results!Y1463</f>
        <v>79.508849179999999</v>
      </c>
      <c r="W199" s="5">
        <f>[1]Results!Z1463</f>
        <v>79.236906309999995</v>
      </c>
      <c r="X199" s="5">
        <f>[1]Results!AA1463</f>
        <v>78.962707960000003</v>
      </c>
      <c r="Y199" s="5">
        <f>[1]Results!AB1463</f>
        <v>78.691925929999996</v>
      </c>
      <c r="Z199" s="5">
        <f>[1]Results!AC1463</f>
        <v>78.425490069999995</v>
      </c>
      <c r="AA199" s="5">
        <f>[1]Results!AD1463</f>
        <v>78.163570199999995</v>
      </c>
      <c r="AB199" s="5">
        <f>[1]Results!AE1463</f>
        <v>77.835454380000002</v>
      </c>
      <c r="AC199" s="5">
        <f>[1]Results!AF1463</f>
        <v>77.488144300000002</v>
      </c>
      <c r="AD199" s="5">
        <f>[1]Results!AG1463</f>
        <v>77.136887740000006</v>
      </c>
      <c r="AE199" s="5">
        <f>[1]Results!AH1463</f>
        <v>76.789020089999994</v>
      </c>
      <c r="AF199" s="5">
        <f>[1]Results!AI1463</f>
        <v>76.448767570000001</v>
      </c>
      <c r="AG199" s="5">
        <f>[1]Results!AJ1463</f>
        <v>76.118721160000007</v>
      </c>
      <c r="AH199" s="5">
        <f>[1]Results!AK1463</f>
        <v>75.800557870000006</v>
      </c>
      <c r="AI199" s="5">
        <f>[1]Results!AL1463</f>
        <v>75.495126659999997</v>
      </c>
      <c r="AJ199" s="5">
        <f>[1]Results!AM1463</f>
        <v>75.202702729999999</v>
      </c>
      <c r="AK199" s="5">
        <f>[1]Results!AN1463</f>
        <v>74.923165900000001</v>
      </c>
      <c r="AL199" s="5">
        <f>[1]Results!AO1463</f>
        <v>74.656105420000003</v>
      </c>
      <c r="AM199" s="5">
        <f>[1]Results!AP1463</f>
        <v>74.387280509999997</v>
      </c>
      <c r="AN199" s="5">
        <f>[1]Results!AQ1463</f>
        <v>74.117978149999999</v>
      </c>
      <c r="AO199" s="5">
        <f>[1]Results!AR1463</f>
        <v>73.851200899999995</v>
      </c>
      <c r="AP199" s="5">
        <f>[1]Results!AS1463</f>
        <v>73.589491179999996</v>
      </c>
      <c r="AQ199" s="5">
        <f>[1]Results!AT1463</f>
        <v>73.334501680000002</v>
      </c>
      <c r="AR199" s="5">
        <f>[1]Results!AU1463</f>
        <v>73.087210409999997</v>
      </c>
      <c r="AS199" s="5">
        <f>[1]Results!AV1463</f>
        <v>72.847968690000002</v>
      </c>
      <c r="AT199" s="5">
        <f>[1]Results!AW1463</f>
        <v>72.616694379999998</v>
      </c>
      <c r="AU199" s="5">
        <f>[1]Results!AX1463</f>
        <v>72.39308844</v>
      </c>
      <c r="AV199" s="5">
        <f>[1]Results!AY1463</f>
        <v>72.176731939999996</v>
      </c>
      <c r="AW199" s="5">
        <f>[1]Results!AZ1463</f>
        <v>71.968611069999994</v>
      </c>
      <c r="AX199" s="5">
        <f>[1]Results!BA1463</f>
        <v>71.768374739999999</v>
      </c>
      <c r="AY199" s="5">
        <f>[1]Results!BB1463</f>
        <v>71.57528447</v>
      </c>
      <c r="AZ199" s="5">
        <f>[1]Results!BC1463</f>
        <v>71.388656370000007</v>
      </c>
      <c r="BA199" s="5">
        <f>[1]Results!BD1463</f>
        <v>71.207888920000002</v>
      </c>
      <c r="BB199" s="5">
        <f>[1]Results!BE1463</f>
        <v>70.135860050000005</v>
      </c>
      <c r="BC199" s="5">
        <f>[1]Results!BF1463</f>
        <v>69.91039542</v>
      </c>
      <c r="BD199" s="5">
        <f>[1]Results!BG1463</f>
        <v>69.69096304</v>
      </c>
      <c r="BE199" s="5">
        <f>[1]Results!BH1463</f>
        <v>69.477245850000003</v>
      </c>
      <c r="BF199" s="5">
        <f>[1]Results!BI1463</f>
        <v>69.268945419999994</v>
      </c>
    </row>
    <row r="200" spans="1:58" x14ac:dyDescent="0.35">
      <c r="B200" t="s">
        <v>35</v>
      </c>
      <c r="C200" s="5">
        <f>[1]Results!F1460</f>
        <v>6.6156617359999998</v>
      </c>
      <c r="D200" s="5">
        <f>[1]Results!G1460</f>
        <v>6.5428437549999998</v>
      </c>
      <c r="E200" s="5">
        <f>[1]Results!H1460</f>
        <v>6.4663433469999996</v>
      </c>
      <c r="F200" s="5">
        <f>[1]Results!I1460</f>
        <v>6.3953896979999998</v>
      </c>
      <c r="G200" s="5">
        <f>[1]Results!J1460</f>
        <v>6.335722455</v>
      </c>
      <c r="H200" s="5">
        <f>[1]Results!K1460</f>
        <v>6.2890200150000002</v>
      </c>
      <c r="I200" s="5">
        <f>[1]Results!L1460</f>
        <v>6.2524639369999999</v>
      </c>
      <c r="J200" s="5">
        <f>[1]Results!M1460</f>
        <v>6.2243856649999998</v>
      </c>
      <c r="K200" s="5">
        <f>[1]Results!N1460</f>
        <v>6.2028250949999997</v>
      </c>
      <c r="L200" s="5">
        <f>[1]Results!O1460</f>
        <v>6.185948636</v>
      </c>
      <c r="M200" s="5">
        <f>[1]Results!P1460</f>
        <v>6.1696551189999997</v>
      </c>
      <c r="N200" s="5">
        <f>[1]Results!Q1460</f>
        <v>6.1602288830000003</v>
      </c>
      <c r="O200" s="5">
        <f>[1]Results!R1460</f>
        <v>6.1550252109999999</v>
      </c>
      <c r="P200" s="5">
        <f>[1]Results!S1460</f>
        <v>6.1521749620000001</v>
      </c>
      <c r="Q200" s="5">
        <f>[1]Results!T1460</f>
        <v>6.1505223830000002</v>
      </c>
      <c r="R200" s="5">
        <f>[1]Results!U1460</f>
        <v>6.1493722049999997</v>
      </c>
      <c r="S200" s="5">
        <f>[1]Results!V1460</f>
        <v>6.1481385040000003</v>
      </c>
      <c r="T200" s="5">
        <f>[1]Results!W1460</f>
        <v>6.1466276500000001</v>
      </c>
      <c r="U200" s="5">
        <f>[1]Results!X1460</f>
        <v>6.1447303870000001</v>
      </c>
      <c r="V200" s="5">
        <f>[1]Results!Y1460</f>
        <v>6.1423838780000004</v>
      </c>
      <c r="W200" s="5">
        <f>[1]Results!Z1460</f>
        <v>6.1376694609999998</v>
      </c>
      <c r="X200" s="5">
        <f>[1]Results!AA1460</f>
        <v>6.1328942849999999</v>
      </c>
      <c r="Y200" s="5">
        <f>[1]Results!AB1460</f>
        <v>6.1280397600000001</v>
      </c>
      <c r="Z200" s="5">
        <f>[1]Results!AC1460</f>
        <v>6.1230330950000003</v>
      </c>
      <c r="AA200" s="5">
        <f>[1]Results!AD1460</f>
        <v>6.1178295440000001</v>
      </c>
      <c r="AB200" s="5">
        <f>[1]Results!AE1460</f>
        <v>6.1073194519999996</v>
      </c>
      <c r="AC200" s="5">
        <f>[1]Results!AF1460</f>
        <v>6.0954349160000003</v>
      </c>
      <c r="AD200" s="5">
        <f>[1]Results!AG1460</f>
        <v>6.0826378769999998</v>
      </c>
      <c r="AE200" s="5">
        <f>[1]Results!AH1460</f>
        <v>6.0691928920000002</v>
      </c>
      <c r="AF200" s="5">
        <f>[1]Results!AI1460</f>
        <v>6.0553096819999999</v>
      </c>
      <c r="AG200" s="5">
        <f>[1]Results!AJ1460</f>
        <v>6.0411623109999999</v>
      </c>
      <c r="AH200" s="5">
        <f>[1]Results!AK1460</f>
        <v>6.0269246189999999</v>
      </c>
      <c r="AI200" s="5">
        <f>[1]Results!AL1460</f>
        <v>6.0126904940000001</v>
      </c>
      <c r="AJ200" s="5">
        <f>[1]Results!AM1460</f>
        <v>5.9985256409999996</v>
      </c>
      <c r="AK200" s="5">
        <f>[1]Results!AN1460</f>
        <v>5.984473167</v>
      </c>
      <c r="AL200" s="5">
        <f>[1]Results!AO1460</f>
        <v>5.9705580090000003</v>
      </c>
      <c r="AM200" s="5">
        <f>[1]Results!AP1460</f>
        <v>5.9560257649999997</v>
      </c>
      <c r="AN200" s="5">
        <f>[1]Results!AQ1460</f>
        <v>5.941033762</v>
      </c>
      <c r="AO200" s="5">
        <f>[1]Results!AR1460</f>
        <v>5.9257393289999998</v>
      </c>
      <c r="AP200" s="5">
        <f>[1]Results!AS1460</f>
        <v>5.9102685749999999</v>
      </c>
      <c r="AQ200" s="5">
        <f>[1]Results!AT1460</f>
        <v>5.8947177740000001</v>
      </c>
      <c r="AR200" s="5">
        <f>[1]Results!AU1460</f>
        <v>5.8792030459999998</v>
      </c>
      <c r="AS200" s="5">
        <f>[1]Results!AV1460</f>
        <v>5.8637622279999997</v>
      </c>
      <c r="AT200" s="5">
        <f>[1]Results!AW1460</f>
        <v>5.8484183859999996</v>
      </c>
      <c r="AU200" s="5">
        <f>[1]Results!AX1460</f>
        <v>5.8331836829999997</v>
      </c>
      <c r="AV200" s="5">
        <f>[1]Results!AY1460</f>
        <v>5.8180606490000004</v>
      </c>
      <c r="AW200" s="5">
        <f>[1]Results!AZ1460</f>
        <v>5.8032711470000002</v>
      </c>
      <c r="AX200" s="5">
        <f>[1]Results!BA1460</f>
        <v>5.7887439829999998</v>
      </c>
      <c r="AY200" s="5">
        <f>[1]Results!BB1460</f>
        <v>5.7744127059999997</v>
      </c>
      <c r="AZ200" s="5">
        <f>[1]Results!BC1460</f>
        <v>5.7602245859999996</v>
      </c>
      <c r="BA200" s="5">
        <f>[1]Results!BD1460</f>
        <v>5.7461364870000002</v>
      </c>
      <c r="BB200" s="5">
        <f>[1]Results!BE1460</f>
        <v>6.2603257899999996</v>
      </c>
      <c r="BC200" s="5">
        <f>[1]Results!BF1460</f>
        <v>6.2497078110000004</v>
      </c>
      <c r="BD200" s="5">
        <f>[1]Results!BG1460</f>
        <v>6.2392568309999996</v>
      </c>
      <c r="BE200" s="5">
        <f>[1]Results!BH1460</f>
        <v>6.2289919490000001</v>
      </c>
      <c r="BF200" s="5">
        <f>[1]Results!BI1460</f>
        <v>6.2189324130000001</v>
      </c>
    </row>
    <row r="201" spans="1:58" x14ac:dyDescent="0.35">
      <c r="B201" t="s">
        <v>34</v>
      </c>
      <c r="C201" s="5">
        <f>[1]Results!F1462</f>
        <v>0.71192934880000003</v>
      </c>
      <c r="D201" s="5">
        <f>[1]Results!G1462</f>
        <v>0.70532113760000004</v>
      </c>
      <c r="E201" s="5">
        <f>[1]Results!H1462</f>
        <v>0.69969685780000002</v>
      </c>
      <c r="F201" s="5">
        <f>[1]Results!I1462</f>
        <v>0.69502628170000003</v>
      </c>
      <c r="G201" s="5">
        <f>[1]Results!J1462</f>
        <v>0.69131338129999997</v>
      </c>
      <c r="H201" s="5">
        <f>[1]Results!K1462</f>
        <v>0.68852943420000001</v>
      </c>
      <c r="I201" s="5">
        <f>[1]Results!L1462</f>
        <v>0.68631028149999995</v>
      </c>
      <c r="J201" s="5">
        <f>[1]Results!M1462</f>
        <v>0.68456793699999996</v>
      </c>
      <c r="K201" s="5">
        <f>[1]Results!N1462</f>
        <v>0.68321401530000003</v>
      </c>
      <c r="L201" s="5">
        <f>[1]Results!O1462</f>
        <v>0.68214835689999997</v>
      </c>
      <c r="M201" s="5">
        <f>[1]Results!P1462</f>
        <v>0.68106653530000005</v>
      </c>
      <c r="N201" s="5">
        <f>[1]Results!Q1462</f>
        <v>0.68061222659999998</v>
      </c>
      <c r="O201" s="5">
        <f>[1]Results!R1462</f>
        <v>0.68054938860000003</v>
      </c>
      <c r="P201" s="5">
        <f>[1]Results!S1462</f>
        <v>0.68068778659999996</v>
      </c>
      <c r="Q201" s="5">
        <f>[1]Results!T1462</f>
        <v>0.68090743369999995</v>
      </c>
      <c r="R201" s="5">
        <f>[1]Results!U1462</f>
        <v>0.68113688539999995</v>
      </c>
      <c r="S201" s="5">
        <f>[1]Results!V1462</f>
        <v>0.68131815309999999</v>
      </c>
      <c r="T201" s="5">
        <f>[1]Results!W1462</f>
        <v>0.6814336151</v>
      </c>
      <c r="U201" s="5">
        <f>[1]Results!X1462</f>
        <v>0.68147676570000004</v>
      </c>
      <c r="V201" s="5">
        <f>[1]Results!Y1462</f>
        <v>0.6814466602</v>
      </c>
      <c r="W201" s="5">
        <f>[1]Results!Z1462</f>
        <v>0.68107150589999998</v>
      </c>
      <c r="X201" s="5">
        <f>[1]Results!AA1462</f>
        <v>0.6806831337</v>
      </c>
      <c r="Y201" s="5">
        <f>[1]Results!AB1462</f>
        <v>0.68031070439999997</v>
      </c>
      <c r="Z201" s="5">
        <f>[1]Results!AC1462</f>
        <v>0.67994826480000004</v>
      </c>
      <c r="AA201" s="5">
        <f>[1]Results!AD1462</f>
        <v>0.67958866630000003</v>
      </c>
      <c r="AB201" s="5">
        <f>[1]Results!AE1462</f>
        <v>0.67849088400000002</v>
      </c>
      <c r="AC201" s="5">
        <f>[1]Results!AF1462</f>
        <v>0.67719268669999999</v>
      </c>
      <c r="AD201" s="5">
        <f>[1]Results!AG1462</f>
        <v>0.675817318</v>
      </c>
      <c r="AE201" s="5">
        <f>[1]Results!AH1462</f>
        <v>0.67441898160000002</v>
      </c>
      <c r="AF201" s="5">
        <f>[1]Results!AI1462</f>
        <v>0.67302910010000006</v>
      </c>
      <c r="AG201" s="5">
        <f>[1]Results!AJ1462</f>
        <v>0.67166811569999996</v>
      </c>
      <c r="AH201" s="5">
        <f>[1]Results!AK1462</f>
        <v>0.67035284250000005</v>
      </c>
      <c r="AI201" s="5">
        <f>[1]Results!AL1462</f>
        <v>0.66909060109999996</v>
      </c>
      <c r="AJ201" s="5">
        <f>[1]Results!AM1462</f>
        <v>0.66788453690000005</v>
      </c>
      <c r="AK201" s="5">
        <f>[1]Results!AN1462</f>
        <v>0.66673552859999996</v>
      </c>
      <c r="AL201" s="5">
        <f>[1]Results!AO1462</f>
        <v>0.66564283089999998</v>
      </c>
      <c r="AM201" s="5">
        <f>[1]Results!AP1462</f>
        <v>0.66447987870000003</v>
      </c>
      <c r="AN201" s="5">
        <f>[1]Results!AQ1462</f>
        <v>0.66326603770000003</v>
      </c>
      <c r="AO201" s="5">
        <f>[1]Results!AR1462</f>
        <v>0.66203128619999996</v>
      </c>
      <c r="AP201" s="5">
        <f>[1]Results!AS1462</f>
        <v>0.66079991699999996</v>
      </c>
      <c r="AQ201" s="5">
        <f>[1]Results!AT1462</f>
        <v>0.65958824770000002</v>
      </c>
      <c r="AR201" s="5">
        <f>[1]Results!AU1462</f>
        <v>0.65840996380000005</v>
      </c>
      <c r="AS201" s="5">
        <f>[1]Results!AV1462</f>
        <v>0.65726879360000001</v>
      </c>
      <c r="AT201" s="5">
        <f>[1]Results!AW1462</f>
        <v>0.65616501949999995</v>
      </c>
      <c r="AU201" s="5">
        <f>[1]Results!AX1462</f>
        <v>0.65509726150000003</v>
      </c>
      <c r="AV201" s="5">
        <f>[1]Results!AY1462</f>
        <v>0.65406313189999998</v>
      </c>
      <c r="AW201" s="5">
        <f>[1]Results!AZ1462</f>
        <v>0.65308480690000004</v>
      </c>
      <c r="AX201" s="5">
        <f>[1]Results!BA1462</f>
        <v>0.65215441929999995</v>
      </c>
      <c r="AY201" s="5">
        <f>[1]Results!BB1462</f>
        <v>0.6512626332</v>
      </c>
      <c r="AZ201" s="5">
        <f>[1]Results!BC1462</f>
        <v>0.65040226069999996</v>
      </c>
      <c r="BA201" s="5">
        <f>[1]Results!BD1462</f>
        <v>0.64956774589999999</v>
      </c>
      <c r="BB201" s="5">
        <f>[1]Results!BE1462</f>
        <v>0.69044872810000002</v>
      </c>
      <c r="BC201" s="5">
        <f>[1]Results!BF1462</f>
        <v>0.68981517540000004</v>
      </c>
      <c r="BD201" s="5">
        <f>[1]Results!BG1462</f>
        <v>0.68920305380000002</v>
      </c>
      <c r="BE201" s="5">
        <f>[1]Results!BH1462</f>
        <v>0.68861274729999999</v>
      </c>
      <c r="BF201" s="5">
        <f>[1]Results!BI1462</f>
        <v>0.68804478970000005</v>
      </c>
    </row>
    <row r="202" spans="1:58" x14ac:dyDescent="0.35">
      <c r="B202" t="s">
        <v>37</v>
      </c>
      <c r="C202" s="5">
        <f>[1]Results!F1458</f>
        <v>17.790287859999999</v>
      </c>
      <c r="D202" s="5">
        <f>[1]Results!G1458</f>
        <v>17.60096897</v>
      </c>
      <c r="E202" s="5">
        <f>[1]Results!H1458</f>
        <v>17.41661174</v>
      </c>
      <c r="F202" s="5">
        <f>[1]Results!I1458</f>
        <v>17.251886370000001</v>
      </c>
      <c r="G202" s="5">
        <f>[1]Results!J1458</f>
        <v>17.115958299999999</v>
      </c>
      <c r="H202" s="5">
        <f>[1]Results!K1458</f>
        <v>17.010897249999999</v>
      </c>
      <c r="I202" s="5">
        <f>[1]Results!L1458</f>
        <v>16.92823821</v>
      </c>
      <c r="J202" s="5">
        <f>[1]Results!M1458</f>
        <v>16.864214860000001</v>
      </c>
      <c r="K202" s="5">
        <f>[1]Results!N1458</f>
        <v>16.814606940000001</v>
      </c>
      <c r="L202" s="5">
        <f>[1]Results!O1458</f>
        <v>16.775369380000001</v>
      </c>
      <c r="M202" s="5">
        <f>[1]Results!P1458</f>
        <v>16.73610352</v>
      </c>
      <c r="N202" s="5">
        <f>[1]Results!Q1458</f>
        <v>16.71476135</v>
      </c>
      <c r="O202" s="5">
        <f>[1]Results!R1458</f>
        <v>16.704479719999998</v>
      </c>
      <c r="P202" s="5">
        <f>[1]Results!S1458</f>
        <v>16.700163199999999</v>
      </c>
      <c r="Q202" s="5">
        <f>[1]Results!T1458</f>
        <v>16.69866103</v>
      </c>
      <c r="R202" s="5">
        <f>[1]Results!U1458</f>
        <v>16.69811086</v>
      </c>
      <c r="S202" s="5">
        <f>[1]Results!V1458</f>
        <v>16.696955039999999</v>
      </c>
      <c r="T202" s="5">
        <f>[1]Results!W1458</f>
        <v>16.69474494</v>
      </c>
      <c r="U202" s="5">
        <f>[1]Results!X1458</f>
        <v>16.691275099999999</v>
      </c>
      <c r="V202" s="5">
        <f>[1]Results!Y1458</f>
        <v>16.68646111</v>
      </c>
      <c r="W202" s="5">
        <f>[1]Results!Z1458</f>
        <v>16.674611639999998</v>
      </c>
      <c r="X202" s="5">
        <f>[1]Results!AA1458</f>
        <v>16.662739129999999</v>
      </c>
      <c r="Y202" s="5">
        <f>[1]Results!AB1458</f>
        <v>16.650994740000002</v>
      </c>
      <c r="Z202" s="5">
        <f>[1]Results!AC1458</f>
        <v>16.63917399</v>
      </c>
      <c r="AA202" s="5">
        <f>[1]Results!AD1458</f>
        <v>16.627127739999999</v>
      </c>
      <c r="AB202" s="5">
        <f>[1]Results!AE1458</f>
        <v>16.599473759999999</v>
      </c>
      <c r="AC202" s="5">
        <f>[1]Results!AF1458</f>
        <v>16.567991230000001</v>
      </c>
      <c r="AD202" s="5">
        <f>[1]Results!AG1458</f>
        <v>16.534441340000001</v>
      </c>
      <c r="AE202" s="5">
        <f>[1]Results!AH1458</f>
        <v>16.49968075</v>
      </c>
      <c r="AF202" s="5">
        <f>[1]Results!AI1458</f>
        <v>16.464299839999999</v>
      </c>
      <c r="AG202" s="5">
        <f>[1]Results!AJ1458</f>
        <v>16.428747529999999</v>
      </c>
      <c r="AH202" s="5">
        <f>[1]Results!AK1458</f>
        <v>16.393460470000001</v>
      </c>
      <c r="AI202" s="5">
        <f>[1]Results!AL1458</f>
        <v>16.358645859999999</v>
      </c>
      <c r="AJ202" s="5">
        <f>[1]Results!AM1458</f>
        <v>16.32443001</v>
      </c>
      <c r="AK202" s="5">
        <f>[1]Results!AN1458</f>
        <v>16.290883539999999</v>
      </c>
      <c r="AL202" s="5">
        <f>[1]Results!AO1458</f>
        <v>16.25803393</v>
      </c>
      <c r="AM202" s="5">
        <f>[1]Results!AP1458</f>
        <v>16.2235385</v>
      </c>
      <c r="AN202" s="5">
        <f>[1]Results!AQ1458</f>
        <v>16.187841890000001</v>
      </c>
      <c r="AO202" s="5">
        <f>[1]Results!AR1458</f>
        <v>16.151450929999999</v>
      </c>
      <c r="AP202" s="5">
        <f>[1]Results!AS1458</f>
        <v>16.1147673</v>
      </c>
      <c r="AQ202" s="5">
        <f>[1]Results!AT1458</f>
        <v>16.078078869999999</v>
      </c>
      <c r="AR202" s="5">
        <f>[1]Results!AU1458</f>
        <v>16.041708419999999</v>
      </c>
      <c r="AS202" s="5">
        <f>[1]Results!AV1458</f>
        <v>16.005741929999999</v>
      </c>
      <c r="AT202" s="5">
        <f>[1]Results!AW1458</f>
        <v>15.97021546</v>
      </c>
      <c r="AU202" s="5">
        <f>[1]Results!AX1458</f>
        <v>15.93513607</v>
      </c>
      <c r="AV202" s="5">
        <f>[1]Results!AY1458</f>
        <v>15.900487930000001</v>
      </c>
      <c r="AW202" s="5">
        <f>[1]Results!AZ1458</f>
        <v>15.866903170000001</v>
      </c>
      <c r="AX202" s="5">
        <f>[1]Results!BA1458</f>
        <v>15.834167750000001</v>
      </c>
      <c r="AY202" s="5">
        <f>[1]Results!BB1458</f>
        <v>15.802070349999999</v>
      </c>
      <c r="AZ202" s="5">
        <f>[1]Results!BC1458</f>
        <v>15.77044916</v>
      </c>
      <c r="BA202" s="5">
        <f>[1]Results!BD1458</f>
        <v>15.73917818</v>
      </c>
      <c r="BB202" s="5">
        <f>[1]Results!BE1458</f>
        <v>17.10672302</v>
      </c>
      <c r="BC202" s="5">
        <f>[1]Results!BF1458</f>
        <v>17.084953720000001</v>
      </c>
      <c r="BD202" s="5">
        <f>[1]Results!BG1458</f>
        <v>17.063645919999999</v>
      </c>
      <c r="BE202" s="5">
        <f>[1]Results!BH1458</f>
        <v>17.04283483</v>
      </c>
      <c r="BF202" s="5">
        <f>[1]Results!BI1458</f>
        <v>17.022556850000001</v>
      </c>
    </row>
    <row r="203" spans="1:58" x14ac:dyDescent="0.35"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  <c r="BD203" s="5"/>
      <c r="BE203" s="5"/>
      <c r="BF203" s="5"/>
    </row>
    <row r="204" spans="1:58" x14ac:dyDescent="0.35">
      <c r="A204" s="12" t="s">
        <v>86</v>
      </c>
      <c r="B204" t="s">
        <v>27</v>
      </c>
      <c r="C204" s="3">
        <f>[1]Results!F1473</f>
        <v>27371.846870000001</v>
      </c>
      <c r="D204" s="3">
        <f>[1]Results!G1473</f>
        <v>27401.593649999999</v>
      </c>
      <c r="E204" s="3">
        <f>[1]Results!H1473</f>
        <v>27439.540099999998</v>
      </c>
      <c r="F204" s="3">
        <f>[1]Results!I1473</f>
        <v>27494.808359999999</v>
      </c>
      <c r="G204" s="3">
        <f>[1]Results!J1473</f>
        <v>27570.244269999999</v>
      </c>
      <c r="H204" s="3">
        <f>[1]Results!K1473</f>
        <v>27664.90669</v>
      </c>
      <c r="I204" s="3">
        <f>[1]Results!L1473</f>
        <v>27765.32691</v>
      </c>
      <c r="J204" s="3">
        <f>[1]Results!M1473</f>
        <v>27870.142619999999</v>
      </c>
      <c r="K204" s="3">
        <f>[1]Results!N1473</f>
        <v>27978.39921</v>
      </c>
      <c r="L204" s="3">
        <f>[1]Results!O1473</f>
        <v>28089.185710000002</v>
      </c>
      <c r="M204" s="3">
        <f>[1]Results!P1473</f>
        <v>28219.506099999999</v>
      </c>
      <c r="N204" s="3">
        <f>[1]Results!Q1473</f>
        <v>28347.466810000002</v>
      </c>
      <c r="O204" s="3">
        <f>[1]Results!R1473</f>
        <v>28471.835709999999</v>
      </c>
      <c r="P204" s="3">
        <f>[1]Results!S1473</f>
        <v>28592.55488</v>
      </c>
      <c r="Q204" s="3">
        <f>[1]Results!T1473</f>
        <v>28709.857830000001</v>
      </c>
      <c r="R204" s="3">
        <f>[1]Results!U1473</f>
        <v>28824.0841</v>
      </c>
      <c r="S204" s="3">
        <f>[1]Results!V1473</f>
        <v>28935.630130000001</v>
      </c>
      <c r="T204" s="3">
        <f>[1]Results!W1473</f>
        <v>29044.920099999999</v>
      </c>
      <c r="U204" s="3">
        <f>[1]Results!X1473</f>
        <v>29152.37918</v>
      </c>
      <c r="V204" s="3">
        <f>[1]Results!Y1473</f>
        <v>29258.410469999999</v>
      </c>
      <c r="W204" s="3">
        <f>[1]Results!Z1473</f>
        <v>29351.548210000001</v>
      </c>
      <c r="X204" s="3">
        <f>[1]Results!AA1473</f>
        <v>29446.07231</v>
      </c>
      <c r="Y204" s="3">
        <f>[1]Results!AB1473</f>
        <v>29542.63535</v>
      </c>
      <c r="Z204" s="3">
        <f>[1]Results!AC1473</f>
        <v>29641.154170000002</v>
      </c>
      <c r="AA204" s="3">
        <f>[1]Results!AD1473</f>
        <v>29741.393469999999</v>
      </c>
      <c r="AB204" s="3">
        <f>[1]Results!AE1473</f>
        <v>29810.8298</v>
      </c>
      <c r="AC204" s="3">
        <f>[1]Results!AF1473</f>
        <v>29872.11692</v>
      </c>
      <c r="AD204" s="3">
        <f>[1]Results!AG1473</f>
        <v>29928.77248</v>
      </c>
      <c r="AE204" s="3">
        <f>[1]Results!AH1473</f>
        <v>29982.965209999998</v>
      </c>
      <c r="AF204" s="3">
        <f>[1]Results!AI1473</f>
        <v>30036.211480000002</v>
      </c>
      <c r="AG204" s="3">
        <f>[1]Results!AJ1473</f>
        <v>30089.559499999999</v>
      </c>
      <c r="AH204" s="3">
        <f>[1]Results!AK1473</f>
        <v>30143.67438</v>
      </c>
      <c r="AI204" s="3">
        <f>[1]Results!AL1473</f>
        <v>30198.911189999999</v>
      </c>
      <c r="AJ204" s="3">
        <f>[1]Results!AM1473</f>
        <v>30255.38895</v>
      </c>
      <c r="AK204" s="3">
        <f>[1]Results!AN1473</f>
        <v>30313.061399999999</v>
      </c>
      <c r="AL204" s="3">
        <f>[1]Results!AO1473</f>
        <v>30371.779210000001</v>
      </c>
      <c r="AM204" s="3">
        <f>[1]Results!AP1473</f>
        <v>30424.466509999998</v>
      </c>
      <c r="AN204" s="3">
        <f>[1]Results!AQ1473</f>
        <v>30472.142639999998</v>
      </c>
      <c r="AO204" s="3">
        <f>[1]Results!AR1473</f>
        <v>30516.058779999999</v>
      </c>
      <c r="AP204" s="3">
        <f>[1]Results!AS1473</f>
        <v>30557.311559999998</v>
      </c>
      <c r="AQ204" s="3">
        <f>[1]Results!AT1473</f>
        <v>30596.784889999999</v>
      </c>
      <c r="AR204" s="3">
        <f>[1]Results!AU1473</f>
        <v>30635.157070000001</v>
      </c>
      <c r="AS204" s="3">
        <f>[1]Results!AV1473</f>
        <v>30672.921849999999</v>
      </c>
      <c r="AT204" s="3">
        <f>[1]Results!AW1473</f>
        <v>30710.41447</v>
      </c>
      <c r="AU204" s="3">
        <f>[1]Results!AX1473</f>
        <v>30747.841100000001</v>
      </c>
      <c r="AV204" s="3">
        <f>[1]Results!AY1473</f>
        <v>30785.309730000001</v>
      </c>
      <c r="AW204" s="3">
        <f>[1]Results!AZ1473</f>
        <v>30823.41649</v>
      </c>
      <c r="AX204" s="3">
        <f>[1]Results!BA1473</f>
        <v>30862.064839999999</v>
      </c>
      <c r="AY204" s="3">
        <f>[1]Results!BB1473</f>
        <v>30901.118210000001</v>
      </c>
      <c r="AZ204" s="3">
        <f>[1]Results!BC1473</f>
        <v>30940.427749999999</v>
      </c>
      <c r="BA204" s="3">
        <f>[1]Results!BD1473</f>
        <v>30979.856250000001</v>
      </c>
      <c r="BB204" s="3">
        <f>[1]Results!BE1473</f>
        <v>31107.650259999999</v>
      </c>
      <c r="BC204" s="3">
        <f>[1]Results!BF1473</f>
        <v>31143.853749999998</v>
      </c>
      <c r="BD204" s="3">
        <f>[1]Results!BG1473</f>
        <v>31179.418160000001</v>
      </c>
      <c r="BE204" s="3">
        <f>[1]Results!BH1473</f>
        <v>31214.358059999999</v>
      </c>
      <c r="BF204" s="3">
        <f>[1]Results!BI1473</f>
        <v>31248.702590000001</v>
      </c>
    </row>
    <row r="205" spans="1:58" x14ac:dyDescent="0.35">
      <c r="A205" t="s">
        <v>38</v>
      </c>
      <c r="B205" t="s">
        <v>7</v>
      </c>
      <c r="C205" s="3">
        <f>[1]Results!F1474</f>
        <v>760.53305020000005</v>
      </c>
      <c r="D205" s="3">
        <f>[1]Results!G1474</f>
        <v>759.21501539999997</v>
      </c>
      <c r="E205" s="3">
        <f>[1]Results!H1474</f>
        <v>757.3148377</v>
      </c>
      <c r="F205" s="3">
        <f>[1]Results!I1474</f>
        <v>755.91675480000004</v>
      </c>
      <c r="G205" s="3">
        <f>[1]Results!J1474</f>
        <v>755.49152930000002</v>
      </c>
      <c r="H205" s="3">
        <f>[1]Results!K1474</f>
        <v>756.13115909999999</v>
      </c>
      <c r="I205" s="3">
        <f>[1]Results!L1474</f>
        <v>757.46432249999998</v>
      </c>
      <c r="J205" s="3">
        <f>[1]Results!M1474</f>
        <v>759.32508589999998</v>
      </c>
      <c r="K205" s="3">
        <f>[1]Results!N1474</f>
        <v>761.56709579999995</v>
      </c>
      <c r="L205" s="3">
        <f>[1]Results!O1474</f>
        <v>764.06698730000005</v>
      </c>
      <c r="M205" s="3">
        <f>[1]Results!P1474</f>
        <v>767.16900269999996</v>
      </c>
      <c r="N205" s="3">
        <f>[1]Results!Q1474</f>
        <v>770.32745990000001</v>
      </c>
      <c r="O205" s="3">
        <f>[1]Results!R1474</f>
        <v>773.43415400000004</v>
      </c>
      <c r="P205" s="3">
        <f>[1]Results!S1474</f>
        <v>776.44274050000001</v>
      </c>
      <c r="Q205" s="3">
        <f>[1]Results!T1474</f>
        <v>779.33460820000005</v>
      </c>
      <c r="R205" s="3">
        <f>[1]Results!U1474</f>
        <v>782.10706519999997</v>
      </c>
      <c r="S205" s="3">
        <f>[1]Results!V1474</f>
        <v>784.76720230000001</v>
      </c>
      <c r="T205" s="3">
        <f>[1]Results!W1474</f>
        <v>787.32772320000004</v>
      </c>
      <c r="U205" s="3">
        <f>[1]Results!X1474</f>
        <v>789.8039374</v>
      </c>
      <c r="V205" s="3">
        <f>[1]Results!Y1474</f>
        <v>792.21168999999998</v>
      </c>
      <c r="W205" s="3">
        <f>[1]Results!Z1474</f>
        <v>794.27426949999995</v>
      </c>
      <c r="X205" s="3">
        <f>[1]Results!AA1474</f>
        <v>796.31609530000003</v>
      </c>
      <c r="Y205" s="3">
        <f>[1]Results!AB1474</f>
        <v>798.38529259999996</v>
      </c>
      <c r="Z205" s="3">
        <f>[1]Results!AC1474</f>
        <v>800.49781399999995</v>
      </c>
      <c r="AA205" s="3">
        <f>[1]Results!AD1474</f>
        <v>802.65762159999997</v>
      </c>
      <c r="AB205" s="3">
        <f>[1]Results!AE1474</f>
        <v>804.06893509999998</v>
      </c>
      <c r="AC205" s="3">
        <f>[1]Results!AF1474</f>
        <v>805.19966429999999</v>
      </c>
      <c r="AD205" s="3">
        <f>[1]Results!AG1474</f>
        <v>806.16685849999999</v>
      </c>
      <c r="AE205" s="3">
        <f>[1]Results!AH1474</f>
        <v>807.05122010000002</v>
      </c>
      <c r="AF205" s="3">
        <f>[1]Results!AI1474</f>
        <v>807.91324780000002</v>
      </c>
      <c r="AG205" s="3">
        <f>[1]Results!AJ1474</f>
        <v>808.79660379999996</v>
      </c>
      <c r="AH205" s="3">
        <f>[1]Results!AK1474</f>
        <v>809.73002469999994</v>
      </c>
      <c r="AI205" s="3">
        <f>[1]Results!AL1474</f>
        <v>810.72975099999996</v>
      </c>
      <c r="AJ205" s="3">
        <f>[1]Results!AM1474</f>
        <v>811.8023657</v>
      </c>
      <c r="AK205" s="3">
        <f>[1]Results!AN1474</f>
        <v>812.94762179999998</v>
      </c>
      <c r="AL205" s="3">
        <f>[1]Results!AO1474</f>
        <v>814.16093520000004</v>
      </c>
      <c r="AM205" s="3">
        <f>[1]Results!AP1474</f>
        <v>815.26672719999999</v>
      </c>
      <c r="AN205" s="3">
        <f>[1]Results!AQ1474</f>
        <v>816.268328</v>
      </c>
      <c r="AO205" s="3">
        <f>[1]Results!AR1474</f>
        <v>817.19005900000002</v>
      </c>
      <c r="AP205" s="3">
        <f>[1]Results!AS1474</f>
        <v>818.06017039999995</v>
      </c>
      <c r="AQ205" s="3">
        <f>[1]Results!AT1474</f>
        <v>818.90505229999997</v>
      </c>
      <c r="AR205" s="3">
        <f>[1]Results!AU1474</f>
        <v>819.74677220000001</v>
      </c>
      <c r="AS205" s="3">
        <f>[1]Results!AV1474</f>
        <v>820.60211379999998</v>
      </c>
      <c r="AT205" s="3">
        <f>[1]Results!AW1474</f>
        <v>821.48254120000001</v>
      </c>
      <c r="AU205" s="3">
        <f>[1]Results!AX1474</f>
        <v>822.39476049999996</v>
      </c>
      <c r="AV205" s="3">
        <f>[1]Results!AY1474</f>
        <v>823.34158409999998</v>
      </c>
      <c r="AW205" s="3">
        <f>[1]Results!AZ1474</f>
        <v>824.336319</v>
      </c>
      <c r="AX205" s="3">
        <f>[1]Results!BA1474</f>
        <v>825.3764923</v>
      </c>
      <c r="AY205" s="3">
        <f>[1]Results!BB1474</f>
        <v>826.4573431</v>
      </c>
      <c r="AZ205" s="3">
        <f>[1]Results!BC1474</f>
        <v>827.57273799999996</v>
      </c>
      <c r="BA205" s="3">
        <f>[1]Results!BD1474</f>
        <v>828.71630679999998</v>
      </c>
      <c r="BB205" s="3">
        <f>[1]Results!BE1474</f>
        <v>821.15535560000001</v>
      </c>
      <c r="BC205" s="3">
        <f>[1]Results!BF1474</f>
        <v>821.62769619999995</v>
      </c>
      <c r="BD205" s="3">
        <f>[1]Results!BG1474</f>
        <v>822.10868189999997</v>
      </c>
      <c r="BE205" s="3">
        <f>[1]Results!BH1474</f>
        <v>822.59935270000005</v>
      </c>
      <c r="BF205" s="3">
        <f>[1]Results!BI1474</f>
        <v>823.10108200000002</v>
      </c>
    </row>
    <row r="206" spans="1:58" x14ac:dyDescent="0.35">
      <c r="B206" t="s">
        <v>30</v>
      </c>
      <c r="C206" s="3">
        <f>[1]Results!F1477</f>
        <v>4367.1201650000003</v>
      </c>
      <c r="D206" s="3">
        <f>[1]Results!G1477</f>
        <v>4371.5474240000003</v>
      </c>
      <c r="E206" s="3">
        <f>[1]Results!H1477</f>
        <v>4377.7143210000004</v>
      </c>
      <c r="F206" s="3">
        <f>[1]Results!I1477</f>
        <v>4387.0979770000004</v>
      </c>
      <c r="G206" s="3">
        <f>[1]Results!J1477</f>
        <v>4400.0579729999999</v>
      </c>
      <c r="H206" s="3">
        <f>[1]Results!K1477</f>
        <v>4416.3723090000003</v>
      </c>
      <c r="I206" s="3">
        <f>[1]Results!L1477</f>
        <v>4434.1015550000002</v>
      </c>
      <c r="J206" s="3">
        <f>[1]Results!M1477</f>
        <v>4452.8384370000003</v>
      </c>
      <c r="K206" s="3">
        <f>[1]Results!N1477</f>
        <v>4472.3342270000003</v>
      </c>
      <c r="L206" s="3">
        <f>[1]Results!O1477</f>
        <v>4492.4070590000001</v>
      </c>
      <c r="M206" s="3">
        <f>[1]Results!P1477</f>
        <v>4515.361774</v>
      </c>
      <c r="N206" s="3">
        <f>[1]Results!Q1477</f>
        <v>4538.4201700000003</v>
      </c>
      <c r="O206" s="3">
        <f>[1]Results!R1477</f>
        <v>4561.2697230000003</v>
      </c>
      <c r="P206" s="3">
        <f>[1]Results!S1477</f>
        <v>4583.8285839999999</v>
      </c>
      <c r="Q206" s="3">
        <f>[1]Results!T1477</f>
        <v>4606.0978029999997</v>
      </c>
      <c r="R206" s="3">
        <f>[1]Results!U1477</f>
        <v>4628.1141669999997</v>
      </c>
      <c r="S206" s="3">
        <f>[1]Results!V1477</f>
        <v>4649.9314109999996</v>
      </c>
      <c r="T206" s="3">
        <f>[1]Results!W1477</f>
        <v>4671.6105250000001</v>
      </c>
      <c r="U206" s="3">
        <f>[1]Results!X1477</f>
        <v>4693.2133860000004</v>
      </c>
      <c r="V206" s="3">
        <f>[1]Results!Y1477</f>
        <v>4714.7981060000002</v>
      </c>
      <c r="W206" s="3">
        <f>[1]Results!Z1477</f>
        <v>4734.7919920000004</v>
      </c>
      <c r="X206" s="3">
        <f>[1]Results!AA1477</f>
        <v>4754.9928719999998</v>
      </c>
      <c r="Y206" s="3">
        <f>[1]Results!AB1477</f>
        <v>4775.5807130000003</v>
      </c>
      <c r="Z206" s="3">
        <f>[1]Results!AC1477</f>
        <v>4796.5866809999998</v>
      </c>
      <c r="AA206" s="3">
        <f>[1]Results!AD1477</f>
        <v>4817.989106</v>
      </c>
      <c r="AB206" s="3">
        <f>[1]Results!AE1477</f>
        <v>4835.31149</v>
      </c>
      <c r="AC206" s="3">
        <f>[1]Results!AF1477</f>
        <v>4851.1993949999996</v>
      </c>
      <c r="AD206" s="3">
        <f>[1]Results!AG1477</f>
        <v>4866.1657990000003</v>
      </c>
      <c r="AE206" s="3">
        <f>[1]Results!AH1477</f>
        <v>4880.5376409999999</v>
      </c>
      <c r="AF206" s="3">
        <f>[1]Results!AI1477</f>
        <v>4894.5395420000004</v>
      </c>
      <c r="AG206" s="3">
        <f>[1]Results!AJ1477</f>
        <v>4908.3212670000003</v>
      </c>
      <c r="AH206" s="3">
        <f>[1]Results!AK1477</f>
        <v>4921.9726780000001</v>
      </c>
      <c r="AI206" s="3">
        <f>[1]Results!AL1477</f>
        <v>4935.5357789999998</v>
      </c>
      <c r="AJ206" s="3">
        <f>[1]Results!AM1477</f>
        <v>4949.016001</v>
      </c>
      <c r="AK206" s="3">
        <f>[1]Results!AN1477</f>
        <v>4962.3928159999996</v>
      </c>
      <c r="AL206" s="3">
        <f>[1]Results!AO1477</f>
        <v>4975.629269</v>
      </c>
      <c r="AM206" s="3">
        <f>[1]Results!AP1477</f>
        <v>4987.7316879999998</v>
      </c>
      <c r="AN206" s="3">
        <f>[1]Results!AQ1477</f>
        <v>4998.7244849999997</v>
      </c>
      <c r="AO206" s="3">
        <f>[1]Results!AR1477</f>
        <v>5008.7239149999996</v>
      </c>
      <c r="AP206" s="3">
        <f>[1]Results!AS1477</f>
        <v>5017.8594860000003</v>
      </c>
      <c r="AQ206" s="3">
        <f>[1]Results!AT1477</f>
        <v>5026.2494139999999</v>
      </c>
      <c r="AR206" s="3">
        <f>[1]Results!AU1477</f>
        <v>5033.9929750000001</v>
      </c>
      <c r="AS206" s="3">
        <f>[1]Results!AV1477</f>
        <v>5041.1692460000004</v>
      </c>
      <c r="AT206" s="3">
        <f>[1]Results!AW1477</f>
        <v>5047.838667</v>
      </c>
      <c r="AU206" s="3">
        <f>[1]Results!AX1477</f>
        <v>5054.0460030000004</v>
      </c>
      <c r="AV206" s="3">
        <f>[1]Results!AY1477</f>
        <v>5059.8239819999999</v>
      </c>
      <c r="AW206" s="3">
        <f>[1]Results!AZ1477</f>
        <v>5065.2740039999999</v>
      </c>
      <c r="AX206" s="3">
        <f>[1]Results!BA1477</f>
        <v>5070.4102800000001</v>
      </c>
      <c r="AY206" s="3">
        <f>[1]Results!BB1477</f>
        <v>5075.2376009999998</v>
      </c>
      <c r="AZ206" s="3">
        <f>[1]Results!BC1477</f>
        <v>5079.7579009999999</v>
      </c>
      <c r="BA206" s="3">
        <f>[1]Results!BD1477</f>
        <v>5083.9747909999996</v>
      </c>
      <c r="BB206" s="3">
        <f>[1]Results!BE1477</f>
        <v>5222.4697040000001</v>
      </c>
      <c r="BC206" s="3">
        <f>[1]Results!BF1477</f>
        <v>5232.6580800000002</v>
      </c>
      <c r="BD206" s="3">
        <f>[1]Results!BG1477</f>
        <v>5242.3468860000003</v>
      </c>
      <c r="BE206" s="3">
        <f>[1]Results!BH1477</f>
        <v>5251.5300660000003</v>
      </c>
      <c r="BF206" s="3">
        <f>[1]Results!BI1477</f>
        <v>5260.2061640000002</v>
      </c>
    </row>
    <row r="207" spans="1:58" x14ac:dyDescent="0.35">
      <c r="B207" t="s">
        <v>28</v>
      </c>
      <c r="C207" s="3">
        <f>[1]Results!F1489</f>
        <v>868.26537050000002</v>
      </c>
      <c r="D207" s="3">
        <f>[1]Results!G1489</f>
        <v>868.48347030000002</v>
      </c>
      <c r="E207" s="3">
        <f>[1]Results!H1489</f>
        <v>868.50546039999995</v>
      </c>
      <c r="F207" s="3">
        <f>[1]Results!I1489</f>
        <v>868.81863199999998</v>
      </c>
      <c r="G207" s="3">
        <f>[1]Results!J1489</f>
        <v>869.64341109999998</v>
      </c>
      <c r="H207" s="3">
        <f>[1]Results!K1489</f>
        <v>871.02130069999998</v>
      </c>
      <c r="I207" s="3">
        <f>[1]Results!L1489</f>
        <v>872.59028569999998</v>
      </c>
      <c r="J207" s="3">
        <f>[1]Results!M1489</f>
        <v>874.31068900000002</v>
      </c>
      <c r="K207" s="3">
        <f>[1]Results!N1489</f>
        <v>876.14799879999998</v>
      </c>
      <c r="L207" s="3">
        <f>[1]Results!O1489</f>
        <v>878.06463410000003</v>
      </c>
      <c r="M207" s="3">
        <f>[1]Results!P1489</f>
        <v>880.53449709999995</v>
      </c>
      <c r="N207" s="3">
        <f>[1]Results!Q1489</f>
        <v>882.9208509</v>
      </c>
      <c r="O207" s="3">
        <f>[1]Results!R1489</f>
        <v>885.1750346</v>
      </c>
      <c r="P207" s="3">
        <f>[1]Results!S1489</f>
        <v>887.29482069999995</v>
      </c>
      <c r="Q207" s="3">
        <f>[1]Results!T1489</f>
        <v>889.28897129999996</v>
      </c>
      <c r="R207" s="3">
        <f>[1]Results!U1489</f>
        <v>891.17038049999996</v>
      </c>
      <c r="S207" s="3">
        <f>[1]Results!V1489</f>
        <v>892.95437400000003</v>
      </c>
      <c r="T207" s="3">
        <f>[1]Results!W1489</f>
        <v>894.65764179999996</v>
      </c>
      <c r="U207" s="3">
        <f>[1]Results!X1489</f>
        <v>896.29719299999999</v>
      </c>
      <c r="V207" s="3">
        <f>[1]Results!Y1489</f>
        <v>897.88943459999996</v>
      </c>
      <c r="W207" s="3">
        <f>[1]Results!Z1489</f>
        <v>899.11346800000001</v>
      </c>
      <c r="X207" s="3">
        <f>[1]Results!AA1489</f>
        <v>900.38128549999999</v>
      </c>
      <c r="Y207" s="3">
        <f>[1]Results!AB1489</f>
        <v>901.71975139999995</v>
      </c>
      <c r="Z207" s="3">
        <f>[1]Results!AC1489</f>
        <v>903.12793239999996</v>
      </c>
      <c r="AA207" s="3">
        <f>[1]Results!AD1489</f>
        <v>904.60016940000003</v>
      </c>
      <c r="AB207" s="3">
        <f>[1]Results!AE1489</f>
        <v>905.21651770000005</v>
      </c>
      <c r="AC207" s="3">
        <f>[1]Results!AF1489</f>
        <v>905.6259</v>
      </c>
      <c r="AD207" s="3">
        <f>[1]Results!AG1489</f>
        <v>905.94349130000001</v>
      </c>
      <c r="AE207" s="3">
        <f>[1]Results!AH1489</f>
        <v>906.23398910000003</v>
      </c>
      <c r="AF207" s="3">
        <f>[1]Results!AI1489</f>
        <v>906.54089169999997</v>
      </c>
      <c r="AG207" s="3">
        <f>[1]Results!AJ1489</f>
        <v>906.89355439999997</v>
      </c>
      <c r="AH207" s="3">
        <f>[1]Results!AK1489</f>
        <v>907.30994120000003</v>
      </c>
      <c r="AI207" s="3">
        <f>[1]Results!AL1489</f>
        <v>907.79879249999999</v>
      </c>
      <c r="AJ207" s="3">
        <f>[1]Results!AM1489</f>
        <v>908.36181009999996</v>
      </c>
      <c r="AK207" s="3">
        <f>[1]Results!AN1489</f>
        <v>908.99577120000004</v>
      </c>
      <c r="AL207" s="3">
        <f>[1]Results!AO1489</f>
        <v>909.69439699999998</v>
      </c>
      <c r="AM207" s="3">
        <f>[1]Results!AP1489</f>
        <v>910.25577280000005</v>
      </c>
      <c r="AN207" s="3">
        <f>[1]Results!AQ1489</f>
        <v>910.70801930000005</v>
      </c>
      <c r="AO207" s="3">
        <f>[1]Results!AR1489</f>
        <v>911.08818220000001</v>
      </c>
      <c r="AP207" s="3">
        <f>[1]Results!AS1489</f>
        <v>911.42770419999999</v>
      </c>
      <c r="AQ207" s="3">
        <f>[1]Results!AT1489</f>
        <v>911.75090869999997</v>
      </c>
      <c r="AR207" s="3">
        <f>[1]Results!AU1489</f>
        <v>912.07565580000005</v>
      </c>
      <c r="AS207" s="3">
        <f>[1]Results!AV1489</f>
        <v>912.41423980000002</v>
      </c>
      <c r="AT207" s="3">
        <f>[1]Results!AW1489</f>
        <v>912.77429219999999</v>
      </c>
      <c r="AU207" s="3">
        <f>[1]Results!AX1489</f>
        <v>913.15970219999997</v>
      </c>
      <c r="AV207" s="3">
        <f>[1]Results!AY1489</f>
        <v>913.57154109999999</v>
      </c>
      <c r="AW207" s="3">
        <f>[1]Results!AZ1489</f>
        <v>914.02462709999998</v>
      </c>
      <c r="AX207" s="3">
        <f>[1]Results!BA1489</f>
        <v>914.51409769999998</v>
      </c>
      <c r="AY207" s="3">
        <f>[1]Results!BB1489</f>
        <v>915.03384289999997</v>
      </c>
      <c r="AZ207" s="3">
        <f>[1]Results!BC1489</f>
        <v>915.57776909999995</v>
      </c>
      <c r="BA207" s="3">
        <f>[1]Results!BD1489</f>
        <v>916.14035479999995</v>
      </c>
      <c r="BB207" s="3">
        <f>[1]Results!BE1489</f>
        <v>906.06296829999997</v>
      </c>
      <c r="BC207" s="3">
        <f>[1]Results!BF1489</f>
        <v>906.10522619999995</v>
      </c>
      <c r="BD207" s="3">
        <f>[1]Results!BG1489</f>
        <v>906.16741290000004</v>
      </c>
      <c r="BE207" s="3">
        <f>[1]Results!BH1489</f>
        <v>906.24966629999994</v>
      </c>
      <c r="BF207" s="3">
        <f>[1]Results!BI1489</f>
        <v>906.35235750000004</v>
      </c>
    </row>
    <row r="208" spans="1:58" x14ac:dyDescent="0.35">
      <c r="B208" t="s">
        <v>10</v>
      </c>
      <c r="C208" s="3">
        <f>[1]Results!F1494</f>
        <v>21270.980510000001</v>
      </c>
      <c r="D208" s="3">
        <f>[1]Results!G1494</f>
        <v>21297.637299999999</v>
      </c>
      <c r="E208" s="3">
        <f>[1]Results!H1494</f>
        <v>21331.772209999999</v>
      </c>
      <c r="F208" s="3">
        <f>[1]Results!I1494</f>
        <v>21379.30891</v>
      </c>
      <c r="G208" s="3">
        <f>[1]Results!J1494</f>
        <v>21441.94224</v>
      </c>
      <c r="H208" s="3">
        <f>[1]Results!K1494</f>
        <v>21518.764050000002</v>
      </c>
      <c r="I208" s="3">
        <f>[1]Results!L1494</f>
        <v>21598.988659999999</v>
      </c>
      <c r="J208" s="3">
        <f>[1]Results!M1494</f>
        <v>21681.864089999999</v>
      </c>
      <c r="K208" s="3">
        <f>[1]Results!N1494</f>
        <v>21766.871660000001</v>
      </c>
      <c r="L208" s="3">
        <f>[1]Results!O1494</f>
        <v>21853.455000000002</v>
      </c>
      <c r="M208" s="3">
        <f>[1]Results!P1494</f>
        <v>21955.455330000001</v>
      </c>
      <c r="N208" s="3">
        <f>[1]Results!Q1494</f>
        <v>22055.009829999999</v>
      </c>
      <c r="O208" s="3">
        <f>[1]Results!R1494</f>
        <v>22151.369979999999</v>
      </c>
      <c r="P208" s="3">
        <f>[1]Results!S1494</f>
        <v>22244.611550000001</v>
      </c>
      <c r="Q208" s="3">
        <f>[1]Results!T1494</f>
        <v>22334.976930000001</v>
      </c>
      <c r="R208" s="3">
        <f>[1]Results!U1494</f>
        <v>22422.757699999998</v>
      </c>
      <c r="S208" s="3">
        <f>[1]Results!V1494</f>
        <v>22508.272639999999</v>
      </c>
      <c r="T208" s="3">
        <f>[1]Results!W1494</f>
        <v>22591.853940000001</v>
      </c>
      <c r="U208" s="3">
        <f>[1]Results!X1494</f>
        <v>22673.83078</v>
      </c>
      <c r="V208" s="3">
        <f>[1]Results!Y1494</f>
        <v>22754.514179999998</v>
      </c>
      <c r="W208" s="3">
        <f>[1]Results!Z1494</f>
        <v>22824.64068</v>
      </c>
      <c r="X208" s="3">
        <f>[1]Results!AA1494</f>
        <v>22895.915850000001</v>
      </c>
      <c r="Y208" s="3">
        <f>[1]Results!AB1494</f>
        <v>22968.731899999999</v>
      </c>
      <c r="Z208" s="3">
        <f>[1]Results!AC1494</f>
        <v>23042.959500000001</v>
      </c>
      <c r="AA208" s="3">
        <f>[1]Results!AD1494</f>
        <v>23118.387620000001</v>
      </c>
      <c r="AB208" s="3">
        <f>[1]Results!AE1494</f>
        <v>23168.77649</v>
      </c>
      <c r="AC208" s="3">
        <f>[1]Results!AF1494</f>
        <v>23212.9568</v>
      </c>
      <c r="AD208" s="3">
        <f>[1]Results!AG1494</f>
        <v>23253.684639999999</v>
      </c>
      <c r="AE208" s="3">
        <f>[1]Results!AH1494</f>
        <v>23292.648980000002</v>
      </c>
      <c r="AF208" s="3">
        <f>[1]Results!AI1494</f>
        <v>23331.03357</v>
      </c>
      <c r="AG208" s="3">
        <f>[1]Results!AJ1494</f>
        <v>23369.661499999998</v>
      </c>
      <c r="AH208" s="3">
        <f>[1]Results!AK1494</f>
        <v>23409.060010000001</v>
      </c>
      <c r="AI208" s="3">
        <f>[1]Results!AL1494</f>
        <v>23449.516660000001</v>
      </c>
      <c r="AJ208" s="3">
        <f>[1]Results!AM1494</f>
        <v>23491.136740000002</v>
      </c>
      <c r="AK208" s="3">
        <f>[1]Results!AN1494</f>
        <v>23533.898420000001</v>
      </c>
      <c r="AL208" s="3">
        <f>[1]Results!AO1494</f>
        <v>23577.700819999998</v>
      </c>
      <c r="AM208" s="3">
        <f>[1]Results!AP1494</f>
        <v>23616.858929999999</v>
      </c>
      <c r="AN208" s="3">
        <f>[1]Results!AQ1494</f>
        <v>23652.334350000001</v>
      </c>
      <c r="AO208" s="3">
        <f>[1]Results!AR1494</f>
        <v>23685.196609999999</v>
      </c>
      <c r="AP208" s="3">
        <f>[1]Results!AS1494</f>
        <v>23716.34978</v>
      </c>
      <c r="AQ208" s="3">
        <f>[1]Results!AT1494</f>
        <v>23746.50649</v>
      </c>
      <c r="AR208" s="3">
        <f>[1]Results!AU1494</f>
        <v>23776.204300000001</v>
      </c>
      <c r="AS208" s="3">
        <f>[1]Results!AV1494</f>
        <v>23805.827870000001</v>
      </c>
      <c r="AT208" s="3">
        <f>[1]Results!AW1494</f>
        <v>23835.632420000002</v>
      </c>
      <c r="AU208" s="3">
        <f>[1]Results!AX1494</f>
        <v>23865.76858</v>
      </c>
      <c r="AV208" s="3">
        <f>[1]Results!AY1494</f>
        <v>23896.307809999998</v>
      </c>
      <c r="AW208" s="3">
        <f>[1]Results!AZ1494</f>
        <v>23927.715800000002</v>
      </c>
      <c r="AX208" s="3">
        <f>[1]Results!BA1494</f>
        <v>23959.89143</v>
      </c>
      <c r="AY208" s="3">
        <f>[1]Results!BB1494</f>
        <v>23992.706450000001</v>
      </c>
      <c r="AZ208" s="3">
        <f>[1]Results!BC1494</f>
        <v>24026.022389999998</v>
      </c>
      <c r="BA208" s="3">
        <f>[1]Results!BD1494</f>
        <v>24059.709320000002</v>
      </c>
      <c r="BB208" s="3">
        <f>[1]Results!BE1494</f>
        <v>24069.530859999999</v>
      </c>
      <c r="BC208" s="3">
        <f>[1]Results!BF1494</f>
        <v>24095.26267</v>
      </c>
      <c r="BD208" s="3">
        <f>[1]Results!BG1494</f>
        <v>24120.821110000001</v>
      </c>
      <c r="BE208" s="3">
        <f>[1]Results!BH1494</f>
        <v>24146.22565</v>
      </c>
      <c r="BF208" s="3">
        <f>[1]Results!BI1494</f>
        <v>24171.505140000001</v>
      </c>
    </row>
    <row r="209" spans="1:58" x14ac:dyDescent="0.35">
      <c r="B209" t="s">
        <v>29</v>
      </c>
      <c r="C209" s="3">
        <f>C214-C210</f>
        <v>10.587678492200002</v>
      </c>
      <c r="D209" s="3">
        <f t="shared" ref="D209:AL209" si="95">D214-D210</f>
        <v>10.566688643200001</v>
      </c>
      <c r="E209" s="3">
        <f t="shared" si="95"/>
        <v>10.525732087</v>
      </c>
      <c r="F209" s="3">
        <f t="shared" si="95"/>
        <v>10.4813730488</v>
      </c>
      <c r="G209" s="3">
        <f t="shared" si="95"/>
        <v>10.443735855199998</v>
      </c>
      <c r="H209" s="3">
        <f t="shared" si="95"/>
        <v>10.417407538700001</v>
      </c>
      <c r="I209" s="3">
        <f t="shared" si="95"/>
        <v>10.399563677999998</v>
      </c>
      <c r="J209" s="3">
        <f t="shared" si="95"/>
        <v>10.389550473400002</v>
      </c>
      <c r="K209" s="3">
        <f t="shared" si="95"/>
        <v>10.3859350912</v>
      </c>
      <c r="L209" s="3">
        <f t="shared" si="95"/>
        <v>10.387025090999998</v>
      </c>
      <c r="M209" s="3">
        <f t="shared" si="95"/>
        <v>10.397090522499999</v>
      </c>
      <c r="N209" s="3">
        <f t="shared" si="95"/>
        <v>10.4077435994</v>
      </c>
      <c r="O209" s="3">
        <f t="shared" si="95"/>
        <v>10.417997288700001</v>
      </c>
      <c r="P209" s="3">
        <f t="shared" si="95"/>
        <v>10.427592301900001</v>
      </c>
      <c r="Q209" s="3">
        <f t="shared" si="95"/>
        <v>10.436446653299999</v>
      </c>
      <c r="R209" s="3">
        <f t="shared" si="95"/>
        <v>10.4445501143</v>
      </c>
      <c r="S209" s="3">
        <f t="shared" si="95"/>
        <v>10.451937254299999</v>
      </c>
      <c r="T209" s="3">
        <f t="shared" si="95"/>
        <v>10.458673512000001</v>
      </c>
      <c r="U209" s="3">
        <f t="shared" si="95"/>
        <v>10.4648439205</v>
      </c>
      <c r="V209" s="3">
        <f t="shared" si="95"/>
        <v>10.470543617699999</v>
      </c>
      <c r="W209" s="3">
        <f t="shared" si="95"/>
        <v>10.472048776100001</v>
      </c>
      <c r="X209" s="3">
        <f t="shared" si="95"/>
        <v>10.474167001000001</v>
      </c>
      <c r="Y209" s="3">
        <f t="shared" si="95"/>
        <v>10.4770375631</v>
      </c>
      <c r="Z209" s="3">
        <f t="shared" si="95"/>
        <v>10.4805074818</v>
      </c>
      <c r="AA209" s="3">
        <f t="shared" si="95"/>
        <v>10.484444810500001</v>
      </c>
      <c r="AB209" s="3">
        <f t="shared" si="95"/>
        <v>10.478387377500001</v>
      </c>
      <c r="AC209" s="3">
        <f t="shared" si="95"/>
        <v>10.4702283811</v>
      </c>
      <c r="AD209" s="3">
        <f t="shared" si="95"/>
        <v>10.461198401099999</v>
      </c>
      <c r="AE209" s="3">
        <f t="shared" si="95"/>
        <v>10.451833796599999</v>
      </c>
      <c r="AF209" s="3">
        <f t="shared" si="95"/>
        <v>10.442457188499999</v>
      </c>
      <c r="AG209" s="3">
        <f t="shared" si="95"/>
        <v>10.433288915600002</v>
      </c>
      <c r="AH209" s="3">
        <f t="shared" si="95"/>
        <v>10.424479954999999</v>
      </c>
      <c r="AI209" s="3">
        <f t="shared" si="95"/>
        <v>10.416125924700001</v>
      </c>
      <c r="AJ209" s="3">
        <f t="shared" si="95"/>
        <v>10.408277510399998</v>
      </c>
      <c r="AK209" s="3">
        <f t="shared" si="95"/>
        <v>10.400950196099998</v>
      </c>
      <c r="AL209" s="3">
        <f t="shared" si="95"/>
        <v>10.394133698800001</v>
      </c>
      <c r="AM209" s="3">
        <f t="shared" ref="AM209:BC209" si="96">AM214-AM210</f>
        <v>10.385607993800001</v>
      </c>
      <c r="AN209" s="3">
        <f t="shared" si="96"/>
        <v>10.375858974400002</v>
      </c>
      <c r="AO209" s="3">
        <f t="shared" si="96"/>
        <v>10.365388214600003</v>
      </c>
      <c r="AP209" s="3">
        <f t="shared" si="96"/>
        <v>10.354558541199999</v>
      </c>
      <c r="AQ209" s="3">
        <f t="shared" si="96"/>
        <v>10.343616018800001</v>
      </c>
      <c r="AR209" s="3">
        <f t="shared" si="96"/>
        <v>10.3327248661</v>
      </c>
      <c r="AS209" s="3">
        <f t="shared" si="96"/>
        <v>10.321992589500001</v>
      </c>
      <c r="AT209" s="3">
        <f t="shared" si="96"/>
        <v>10.311486056</v>
      </c>
      <c r="AU209" s="3">
        <f t="shared" si="96"/>
        <v>10.301241481999998</v>
      </c>
      <c r="AV209" s="3">
        <f t="shared" si="96"/>
        <v>10.291269187199999</v>
      </c>
      <c r="AW209" s="3">
        <f t="shared" si="96"/>
        <v>10.281721040600001</v>
      </c>
      <c r="AX209" s="3">
        <f t="shared" si="96"/>
        <v>10.272511728900001</v>
      </c>
      <c r="AY209" s="3">
        <f t="shared" si="96"/>
        <v>10.263532123000001</v>
      </c>
      <c r="AZ209" s="3">
        <f t="shared" si="96"/>
        <v>10.2547767346</v>
      </c>
      <c r="BA209" s="3">
        <f t="shared" si="96"/>
        <v>10.246283849000001</v>
      </c>
      <c r="BB209" s="3">
        <f t="shared" si="96"/>
        <v>10.1385891352</v>
      </c>
      <c r="BC209" s="3">
        <f t="shared" si="96"/>
        <v>10.1267563557</v>
      </c>
      <c r="BD209" s="3">
        <f t="shared" ref="BD209:BF209" si="97">BD214-BD210</f>
        <v>10.115161729</v>
      </c>
      <c r="BE209" s="3">
        <f t="shared" si="97"/>
        <v>10.1038212526</v>
      </c>
      <c r="BF209" s="3">
        <f t="shared" si="97"/>
        <v>10.092751701099999</v>
      </c>
    </row>
    <row r="210" spans="1:58" x14ac:dyDescent="0.35">
      <c r="B210" t="s">
        <v>36</v>
      </c>
      <c r="C210" s="3">
        <f>C212+C213</f>
        <v>7.4064825877999994</v>
      </c>
      <c r="D210" s="3">
        <f t="shared" ref="D210:AL210" si="98">D212+D213</f>
        <v>7.3832166568000002</v>
      </c>
      <c r="E210" s="3">
        <f t="shared" si="98"/>
        <v>7.3411235829999999</v>
      </c>
      <c r="F210" s="3">
        <f t="shared" si="98"/>
        <v>7.2961147212000004</v>
      </c>
      <c r="G210" s="3">
        <f t="shared" si="98"/>
        <v>7.2579222348000005</v>
      </c>
      <c r="H210" s="3">
        <f t="shared" si="98"/>
        <v>7.2303833112999998</v>
      </c>
      <c r="I210" s="3">
        <f t="shared" si="98"/>
        <v>7.2114877820000007</v>
      </c>
      <c r="J210" s="3">
        <f t="shared" si="98"/>
        <v>7.2001106365999998</v>
      </c>
      <c r="K210" s="3">
        <f t="shared" si="98"/>
        <v>7.1945751788000001</v>
      </c>
      <c r="L210" s="3">
        <f t="shared" si="98"/>
        <v>7.1931961790000001</v>
      </c>
      <c r="M210" s="3">
        <f t="shared" si="98"/>
        <v>7.1981322475000002</v>
      </c>
      <c r="N210" s="3">
        <f t="shared" si="98"/>
        <v>7.2039200106000001</v>
      </c>
      <c r="O210" s="3">
        <f t="shared" si="98"/>
        <v>7.2098245312999998</v>
      </c>
      <c r="P210" s="3">
        <f t="shared" si="98"/>
        <v>7.2155143181000003</v>
      </c>
      <c r="Q210" s="3">
        <f t="shared" si="98"/>
        <v>7.2208043067000007</v>
      </c>
      <c r="R210" s="3">
        <f t="shared" si="98"/>
        <v>7.2255950357000005</v>
      </c>
      <c r="S210" s="3">
        <f t="shared" si="98"/>
        <v>7.2298464757000005</v>
      </c>
      <c r="T210" s="3">
        <f t="shared" si="98"/>
        <v>7.2335595280000007</v>
      </c>
      <c r="U210" s="3">
        <f t="shared" si="98"/>
        <v>7.2367614995</v>
      </c>
      <c r="V210" s="3">
        <f t="shared" si="98"/>
        <v>7.2394951722999998</v>
      </c>
      <c r="W210" s="3">
        <f t="shared" si="98"/>
        <v>7.2394525938999994</v>
      </c>
      <c r="X210" s="3">
        <f t="shared" si="98"/>
        <v>7.2395899989999997</v>
      </c>
      <c r="Y210" s="3">
        <f t="shared" si="98"/>
        <v>7.2399381469000001</v>
      </c>
      <c r="Z210" s="3">
        <f t="shared" si="98"/>
        <v>7.2404239381999993</v>
      </c>
      <c r="AA210" s="3">
        <f t="shared" si="98"/>
        <v>7.2409946094999995</v>
      </c>
      <c r="AB210" s="3">
        <f t="shared" si="98"/>
        <v>7.2352068825</v>
      </c>
      <c r="AC210" s="3">
        <f t="shared" si="98"/>
        <v>7.2279458289000003</v>
      </c>
      <c r="AD210" s="3">
        <f t="shared" si="98"/>
        <v>7.2198356189000004</v>
      </c>
      <c r="AE210" s="3">
        <f t="shared" si="98"/>
        <v>7.2112009333999998</v>
      </c>
      <c r="AF210" s="3">
        <f t="shared" si="98"/>
        <v>7.2022749615000006</v>
      </c>
      <c r="AG210" s="3">
        <f t="shared" si="98"/>
        <v>7.1932388343999998</v>
      </c>
      <c r="AH210" s="3">
        <f t="shared" si="98"/>
        <v>7.1842297650000004</v>
      </c>
      <c r="AI210" s="3">
        <f t="shared" si="98"/>
        <v>7.1753453052999996</v>
      </c>
      <c r="AJ210" s="3">
        <f t="shared" si="98"/>
        <v>7.1666487095999996</v>
      </c>
      <c r="AK210" s="3">
        <f t="shared" si="98"/>
        <v>7.1581754538999993</v>
      </c>
      <c r="AL210" s="3">
        <f t="shared" si="98"/>
        <v>7.1499400411999998</v>
      </c>
      <c r="AM210" s="3">
        <f t="shared" ref="AM210:BC210" si="99">AM212+AM213</f>
        <v>7.1405848162000005</v>
      </c>
      <c r="AN210" s="3">
        <f t="shared" si="99"/>
        <v>7.1304254656000001</v>
      </c>
      <c r="AO210" s="3">
        <f t="shared" si="99"/>
        <v>7.1197545353999994</v>
      </c>
      <c r="AP210" s="3">
        <f t="shared" si="99"/>
        <v>7.1087873887999997</v>
      </c>
      <c r="AQ210" s="3">
        <f t="shared" si="99"/>
        <v>7.0976789811999996</v>
      </c>
      <c r="AR210" s="3">
        <f t="shared" si="99"/>
        <v>7.0865415139000003</v>
      </c>
      <c r="AS210" s="3">
        <f t="shared" si="99"/>
        <v>7.0754557504999998</v>
      </c>
      <c r="AT210" s="3">
        <f t="shared" si="99"/>
        <v>7.0644780840000001</v>
      </c>
      <c r="AU210" s="3">
        <f t="shared" si="99"/>
        <v>7.0536454380000002</v>
      </c>
      <c r="AV210" s="3">
        <f t="shared" si="99"/>
        <v>7.0429790327999999</v>
      </c>
      <c r="AW210" s="3">
        <f t="shared" si="99"/>
        <v>7.0325954294000006</v>
      </c>
      <c r="AX210" s="3">
        <f t="shared" si="99"/>
        <v>7.0224606510999994</v>
      </c>
      <c r="AY210" s="3">
        <f t="shared" si="99"/>
        <v>7.0125320769999995</v>
      </c>
      <c r="AZ210" s="3">
        <f t="shared" si="99"/>
        <v>7.0027921954000005</v>
      </c>
      <c r="BA210" s="3">
        <f t="shared" si="99"/>
        <v>6.9932354409999995</v>
      </c>
      <c r="BB210" s="3">
        <f t="shared" si="99"/>
        <v>6.9228504148000001</v>
      </c>
      <c r="BC210" s="3">
        <f t="shared" si="99"/>
        <v>6.9103832043000004</v>
      </c>
      <c r="BD210" s="3">
        <f t="shared" ref="BD210:BF210" si="100">BD212+BD213</f>
        <v>6.8980857909999997</v>
      </c>
      <c r="BE210" s="3">
        <f t="shared" si="100"/>
        <v>6.8859729474</v>
      </c>
      <c r="BF210" s="3">
        <f t="shared" si="100"/>
        <v>6.8740612289000005</v>
      </c>
    </row>
    <row r="211" spans="1:58" x14ac:dyDescent="0.35">
      <c r="B211" t="s">
        <v>33</v>
      </c>
      <c r="C211" s="3">
        <f>[1]Results!F1502</f>
        <v>86.953612710000002</v>
      </c>
      <c r="D211" s="3">
        <f>[1]Results!G1502</f>
        <v>86.760530610000004</v>
      </c>
      <c r="E211" s="3">
        <f>[1]Results!H1502</f>
        <v>86.366415599999996</v>
      </c>
      <c r="F211" s="3">
        <f>[1]Results!I1502</f>
        <v>85.888597630000007</v>
      </c>
      <c r="G211" s="3">
        <f>[1]Results!J1502</f>
        <v>85.407461479999995</v>
      </c>
      <c r="H211" s="3">
        <f>[1]Results!K1502</f>
        <v>84.970071590000003</v>
      </c>
      <c r="I211" s="3">
        <f>[1]Results!L1502</f>
        <v>84.571033610000001</v>
      </c>
      <c r="J211" s="3">
        <f>[1]Results!M1502</f>
        <v>84.214655570000005</v>
      </c>
      <c r="K211" s="3">
        <f>[1]Results!N1502</f>
        <v>83.897710959999998</v>
      </c>
      <c r="L211" s="3">
        <f>[1]Results!O1502</f>
        <v>83.611805239999995</v>
      </c>
      <c r="M211" s="3">
        <f>[1]Results!P1502</f>
        <v>83.390268849999998</v>
      </c>
      <c r="N211" s="3">
        <f>[1]Results!Q1502</f>
        <v>83.176826820000002</v>
      </c>
      <c r="O211" s="3">
        <f>[1]Results!R1502</f>
        <v>82.958994469999993</v>
      </c>
      <c r="P211" s="3">
        <f>[1]Results!S1502</f>
        <v>82.734078600000004</v>
      </c>
      <c r="Q211" s="3">
        <f>[1]Results!T1502</f>
        <v>82.502258889999993</v>
      </c>
      <c r="R211" s="3">
        <f>[1]Results!U1502</f>
        <v>82.264650750000001</v>
      </c>
      <c r="S211" s="3">
        <f>[1]Results!V1502</f>
        <v>82.02271374</v>
      </c>
      <c r="T211" s="3">
        <f>[1]Results!W1502</f>
        <v>81.778043499999995</v>
      </c>
      <c r="U211" s="3">
        <f>[1]Results!X1502</f>
        <v>81.532275260000006</v>
      </c>
      <c r="V211" s="3">
        <f>[1]Results!Y1502</f>
        <v>81.287020049999995</v>
      </c>
      <c r="W211" s="3">
        <f>[1]Results!Z1502</f>
        <v>81.016300520000001</v>
      </c>
      <c r="X211" s="3">
        <f>[1]Results!AA1502</f>
        <v>80.752447450000005</v>
      </c>
      <c r="Y211" s="3">
        <f>[1]Results!AB1502</f>
        <v>80.500716339999997</v>
      </c>
      <c r="Z211" s="3">
        <f>[1]Results!AC1502</f>
        <v>80.26130895</v>
      </c>
      <c r="AA211" s="3">
        <f>[1]Results!AD1502</f>
        <v>80.033515870000002</v>
      </c>
      <c r="AB211" s="3">
        <f>[1]Results!AE1502</f>
        <v>79.742775620000003</v>
      </c>
      <c r="AC211" s="3">
        <f>[1]Results!AF1502</f>
        <v>79.436979579999999</v>
      </c>
      <c r="AD211" s="3">
        <f>[1]Results!AG1502</f>
        <v>79.130657830000004</v>
      </c>
      <c r="AE211" s="3">
        <f>[1]Results!AH1502</f>
        <v>78.830343920000004</v>
      </c>
      <c r="AF211" s="3">
        <f>[1]Results!AI1502</f>
        <v>78.539497040000001</v>
      </c>
      <c r="AG211" s="3">
        <f>[1]Results!AJ1502</f>
        <v>78.260053339999999</v>
      </c>
      <c r="AH211" s="3">
        <f>[1]Results!AK1502</f>
        <v>77.993015150000005</v>
      </c>
      <c r="AI211" s="3">
        <f>[1]Results!AL1502</f>
        <v>77.738735969999993</v>
      </c>
      <c r="AJ211" s="3">
        <f>[1]Results!AM1502</f>
        <v>77.49709842</v>
      </c>
      <c r="AK211" s="3">
        <f>[1]Results!AN1502</f>
        <v>77.267649449999993</v>
      </c>
      <c r="AL211" s="3">
        <f>[1]Results!AO1502</f>
        <v>77.04971295</v>
      </c>
      <c r="AM211" s="3">
        <f>[1]Results!AP1502</f>
        <v>76.827196830000005</v>
      </c>
      <c r="AN211" s="3">
        <f>[1]Results!AQ1502</f>
        <v>76.601173529999997</v>
      </c>
      <c r="AO211" s="3">
        <f>[1]Results!AR1502</f>
        <v>76.374873489999999</v>
      </c>
      <c r="AP211" s="3">
        <f>[1]Results!AS1502</f>
        <v>76.151072290000002</v>
      </c>
      <c r="AQ211" s="3">
        <f>[1]Results!AT1502</f>
        <v>75.931728440000001</v>
      </c>
      <c r="AR211" s="3">
        <f>[1]Results!AU1502</f>
        <v>75.718101430000004</v>
      </c>
      <c r="AS211" s="3">
        <f>[1]Results!AV1502</f>
        <v>75.510929559999994</v>
      </c>
      <c r="AT211" s="3">
        <f>[1]Results!AW1502</f>
        <v>75.310584199999994</v>
      </c>
      <c r="AU211" s="3">
        <f>[1]Results!AX1502</f>
        <v>75.117170770000001</v>
      </c>
      <c r="AV211" s="3">
        <f>[1]Results!AY1502</f>
        <v>74.930562339999994</v>
      </c>
      <c r="AW211" s="3">
        <f>[1]Results!AZ1502</f>
        <v>74.751421960000002</v>
      </c>
      <c r="AX211" s="3">
        <f>[1]Results!BA1502</f>
        <v>74.577560160000004</v>
      </c>
      <c r="AY211" s="3">
        <f>[1]Results!BB1502</f>
        <v>74.406905570000006</v>
      </c>
      <c r="AZ211" s="3">
        <f>[1]Results!BC1502</f>
        <v>74.239388300000002</v>
      </c>
      <c r="BA211" s="3">
        <f>[1]Results!BD1502</f>
        <v>74.075950340000006</v>
      </c>
      <c r="BB211" s="3">
        <f>[1]Results!BE1502</f>
        <v>71.369933189999998</v>
      </c>
      <c r="BC211" s="3">
        <f>[1]Results!BF1502</f>
        <v>71.162944929999995</v>
      </c>
      <c r="BD211" s="3">
        <f>[1]Results!BG1502</f>
        <v>70.960819119999996</v>
      </c>
      <c r="BE211" s="3">
        <f>[1]Results!BH1502</f>
        <v>70.76353349</v>
      </c>
      <c r="BF211" s="3">
        <f>[1]Results!BI1502</f>
        <v>70.57103103</v>
      </c>
    </row>
    <row r="212" spans="1:58" x14ac:dyDescent="0.35">
      <c r="B212" t="s">
        <v>35</v>
      </c>
      <c r="C212" s="3">
        <f>[1]Results!F1499</f>
        <v>6.6863688339999996</v>
      </c>
      <c r="D212" s="3">
        <f>[1]Results!G1499</f>
        <v>6.663688455</v>
      </c>
      <c r="E212" s="3">
        <f>[1]Results!H1499</f>
        <v>6.6230406139999998</v>
      </c>
      <c r="F212" s="3">
        <f>[1]Results!I1499</f>
        <v>6.5796770130000004</v>
      </c>
      <c r="G212" s="3">
        <f>[1]Results!J1499</f>
        <v>6.5429209080000001</v>
      </c>
      <c r="H212" s="3">
        <f>[1]Results!K1499</f>
        <v>6.5163609989999998</v>
      </c>
      <c r="I212" s="3">
        <f>[1]Results!L1499</f>
        <v>6.4981650660000003</v>
      </c>
      <c r="J212" s="3">
        <f>[1]Results!M1499</f>
        <v>6.4871787799999998</v>
      </c>
      <c r="K212" s="3">
        <f>[1]Results!N1499</f>
        <v>6.4817429320000004</v>
      </c>
      <c r="L212" s="3">
        <f>[1]Results!O1499</f>
        <v>6.4802288370000003</v>
      </c>
      <c r="M212" s="3">
        <f>[1]Results!P1499</f>
        <v>6.4844130560000002</v>
      </c>
      <c r="N212" s="3">
        <f>[1]Results!Q1499</f>
        <v>6.4894319070000002</v>
      </c>
      <c r="O212" s="3">
        <f>[1]Results!R1499</f>
        <v>6.494634595</v>
      </c>
      <c r="P212" s="3">
        <f>[1]Results!S1499</f>
        <v>6.4997009400000003</v>
      </c>
      <c r="Q212" s="3">
        <f>[1]Results!T1499</f>
        <v>6.5044421220000004</v>
      </c>
      <c r="R212" s="3">
        <f>[1]Results!U1499</f>
        <v>6.5087515710000003</v>
      </c>
      <c r="S212" s="3">
        <f>[1]Results!V1499</f>
        <v>6.512581076</v>
      </c>
      <c r="T212" s="3">
        <f>[1]Results!W1499</f>
        <v>6.5159227260000003</v>
      </c>
      <c r="U212" s="3">
        <f>[1]Results!X1499</f>
        <v>6.5187945870000004</v>
      </c>
      <c r="V212" s="3">
        <f>[1]Results!Y1499</f>
        <v>6.52123001</v>
      </c>
      <c r="W212" s="3">
        <f>[1]Results!Z1499</f>
        <v>6.5212052409999997</v>
      </c>
      <c r="X212" s="3">
        <f>[1]Results!AA1499</f>
        <v>6.5213172029999997</v>
      </c>
      <c r="Y212" s="3">
        <f>[1]Results!AB1499</f>
        <v>6.5215674220000004</v>
      </c>
      <c r="Z212" s="3">
        <f>[1]Results!AC1499</f>
        <v>6.5218916699999996</v>
      </c>
      <c r="AA212" s="3">
        <f>[1]Results!AD1499</f>
        <v>6.5222483139999996</v>
      </c>
      <c r="AB212" s="3">
        <f>[1]Results!AE1499</f>
        <v>6.5169956060000001</v>
      </c>
      <c r="AC212" s="3">
        <f>[1]Results!AF1499</f>
        <v>6.510447256</v>
      </c>
      <c r="AD212" s="3">
        <f>[1]Results!AG1499</f>
        <v>6.5031028360000001</v>
      </c>
      <c r="AE212" s="3">
        <f>[1]Results!AH1499</f>
        <v>6.4952354659999996</v>
      </c>
      <c r="AF212" s="3">
        <f>[1]Results!AI1499</f>
        <v>6.4870515060000002</v>
      </c>
      <c r="AG212" s="3">
        <f>[1]Results!AJ1499</f>
        <v>6.4787162949999999</v>
      </c>
      <c r="AH212" s="3">
        <f>[1]Results!AK1499</f>
        <v>6.4703575750000004</v>
      </c>
      <c r="AI212" s="3">
        <f>[1]Results!AL1499</f>
        <v>6.4620677549999996</v>
      </c>
      <c r="AJ212" s="3">
        <f>[1]Results!AM1499</f>
        <v>6.4539081559999998</v>
      </c>
      <c r="AK212" s="3">
        <f>[1]Results!AN1499</f>
        <v>6.4459147239999997</v>
      </c>
      <c r="AL212" s="3">
        <f>[1]Results!AO1499</f>
        <v>6.4381041679999997</v>
      </c>
      <c r="AM212" s="3">
        <f>[1]Results!AP1499</f>
        <v>6.4292883920000001</v>
      </c>
      <c r="AN212" s="3">
        <f>[1]Results!AQ1499</f>
        <v>6.4197541999999999</v>
      </c>
      <c r="AO212" s="3">
        <f>[1]Results!AR1499</f>
        <v>6.4097546789999997</v>
      </c>
      <c r="AP212" s="3">
        <f>[1]Results!AS1499</f>
        <v>6.399475303</v>
      </c>
      <c r="AQ212" s="3">
        <f>[1]Results!AT1499</f>
        <v>6.389051018</v>
      </c>
      <c r="AR212" s="3">
        <f>[1]Results!AU1499</f>
        <v>6.3785813569999998</v>
      </c>
      <c r="AS212" s="3">
        <f>[1]Results!AV1499</f>
        <v>6.3681394999999998</v>
      </c>
      <c r="AT212" s="3">
        <f>[1]Results!AW1499</f>
        <v>6.3577777400000004</v>
      </c>
      <c r="AU212" s="3">
        <f>[1]Results!AX1499</f>
        <v>6.347531354</v>
      </c>
      <c r="AV212" s="3">
        <f>[1]Results!AY1499</f>
        <v>6.3374218490000001</v>
      </c>
      <c r="AW212" s="3">
        <f>[1]Results!AZ1499</f>
        <v>6.3275552060000004</v>
      </c>
      <c r="AX212" s="3">
        <f>[1]Results!BA1499</f>
        <v>6.3179103259999998</v>
      </c>
      <c r="AY212" s="3">
        <f>[1]Results!BB1499</f>
        <v>6.3084635379999998</v>
      </c>
      <c r="AZ212" s="3">
        <f>[1]Results!BC1499</f>
        <v>6.2991946250000002</v>
      </c>
      <c r="BA212" s="3">
        <f>[1]Results!BD1499</f>
        <v>6.2900861529999998</v>
      </c>
      <c r="BB212" s="3">
        <f>[1]Results!BE1499</f>
        <v>6.2314564189999997</v>
      </c>
      <c r="BC212" s="3">
        <f>[1]Results!BF1499</f>
        <v>6.21968941</v>
      </c>
      <c r="BD212" s="3">
        <f>[1]Results!BG1499</f>
        <v>6.2080740509999996</v>
      </c>
      <c r="BE212" s="3">
        <f>[1]Results!BH1499</f>
        <v>6.1966238159999998</v>
      </c>
      <c r="BF212" s="3">
        <f>[1]Results!BI1499</f>
        <v>6.1853541830000003</v>
      </c>
    </row>
    <row r="213" spans="1:58" x14ac:dyDescent="0.35">
      <c r="B213" t="s">
        <v>34</v>
      </c>
      <c r="C213" s="3">
        <f>[1]Results!F1501</f>
        <v>0.72011375379999998</v>
      </c>
      <c r="D213" s="3">
        <f>[1]Results!G1501</f>
        <v>0.71952820179999999</v>
      </c>
      <c r="E213" s="3">
        <f>[1]Results!H1501</f>
        <v>0.71808296900000002</v>
      </c>
      <c r="F213" s="3">
        <f>[1]Results!I1501</f>
        <v>0.71643770819999997</v>
      </c>
      <c r="G213" s="3">
        <f>[1]Results!J1501</f>
        <v>0.71500132679999995</v>
      </c>
      <c r="H213" s="3">
        <f>[1]Results!K1501</f>
        <v>0.71402231230000002</v>
      </c>
      <c r="I213" s="3">
        <f>[1]Results!L1501</f>
        <v>0.71332271599999997</v>
      </c>
      <c r="J213" s="3">
        <f>[1]Results!M1501</f>
        <v>0.71293185660000002</v>
      </c>
      <c r="K213" s="3">
        <f>[1]Results!N1501</f>
        <v>0.71283224680000001</v>
      </c>
      <c r="L213" s="3">
        <f>[1]Results!O1501</f>
        <v>0.712967342</v>
      </c>
      <c r="M213" s="3">
        <f>[1]Results!P1501</f>
        <v>0.71371919149999996</v>
      </c>
      <c r="N213" s="3">
        <f>[1]Results!Q1501</f>
        <v>0.71448810360000004</v>
      </c>
      <c r="O213" s="3">
        <f>[1]Results!R1501</f>
        <v>0.71518993630000005</v>
      </c>
      <c r="P213" s="3">
        <f>[1]Results!S1501</f>
        <v>0.71581337810000001</v>
      </c>
      <c r="Q213" s="3">
        <f>[1]Results!T1501</f>
        <v>0.71636218470000002</v>
      </c>
      <c r="R213" s="3">
        <f>[1]Results!U1501</f>
        <v>0.71684346470000004</v>
      </c>
      <c r="S213" s="3">
        <f>[1]Results!V1501</f>
        <v>0.71726539970000003</v>
      </c>
      <c r="T213" s="3">
        <f>[1]Results!W1501</f>
        <v>0.71763680200000002</v>
      </c>
      <c r="U213" s="3">
        <f>[1]Results!X1501</f>
        <v>0.7179669125</v>
      </c>
      <c r="V213" s="3">
        <f>[1]Results!Y1501</f>
        <v>0.71826516230000004</v>
      </c>
      <c r="W213" s="3">
        <f>[1]Results!Z1501</f>
        <v>0.71824735289999997</v>
      </c>
      <c r="X213" s="3">
        <f>[1]Results!AA1501</f>
        <v>0.71827279600000005</v>
      </c>
      <c r="Y213" s="3">
        <f>[1]Results!AB1501</f>
        <v>0.71837072489999998</v>
      </c>
      <c r="Z213" s="3">
        <f>[1]Results!AC1501</f>
        <v>0.71853226820000005</v>
      </c>
      <c r="AA213" s="3">
        <f>[1]Results!AD1501</f>
        <v>0.71874629550000002</v>
      </c>
      <c r="AB213" s="3">
        <f>[1]Results!AE1501</f>
        <v>0.71821127650000005</v>
      </c>
      <c r="AC213" s="3">
        <f>[1]Results!AF1501</f>
        <v>0.71749857289999996</v>
      </c>
      <c r="AD213" s="3">
        <f>[1]Results!AG1501</f>
        <v>0.71673278289999998</v>
      </c>
      <c r="AE213" s="3">
        <f>[1]Results!AH1501</f>
        <v>0.7159654674</v>
      </c>
      <c r="AF213" s="3">
        <f>[1]Results!AI1501</f>
        <v>0.71522345549999999</v>
      </c>
      <c r="AG213" s="3">
        <f>[1]Results!AJ1501</f>
        <v>0.71452253939999999</v>
      </c>
      <c r="AH213" s="3">
        <f>[1]Results!AK1501</f>
        <v>0.71387219000000002</v>
      </c>
      <c r="AI213" s="3">
        <f>[1]Results!AL1501</f>
        <v>0.71327755029999995</v>
      </c>
      <c r="AJ213" s="3">
        <f>[1]Results!AM1501</f>
        <v>0.71274055359999999</v>
      </c>
      <c r="AK213" s="3">
        <f>[1]Results!AN1501</f>
        <v>0.7122607299</v>
      </c>
      <c r="AL213" s="3">
        <f>[1]Results!AO1501</f>
        <v>0.71183587319999997</v>
      </c>
      <c r="AM213" s="3">
        <f>[1]Results!AP1501</f>
        <v>0.71129642420000005</v>
      </c>
      <c r="AN213" s="3">
        <f>[1]Results!AQ1501</f>
        <v>0.71067126560000005</v>
      </c>
      <c r="AO213" s="3">
        <f>[1]Results!AR1501</f>
        <v>0.70999985639999996</v>
      </c>
      <c r="AP213" s="3">
        <f>[1]Results!AS1501</f>
        <v>0.70931208580000005</v>
      </c>
      <c r="AQ213" s="3">
        <f>[1]Results!AT1501</f>
        <v>0.70862796319999999</v>
      </c>
      <c r="AR213" s="3">
        <f>[1]Results!AU1501</f>
        <v>0.70796015690000003</v>
      </c>
      <c r="AS213" s="3">
        <f>[1]Results!AV1501</f>
        <v>0.70731625050000002</v>
      </c>
      <c r="AT213" s="3">
        <f>[1]Results!AW1501</f>
        <v>0.70670034400000004</v>
      </c>
      <c r="AU213" s="3">
        <f>[1]Results!AX1501</f>
        <v>0.70611408399999998</v>
      </c>
      <c r="AV213" s="3">
        <f>[1]Results!AY1501</f>
        <v>0.70555718379999999</v>
      </c>
      <c r="AW213" s="3">
        <f>[1]Results!AZ1501</f>
        <v>0.70504022340000005</v>
      </c>
      <c r="AX213" s="3">
        <f>[1]Results!BA1501</f>
        <v>0.70455032510000004</v>
      </c>
      <c r="AY213" s="3">
        <f>[1]Results!BB1501</f>
        <v>0.70406853899999999</v>
      </c>
      <c r="AZ213" s="3">
        <f>[1]Results!BC1501</f>
        <v>0.70359757040000004</v>
      </c>
      <c r="BA213" s="3">
        <f>[1]Results!BD1501</f>
        <v>0.70314928799999998</v>
      </c>
      <c r="BB213" s="3">
        <f>[1]Results!BE1501</f>
        <v>0.69139399580000005</v>
      </c>
      <c r="BC213" s="3">
        <f>[1]Results!BF1501</f>
        <v>0.6906937943</v>
      </c>
      <c r="BD213" s="3">
        <f>[1]Results!BG1501</f>
        <v>0.69001173999999998</v>
      </c>
      <c r="BE213" s="3">
        <f>[1]Results!BH1501</f>
        <v>0.68934913139999998</v>
      </c>
      <c r="BF213" s="3">
        <f>[1]Results!BI1501</f>
        <v>0.68870704589999998</v>
      </c>
    </row>
    <row r="214" spans="1:58" x14ac:dyDescent="0.35">
      <c r="B214" t="s">
        <v>37</v>
      </c>
      <c r="C214" s="3">
        <f>[1]Results!F1497</f>
        <v>17.994161080000001</v>
      </c>
      <c r="D214" s="3">
        <f>[1]Results!G1497</f>
        <v>17.949905300000001</v>
      </c>
      <c r="E214" s="3">
        <f>[1]Results!H1497</f>
        <v>17.86685567</v>
      </c>
      <c r="F214" s="3">
        <f>[1]Results!I1497</f>
        <v>17.77748777</v>
      </c>
      <c r="G214" s="3">
        <f>[1]Results!J1497</f>
        <v>17.701658089999999</v>
      </c>
      <c r="H214" s="3">
        <f>[1]Results!K1497</f>
        <v>17.64779085</v>
      </c>
      <c r="I214" s="3">
        <f>[1]Results!L1497</f>
        <v>17.611051459999999</v>
      </c>
      <c r="J214" s="3">
        <f>[1]Results!M1497</f>
        <v>17.589661110000002</v>
      </c>
      <c r="K214" s="3">
        <f>[1]Results!N1497</f>
        <v>17.580510270000001</v>
      </c>
      <c r="L214" s="3">
        <f>[1]Results!O1497</f>
        <v>17.580221269999999</v>
      </c>
      <c r="M214" s="3">
        <f>[1]Results!P1497</f>
        <v>17.595222769999999</v>
      </c>
      <c r="N214" s="3">
        <f>[1]Results!Q1497</f>
        <v>17.611663610000001</v>
      </c>
      <c r="O214" s="3">
        <f>[1]Results!R1497</f>
        <v>17.627821820000001</v>
      </c>
      <c r="P214" s="3">
        <f>[1]Results!S1497</f>
        <v>17.643106620000001</v>
      </c>
      <c r="Q214" s="3">
        <f>[1]Results!T1497</f>
        <v>17.657250959999999</v>
      </c>
      <c r="R214" s="3">
        <f>[1]Results!U1497</f>
        <v>17.67014515</v>
      </c>
      <c r="S214" s="3">
        <f>[1]Results!V1497</f>
        <v>17.681783729999999</v>
      </c>
      <c r="T214" s="3">
        <f>[1]Results!W1497</f>
        <v>17.692233040000001</v>
      </c>
      <c r="U214" s="3">
        <f>[1]Results!X1497</f>
        <v>17.70160542</v>
      </c>
      <c r="V214" s="3">
        <f>[1]Results!Y1497</f>
        <v>17.710038789999999</v>
      </c>
      <c r="W214" s="3">
        <f>[1]Results!Z1497</f>
        <v>17.711501370000001</v>
      </c>
      <c r="X214" s="3">
        <f>[1]Results!AA1497</f>
        <v>17.713757000000001</v>
      </c>
      <c r="Y214" s="3">
        <f>[1]Results!AB1497</f>
        <v>17.71697571</v>
      </c>
      <c r="Z214" s="3">
        <f>[1]Results!AC1497</f>
        <v>17.720931419999999</v>
      </c>
      <c r="AA214" s="3">
        <f>[1]Results!AD1497</f>
        <v>17.725439420000001</v>
      </c>
      <c r="AB214" s="3">
        <f>[1]Results!AE1497</f>
        <v>17.713594260000001</v>
      </c>
      <c r="AC214" s="3">
        <f>[1]Results!AF1497</f>
        <v>17.698174210000001</v>
      </c>
      <c r="AD214" s="3">
        <f>[1]Results!AG1497</f>
        <v>17.681034019999998</v>
      </c>
      <c r="AE214" s="3">
        <f>[1]Results!AH1497</f>
        <v>17.66303473</v>
      </c>
      <c r="AF214" s="3">
        <f>[1]Results!AI1497</f>
        <v>17.644732149999999</v>
      </c>
      <c r="AG214" s="3">
        <f>[1]Results!AJ1497</f>
        <v>17.626527750000001</v>
      </c>
      <c r="AH214" s="3">
        <f>[1]Results!AK1497</f>
        <v>17.60870972</v>
      </c>
      <c r="AI214" s="3">
        <f>[1]Results!AL1497</f>
        <v>17.59147123</v>
      </c>
      <c r="AJ214" s="3">
        <f>[1]Results!AM1497</f>
        <v>17.574926219999998</v>
      </c>
      <c r="AK214" s="3">
        <f>[1]Results!AN1497</f>
        <v>17.559125649999999</v>
      </c>
      <c r="AL214" s="3">
        <f>[1]Results!AO1497</f>
        <v>17.544073740000002</v>
      </c>
      <c r="AM214" s="3">
        <f>[1]Results!AP1497</f>
        <v>17.526192810000001</v>
      </c>
      <c r="AN214" s="3">
        <f>[1]Results!AQ1497</f>
        <v>17.506284440000002</v>
      </c>
      <c r="AO214" s="3">
        <f>[1]Results!AR1497</f>
        <v>17.485142750000001</v>
      </c>
      <c r="AP214" s="3">
        <f>[1]Results!AS1497</f>
        <v>17.463345929999999</v>
      </c>
      <c r="AQ214" s="3">
        <f>[1]Results!AT1497</f>
        <v>17.441295</v>
      </c>
      <c r="AR214" s="3">
        <f>[1]Results!AU1497</f>
        <v>17.41926638</v>
      </c>
      <c r="AS214" s="3">
        <f>[1]Results!AV1497</f>
        <v>17.39744834</v>
      </c>
      <c r="AT214" s="3">
        <f>[1]Results!AW1497</f>
        <v>17.375964140000001</v>
      </c>
      <c r="AU214" s="3">
        <f>[1]Results!AX1497</f>
        <v>17.354886919999998</v>
      </c>
      <c r="AV214" s="3">
        <f>[1]Results!AY1497</f>
        <v>17.334248219999999</v>
      </c>
      <c r="AW214" s="3">
        <f>[1]Results!AZ1497</f>
        <v>17.314316470000001</v>
      </c>
      <c r="AX214" s="3">
        <f>[1]Results!BA1497</f>
        <v>17.294972380000001</v>
      </c>
      <c r="AY214" s="3">
        <f>[1]Results!BB1497</f>
        <v>17.2760642</v>
      </c>
      <c r="AZ214" s="3">
        <f>[1]Results!BC1497</f>
        <v>17.257568930000001</v>
      </c>
      <c r="BA214" s="3">
        <f>[1]Results!BD1497</f>
        <v>17.23951929</v>
      </c>
      <c r="BB214" s="3">
        <f>[1]Results!BE1497</f>
        <v>17.061439549999999</v>
      </c>
      <c r="BC214" s="3">
        <f>[1]Results!BF1497</f>
        <v>17.03713956</v>
      </c>
      <c r="BD214" s="3">
        <f>[1]Results!BG1497</f>
        <v>17.01324752</v>
      </c>
      <c r="BE214" s="3">
        <f>[1]Results!BH1497</f>
        <v>16.989794199999999</v>
      </c>
      <c r="BF214" s="3">
        <f>[1]Results!BI1497</f>
        <v>16.96681293</v>
      </c>
    </row>
    <row r="216" spans="1:58" x14ac:dyDescent="0.35">
      <c r="A216" s="12" t="s">
        <v>86</v>
      </c>
      <c r="B216" t="s">
        <v>27</v>
      </c>
      <c r="C216" s="5">
        <f t="shared" ref="C216:AL216" si="101">C192-C204</f>
        <v>-182.61336000000301</v>
      </c>
      <c r="D216" s="5">
        <f t="shared" si="101"/>
        <v>-345.83453000000009</v>
      </c>
      <c r="E216" s="5">
        <f t="shared" si="101"/>
        <v>-478.11807999999655</v>
      </c>
      <c r="F216" s="5">
        <f t="shared" si="101"/>
        <v>-582.7607199999984</v>
      </c>
      <c r="G216" s="5">
        <f t="shared" si="101"/>
        <v>-665.47910000000047</v>
      </c>
      <c r="H216" s="5">
        <f t="shared" si="101"/>
        <v>-731.59582999999839</v>
      </c>
      <c r="I216" s="5">
        <f t="shared" si="101"/>
        <v>-785.50541000000158</v>
      </c>
      <c r="J216" s="5">
        <f t="shared" si="101"/>
        <v>-830.66595999999845</v>
      </c>
      <c r="K216" s="5">
        <f t="shared" si="101"/>
        <v>-869.78188999999838</v>
      </c>
      <c r="L216" s="5">
        <f t="shared" si="101"/>
        <v>-904.95766000000003</v>
      </c>
      <c r="M216" s="5">
        <f t="shared" si="101"/>
        <v>-952.74244999999792</v>
      </c>
      <c r="N216" s="5">
        <f t="shared" si="101"/>
        <v>-986.81294000000344</v>
      </c>
      <c r="O216" s="5">
        <f t="shared" si="101"/>
        <v>-1009.945929999998</v>
      </c>
      <c r="P216" s="5">
        <f t="shared" si="101"/>
        <v>-1025.618989999999</v>
      </c>
      <c r="Q216" s="5">
        <f t="shared" si="101"/>
        <v>-1036.5978099999993</v>
      </c>
      <c r="R216" s="5">
        <f t="shared" si="101"/>
        <v>-1044.9039599999996</v>
      </c>
      <c r="S216" s="5">
        <f t="shared" si="101"/>
        <v>-1052.3016900000002</v>
      </c>
      <c r="T216" s="5">
        <f t="shared" si="101"/>
        <v>-1059.8518399999994</v>
      </c>
      <c r="U216" s="5">
        <f t="shared" si="101"/>
        <v>-1068.2159600000014</v>
      </c>
      <c r="V216" s="5">
        <f t="shared" si="101"/>
        <v>-1077.7997899999973</v>
      </c>
      <c r="W216" s="5">
        <f t="shared" si="101"/>
        <v>-1088.4556699999994</v>
      </c>
      <c r="X216" s="5">
        <f t="shared" si="101"/>
        <v>-1100.6722899999986</v>
      </c>
      <c r="Y216" s="5">
        <f t="shared" si="101"/>
        <v>-1114.4598800000022</v>
      </c>
      <c r="Z216" s="5">
        <f t="shared" si="101"/>
        <v>-1129.7386200000001</v>
      </c>
      <c r="AA216" s="5">
        <f t="shared" si="101"/>
        <v>-1146.3705799999989</v>
      </c>
      <c r="AB216" s="5">
        <f t="shared" si="101"/>
        <v>-1163.0809799999988</v>
      </c>
      <c r="AC216" s="5">
        <f t="shared" si="101"/>
        <v>-1180.240310000001</v>
      </c>
      <c r="AD216" s="5">
        <f t="shared" si="101"/>
        <v>-1197.691859999999</v>
      </c>
      <c r="AE216" s="5">
        <f t="shared" si="101"/>
        <v>-1215.3188300000002</v>
      </c>
      <c r="AF216" s="5">
        <f t="shared" si="101"/>
        <v>-1233.0277700000006</v>
      </c>
      <c r="AG216" s="5">
        <f t="shared" si="101"/>
        <v>-1250.7323299999989</v>
      </c>
      <c r="AH216" s="5">
        <f t="shared" si="101"/>
        <v>-1268.3034299999999</v>
      </c>
      <c r="AI216" s="5">
        <f t="shared" si="101"/>
        <v>-1285.6244699999988</v>
      </c>
      <c r="AJ216" s="5">
        <f t="shared" si="101"/>
        <v>-1302.6136599999991</v>
      </c>
      <c r="AK216" s="5">
        <f t="shared" si="101"/>
        <v>-1319.2068399999989</v>
      </c>
      <c r="AL216" s="5">
        <f t="shared" si="101"/>
        <v>-1335.3520800000006</v>
      </c>
      <c r="AM216" s="5">
        <f t="shared" ref="AM216:BC216" si="102">AM192-AM204</f>
        <v>-1350.4490099999966</v>
      </c>
      <c r="AN216" s="5">
        <f t="shared" si="102"/>
        <v>-1364.183729999997</v>
      </c>
      <c r="AO216" s="5">
        <f t="shared" si="102"/>
        <v>-1376.5883900000008</v>
      </c>
      <c r="AP216" s="5">
        <f t="shared" si="102"/>
        <v>-1387.8225499999971</v>
      </c>
      <c r="AQ216" s="5">
        <f t="shared" si="102"/>
        <v>-1398.0813899999994</v>
      </c>
      <c r="AR216" s="5">
        <f t="shared" si="102"/>
        <v>-1407.5200299999997</v>
      </c>
      <c r="AS216" s="5">
        <f t="shared" si="102"/>
        <v>-1416.2405199999994</v>
      </c>
      <c r="AT216" s="5">
        <f t="shared" si="102"/>
        <v>-1424.3715499999998</v>
      </c>
      <c r="AU216" s="5">
        <f t="shared" si="102"/>
        <v>-1432.0372000000025</v>
      </c>
      <c r="AV216" s="5">
        <f t="shared" si="102"/>
        <v>-1439.347099999999</v>
      </c>
      <c r="AW216" s="5">
        <f t="shared" si="102"/>
        <v>-1446.3575400000009</v>
      </c>
      <c r="AX216" s="5">
        <f t="shared" si="102"/>
        <v>-1452.9276599999976</v>
      </c>
      <c r="AY216" s="5">
        <f t="shared" si="102"/>
        <v>-1459.1030500000015</v>
      </c>
      <c r="AZ216" s="5">
        <f t="shared" si="102"/>
        <v>-1464.9767399999982</v>
      </c>
      <c r="BA216" s="5">
        <f t="shared" si="102"/>
        <v>-1470.6439400000017</v>
      </c>
      <c r="BB216" s="5">
        <f t="shared" si="102"/>
        <v>43.635760000001028</v>
      </c>
      <c r="BC216" s="5">
        <f t="shared" si="102"/>
        <v>45.909630000001926</v>
      </c>
      <c r="BD216" s="5">
        <f t="shared" ref="BD216:BF216" si="103">BD192-BD204</f>
        <v>48.272320000000036</v>
      </c>
      <c r="BE216" s="5">
        <f t="shared" si="103"/>
        <v>50.7316000000028</v>
      </c>
      <c r="BF216" s="5">
        <f t="shared" si="103"/>
        <v>53.282609999998385</v>
      </c>
    </row>
    <row r="217" spans="1:58" x14ac:dyDescent="0.35">
      <c r="A217" t="s">
        <v>87</v>
      </c>
      <c r="B217" t="s">
        <v>7</v>
      </c>
      <c r="C217" s="5">
        <f t="shared" ref="C217:AL217" si="104">C193-C205</f>
        <v>-2.7511715000000549</v>
      </c>
      <c r="D217" s="5">
        <f t="shared" si="104"/>
        <v>-6.0455843999999388</v>
      </c>
      <c r="E217" s="5">
        <f t="shared" si="104"/>
        <v>-9.0027211000000307</v>
      </c>
      <c r="F217" s="5">
        <f t="shared" si="104"/>
        <v>-11.361491000000001</v>
      </c>
      <c r="G217" s="5">
        <f t="shared" si="104"/>
        <v>-13.089915200000064</v>
      </c>
      <c r="H217" s="5">
        <f t="shared" si="104"/>
        <v>-14.257216900000003</v>
      </c>
      <c r="I217" s="5">
        <f t="shared" si="104"/>
        <v>-14.955542799999989</v>
      </c>
      <c r="J217" s="5">
        <f t="shared" si="104"/>
        <v>-15.296564900000021</v>
      </c>
      <c r="K217" s="5">
        <f t="shared" si="104"/>
        <v>-15.378676099999893</v>
      </c>
      <c r="L217" s="5">
        <f t="shared" si="104"/>
        <v>-15.283321300000011</v>
      </c>
      <c r="M217" s="5">
        <f t="shared" si="104"/>
        <v>-15.677632199999948</v>
      </c>
      <c r="N217" s="5">
        <f t="shared" si="104"/>
        <v>-15.400112899999954</v>
      </c>
      <c r="O217" s="5">
        <f t="shared" si="104"/>
        <v>-14.647199800000067</v>
      </c>
      <c r="P217" s="5">
        <f t="shared" si="104"/>
        <v>-13.587288400000034</v>
      </c>
      <c r="Q217" s="5">
        <f t="shared" si="104"/>
        <v>-12.33802090000006</v>
      </c>
      <c r="R217" s="5">
        <f t="shared" si="104"/>
        <v>-10.980605399999945</v>
      </c>
      <c r="S217" s="5">
        <f t="shared" si="104"/>
        <v>-9.5229749000000083</v>
      </c>
      <c r="T217" s="5">
        <f t="shared" si="104"/>
        <v>-8.0395517000000609</v>
      </c>
      <c r="U217" s="5">
        <f t="shared" si="104"/>
        <v>-6.5755948999999418</v>
      </c>
      <c r="V217" s="5">
        <f t="shared" si="104"/>
        <v>-5.1570250999999416</v>
      </c>
      <c r="W217" s="5">
        <f t="shared" si="104"/>
        <v>-3.7936360999999579</v>
      </c>
      <c r="X217" s="5">
        <f t="shared" si="104"/>
        <v>-2.5011122000000796</v>
      </c>
      <c r="Y217" s="5">
        <f t="shared" si="104"/>
        <v>-1.2755433999999468</v>
      </c>
      <c r="Z217" s="5">
        <f t="shared" si="104"/>
        <v>-0.11185339999997268</v>
      </c>
      <c r="AA217" s="5">
        <f t="shared" si="104"/>
        <v>0.9960603000000674</v>
      </c>
      <c r="AB217" s="5">
        <f t="shared" si="104"/>
        <v>2.0618963000000576</v>
      </c>
      <c r="AC217" s="5">
        <f t="shared" si="104"/>
        <v>3.0468607999999904</v>
      </c>
      <c r="AD217" s="5">
        <f t="shared" si="104"/>
        <v>3.9813209000000143</v>
      </c>
      <c r="AE217" s="5">
        <f t="shared" si="104"/>
        <v>4.8842568000000028</v>
      </c>
      <c r="AF217" s="5">
        <f t="shared" si="104"/>
        <v>5.7674356999999645</v>
      </c>
      <c r="AG217" s="5">
        <f t="shared" si="104"/>
        <v>6.6386693000000605</v>
      </c>
      <c r="AH217" s="5">
        <f t="shared" si="104"/>
        <v>7.4896219000000883</v>
      </c>
      <c r="AI217" s="5">
        <f t="shared" si="104"/>
        <v>8.3345203000000083</v>
      </c>
      <c r="AJ217" s="5">
        <f t="shared" si="104"/>
        <v>9.1819870000000492</v>
      </c>
      <c r="AK217" s="5">
        <f t="shared" si="104"/>
        <v>10.037186099999985</v>
      </c>
      <c r="AL217" s="5">
        <f t="shared" si="104"/>
        <v>10.903291099999933</v>
      </c>
      <c r="AM217" s="5">
        <f t="shared" ref="AM217:BC217" si="105">AM193-AM205</f>
        <v>11.652528299999972</v>
      </c>
      <c r="AN217" s="5">
        <f t="shared" si="105"/>
        <v>12.370345599999951</v>
      </c>
      <c r="AO217" s="5">
        <f t="shared" si="105"/>
        <v>13.098878199999945</v>
      </c>
      <c r="AP217" s="5">
        <f t="shared" si="105"/>
        <v>13.854071200000021</v>
      </c>
      <c r="AQ217" s="5">
        <f t="shared" si="105"/>
        <v>14.638220600000068</v>
      </c>
      <c r="AR217" s="5">
        <f t="shared" si="105"/>
        <v>15.426199900000029</v>
      </c>
      <c r="AS217" s="5">
        <f t="shared" si="105"/>
        <v>16.227329000000054</v>
      </c>
      <c r="AT217" s="5">
        <f t="shared" si="105"/>
        <v>17.043689599999993</v>
      </c>
      <c r="AU217" s="5">
        <f t="shared" si="105"/>
        <v>17.873889400000053</v>
      </c>
      <c r="AV217" s="5">
        <f t="shared" si="105"/>
        <v>18.715363600000046</v>
      </c>
      <c r="AW217" s="5">
        <f t="shared" si="105"/>
        <v>19.490751100000011</v>
      </c>
      <c r="AX217" s="5">
        <f t="shared" si="105"/>
        <v>20.248054400000001</v>
      </c>
      <c r="AY217" s="5">
        <f t="shared" si="105"/>
        <v>21.009075800000005</v>
      </c>
      <c r="AZ217" s="5">
        <f t="shared" si="105"/>
        <v>21.781346800000051</v>
      </c>
      <c r="BA217" s="5">
        <f t="shared" si="105"/>
        <v>22.565485299999978</v>
      </c>
      <c r="BB217" s="5">
        <f t="shared" si="105"/>
        <v>-0.16417460000002393</v>
      </c>
      <c r="BC217" s="5">
        <f t="shared" si="105"/>
        <v>-0.16895409999995081</v>
      </c>
      <c r="BD217" s="5">
        <f t="shared" ref="BD217:BF217" si="106">BD193-BD205</f>
        <v>-0.17318269999998392</v>
      </c>
      <c r="BE217" s="5">
        <f t="shared" si="106"/>
        <v>-0.17673520000005283</v>
      </c>
      <c r="BF217" s="5">
        <f t="shared" si="106"/>
        <v>-0.17985069999997449</v>
      </c>
    </row>
    <row r="218" spans="1:58" x14ac:dyDescent="0.35">
      <c r="B218" t="s">
        <v>30</v>
      </c>
      <c r="C218" s="5">
        <f t="shared" ref="C218:AL218" si="107">C194-C206</f>
        <v>-44.762161999999989</v>
      </c>
      <c r="D218" s="5">
        <f t="shared" si="107"/>
        <v>-80.941088000000491</v>
      </c>
      <c r="E218" s="5">
        <f t="shared" si="107"/>
        <v>-109.02476400000069</v>
      </c>
      <c r="F218" s="5">
        <f t="shared" si="107"/>
        <v>-130.89900800000032</v>
      </c>
      <c r="G218" s="5">
        <f t="shared" si="107"/>
        <v>-148.33974800000033</v>
      </c>
      <c r="H218" s="5">
        <f t="shared" si="107"/>
        <v>-162.75719300000037</v>
      </c>
      <c r="I218" s="5">
        <f t="shared" si="107"/>
        <v>-175.20716900000025</v>
      </c>
      <c r="J218" s="5">
        <f t="shared" si="107"/>
        <v>-186.43418100000054</v>
      </c>
      <c r="K218" s="5">
        <f t="shared" si="107"/>
        <v>-196.96127700000034</v>
      </c>
      <c r="L218" s="5">
        <f t="shared" si="107"/>
        <v>-207.15444300000036</v>
      </c>
      <c r="M218" s="5">
        <f t="shared" si="107"/>
        <v>-220.79107599999952</v>
      </c>
      <c r="N218" s="5">
        <f t="shared" si="107"/>
        <v>-231.35330400000021</v>
      </c>
      <c r="O218" s="5">
        <f t="shared" si="107"/>
        <v>-239.73975900000005</v>
      </c>
      <c r="P218" s="5">
        <f t="shared" si="107"/>
        <v>-246.79446300000018</v>
      </c>
      <c r="Q218" s="5">
        <f t="shared" si="107"/>
        <v>-253.13330999999926</v>
      </c>
      <c r="R218" s="5">
        <f t="shared" si="107"/>
        <v>-259.16782899999998</v>
      </c>
      <c r="S218" s="5">
        <f t="shared" si="107"/>
        <v>-265.26975799999946</v>
      </c>
      <c r="T218" s="5">
        <f t="shared" si="107"/>
        <v>-271.57389400000011</v>
      </c>
      <c r="U218" s="5">
        <f t="shared" si="107"/>
        <v>-278.14235400000052</v>
      </c>
      <c r="V218" s="5">
        <f t="shared" si="107"/>
        <v>-284.99453200000062</v>
      </c>
      <c r="W218" s="5">
        <f t="shared" si="107"/>
        <v>-292.02511500000037</v>
      </c>
      <c r="X218" s="5">
        <f t="shared" si="107"/>
        <v>-299.31499100000019</v>
      </c>
      <c r="Y218" s="5">
        <f t="shared" si="107"/>
        <v>-306.83009800000036</v>
      </c>
      <c r="Z218" s="5">
        <f t="shared" si="107"/>
        <v>-314.52790399999958</v>
      </c>
      <c r="AA218" s="5">
        <f t="shared" si="107"/>
        <v>-322.36094799999955</v>
      </c>
      <c r="AB218" s="5">
        <f t="shared" si="107"/>
        <v>-329.97851799999989</v>
      </c>
      <c r="AC218" s="5">
        <f t="shared" si="107"/>
        <v>-337.47068299999955</v>
      </c>
      <c r="AD218" s="5">
        <f t="shared" si="107"/>
        <v>-344.80975699999999</v>
      </c>
      <c r="AE218" s="5">
        <f t="shared" si="107"/>
        <v>-351.9722069999998</v>
      </c>
      <c r="AF218" s="5">
        <f t="shared" si="107"/>
        <v>-358.93810600000052</v>
      </c>
      <c r="AG218" s="5">
        <f t="shared" si="107"/>
        <v>-365.68987900000047</v>
      </c>
      <c r="AH218" s="5">
        <f t="shared" si="107"/>
        <v>-372.1892829999997</v>
      </c>
      <c r="AI218" s="5">
        <f t="shared" si="107"/>
        <v>-378.42336199999954</v>
      </c>
      <c r="AJ218" s="5">
        <f t="shared" si="107"/>
        <v>-384.38322900000003</v>
      </c>
      <c r="AK218" s="5">
        <f t="shared" si="107"/>
        <v>-390.06260899999961</v>
      </c>
      <c r="AL218" s="5">
        <f t="shared" si="107"/>
        <v>-395.45769199999995</v>
      </c>
      <c r="AM218" s="5">
        <f t="shared" ref="AM218:BC218" si="108">AM194-AM206</f>
        <v>-400.30500500000016</v>
      </c>
      <c r="AN218" s="5">
        <f t="shared" si="108"/>
        <v>-404.62277999999969</v>
      </c>
      <c r="AO218" s="5">
        <f t="shared" si="108"/>
        <v>-408.45803799999976</v>
      </c>
      <c r="AP218" s="5">
        <f t="shared" si="108"/>
        <v>-411.86529500000051</v>
      </c>
      <c r="AQ218" s="5">
        <f t="shared" si="108"/>
        <v>-414.89886200000001</v>
      </c>
      <c r="AR218" s="5">
        <f t="shared" si="108"/>
        <v>-417.58143100000052</v>
      </c>
      <c r="AS218" s="5">
        <f t="shared" si="108"/>
        <v>-419.95667800000047</v>
      </c>
      <c r="AT218" s="5">
        <f t="shared" si="108"/>
        <v>-422.06706099999974</v>
      </c>
      <c r="AU218" s="5">
        <f t="shared" si="108"/>
        <v>-423.9511650000004</v>
      </c>
      <c r="AV218" s="5">
        <f t="shared" si="108"/>
        <v>-425.64344900000015</v>
      </c>
      <c r="AW218" s="5">
        <f t="shared" si="108"/>
        <v>-427.09580099999948</v>
      </c>
      <c r="AX218" s="5">
        <f t="shared" si="108"/>
        <v>-428.32944399999997</v>
      </c>
      <c r="AY218" s="5">
        <f t="shared" si="108"/>
        <v>-429.38102600000002</v>
      </c>
      <c r="AZ218" s="5">
        <f t="shared" si="108"/>
        <v>-430.28852300000017</v>
      </c>
      <c r="BA218" s="5">
        <f t="shared" si="108"/>
        <v>-431.08719699999983</v>
      </c>
      <c r="BB218" s="5">
        <f t="shared" si="108"/>
        <v>8.6910689999995157</v>
      </c>
      <c r="BC218" s="5">
        <f t="shared" si="108"/>
        <v>9.6807890000000043</v>
      </c>
      <c r="BD218" s="5">
        <f t="shared" ref="BD218:BF218" si="109">BD194-BD206</f>
        <v>10.731380999999601</v>
      </c>
      <c r="BE218" s="5">
        <f t="shared" si="109"/>
        <v>11.842853999999534</v>
      </c>
      <c r="BF218" s="5">
        <f t="shared" si="109"/>
        <v>13.012241999999787</v>
      </c>
    </row>
    <row r="219" spans="1:58" x14ac:dyDescent="0.35">
      <c r="B219" t="s">
        <v>28</v>
      </c>
      <c r="C219" s="5">
        <f t="shared" ref="C219:AL219" si="110">C195-C207</f>
        <v>-8.0309823999999708</v>
      </c>
      <c r="D219" s="5">
        <f t="shared" si="110"/>
        <v>-14.217039200000045</v>
      </c>
      <c r="E219" s="5">
        <f t="shared" si="110"/>
        <v>-18.786650599999916</v>
      </c>
      <c r="F219" s="5">
        <f t="shared" si="110"/>
        <v>-22.185434600000008</v>
      </c>
      <c r="G219" s="5">
        <f t="shared" si="110"/>
        <v>-24.763333099999954</v>
      </c>
      <c r="H219" s="5">
        <f t="shared" si="110"/>
        <v>-26.768180400000006</v>
      </c>
      <c r="I219" s="5">
        <f t="shared" si="110"/>
        <v>-28.376792799999976</v>
      </c>
      <c r="J219" s="5">
        <f t="shared" si="110"/>
        <v>-29.714696600000025</v>
      </c>
      <c r="K219" s="5">
        <f t="shared" si="110"/>
        <v>-30.87521449999997</v>
      </c>
      <c r="L219" s="5">
        <f t="shared" si="110"/>
        <v>-31.928979900000058</v>
      </c>
      <c r="M219" s="5">
        <f t="shared" si="110"/>
        <v>-33.583935499999939</v>
      </c>
      <c r="N219" s="5">
        <f t="shared" si="110"/>
        <v>-34.611167799999976</v>
      </c>
      <c r="O219" s="5">
        <f t="shared" si="110"/>
        <v>-35.206516699999952</v>
      </c>
      <c r="P219" s="5">
        <f t="shared" si="110"/>
        <v>-35.547957499999939</v>
      </c>
      <c r="Q219" s="5">
        <f t="shared" si="110"/>
        <v>-35.759121499999992</v>
      </c>
      <c r="R219" s="5">
        <f t="shared" si="110"/>
        <v>-35.920805599999994</v>
      </c>
      <c r="S219" s="5">
        <f t="shared" si="110"/>
        <v>-36.105684500000052</v>
      </c>
      <c r="T219" s="5">
        <f t="shared" si="110"/>
        <v>-36.342231699999957</v>
      </c>
      <c r="U219" s="5">
        <f t="shared" si="110"/>
        <v>-36.646077600000012</v>
      </c>
      <c r="V219" s="5">
        <f t="shared" si="110"/>
        <v>-37.025232200000005</v>
      </c>
      <c r="W219" s="5">
        <f t="shared" si="110"/>
        <v>-37.466450200000054</v>
      </c>
      <c r="X219" s="5">
        <f t="shared" si="110"/>
        <v>-37.988092400000028</v>
      </c>
      <c r="Y219" s="5">
        <f t="shared" si="110"/>
        <v>-38.585836699999959</v>
      </c>
      <c r="Z219" s="5">
        <f t="shared" si="110"/>
        <v>-39.253263500000003</v>
      </c>
      <c r="AA219" s="5">
        <f t="shared" si="110"/>
        <v>-39.982781000000045</v>
      </c>
      <c r="AB219" s="5">
        <f t="shared" si="110"/>
        <v>-40.717648000000054</v>
      </c>
      <c r="AC219" s="5">
        <f t="shared" si="110"/>
        <v>-41.477887799999962</v>
      </c>
      <c r="AD219" s="5">
        <f t="shared" si="110"/>
        <v>-42.260124499999961</v>
      </c>
      <c r="AE219" s="5">
        <f t="shared" si="110"/>
        <v>-43.060771900000077</v>
      </c>
      <c r="AF219" s="5">
        <f t="shared" si="110"/>
        <v>-43.876266799999939</v>
      </c>
      <c r="AG219" s="5">
        <f t="shared" si="110"/>
        <v>-44.703028199999949</v>
      </c>
      <c r="AH219" s="5">
        <f t="shared" si="110"/>
        <v>-45.533360300000027</v>
      </c>
      <c r="AI219" s="5">
        <f t="shared" si="110"/>
        <v>-46.364382299999988</v>
      </c>
      <c r="AJ219" s="5">
        <f t="shared" si="110"/>
        <v>-47.193804300000011</v>
      </c>
      <c r="AK219" s="5">
        <f t="shared" si="110"/>
        <v>-48.019584900000041</v>
      </c>
      <c r="AL219" s="5">
        <f t="shared" si="110"/>
        <v>-48.839926499999933</v>
      </c>
      <c r="AM219" s="5">
        <f t="shared" ref="AM219:BC219" si="111">AM195-AM207</f>
        <v>-49.606466000000069</v>
      </c>
      <c r="AN219" s="5">
        <f t="shared" si="111"/>
        <v>-50.325477400000068</v>
      </c>
      <c r="AO219" s="5">
        <f t="shared" si="111"/>
        <v>-51.007134700000051</v>
      </c>
      <c r="AP219" s="5">
        <f t="shared" si="111"/>
        <v>-51.660904899999991</v>
      </c>
      <c r="AQ219" s="5">
        <f t="shared" si="111"/>
        <v>-52.294670300000007</v>
      </c>
      <c r="AR219" s="5">
        <f t="shared" si="111"/>
        <v>-52.909508200000005</v>
      </c>
      <c r="AS219" s="5">
        <f t="shared" si="111"/>
        <v>-53.51053150000007</v>
      </c>
      <c r="AT219" s="5">
        <f t="shared" si="111"/>
        <v>-54.102414400000043</v>
      </c>
      <c r="AU219" s="5">
        <f t="shared" si="111"/>
        <v>-54.688909099999933</v>
      </c>
      <c r="AV219" s="5">
        <f t="shared" si="111"/>
        <v>-55.272888699999953</v>
      </c>
      <c r="AW219" s="5">
        <f t="shared" si="111"/>
        <v>-55.841496699999993</v>
      </c>
      <c r="AX219" s="5">
        <f t="shared" si="111"/>
        <v>-56.396900399999936</v>
      </c>
      <c r="AY219" s="5">
        <f t="shared" si="111"/>
        <v>-56.943851099999961</v>
      </c>
      <c r="AZ219" s="5">
        <f t="shared" si="111"/>
        <v>-57.486650800000007</v>
      </c>
      <c r="BA219" s="5">
        <f t="shared" si="111"/>
        <v>-58.028534899999954</v>
      </c>
      <c r="BB219" s="5">
        <f t="shared" si="111"/>
        <v>-9.4779999999445863E-3</v>
      </c>
      <c r="BC219" s="5">
        <f t="shared" si="111"/>
        <v>-2.0267799999942326E-2</v>
      </c>
      <c r="BD219" s="5">
        <f t="shared" ref="BD219:BF219" si="112">BD195-BD207</f>
        <v>-3.0122600000026978E-2</v>
      </c>
      <c r="BE219" s="5">
        <f t="shared" si="112"/>
        <v>-3.8734399999952984E-2</v>
      </c>
      <c r="BF219" s="5">
        <f t="shared" si="112"/>
        <v>-4.615200000000641E-2</v>
      </c>
    </row>
    <row r="220" spans="1:58" x14ac:dyDescent="0.35">
      <c r="B220" t="s">
        <v>10</v>
      </c>
      <c r="C220" s="5">
        <f t="shared" ref="C220:AL220" si="113">C196-C208</f>
        <v>-126.30142999999953</v>
      </c>
      <c r="D220" s="5">
        <f t="shared" si="113"/>
        <v>-243.2986299999975</v>
      </c>
      <c r="E220" s="5">
        <f t="shared" si="113"/>
        <v>-339.57859000000099</v>
      </c>
      <c r="F220" s="5">
        <f t="shared" si="113"/>
        <v>-416.30804999999964</v>
      </c>
      <c r="G220" s="5">
        <f t="shared" si="113"/>
        <v>-477.07880999999907</v>
      </c>
      <c r="H220" s="5">
        <f t="shared" si="113"/>
        <v>-525.46382000000085</v>
      </c>
      <c r="I220" s="5">
        <f t="shared" si="113"/>
        <v>-564.51354999999967</v>
      </c>
      <c r="J220" s="5">
        <f t="shared" si="113"/>
        <v>-596.68942999999854</v>
      </c>
      <c r="K220" s="5">
        <f t="shared" si="113"/>
        <v>-623.97071000000142</v>
      </c>
      <c r="L220" s="5">
        <f t="shared" si="113"/>
        <v>-647.9367600000005</v>
      </c>
      <c r="M220" s="5">
        <f t="shared" si="113"/>
        <v>-679.91628000000128</v>
      </c>
      <c r="N220" s="5">
        <f t="shared" si="113"/>
        <v>-702.60986000000048</v>
      </c>
      <c r="O220" s="5">
        <f t="shared" si="113"/>
        <v>-717.49121999999988</v>
      </c>
      <c r="P220" s="5">
        <f t="shared" si="113"/>
        <v>-726.83044000000154</v>
      </c>
      <c r="Q220" s="5">
        <f t="shared" si="113"/>
        <v>-732.52346000000034</v>
      </c>
      <c r="R220" s="5">
        <f t="shared" si="113"/>
        <v>-736.00991999999678</v>
      </c>
      <c r="S220" s="5">
        <f t="shared" si="113"/>
        <v>-738.59490000000005</v>
      </c>
      <c r="T220" s="5">
        <f t="shared" si="113"/>
        <v>-741.09828000000198</v>
      </c>
      <c r="U220" s="5">
        <f t="shared" si="113"/>
        <v>-744.05661999999938</v>
      </c>
      <c r="V220" s="5">
        <f t="shared" si="113"/>
        <v>-747.82125999999698</v>
      </c>
      <c r="W220" s="5">
        <f t="shared" si="113"/>
        <v>-752.35418000000209</v>
      </c>
      <c r="X220" s="5">
        <f t="shared" si="113"/>
        <v>-758.0273300000008</v>
      </c>
      <c r="Y220" s="5">
        <f t="shared" si="113"/>
        <v>-764.89362999999867</v>
      </c>
      <c r="Z220" s="5">
        <f t="shared" si="113"/>
        <v>-772.92801999999938</v>
      </c>
      <c r="AA220" s="5">
        <f t="shared" si="113"/>
        <v>-782.0546600000016</v>
      </c>
      <c r="AB220" s="5">
        <f t="shared" si="113"/>
        <v>-791.42526999999973</v>
      </c>
      <c r="AC220" s="5">
        <f t="shared" si="113"/>
        <v>-801.25958000000173</v>
      </c>
      <c r="AD220" s="5">
        <f t="shared" si="113"/>
        <v>-811.46292999999787</v>
      </c>
      <c r="AE220" s="5">
        <f t="shared" si="113"/>
        <v>-821.9654300000002</v>
      </c>
      <c r="AF220" s="5">
        <f t="shared" si="113"/>
        <v>-832.70967000000019</v>
      </c>
      <c r="AG220" s="5">
        <f t="shared" si="113"/>
        <v>-843.63897999999972</v>
      </c>
      <c r="AH220" s="5">
        <f t="shared" si="113"/>
        <v>-854.66270000000077</v>
      </c>
      <c r="AI220" s="5">
        <f t="shared" si="113"/>
        <v>-865.69481000000087</v>
      </c>
      <c r="AJ220" s="5">
        <f t="shared" si="113"/>
        <v>-876.67371000000276</v>
      </c>
      <c r="AK220" s="5">
        <f t="shared" si="113"/>
        <v>-887.54910999999993</v>
      </c>
      <c r="AL220" s="5">
        <f t="shared" si="113"/>
        <v>-898.27809999999954</v>
      </c>
      <c r="AM220" s="5">
        <f t="shared" ref="AM220:BC220" si="114">AM196-AM208</f>
        <v>-908.4474999999984</v>
      </c>
      <c r="AN220" s="5">
        <f t="shared" si="114"/>
        <v>-917.80417999999918</v>
      </c>
      <c r="AO220" s="5">
        <f t="shared" si="114"/>
        <v>-926.36472999999751</v>
      </c>
      <c r="AP220" s="5">
        <f t="shared" si="114"/>
        <v>-934.24025999999867</v>
      </c>
      <c r="AQ220" s="5">
        <f t="shared" si="114"/>
        <v>-941.56563000000097</v>
      </c>
      <c r="AR220" s="5">
        <f t="shared" si="114"/>
        <v>-948.44685000000027</v>
      </c>
      <c r="AS220" s="5">
        <f t="shared" si="114"/>
        <v>-954.94597000000067</v>
      </c>
      <c r="AT220" s="5">
        <f t="shared" si="114"/>
        <v>-961.14612000000125</v>
      </c>
      <c r="AU220" s="5">
        <f t="shared" si="114"/>
        <v>-967.12718999999925</v>
      </c>
      <c r="AV220" s="5">
        <f t="shared" si="114"/>
        <v>-972.95852999999988</v>
      </c>
      <c r="AW220" s="5">
        <f t="shared" si="114"/>
        <v>-978.68076000000292</v>
      </c>
      <c r="AX220" s="5">
        <f t="shared" si="114"/>
        <v>-984.1793800000014</v>
      </c>
      <c r="AY220" s="5">
        <f t="shared" si="114"/>
        <v>-989.48163000000204</v>
      </c>
      <c r="AZ220" s="5">
        <f t="shared" si="114"/>
        <v>-994.64505999999892</v>
      </c>
      <c r="BA220" s="5">
        <f t="shared" si="114"/>
        <v>-999.72529000000213</v>
      </c>
      <c r="BB220" s="5">
        <f t="shared" si="114"/>
        <v>36.307130000001052</v>
      </c>
      <c r="BC220" s="5">
        <f t="shared" si="114"/>
        <v>37.62279000000126</v>
      </c>
      <c r="BD220" s="5">
        <f t="shared" ref="BD220:BF220" si="115">BD196-BD208</f>
        <v>38.963700000000244</v>
      </c>
      <c r="BE220" s="5">
        <f t="shared" si="115"/>
        <v>40.337459999998828</v>
      </c>
      <c r="BF220" s="5">
        <f t="shared" si="115"/>
        <v>41.742719999998371</v>
      </c>
    </row>
    <row r="221" spans="1:58" x14ac:dyDescent="0.35">
      <c r="B221" t="s">
        <v>31</v>
      </c>
      <c r="C221" s="5">
        <f>C197-C209</f>
        <v>-0.12498171700000249</v>
      </c>
      <c r="D221" s="5">
        <f t="shared" ref="D221:AL221" si="116">D197-D209</f>
        <v>-0.21388456580000081</v>
      </c>
      <c r="E221" s="5">
        <f t="shared" si="116"/>
        <v>-0.2751605517999991</v>
      </c>
      <c r="F221" s="5">
        <f t="shared" si="116"/>
        <v>-0.31990265849999844</v>
      </c>
      <c r="G221" s="5">
        <f t="shared" si="116"/>
        <v>-0.35481339149999869</v>
      </c>
      <c r="H221" s="5">
        <f t="shared" si="116"/>
        <v>-0.38405973790000303</v>
      </c>
      <c r="I221" s="5">
        <f t="shared" si="116"/>
        <v>-0.41009968649999884</v>
      </c>
      <c r="J221" s="5">
        <f t="shared" si="116"/>
        <v>-0.43428921540000154</v>
      </c>
      <c r="K221" s="5">
        <f t="shared" si="116"/>
        <v>-0.45736726149999996</v>
      </c>
      <c r="L221" s="5">
        <f t="shared" si="116"/>
        <v>-0.47975270389999736</v>
      </c>
      <c r="M221" s="5">
        <f t="shared" si="116"/>
        <v>-0.511708656799998</v>
      </c>
      <c r="N221" s="5">
        <f t="shared" si="116"/>
        <v>-0.53382335899999944</v>
      </c>
      <c r="O221" s="5">
        <f t="shared" si="116"/>
        <v>-0.54909216830000318</v>
      </c>
      <c r="P221" s="5">
        <f t="shared" si="116"/>
        <v>-0.5602918505000023</v>
      </c>
      <c r="Q221" s="5">
        <f t="shared" si="116"/>
        <v>-0.56921543999999891</v>
      </c>
      <c r="R221" s="5">
        <f t="shared" si="116"/>
        <v>-0.57694834469999989</v>
      </c>
      <c r="S221" s="5">
        <f t="shared" si="116"/>
        <v>-0.58443887139999973</v>
      </c>
      <c r="T221" s="5">
        <f t="shared" si="116"/>
        <v>-0.59198983710000164</v>
      </c>
      <c r="U221" s="5">
        <f t="shared" si="116"/>
        <v>-0.59977597320000164</v>
      </c>
      <c r="V221" s="5">
        <f t="shared" si="116"/>
        <v>-0.60791304589999839</v>
      </c>
      <c r="W221" s="5">
        <f t="shared" si="116"/>
        <v>-0.61617810300000286</v>
      </c>
      <c r="X221" s="5">
        <f t="shared" si="116"/>
        <v>-0.62500528970000246</v>
      </c>
      <c r="Y221" s="5">
        <f t="shared" si="116"/>
        <v>-0.63439328749999824</v>
      </c>
      <c r="Z221" s="5">
        <f t="shared" si="116"/>
        <v>-0.64431485160000079</v>
      </c>
      <c r="AA221" s="5">
        <f t="shared" si="116"/>
        <v>-0.65473528080000243</v>
      </c>
      <c r="AB221" s="5">
        <f t="shared" si="116"/>
        <v>-0.66472395350000291</v>
      </c>
      <c r="AC221" s="5">
        <f t="shared" si="116"/>
        <v>-0.67486475379999966</v>
      </c>
      <c r="AD221" s="5">
        <f t="shared" si="116"/>
        <v>-0.68521225609999803</v>
      </c>
      <c r="AE221" s="5">
        <f t="shared" si="116"/>
        <v>-0.69576492019999847</v>
      </c>
      <c r="AF221" s="5">
        <f t="shared" si="116"/>
        <v>-0.70649613059999972</v>
      </c>
      <c r="AG221" s="5">
        <f t="shared" si="116"/>
        <v>-0.71737181230000324</v>
      </c>
      <c r="AH221" s="5">
        <f t="shared" si="116"/>
        <v>-0.72829694649999865</v>
      </c>
      <c r="AI221" s="5">
        <f t="shared" si="116"/>
        <v>-0.73926115980000162</v>
      </c>
      <c r="AJ221" s="5">
        <f t="shared" si="116"/>
        <v>-0.75025767829999701</v>
      </c>
      <c r="AK221" s="5">
        <f t="shared" si="116"/>
        <v>-0.76127535170000016</v>
      </c>
      <c r="AL221" s="5">
        <f t="shared" si="116"/>
        <v>-0.77230060870000194</v>
      </c>
      <c r="AM221" s="5">
        <f t="shared" ref="AM221:BC221" si="117">AM197-AM209</f>
        <v>-0.7825751375000003</v>
      </c>
      <c r="AN221" s="5">
        <f t="shared" si="117"/>
        <v>-0.7923168840999999</v>
      </c>
      <c r="AO221" s="5">
        <f t="shared" si="117"/>
        <v>-0.80170789980000379</v>
      </c>
      <c r="AP221" s="5">
        <f t="shared" si="117"/>
        <v>-0.81085973319999916</v>
      </c>
      <c r="AQ221" s="5">
        <f t="shared" si="117"/>
        <v>-0.81984317050000222</v>
      </c>
      <c r="AR221" s="5">
        <f t="shared" si="117"/>
        <v>-0.82862945589999981</v>
      </c>
      <c r="AS221" s="5">
        <f t="shared" si="117"/>
        <v>-0.83728168110000034</v>
      </c>
      <c r="AT221" s="5">
        <f t="shared" si="117"/>
        <v>-0.84585400149999934</v>
      </c>
      <c r="AU221" s="5">
        <f t="shared" si="117"/>
        <v>-0.85438635649999739</v>
      </c>
      <c r="AV221" s="5">
        <f t="shared" si="117"/>
        <v>-0.86290503809999919</v>
      </c>
      <c r="AW221" s="5">
        <f t="shared" si="117"/>
        <v>-0.87117382450000136</v>
      </c>
      <c r="AX221" s="5">
        <f t="shared" si="117"/>
        <v>-0.87924238120000098</v>
      </c>
      <c r="AY221" s="5">
        <f t="shared" si="117"/>
        <v>-0.88713711220000135</v>
      </c>
      <c r="AZ221" s="5">
        <f t="shared" si="117"/>
        <v>-0.89495442129999958</v>
      </c>
      <c r="BA221" s="5">
        <f t="shared" si="117"/>
        <v>-0.90280990190000132</v>
      </c>
      <c r="BB221" s="5">
        <f t="shared" si="117"/>
        <v>1.7359366700000933E-2</v>
      </c>
      <c r="BC221" s="5">
        <f t="shared" si="117"/>
        <v>1.8674377900001815E-2</v>
      </c>
      <c r="BD221" s="5">
        <f t="shared" ref="BD221:BF221" si="118">BD197-BD209</f>
        <v>2.0024306199999842E-2</v>
      </c>
      <c r="BE221" s="5">
        <f t="shared" si="118"/>
        <v>2.1408881100001054E-2</v>
      </c>
      <c r="BF221" s="5">
        <f t="shared" si="118"/>
        <v>2.2827946200001392E-2</v>
      </c>
    </row>
    <row r="222" spans="1:58" x14ac:dyDescent="0.35">
      <c r="B222" t="s">
        <v>36</v>
      </c>
      <c r="C222" s="5">
        <f>C198-C210</f>
        <v>-7.8891502999999474E-2</v>
      </c>
      <c r="D222" s="5">
        <f t="shared" ref="D222:AL222" si="119">D198-D210</f>
        <v>-0.13505176419999998</v>
      </c>
      <c r="E222" s="5">
        <f t="shared" si="119"/>
        <v>-0.17508337820000008</v>
      </c>
      <c r="F222" s="5">
        <f t="shared" si="119"/>
        <v>-0.20569874150000089</v>
      </c>
      <c r="G222" s="5">
        <f t="shared" si="119"/>
        <v>-0.23088639850000092</v>
      </c>
      <c r="H222" s="5">
        <f t="shared" si="119"/>
        <v>-0.25283386209999925</v>
      </c>
      <c r="I222" s="5">
        <f t="shared" si="119"/>
        <v>-0.27271356350000087</v>
      </c>
      <c r="J222" s="5">
        <f t="shared" si="119"/>
        <v>-0.29115703460000031</v>
      </c>
      <c r="K222" s="5">
        <f t="shared" si="119"/>
        <v>-0.30853606850000048</v>
      </c>
      <c r="L222" s="5">
        <f t="shared" si="119"/>
        <v>-0.3250991861000001</v>
      </c>
      <c r="M222" s="5">
        <f t="shared" si="119"/>
        <v>-0.34741059320000023</v>
      </c>
      <c r="N222" s="5">
        <f t="shared" si="119"/>
        <v>-0.36307890099999973</v>
      </c>
      <c r="O222" s="5">
        <f t="shared" si="119"/>
        <v>-0.37424993169999965</v>
      </c>
      <c r="P222" s="5">
        <f t="shared" si="119"/>
        <v>-0.38265156950000012</v>
      </c>
      <c r="Q222" s="5">
        <f t="shared" si="119"/>
        <v>-0.38937449000000068</v>
      </c>
      <c r="R222" s="5">
        <f t="shared" si="119"/>
        <v>-0.39508594530000085</v>
      </c>
      <c r="S222" s="5">
        <f t="shared" si="119"/>
        <v>-0.40038981859999989</v>
      </c>
      <c r="T222" s="5">
        <f t="shared" si="119"/>
        <v>-0.40549826290000013</v>
      </c>
      <c r="U222" s="5">
        <f t="shared" si="119"/>
        <v>-0.41055434679999969</v>
      </c>
      <c r="V222" s="5">
        <f t="shared" si="119"/>
        <v>-0.41566463409999965</v>
      </c>
      <c r="W222" s="5">
        <f t="shared" si="119"/>
        <v>-0.42071162699999931</v>
      </c>
      <c r="X222" s="5">
        <f t="shared" si="119"/>
        <v>-0.42601258030000011</v>
      </c>
      <c r="Y222" s="5">
        <f t="shared" si="119"/>
        <v>-0.43158768250000001</v>
      </c>
      <c r="Z222" s="5">
        <f t="shared" si="119"/>
        <v>-0.43744257839999889</v>
      </c>
      <c r="AA222" s="5">
        <f t="shared" si="119"/>
        <v>-0.44357639919999947</v>
      </c>
      <c r="AB222" s="5">
        <f t="shared" si="119"/>
        <v>-0.44939654650000005</v>
      </c>
      <c r="AC222" s="5">
        <f t="shared" si="119"/>
        <v>-0.45531822620000018</v>
      </c>
      <c r="AD222" s="5">
        <f t="shared" si="119"/>
        <v>-0.46138042390000056</v>
      </c>
      <c r="AE222" s="5">
        <f t="shared" si="119"/>
        <v>-0.46758905979999987</v>
      </c>
      <c r="AF222" s="5">
        <f t="shared" si="119"/>
        <v>-0.47393617940000077</v>
      </c>
      <c r="AG222" s="5">
        <f t="shared" si="119"/>
        <v>-0.48040840769999971</v>
      </c>
      <c r="AH222" s="5">
        <f t="shared" si="119"/>
        <v>-0.48695230350000074</v>
      </c>
      <c r="AI222" s="5">
        <f t="shared" si="119"/>
        <v>-0.49356421019999974</v>
      </c>
      <c r="AJ222" s="5">
        <f t="shared" si="119"/>
        <v>-0.50023853169999999</v>
      </c>
      <c r="AK222" s="5">
        <f t="shared" si="119"/>
        <v>-0.50696675829999904</v>
      </c>
      <c r="AL222" s="5">
        <f t="shared" si="119"/>
        <v>-0.51373920129999906</v>
      </c>
      <c r="AM222" s="5">
        <f t="shared" ref="AM222:BC222" si="120">AM198-AM210</f>
        <v>-0.52007917250000091</v>
      </c>
      <c r="AN222" s="5">
        <f t="shared" si="120"/>
        <v>-0.52612566590000043</v>
      </c>
      <c r="AO222" s="5">
        <f t="shared" si="120"/>
        <v>-0.53198392019999918</v>
      </c>
      <c r="AP222" s="5">
        <f t="shared" si="120"/>
        <v>-0.53771889679999951</v>
      </c>
      <c r="AQ222" s="5">
        <f t="shared" si="120"/>
        <v>-0.5433729594999992</v>
      </c>
      <c r="AR222" s="5">
        <f t="shared" si="120"/>
        <v>-0.54892850410000094</v>
      </c>
      <c r="AS222" s="5">
        <f t="shared" si="120"/>
        <v>-0.55442472889999994</v>
      </c>
      <c r="AT222" s="5">
        <f t="shared" si="120"/>
        <v>-0.55989467850000008</v>
      </c>
      <c r="AU222" s="5">
        <f t="shared" si="120"/>
        <v>-0.56536449350000062</v>
      </c>
      <c r="AV222" s="5">
        <f t="shared" si="120"/>
        <v>-0.57085525189999942</v>
      </c>
      <c r="AW222" s="5">
        <f t="shared" si="120"/>
        <v>-0.57623947550000043</v>
      </c>
      <c r="AX222" s="5">
        <f t="shared" si="120"/>
        <v>-0.58156224879999918</v>
      </c>
      <c r="AY222" s="5">
        <f t="shared" si="120"/>
        <v>-0.58685673779999981</v>
      </c>
      <c r="AZ222" s="5">
        <f t="shared" si="120"/>
        <v>-0.59216534870000093</v>
      </c>
      <c r="BA222" s="5">
        <f t="shared" si="120"/>
        <v>-0.59753120809999949</v>
      </c>
      <c r="BB222" s="5">
        <f t="shared" si="120"/>
        <v>2.7924103299999281E-2</v>
      </c>
      <c r="BC222" s="5">
        <f t="shared" si="120"/>
        <v>2.9139782099999678E-2</v>
      </c>
      <c r="BD222" s="5">
        <f t="shared" ref="BD222:BF222" si="121">BD198-BD210</f>
        <v>3.0374093799999891E-2</v>
      </c>
      <c r="BE222" s="5">
        <f t="shared" si="121"/>
        <v>3.1631748899999756E-2</v>
      </c>
      <c r="BF222" s="5">
        <f t="shared" si="121"/>
        <v>3.2915973799999776E-2</v>
      </c>
    </row>
    <row r="223" spans="1:58" x14ac:dyDescent="0.35">
      <c r="B223" t="s">
        <v>11</v>
      </c>
      <c r="C223" s="5">
        <f>C199-C211</f>
        <v>-0.56374152000000777</v>
      </c>
      <c r="D223" s="5">
        <f t="shared" ref="D223:AL223" si="122">D199-D211</f>
        <v>-0.98325051999999857</v>
      </c>
      <c r="E223" s="5">
        <f t="shared" si="122"/>
        <v>-1.27510805</v>
      </c>
      <c r="F223" s="5">
        <f t="shared" si="122"/>
        <v>-1.4811384400000094</v>
      </c>
      <c r="G223" s="5">
        <f t="shared" si="122"/>
        <v>-1.6216052599999955</v>
      </c>
      <c r="H223" s="5">
        <f t="shared" si="122"/>
        <v>-1.7125159699999983</v>
      </c>
      <c r="I223" s="5">
        <f t="shared" si="122"/>
        <v>-1.7695454699999971</v>
      </c>
      <c r="J223" s="5">
        <f t="shared" si="122"/>
        <v>-1.8056406400000071</v>
      </c>
      <c r="K223" s="5">
        <f t="shared" si="122"/>
        <v>-1.8301012000000014</v>
      </c>
      <c r="L223" s="5">
        <f t="shared" si="122"/>
        <v>-1.8492993799999908</v>
      </c>
      <c r="M223" s="5">
        <f t="shared" si="122"/>
        <v>-1.9144031999999953</v>
      </c>
      <c r="N223" s="5">
        <f t="shared" si="122"/>
        <v>-1.9415850799999959</v>
      </c>
      <c r="O223" s="5">
        <f t="shared" si="122"/>
        <v>-1.9378861799999925</v>
      </c>
      <c r="P223" s="5">
        <f t="shared" si="122"/>
        <v>-1.9158986099999993</v>
      </c>
      <c r="Q223" s="5">
        <f t="shared" si="122"/>
        <v>-1.8853090899999927</v>
      </c>
      <c r="R223" s="5">
        <f t="shared" si="122"/>
        <v>-1.8527689000000009</v>
      </c>
      <c r="S223" s="5">
        <f t="shared" si="122"/>
        <v>-1.8235397199999994</v>
      </c>
      <c r="T223" s="5">
        <f t="shared" si="122"/>
        <v>-1.8004021499999965</v>
      </c>
      <c r="U223" s="5">
        <f t="shared" si="122"/>
        <v>-1.7849758199999997</v>
      </c>
      <c r="V223" s="5">
        <f t="shared" si="122"/>
        <v>-1.7781708699999967</v>
      </c>
      <c r="W223" s="5">
        <f t="shared" si="122"/>
        <v>-1.7793942100000066</v>
      </c>
      <c r="X223" s="5">
        <f t="shared" si="122"/>
        <v>-1.7897394900000023</v>
      </c>
      <c r="Y223" s="5">
        <f t="shared" si="122"/>
        <v>-1.8087904100000003</v>
      </c>
      <c r="Z223" s="5">
        <f t="shared" si="122"/>
        <v>-1.835818880000005</v>
      </c>
      <c r="AA223" s="5">
        <f t="shared" si="122"/>
        <v>-1.869945670000007</v>
      </c>
      <c r="AB223" s="5">
        <f t="shared" si="122"/>
        <v>-1.9073212400000017</v>
      </c>
      <c r="AC223" s="5">
        <f t="shared" si="122"/>
        <v>-1.9488352799999973</v>
      </c>
      <c r="AD223" s="5">
        <f t="shared" si="122"/>
        <v>-1.9937700899999982</v>
      </c>
      <c r="AE223" s="5">
        <f t="shared" si="122"/>
        <v>-2.0413238300000103</v>
      </c>
      <c r="AF223" s="5">
        <f t="shared" si="122"/>
        <v>-2.0907294699999994</v>
      </c>
      <c r="AG223" s="5">
        <f t="shared" si="122"/>
        <v>-2.141332179999992</v>
      </c>
      <c r="AH223" s="5">
        <f t="shared" si="122"/>
        <v>-2.1924572799999993</v>
      </c>
      <c r="AI223" s="5">
        <f t="shared" si="122"/>
        <v>-2.2436093099999965</v>
      </c>
      <c r="AJ223" s="5">
        <f t="shared" si="122"/>
        <v>-2.2943956900000018</v>
      </c>
      <c r="AK223" s="5">
        <f t="shared" si="122"/>
        <v>-2.3444835499999925</v>
      </c>
      <c r="AL223" s="5">
        <f t="shared" si="122"/>
        <v>-2.393607529999997</v>
      </c>
      <c r="AM223" s="5">
        <f t="shared" ref="AM223:BC223" si="123">AM199-AM211</f>
        <v>-2.4399163200000089</v>
      </c>
      <c r="AN223" s="5">
        <f t="shared" si="123"/>
        <v>-2.483195379999998</v>
      </c>
      <c r="AO223" s="5">
        <f t="shared" si="123"/>
        <v>-2.5236725900000039</v>
      </c>
      <c r="AP223" s="5">
        <f t="shared" si="123"/>
        <v>-2.5615811100000059</v>
      </c>
      <c r="AQ223" s="5">
        <f t="shared" si="123"/>
        <v>-2.5972267599999981</v>
      </c>
      <c r="AR223" s="5">
        <f t="shared" si="123"/>
        <v>-2.6308910200000071</v>
      </c>
      <c r="AS223" s="5">
        <f t="shared" si="123"/>
        <v>-2.662960869999992</v>
      </c>
      <c r="AT223" s="5">
        <f t="shared" si="123"/>
        <v>-2.6938898199999954</v>
      </c>
      <c r="AU223" s="5">
        <f t="shared" si="123"/>
        <v>-2.7240823300000017</v>
      </c>
      <c r="AV223" s="5">
        <f t="shared" si="123"/>
        <v>-2.7538303999999982</v>
      </c>
      <c r="AW223" s="5">
        <f t="shared" si="123"/>
        <v>-2.7828108900000075</v>
      </c>
      <c r="AX223" s="5">
        <f t="shared" si="123"/>
        <v>-2.8091854200000057</v>
      </c>
      <c r="AY223" s="5">
        <f t="shared" si="123"/>
        <v>-2.8316211000000067</v>
      </c>
      <c r="AZ223" s="5">
        <f t="shared" si="123"/>
        <v>-2.8507319299999949</v>
      </c>
      <c r="BA223" s="5">
        <f t="shared" si="123"/>
        <v>-2.8680614200000036</v>
      </c>
      <c r="BB223" s="5">
        <f t="shared" si="123"/>
        <v>-1.2340731399999925</v>
      </c>
      <c r="BC223" s="5">
        <f t="shared" si="123"/>
        <v>-1.2525495099999944</v>
      </c>
      <c r="BD223" s="5">
        <f t="shared" ref="BD223:BF223" si="124">BD199-BD211</f>
        <v>-1.2698560799999967</v>
      </c>
      <c r="BE223" s="5">
        <f t="shared" si="124"/>
        <v>-1.2862876399999976</v>
      </c>
      <c r="BF223" s="5">
        <f t="shared" si="124"/>
        <v>-1.302085610000006</v>
      </c>
    </row>
    <row r="225" spans="1:58" x14ac:dyDescent="0.35">
      <c r="A225" s="12" t="s">
        <v>86</v>
      </c>
      <c r="B225" t="s">
        <v>14</v>
      </c>
      <c r="C225" s="7" t="s">
        <v>15</v>
      </c>
      <c r="D225" s="7" t="s">
        <v>16</v>
      </c>
      <c r="E225" s="7" t="s">
        <v>17</v>
      </c>
    </row>
    <row r="226" spans="1:58" x14ac:dyDescent="0.35">
      <c r="A226" t="s">
        <v>87</v>
      </c>
      <c r="B226" t="s">
        <v>27</v>
      </c>
      <c r="C226" s="6">
        <f t="shared" ref="C226:C232" si="125">R216</f>
        <v>-1044.9039599999996</v>
      </c>
      <c r="D226" s="6">
        <f t="shared" ref="D226:D232" si="126">AB216</f>
        <v>-1163.0809799999988</v>
      </c>
      <c r="E226" s="6">
        <f>AL216</f>
        <v>-1335.3520800000006</v>
      </c>
    </row>
    <row r="227" spans="1:58" x14ac:dyDescent="0.35">
      <c r="B227" t="s">
        <v>7</v>
      </c>
      <c r="C227" s="6">
        <f t="shared" si="125"/>
        <v>-10.980605399999945</v>
      </c>
      <c r="D227" s="6">
        <f t="shared" si="126"/>
        <v>2.0618963000000576</v>
      </c>
      <c r="E227" s="6">
        <f t="shared" ref="E227:E231" si="127">AL217</f>
        <v>10.903291099999933</v>
      </c>
    </row>
    <row r="228" spans="1:58" x14ac:dyDescent="0.35">
      <c r="B228" t="s">
        <v>30</v>
      </c>
      <c r="C228" s="6">
        <f t="shared" si="125"/>
        <v>-259.16782899999998</v>
      </c>
      <c r="D228" s="6">
        <f t="shared" si="126"/>
        <v>-329.97851799999989</v>
      </c>
      <c r="E228" s="6">
        <f t="shared" si="127"/>
        <v>-395.45769199999995</v>
      </c>
    </row>
    <row r="229" spans="1:58" x14ac:dyDescent="0.35">
      <c r="B229" t="s">
        <v>28</v>
      </c>
      <c r="C229" s="6">
        <f t="shared" si="125"/>
        <v>-35.920805599999994</v>
      </c>
      <c r="D229" s="6">
        <f t="shared" si="126"/>
        <v>-40.717648000000054</v>
      </c>
      <c r="E229" s="6">
        <f t="shared" si="127"/>
        <v>-48.839926499999933</v>
      </c>
    </row>
    <row r="230" spans="1:58" x14ac:dyDescent="0.35">
      <c r="B230" t="s">
        <v>10</v>
      </c>
      <c r="C230" s="6">
        <f t="shared" si="125"/>
        <v>-736.00991999999678</v>
      </c>
      <c r="D230" s="6">
        <f t="shared" si="126"/>
        <v>-791.42526999999973</v>
      </c>
      <c r="E230" s="6">
        <f t="shared" si="127"/>
        <v>-898.27809999999954</v>
      </c>
    </row>
    <row r="231" spans="1:58" x14ac:dyDescent="0.35">
      <c r="B231" t="s">
        <v>29</v>
      </c>
      <c r="C231" s="1">
        <f t="shared" si="125"/>
        <v>-0.57694834469999989</v>
      </c>
      <c r="D231" s="1">
        <f t="shared" si="126"/>
        <v>-0.66472395350000291</v>
      </c>
      <c r="E231" s="1">
        <f t="shared" si="127"/>
        <v>-0.77230060870000194</v>
      </c>
    </row>
    <row r="232" spans="1:58" x14ac:dyDescent="0.35">
      <c r="B232" t="s">
        <v>32</v>
      </c>
      <c r="C232" s="1">
        <f t="shared" si="125"/>
        <v>-0.39508594530000085</v>
      </c>
      <c r="D232" s="1">
        <f t="shared" si="126"/>
        <v>-0.44939654650000005</v>
      </c>
      <c r="E232" s="1">
        <f t="shared" ref="E232" si="128">AL222</f>
        <v>-0.51373920129999906</v>
      </c>
    </row>
    <row r="233" spans="1:58" x14ac:dyDescent="0.35">
      <c r="B233" t="s">
        <v>33</v>
      </c>
      <c r="C233" s="1">
        <f t="shared" ref="C233" si="129">R223</f>
        <v>-1.8527689000000009</v>
      </c>
      <c r="D233" s="1">
        <f t="shared" ref="D233" si="130">AB223</f>
        <v>-1.9073212400000017</v>
      </c>
      <c r="E233" s="1">
        <f t="shared" ref="E233" si="131">AL223</f>
        <v>-2.393607529999997</v>
      </c>
    </row>
    <row r="235" spans="1:58" x14ac:dyDescent="0.35">
      <c r="A235" s="12" t="s">
        <v>43</v>
      </c>
      <c r="B235" t="s">
        <v>26</v>
      </c>
      <c r="C235" s="5">
        <f>C236+C237+C238+C239</f>
        <v>96.205528724999994</v>
      </c>
      <c r="D235" s="5">
        <f t="shared" ref="D235:AL235" si="132">D236+D237+D238+D239</f>
        <v>96.619454395999995</v>
      </c>
      <c r="E235" s="5">
        <f t="shared" si="132"/>
        <v>97.33578426599999</v>
      </c>
      <c r="F235" s="5">
        <f t="shared" si="132"/>
        <v>98.232383923</v>
      </c>
      <c r="G235" s="5">
        <f t="shared" si="132"/>
        <v>99.290306006999998</v>
      </c>
      <c r="H235" s="5">
        <f t="shared" si="132"/>
        <v>100.49387815</v>
      </c>
      <c r="I235" s="5">
        <f t="shared" si="132"/>
        <v>101.75842628700001</v>
      </c>
      <c r="J235" s="5">
        <f t="shared" si="132"/>
        <v>103.09818950899999</v>
      </c>
      <c r="K235" s="5">
        <f t="shared" si="132"/>
        <v>104.501699511</v>
      </c>
      <c r="L235" s="5">
        <f t="shared" si="132"/>
        <v>105.95495295399999</v>
      </c>
      <c r="M235" s="5">
        <f t="shared" si="132"/>
        <v>107.39859468200001</v>
      </c>
      <c r="N235" s="5">
        <f t="shared" si="132"/>
        <v>109.011896901</v>
      </c>
      <c r="O235" s="5">
        <f t="shared" si="132"/>
        <v>110.68197858400001</v>
      </c>
      <c r="P235" s="5">
        <f t="shared" si="132"/>
        <v>112.38446648999999</v>
      </c>
      <c r="Q235" s="5">
        <f t="shared" si="132"/>
        <v>114.10949329799999</v>
      </c>
      <c r="R235" s="5">
        <f t="shared" si="132"/>
        <v>115.850477985</v>
      </c>
      <c r="S235" s="5">
        <f t="shared" si="132"/>
        <v>117.596073352</v>
      </c>
      <c r="T235" s="5">
        <f t="shared" si="132"/>
        <v>119.34725770199999</v>
      </c>
      <c r="U235" s="5">
        <f t="shared" si="132"/>
        <v>121.102874692</v>
      </c>
      <c r="V235" s="5">
        <f t="shared" si="132"/>
        <v>122.862407889</v>
      </c>
      <c r="W235" s="5">
        <f t="shared" si="132"/>
        <v>124.54799715200001</v>
      </c>
      <c r="X235" s="5">
        <f t="shared" si="132"/>
        <v>126.28403153800001</v>
      </c>
      <c r="Y235" s="5">
        <f t="shared" si="132"/>
        <v>128.03921216800001</v>
      </c>
      <c r="Z235" s="5">
        <f t="shared" si="132"/>
        <v>129.809295179</v>
      </c>
      <c r="AA235" s="5">
        <f t="shared" si="132"/>
        <v>131.59501348000001</v>
      </c>
      <c r="AB235" s="5">
        <f t="shared" si="132"/>
        <v>133.17356230499999</v>
      </c>
      <c r="AC235" s="5">
        <f t="shared" si="132"/>
        <v>134.796666515</v>
      </c>
      <c r="AD235" s="5">
        <f t="shared" si="132"/>
        <v>136.429490262</v>
      </c>
      <c r="AE235" s="5">
        <f t="shared" si="132"/>
        <v>138.07140775599999</v>
      </c>
      <c r="AF235" s="5">
        <f t="shared" si="132"/>
        <v>139.72721810199999</v>
      </c>
      <c r="AG235" s="5">
        <f t="shared" si="132"/>
        <v>141.401779799</v>
      </c>
      <c r="AH235" s="5">
        <f t="shared" si="132"/>
        <v>143.100927762</v>
      </c>
      <c r="AI235" s="5">
        <f t="shared" si="132"/>
        <v>144.82633009699998</v>
      </c>
      <c r="AJ235" s="5">
        <f t="shared" si="132"/>
        <v>146.57977366899999</v>
      </c>
      <c r="AK235" s="5">
        <f t="shared" si="132"/>
        <v>148.36243167999999</v>
      </c>
      <c r="AL235" s="5">
        <f t="shared" si="132"/>
        <v>150.17489407099998</v>
      </c>
      <c r="AM235" s="5">
        <f t="shared" ref="AM235:BC235" si="133">AM236+AM237+AM238+AM239</f>
        <v>151.98185650400001</v>
      </c>
      <c r="AN235" s="5">
        <f t="shared" si="133"/>
        <v>153.801303343</v>
      </c>
      <c r="AO235" s="5">
        <f t="shared" si="133"/>
        <v>155.638941789</v>
      </c>
      <c r="AP235" s="5">
        <f t="shared" si="133"/>
        <v>157.49753018199999</v>
      </c>
      <c r="AQ235" s="5">
        <f t="shared" si="133"/>
        <v>159.378816497</v>
      </c>
      <c r="AR235" s="5">
        <f t="shared" si="133"/>
        <v>161.28703345600002</v>
      </c>
      <c r="AS235" s="5">
        <f t="shared" si="133"/>
        <v>163.22097754399999</v>
      </c>
      <c r="AT235" s="5">
        <f t="shared" si="133"/>
        <v>165.18075079400001</v>
      </c>
      <c r="AU235" s="5">
        <f t="shared" si="133"/>
        <v>167.16639307399998</v>
      </c>
      <c r="AV235" s="5">
        <f t="shared" si="133"/>
        <v>169.17773537300002</v>
      </c>
      <c r="AW235" s="5">
        <f t="shared" si="133"/>
        <v>171.23012075599999</v>
      </c>
      <c r="AX235" s="5">
        <f t="shared" si="133"/>
        <v>173.31341762299999</v>
      </c>
      <c r="AY235" s="5">
        <f t="shared" si="133"/>
        <v>175.42534339999997</v>
      </c>
      <c r="AZ235" s="5">
        <f t="shared" si="133"/>
        <v>177.564797336</v>
      </c>
      <c r="BA235" s="5">
        <f t="shared" si="133"/>
        <v>179.73085671300001</v>
      </c>
      <c r="BB235" s="5">
        <f t="shared" si="133"/>
        <v>219.54593958000001</v>
      </c>
      <c r="BC235" s="5">
        <f t="shared" si="133"/>
        <v>223.20089697</v>
      </c>
      <c r="BD235" s="5">
        <f t="shared" ref="BD235:BF235" si="134">BD236+BD237+BD238+BD239</f>
        <v>226.91325506999999</v>
      </c>
      <c r="BE235" s="5">
        <f t="shared" si="134"/>
        <v>230.68433690999996</v>
      </c>
      <c r="BF235" s="5">
        <f t="shared" si="134"/>
        <v>234.51543447</v>
      </c>
    </row>
    <row r="236" spans="1:58" x14ac:dyDescent="0.35">
      <c r="A236" t="s">
        <v>39</v>
      </c>
      <c r="B236" t="s">
        <v>7</v>
      </c>
      <c r="C236" s="5">
        <f>[1]Results!F378</f>
        <v>4.8451072850000001</v>
      </c>
      <c r="D236" s="5">
        <f>[1]Results!G378</f>
        <v>4.8542304659999997</v>
      </c>
      <c r="E236" s="5">
        <f>[1]Results!H378</f>
        <v>4.8742544759999999</v>
      </c>
      <c r="F236" s="5">
        <f>[1]Results!I378</f>
        <v>4.9066253030000002</v>
      </c>
      <c r="G236" s="5">
        <f>[1]Results!J378</f>
        <v>4.9511107570000004</v>
      </c>
      <c r="H236" s="5">
        <f>[1]Results!K378</f>
        <v>5.0064428100000002</v>
      </c>
      <c r="I236" s="5">
        <f>[1]Results!L378</f>
        <v>5.068218377</v>
      </c>
      <c r="J236" s="5">
        <f>[1]Results!M378</f>
        <v>5.1358888489999996</v>
      </c>
      <c r="K236" s="5">
        <f>[1]Results!N378</f>
        <v>5.2084163009999997</v>
      </c>
      <c r="L236" s="5">
        <f>[1]Results!O378</f>
        <v>5.2848218139999998</v>
      </c>
      <c r="M236" s="5">
        <f>[1]Results!P378</f>
        <v>5.362343332</v>
      </c>
      <c r="N236" s="5">
        <f>[1]Results!Q378</f>
        <v>5.4492475010000003</v>
      </c>
      <c r="O236" s="5">
        <f>[1]Results!R378</f>
        <v>5.5398925739999996</v>
      </c>
      <c r="P236" s="5">
        <f>[1]Results!S378</f>
        <v>5.6330338299999996</v>
      </c>
      <c r="Q236" s="5">
        <f>[1]Results!T378</f>
        <v>5.7281386479999998</v>
      </c>
      <c r="R236" s="5">
        <f>[1]Results!U378</f>
        <v>5.8248166350000004</v>
      </c>
      <c r="S236" s="5">
        <f>[1]Results!V378</f>
        <v>5.9230973020000004</v>
      </c>
      <c r="T236" s="5">
        <f>[1]Results!W378</f>
        <v>6.0223059320000001</v>
      </c>
      <c r="U236" s="5">
        <f>[1]Results!X378</f>
        <v>6.122229892</v>
      </c>
      <c r="V236" s="5">
        <f>[1]Results!Y378</f>
        <v>6.2227723890000002</v>
      </c>
      <c r="W236" s="5">
        <f>[1]Results!Z378</f>
        <v>6.3203284120000003</v>
      </c>
      <c r="X236" s="5">
        <f>[1]Results!AA378</f>
        <v>6.4199335880000001</v>
      </c>
      <c r="Y236" s="5">
        <f>[1]Results!AB378</f>
        <v>6.5207581179999998</v>
      </c>
      <c r="Z236" s="5">
        <f>[1]Results!AC378</f>
        <v>6.6226476290000003</v>
      </c>
      <c r="AA236" s="5">
        <f>[1]Results!AD378</f>
        <v>6.7256037600000003</v>
      </c>
      <c r="AB236" s="5">
        <f>[1]Results!AE378</f>
        <v>6.8193552549999996</v>
      </c>
      <c r="AC236" s="5">
        <f>[1]Results!AF378</f>
        <v>6.9134010049999999</v>
      </c>
      <c r="AD236" s="5">
        <f>[1]Results!AG378</f>
        <v>7.0075166519999996</v>
      </c>
      <c r="AE236" s="5">
        <f>[1]Results!AH378</f>
        <v>7.1019732360000001</v>
      </c>
      <c r="AF236" s="5">
        <f>[1]Results!AI378</f>
        <v>7.197134202</v>
      </c>
      <c r="AG236" s="5">
        <f>[1]Results!AJ378</f>
        <v>7.2933235390000002</v>
      </c>
      <c r="AH236" s="5">
        <f>[1]Results!AK378</f>
        <v>7.390688162</v>
      </c>
      <c r="AI236" s="5">
        <f>[1]Results!AL378</f>
        <v>7.4895518069999998</v>
      </c>
      <c r="AJ236" s="5">
        <f>[1]Results!AM378</f>
        <v>7.5900588090000003</v>
      </c>
      <c r="AK236" s="5">
        <f>[1]Results!AN378</f>
        <v>7.6922921999999998</v>
      </c>
      <c r="AL236" s="5">
        <f>[1]Results!AO378</f>
        <v>7.7963008110000001</v>
      </c>
      <c r="AM236" s="5">
        <f>[1]Results!AP378</f>
        <v>7.8985974240000001</v>
      </c>
      <c r="AN236" s="5">
        <f>[1]Results!AQ378</f>
        <v>8.0014746930000005</v>
      </c>
      <c r="AO236" s="5">
        <f>[1]Results!AR378</f>
        <v>8.1054574089999996</v>
      </c>
      <c r="AP236" s="5">
        <f>[1]Results!AS378</f>
        <v>8.2107541919999996</v>
      </c>
      <c r="AQ236" s="5">
        <f>[1]Results!AT378</f>
        <v>8.3175015470000009</v>
      </c>
      <c r="AR236" s="5">
        <f>[1]Results!AU378</f>
        <v>8.4256302160000001</v>
      </c>
      <c r="AS236" s="5">
        <f>[1]Results!AV378</f>
        <v>8.5354454240000006</v>
      </c>
      <c r="AT236" s="5">
        <f>[1]Results!AW378</f>
        <v>8.6470281740000008</v>
      </c>
      <c r="AU236" s="5">
        <f>[1]Results!AX378</f>
        <v>8.7604094139999997</v>
      </c>
      <c r="AV236" s="5">
        <f>[1]Results!AY378</f>
        <v>8.8755987530000002</v>
      </c>
      <c r="AW236" s="5">
        <f>[1]Results!AZ378</f>
        <v>8.992181446</v>
      </c>
      <c r="AX236" s="5">
        <f>[1]Results!BA378</f>
        <v>9.1108527329999998</v>
      </c>
      <c r="AY236" s="5">
        <f>[1]Results!BB378</f>
        <v>9.2316316700000005</v>
      </c>
      <c r="AZ236" s="5">
        <f>[1]Results!BC378</f>
        <v>9.3544454859999995</v>
      </c>
      <c r="BA236" s="5">
        <f>[1]Results!BD378</f>
        <v>9.4792152329999997</v>
      </c>
      <c r="BB236" s="5">
        <f>[1]Results!BE378</f>
        <v>10.89254086</v>
      </c>
      <c r="BC236" s="5">
        <f>[1]Results!BF378</f>
        <v>11.071818240000001</v>
      </c>
      <c r="BD236" s="5">
        <f>[1]Results!BG378</f>
        <v>11.25394421</v>
      </c>
      <c r="BE236" s="5">
        <f>[1]Results!BH378</f>
        <v>11.439009499999999</v>
      </c>
      <c r="BF236" s="5">
        <f>[1]Results!BI378</f>
        <v>11.62710313</v>
      </c>
    </row>
    <row r="237" spans="1:58" x14ac:dyDescent="0.35">
      <c r="B237" t="s">
        <v>8</v>
      </c>
      <c r="C237" s="5">
        <f>[1]Results!F390</f>
        <v>43.160148079999999</v>
      </c>
      <c r="D237" s="5">
        <f>[1]Results!G390</f>
        <v>43.300098470000002</v>
      </c>
      <c r="E237" s="5">
        <f>[1]Results!H390</f>
        <v>43.614130119999999</v>
      </c>
      <c r="F237" s="5">
        <f>[1]Results!I390</f>
        <v>44.017172299999999</v>
      </c>
      <c r="G237" s="5">
        <f>[1]Results!J390</f>
        <v>44.495001930000001</v>
      </c>
      <c r="H237" s="5">
        <f>[1]Results!K390</f>
        <v>45.038884709999998</v>
      </c>
      <c r="I237" s="5">
        <f>[1]Results!L390</f>
        <v>45.608090660000002</v>
      </c>
      <c r="J237" s="5">
        <f>[1]Results!M390</f>
        <v>46.210630809999998</v>
      </c>
      <c r="K237" s="5">
        <f>[1]Results!N390</f>
        <v>46.840996099999998</v>
      </c>
      <c r="L237" s="5">
        <f>[1]Results!O390</f>
        <v>47.492478230000003</v>
      </c>
      <c r="M237" s="5">
        <f>[1]Results!P390</f>
        <v>48.119901489999997</v>
      </c>
      <c r="N237" s="5">
        <f>[1]Results!Q390</f>
        <v>48.849577289999999</v>
      </c>
      <c r="O237" s="5">
        <f>[1]Results!R390</f>
        <v>49.607083680000002</v>
      </c>
      <c r="P237" s="5">
        <f>[1]Results!S390</f>
        <v>50.37801554</v>
      </c>
      <c r="Q237" s="5">
        <f>[1]Results!T390</f>
        <v>51.157396439999999</v>
      </c>
      <c r="R237" s="5">
        <f>[1]Results!U390</f>
        <v>51.942203460000002</v>
      </c>
      <c r="S237" s="5">
        <f>[1]Results!V390</f>
        <v>52.726146470000003</v>
      </c>
      <c r="T237" s="5">
        <f>[1]Results!W390</f>
        <v>53.510924629999998</v>
      </c>
      <c r="U237" s="5">
        <f>[1]Results!X390</f>
        <v>54.296342350000003</v>
      </c>
      <c r="V237" s="5">
        <f>[1]Results!Y390</f>
        <v>55.082405719999997</v>
      </c>
      <c r="W237" s="5">
        <f>[1]Results!Z390</f>
        <v>55.832853960000001</v>
      </c>
      <c r="X237" s="5">
        <f>[1]Results!AA390</f>
        <v>56.607632600000002</v>
      </c>
      <c r="Y237" s="5">
        <f>[1]Results!AB390</f>
        <v>57.390647770000001</v>
      </c>
      <c r="Z237" s="5">
        <f>[1]Results!AC390</f>
        <v>58.180042909999997</v>
      </c>
      <c r="AA237" s="5">
        <f>[1]Results!AD390</f>
        <v>58.976416690000001</v>
      </c>
      <c r="AB237" s="5">
        <f>[1]Results!AE390</f>
        <v>59.675834070000001</v>
      </c>
      <c r="AC237" s="5">
        <f>[1]Results!AF390</f>
        <v>60.400622830000003</v>
      </c>
      <c r="AD237" s="5">
        <f>[1]Results!AG390</f>
        <v>61.131249169999997</v>
      </c>
      <c r="AE237" s="5">
        <f>[1]Results!AH390</f>
        <v>61.866874860000003</v>
      </c>
      <c r="AF237" s="5">
        <f>[1]Results!AI390</f>
        <v>62.609495889999998</v>
      </c>
      <c r="AG237" s="5">
        <f>[1]Results!AJ390</f>
        <v>63.361199300000003</v>
      </c>
      <c r="AH237" s="5">
        <f>[1]Results!AK390</f>
        <v>64.124912019999996</v>
      </c>
      <c r="AI237" s="5">
        <f>[1]Results!AL390</f>
        <v>64.901002649999995</v>
      </c>
      <c r="AJ237" s="5">
        <f>[1]Results!AM390</f>
        <v>65.690189669999995</v>
      </c>
      <c r="AK237" s="5">
        <f>[1]Results!AN390</f>
        <v>66.492938229999993</v>
      </c>
      <c r="AL237" s="5">
        <f>[1]Results!AO390</f>
        <v>67.309431669999995</v>
      </c>
      <c r="AM237" s="5">
        <f>[1]Results!AP390</f>
        <v>68.126348780000001</v>
      </c>
      <c r="AN237" s="5">
        <f>[1]Results!AQ390</f>
        <v>68.949851879999997</v>
      </c>
      <c r="AO237" s="5">
        <f>[1]Results!AR390</f>
        <v>69.781992610000003</v>
      </c>
      <c r="AP237" s="5">
        <f>[1]Results!AS390</f>
        <v>70.623699349999995</v>
      </c>
      <c r="AQ237" s="5">
        <f>[1]Results!AT390</f>
        <v>71.47546595</v>
      </c>
      <c r="AR237" s="5">
        <f>[1]Results!AU390</f>
        <v>72.339513120000007</v>
      </c>
      <c r="AS237" s="5">
        <f>[1]Results!AV390</f>
        <v>73.214526520000007</v>
      </c>
      <c r="AT237" s="5">
        <f>[1]Results!AW390</f>
        <v>74.100296069999999</v>
      </c>
      <c r="AU237" s="5">
        <f>[1]Results!AX390</f>
        <v>74.996679369999995</v>
      </c>
      <c r="AV237" s="5">
        <f>[1]Results!AY390</f>
        <v>75.903474029999998</v>
      </c>
      <c r="AW237" s="5">
        <f>[1]Results!AZ390</f>
        <v>76.829679029999994</v>
      </c>
      <c r="AX237" s="5">
        <f>[1]Results!BA390</f>
        <v>77.768654310000002</v>
      </c>
      <c r="AY237" s="5">
        <f>[1]Results!BB390</f>
        <v>78.719128929999997</v>
      </c>
      <c r="AZ237" s="5">
        <f>[1]Results!BC390</f>
        <v>79.680581910000001</v>
      </c>
      <c r="BA237" s="5">
        <f>[1]Results!BD390</f>
        <v>80.652579560000007</v>
      </c>
      <c r="BB237" s="5">
        <f>[1]Results!BE390</f>
        <v>101.8741746</v>
      </c>
      <c r="BC237" s="5">
        <f>[1]Results!BF390</f>
        <v>103.62538499999999</v>
      </c>
      <c r="BD237" s="5">
        <f>[1]Results!BG390</f>
        <v>105.40327739999999</v>
      </c>
      <c r="BE237" s="5">
        <f>[1]Results!BH390</f>
        <v>107.20839049999999</v>
      </c>
      <c r="BF237" s="5">
        <f>[1]Results!BI390</f>
        <v>109.0412402</v>
      </c>
    </row>
    <row r="238" spans="1:58" x14ac:dyDescent="0.35">
      <c r="B238" t="s">
        <v>28</v>
      </c>
      <c r="C238" s="5">
        <f>[1]Results!F366</f>
        <v>25.95253348</v>
      </c>
      <c r="D238" s="5">
        <f>[1]Results!G366</f>
        <v>26.10520459</v>
      </c>
      <c r="E238" s="5">
        <f>[1]Results!H366</f>
        <v>26.326791929999999</v>
      </c>
      <c r="F238" s="5">
        <f>[1]Results!I366</f>
        <v>26.585382190000001</v>
      </c>
      <c r="G238" s="5">
        <f>[1]Results!J366</f>
        <v>26.874911170000001</v>
      </c>
      <c r="H238" s="5">
        <f>[1]Results!K366</f>
        <v>27.191536490000001</v>
      </c>
      <c r="I238" s="5">
        <f>[1]Results!L366</f>
        <v>27.51528957</v>
      </c>
      <c r="J238" s="5">
        <f>[1]Results!M366</f>
        <v>27.85136529</v>
      </c>
      <c r="K238" s="5">
        <f>[1]Results!N366</f>
        <v>28.198635029999998</v>
      </c>
      <c r="L238" s="5">
        <f>[1]Results!O366</f>
        <v>28.55494976</v>
      </c>
      <c r="M238" s="5">
        <f>[1]Results!P366</f>
        <v>28.90849644</v>
      </c>
      <c r="N238" s="5">
        <f>[1]Results!Q366</f>
        <v>29.30084858</v>
      </c>
      <c r="O238" s="5">
        <f>[1]Results!R366</f>
        <v>29.70466601</v>
      </c>
      <c r="P238" s="5">
        <f>[1]Results!S366</f>
        <v>30.114378720000001</v>
      </c>
      <c r="Q238" s="5">
        <f>[1]Results!T366</f>
        <v>30.528130189999999</v>
      </c>
      <c r="R238" s="5">
        <f>[1]Results!U366</f>
        <v>30.94493722</v>
      </c>
      <c r="S238" s="5">
        <f>[1]Results!V366</f>
        <v>31.36240827</v>
      </c>
      <c r="T238" s="5">
        <f>[1]Results!W366</f>
        <v>31.781406870000001</v>
      </c>
      <c r="U238" s="5">
        <f>[1]Results!X366</f>
        <v>32.2020245</v>
      </c>
      <c r="V238" s="5">
        <f>[1]Results!Y366</f>
        <v>32.624356929999998</v>
      </c>
      <c r="W238" s="5">
        <f>[1]Results!Z366</f>
        <v>33.029278910000002</v>
      </c>
      <c r="X238" s="5">
        <f>[1]Results!AA366</f>
        <v>33.447721569999999</v>
      </c>
      <c r="Y238" s="5">
        <f>[1]Results!AB366</f>
        <v>33.872059219999997</v>
      </c>
      <c r="Z238" s="5">
        <f>[1]Results!AC366</f>
        <v>34.300988160000003</v>
      </c>
      <c r="AA238" s="5">
        <f>[1]Results!AD366</f>
        <v>34.734492889999999</v>
      </c>
      <c r="AB238" s="5">
        <f>[1]Results!AE366</f>
        <v>35.117433239999997</v>
      </c>
      <c r="AC238" s="5">
        <f>[1]Results!AF366</f>
        <v>35.512375310000003</v>
      </c>
      <c r="AD238" s="5">
        <f>[1]Results!AG366</f>
        <v>35.911105740000004</v>
      </c>
      <c r="AE238" s="5">
        <f>[1]Results!AH366</f>
        <v>36.31318958</v>
      </c>
      <c r="AF238" s="5">
        <f>[1]Results!AI366</f>
        <v>36.719567390000002</v>
      </c>
      <c r="AG238" s="5">
        <f>[1]Results!AJ366</f>
        <v>37.131226409999996</v>
      </c>
      <c r="AH238" s="5">
        <f>[1]Results!AK366</f>
        <v>37.549464190000002</v>
      </c>
      <c r="AI238" s="5">
        <f>[1]Results!AL366</f>
        <v>37.974447400000003</v>
      </c>
      <c r="AJ238" s="5">
        <f>[1]Results!AM366</f>
        <v>38.406420920000002</v>
      </c>
      <c r="AK238" s="5">
        <f>[1]Results!AN366</f>
        <v>38.845517639999997</v>
      </c>
      <c r="AL238" s="5">
        <f>[1]Results!AO366</f>
        <v>39.291769109999997</v>
      </c>
      <c r="AM238" s="5">
        <f>[1]Results!AP366</f>
        <v>39.736969569999999</v>
      </c>
      <c r="AN238" s="5">
        <f>[1]Results!AQ366</f>
        <v>40.185132289999999</v>
      </c>
      <c r="AO238" s="5">
        <f>[1]Results!AR366</f>
        <v>40.63765403</v>
      </c>
      <c r="AP238" s="5">
        <f>[1]Results!AS366</f>
        <v>41.095221600000002</v>
      </c>
      <c r="AQ238" s="5">
        <f>[1]Results!AT366</f>
        <v>41.558310810000002</v>
      </c>
      <c r="AR238" s="5">
        <f>[1]Results!AU366</f>
        <v>42.028143120000003</v>
      </c>
      <c r="AS238" s="5">
        <f>[1]Results!AV366</f>
        <v>42.50441395</v>
      </c>
      <c r="AT238" s="5">
        <f>[1]Results!AW366</f>
        <v>42.987182199999999</v>
      </c>
      <c r="AU238" s="5">
        <f>[1]Results!AX366</f>
        <v>43.47649723</v>
      </c>
      <c r="AV238" s="5">
        <f>[1]Results!AY366</f>
        <v>43.972358389999997</v>
      </c>
      <c r="AW238" s="5">
        <f>[1]Results!AZ366</f>
        <v>44.478969679999999</v>
      </c>
      <c r="AX238" s="5">
        <f>[1]Results!BA366</f>
        <v>44.993529700000003</v>
      </c>
      <c r="AY238" s="5">
        <f>[1]Results!BB366</f>
        <v>45.515343280000003</v>
      </c>
      <c r="AZ238" s="5">
        <f>[1]Results!BC366</f>
        <v>46.044092569999997</v>
      </c>
      <c r="BA238" s="5">
        <f>[1]Results!BD366</f>
        <v>46.579564560000001</v>
      </c>
      <c r="BB238" s="5">
        <f>[1]Results!BE366</f>
        <v>55.400333269999997</v>
      </c>
      <c r="BC238" s="5">
        <f>[1]Results!BF366</f>
        <v>56.275190469999998</v>
      </c>
      <c r="BD238" s="5">
        <f>[1]Results!BG366</f>
        <v>57.165000159999998</v>
      </c>
      <c r="BE238" s="5">
        <f>[1]Results!BH366</f>
        <v>58.070065749999998</v>
      </c>
      <c r="BF238" s="5">
        <f>[1]Results!BI366</f>
        <v>58.990694609999998</v>
      </c>
    </row>
    <row r="239" spans="1:58" x14ac:dyDescent="0.35">
      <c r="B239" t="s">
        <v>10</v>
      </c>
      <c r="C239" s="5">
        <f>[1]Results!F402</f>
        <v>22.247739880000001</v>
      </c>
      <c r="D239" s="5">
        <f>[1]Results!G402</f>
        <v>22.35992087</v>
      </c>
      <c r="E239" s="5">
        <f>[1]Results!H402</f>
        <v>22.520607739999999</v>
      </c>
      <c r="F239" s="5">
        <f>[1]Results!I402</f>
        <v>22.723204129999999</v>
      </c>
      <c r="G239" s="5">
        <f>[1]Results!J402</f>
        <v>22.969282150000002</v>
      </c>
      <c r="H239" s="5">
        <f>[1]Results!K402</f>
        <v>23.257014139999999</v>
      </c>
      <c r="I239" s="5">
        <f>[1]Results!L402</f>
        <v>23.566827679999999</v>
      </c>
      <c r="J239" s="5">
        <f>[1]Results!M402</f>
        <v>23.900304559999999</v>
      </c>
      <c r="K239" s="5">
        <f>[1]Results!N402</f>
        <v>24.253652079999998</v>
      </c>
      <c r="L239" s="5">
        <f>[1]Results!O402</f>
        <v>24.62270315</v>
      </c>
      <c r="M239" s="5">
        <f>[1]Results!P402</f>
        <v>25.00785342</v>
      </c>
      <c r="N239" s="5">
        <f>[1]Results!Q402</f>
        <v>25.412223529999999</v>
      </c>
      <c r="O239" s="5">
        <f>[1]Results!R402</f>
        <v>25.830336320000001</v>
      </c>
      <c r="P239" s="5">
        <f>[1]Results!S402</f>
        <v>26.259038400000001</v>
      </c>
      <c r="Q239" s="5">
        <f>[1]Results!T402</f>
        <v>26.69582802</v>
      </c>
      <c r="R239" s="5">
        <f>[1]Results!U402</f>
        <v>27.138520669999998</v>
      </c>
      <c r="S239" s="5">
        <f>[1]Results!V402</f>
        <v>27.58442131</v>
      </c>
      <c r="T239" s="5">
        <f>[1]Results!W402</f>
        <v>28.032620269999999</v>
      </c>
      <c r="U239" s="5">
        <f>[1]Results!X402</f>
        <v>28.48227795</v>
      </c>
      <c r="V239" s="5">
        <f>[1]Results!Y402</f>
        <v>28.932872849999999</v>
      </c>
      <c r="W239" s="5">
        <f>[1]Results!Z402</f>
        <v>29.365535869999999</v>
      </c>
      <c r="X239" s="5">
        <f>[1]Results!AA402</f>
        <v>29.80874378</v>
      </c>
      <c r="Y239" s="5">
        <f>[1]Results!AB402</f>
        <v>30.255747060000001</v>
      </c>
      <c r="Z239" s="5">
        <f>[1]Results!AC402</f>
        <v>30.70561648</v>
      </c>
      <c r="AA239" s="5">
        <f>[1]Results!AD402</f>
        <v>31.158500140000001</v>
      </c>
      <c r="AB239" s="5">
        <f>[1]Results!AE402</f>
        <v>31.560939739999998</v>
      </c>
      <c r="AC239" s="5">
        <f>[1]Results!AF402</f>
        <v>31.970267369999998</v>
      </c>
      <c r="AD239" s="5">
        <f>[1]Results!AG402</f>
        <v>32.379618700000002</v>
      </c>
      <c r="AE239" s="5">
        <f>[1]Results!AH402</f>
        <v>32.789370079999998</v>
      </c>
      <c r="AF239" s="5">
        <f>[1]Results!AI402</f>
        <v>33.201020620000001</v>
      </c>
      <c r="AG239" s="5">
        <f>[1]Results!AJ402</f>
        <v>33.616030549999998</v>
      </c>
      <c r="AH239" s="5">
        <f>[1]Results!AK402</f>
        <v>34.035863390000003</v>
      </c>
      <c r="AI239" s="5">
        <f>[1]Results!AL402</f>
        <v>34.46132824</v>
      </c>
      <c r="AJ239" s="5">
        <f>[1]Results!AM402</f>
        <v>34.893104270000002</v>
      </c>
      <c r="AK239" s="5">
        <f>[1]Results!AN402</f>
        <v>35.331683609999999</v>
      </c>
      <c r="AL239" s="5">
        <f>[1]Results!AO402</f>
        <v>35.777392480000003</v>
      </c>
      <c r="AM239" s="5">
        <f>[1]Results!AP402</f>
        <v>36.219940729999998</v>
      </c>
      <c r="AN239" s="5">
        <f>[1]Results!AQ402</f>
        <v>36.664844479999999</v>
      </c>
      <c r="AO239" s="5">
        <f>[1]Results!AR402</f>
        <v>37.113837740000001</v>
      </c>
      <c r="AP239" s="5">
        <f>[1]Results!AS402</f>
        <v>37.567855039999998</v>
      </c>
      <c r="AQ239" s="5">
        <f>[1]Results!AT402</f>
        <v>38.027538190000001</v>
      </c>
      <c r="AR239" s="5">
        <f>[1]Results!AU402</f>
        <v>38.493746999999999</v>
      </c>
      <c r="AS239" s="5">
        <f>[1]Results!AV402</f>
        <v>38.966591649999998</v>
      </c>
      <c r="AT239" s="5">
        <f>[1]Results!AW402</f>
        <v>39.446244350000001</v>
      </c>
      <c r="AU239" s="5">
        <f>[1]Results!AX402</f>
        <v>39.932807060000002</v>
      </c>
      <c r="AV239" s="5">
        <f>[1]Results!AY402</f>
        <v>40.426304199999997</v>
      </c>
      <c r="AW239" s="5">
        <f>[1]Results!AZ402</f>
        <v>40.929290600000002</v>
      </c>
      <c r="AX239" s="5">
        <f>[1]Results!BA402</f>
        <v>41.440380879999999</v>
      </c>
      <c r="AY239" s="5">
        <f>[1]Results!BB402</f>
        <v>41.959239519999997</v>
      </c>
      <c r="AZ239" s="5">
        <f>[1]Results!BC402</f>
        <v>42.485677369999998</v>
      </c>
      <c r="BA239" s="5">
        <f>[1]Results!BD402</f>
        <v>43.019497360000003</v>
      </c>
      <c r="BB239" s="5">
        <f>[1]Results!BE402</f>
        <v>51.378890849999998</v>
      </c>
      <c r="BC239" s="5">
        <f>[1]Results!BF402</f>
        <v>52.228503259999997</v>
      </c>
      <c r="BD239" s="5">
        <f>[1]Results!BG402</f>
        <v>53.091033299999999</v>
      </c>
      <c r="BE239" s="5">
        <f>[1]Results!BH402</f>
        <v>53.966871159999997</v>
      </c>
      <c r="BF239" s="5">
        <f>[1]Results!BI402</f>
        <v>54.856396529999998</v>
      </c>
    </row>
    <row r="240" spans="1:58" x14ac:dyDescent="0.35">
      <c r="B240" t="s">
        <v>44</v>
      </c>
      <c r="C240" s="5">
        <f>[1]Results!F353</f>
        <v>64.301440170000006</v>
      </c>
      <c r="D240" s="5">
        <f>[1]Results!G353</f>
        <v>64.319194240000002</v>
      </c>
      <c r="E240" s="5">
        <f>[1]Results!H353</f>
        <v>64.090920629999999</v>
      </c>
      <c r="F240" s="5">
        <f>[1]Results!I353</f>
        <v>63.840260379999997</v>
      </c>
      <c r="G240" s="5">
        <f>[1]Results!J353</f>
        <v>63.644442939999998</v>
      </c>
      <c r="H240" s="5">
        <f>[1]Results!K353</f>
        <v>63.521041320000002</v>
      </c>
      <c r="I240" s="5">
        <f>[1]Results!L353</f>
        <v>63.447176939999999</v>
      </c>
      <c r="J240" s="5">
        <f>[1]Results!M353</f>
        <v>63.418667620000001</v>
      </c>
      <c r="K240" s="5">
        <f>[1]Results!N353</f>
        <v>63.425645359999997</v>
      </c>
      <c r="L240" s="5">
        <f>[1]Results!O353</f>
        <v>63.458544160000002</v>
      </c>
      <c r="M240" s="5">
        <f>[1]Results!P353</f>
        <v>63.53743411</v>
      </c>
      <c r="N240" s="5">
        <f>[1]Results!Q353</f>
        <v>63.615291409999998</v>
      </c>
      <c r="O240" s="5">
        <f>[1]Results!R353</f>
        <v>63.698522330000003</v>
      </c>
      <c r="P240" s="5">
        <f>[1]Results!S353</f>
        <v>63.790269780000003</v>
      </c>
      <c r="Q240" s="5">
        <f>[1]Results!T353</f>
        <v>63.891224999999999</v>
      </c>
      <c r="R240" s="5">
        <f>[1]Results!U353</f>
        <v>64.001442620000006</v>
      </c>
      <c r="S240" s="5">
        <f>[1]Results!V353</f>
        <v>64.120860429999993</v>
      </c>
      <c r="T240" s="5">
        <f>[1]Results!W353</f>
        <v>64.248697030000002</v>
      </c>
      <c r="U240" s="5">
        <f>[1]Results!X353</f>
        <v>64.383835899999994</v>
      </c>
      <c r="V240" s="5">
        <f>[1]Results!Y353</f>
        <v>64.525008970000002</v>
      </c>
      <c r="W240" s="5">
        <f>[1]Results!Z353</f>
        <v>64.651412129999997</v>
      </c>
      <c r="X240" s="5">
        <f>[1]Results!AA353</f>
        <v>64.790916150000001</v>
      </c>
      <c r="Y240" s="5">
        <f>[1]Results!AB353</f>
        <v>64.937365639999996</v>
      </c>
      <c r="Z240" s="5">
        <f>[1]Results!AC353</f>
        <v>65.087534590000004</v>
      </c>
      <c r="AA240" s="5">
        <f>[1]Results!AD353</f>
        <v>65.239669649999996</v>
      </c>
      <c r="AB240" s="5">
        <f>[1]Results!AE353</f>
        <v>65.339255089999995</v>
      </c>
      <c r="AC240" s="5">
        <f>[1]Results!AF353</f>
        <v>65.440056740000003</v>
      </c>
      <c r="AD240" s="5">
        <f>[1]Results!AG353</f>
        <v>65.540104690000007</v>
      </c>
      <c r="AE240" s="5">
        <f>[1]Results!AH353</f>
        <v>65.638616029999994</v>
      </c>
      <c r="AF240" s="5">
        <f>[1]Results!AI353</f>
        <v>65.735428830000004</v>
      </c>
      <c r="AG240" s="5">
        <f>[1]Results!AJ353</f>
        <v>65.830663369999996</v>
      </c>
      <c r="AH240" s="5">
        <f>[1]Results!AK353</f>
        <v>65.924494300000006</v>
      </c>
      <c r="AI240" s="5">
        <f>[1]Results!AL353</f>
        <v>66.017158370000004</v>
      </c>
      <c r="AJ240" s="5">
        <f>[1]Results!AM353</f>
        <v>66.108788009999998</v>
      </c>
      <c r="AK240" s="5">
        <f>[1]Results!AN353</f>
        <v>66.199633289999994</v>
      </c>
      <c r="AL240" s="5">
        <f>[1]Results!AO353</f>
        <v>66.28996626</v>
      </c>
      <c r="AM240" s="5">
        <f>[1]Results!AP353</f>
        <v>66.367734530000007</v>
      </c>
      <c r="AN240" s="5">
        <f>[1]Results!AQ353</f>
        <v>66.43901812</v>
      </c>
      <c r="AO240" s="5">
        <f>[1]Results!AR353</f>
        <v>66.507081700000001</v>
      </c>
      <c r="AP240" s="5">
        <f>[1]Results!AS353</f>
        <v>66.573680280000005</v>
      </c>
      <c r="AQ240" s="5">
        <f>[1]Results!AT353</f>
        <v>66.639780099999996</v>
      </c>
      <c r="AR240" s="5">
        <f>[1]Results!AU353</f>
        <v>66.705815189999996</v>
      </c>
      <c r="AS240" s="5">
        <f>[1]Results!AV353</f>
        <v>66.772185820000004</v>
      </c>
      <c r="AT240" s="5">
        <f>[1]Results!AW353</f>
        <v>66.839202409999999</v>
      </c>
      <c r="AU240" s="5">
        <f>[1]Results!AX353</f>
        <v>66.907081180000006</v>
      </c>
      <c r="AV240" s="5">
        <f>[1]Results!AY353</f>
        <v>66.975959369999998</v>
      </c>
      <c r="AW240" s="5">
        <f>[1]Results!AZ353</f>
        <v>67.046400449999993</v>
      </c>
      <c r="AX240" s="5">
        <f>[1]Results!BA353</f>
        <v>67.118159570000003</v>
      </c>
      <c r="AY240" s="5">
        <f>[1]Results!BB353</f>
        <v>67.191278010000005</v>
      </c>
      <c r="AZ240" s="5">
        <f>[1]Results!BC353</f>
        <v>67.265799939999994</v>
      </c>
      <c r="BA240" s="5">
        <f>[1]Results!BD353</f>
        <v>67.341704649999997</v>
      </c>
      <c r="BB240" s="5">
        <f>[1]Results!BE353</f>
        <v>64.419719540000003</v>
      </c>
      <c r="BC240" s="5">
        <f>[1]Results!BF353</f>
        <v>64.521376770000003</v>
      </c>
      <c r="BD240" s="5">
        <f>[1]Results!BG353</f>
        <v>64.626029189999997</v>
      </c>
      <c r="BE240" s="5">
        <f>[1]Results!BH353</f>
        <v>64.733579050000003</v>
      </c>
      <c r="BF240" s="5">
        <f>[1]Results!BI353</f>
        <v>64.844110799999996</v>
      </c>
    </row>
    <row r="241" spans="1:58" x14ac:dyDescent="0.35">
      <c r="B241" t="s">
        <v>45</v>
      </c>
      <c r="C241" s="5">
        <f>[1]Results!F354</f>
        <v>42.52087745</v>
      </c>
      <c r="D241" s="5">
        <f>[1]Results!G354</f>
        <v>42.834433179999998</v>
      </c>
      <c r="E241" s="5">
        <f>[1]Results!H354</f>
        <v>42.777058020000005</v>
      </c>
      <c r="F241" s="5">
        <f>[1]Results!I354</f>
        <v>42.611312049999995</v>
      </c>
      <c r="G241" s="5">
        <f>[1]Results!J354</f>
        <v>42.440037070000002</v>
      </c>
      <c r="H241" s="5">
        <f>[1]Results!K354</f>
        <v>42.297337570000003</v>
      </c>
      <c r="I241" s="5">
        <f>[1]Results!L354</f>
        <v>42.173667549999998</v>
      </c>
      <c r="J241" s="5">
        <f>[1]Results!M354</f>
        <v>42.071983969999998</v>
      </c>
      <c r="K241" s="5">
        <f>[1]Results!N354</f>
        <v>41.987376380000001</v>
      </c>
      <c r="L241" s="5">
        <f>[1]Results!O354</f>
        <v>41.913890350000003</v>
      </c>
      <c r="M241" s="5">
        <f>[1]Results!P354</f>
        <v>41.871860380000001</v>
      </c>
      <c r="N241" s="5">
        <f>[1]Results!Q354</f>
        <v>41.81880005</v>
      </c>
      <c r="O241" s="5">
        <f>[1]Results!R354</f>
        <v>41.762034229999998</v>
      </c>
      <c r="P241" s="5">
        <f>[1]Results!S354</f>
        <v>41.705900820000004</v>
      </c>
      <c r="Q241" s="5">
        <f>[1]Results!T354</f>
        <v>41.652274799999994</v>
      </c>
      <c r="R241" s="5">
        <f>[1]Results!U354</f>
        <v>41.602330649999999</v>
      </c>
      <c r="S241" s="5">
        <f>[1]Results!V354</f>
        <v>41.55714957</v>
      </c>
      <c r="T241" s="5">
        <f>[1]Results!W354</f>
        <v>41.516969950000004</v>
      </c>
      <c r="U241" s="5">
        <f>[1]Results!X354</f>
        <v>41.481584920000003</v>
      </c>
      <c r="V241" s="5">
        <f>[1]Results!Y354</f>
        <v>41.45053772</v>
      </c>
      <c r="W241" s="5">
        <f>[1]Results!Z354</f>
        <v>41.406863130000005</v>
      </c>
      <c r="X241" s="5">
        <f>[1]Results!AA354</f>
        <v>41.375672180000002</v>
      </c>
      <c r="Y241" s="5">
        <f>[1]Results!AB354</f>
        <v>41.35127593</v>
      </c>
      <c r="Z241" s="5">
        <f>[1]Results!AC354</f>
        <v>41.330793560000004</v>
      </c>
      <c r="AA241" s="5">
        <f>[1]Results!AD354</f>
        <v>41.3127645</v>
      </c>
      <c r="AB241" s="5">
        <f>[1]Results!AE354</f>
        <v>41.251699369999997</v>
      </c>
      <c r="AC241" s="5">
        <f>[1]Results!AF354</f>
        <v>41.196178799999998</v>
      </c>
      <c r="AD241" s="5">
        <f>[1]Results!AG354</f>
        <v>41.143935570000004</v>
      </c>
      <c r="AE241" s="5">
        <f>[1]Results!AH354</f>
        <v>41.093720619999999</v>
      </c>
      <c r="AF241" s="5">
        <f>[1]Results!AI354</f>
        <v>41.044864049999994</v>
      </c>
      <c r="AG241" s="5">
        <f>[1]Results!AJ354</f>
        <v>40.997001159999996</v>
      </c>
      <c r="AH241" s="5">
        <f>[1]Results!AK354</f>
        <v>40.94985037</v>
      </c>
      <c r="AI241" s="5">
        <f>[1]Results!AL354</f>
        <v>40.903270090000007</v>
      </c>
      <c r="AJ241" s="5">
        <f>[1]Results!AM354</f>
        <v>40.857081890000003</v>
      </c>
      <c r="AK241" s="5">
        <f>[1]Results!AN354</f>
        <v>40.81127549</v>
      </c>
      <c r="AL241" s="5">
        <f>[1]Results!AO354</f>
        <v>40.765899879999999</v>
      </c>
      <c r="AM241" s="5">
        <f>[1]Results!AP354</f>
        <v>40.710450770000001</v>
      </c>
      <c r="AN241" s="5">
        <f>[1]Results!AQ354</f>
        <v>40.650596020000002</v>
      </c>
      <c r="AO241" s="5">
        <f>[1]Results!AR354</f>
        <v>40.589268600000004</v>
      </c>
      <c r="AP241" s="5">
        <f>[1]Results!AS354</f>
        <v>40.527885299999994</v>
      </c>
      <c r="AQ241" s="5">
        <f>[1]Results!AT354</f>
        <v>40.467066340000002</v>
      </c>
      <c r="AR241" s="5">
        <f>[1]Results!AU354</f>
        <v>40.406878540000001</v>
      </c>
      <c r="AS241" s="5">
        <f>[1]Results!AV354</f>
        <v>40.347417049999997</v>
      </c>
      <c r="AT241" s="5">
        <f>[1]Results!AW354</f>
        <v>40.288753610000001</v>
      </c>
      <c r="AU241" s="5">
        <f>[1]Results!AX354</f>
        <v>40.230924009999995</v>
      </c>
      <c r="AV241" s="5">
        <f>[1]Results!AY354</f>
        <v>40.173936329999997</v>
      </c>
      <c r="AW241" s="5">
        <f>[1]Results!AZ354</f>
        <v>40.117977680000003</v>
      </c>
      <c r="AX241" s="5">
        <f>[1]Results!BA354</f>
        <v>40.062726179999999</v>
      </c>
      <c r="AY241" s="5">
        <f>[1]Results!BB354</f>
        <v>40.00823201</v>
      </c>
      <c r="AZ241" s="5">
        <f>[1]Results!BC354</f>
        <v>39.954586949999999</v>
      </c>
      <c r="BA241" s="5">
        <f>[1]Results!BD354</f>
        <v>39.901835779999999</v>
      </c>
      <c r="BB241" s="5">
        <f>[1]Results!BE354</f>
        <v>34.849368820000002</v>
      </c>
      <c r="BC241" s="5">
        <f>[1]Results!BF354</f>
        <v>34.745864249999997</v>
      </c>
      <c r="BD241" s="5">
        <f>[1]Results!BG354</f>
        <v>34.643640210000001</v>
      </c>
      <c r="BE241" s="5">
        <f>[1]Results!BH354</f>
        <v>34.542457280000001</v>
      </c>
      <c r="BF241" s="5">
        <f>[1]Results!BI354</f>
        <v>34.442238750000001</v>
      </c>
    </row>
    <row r="242" spans="1:58" x14ac:dyDescent="0.35">
      <c r="B242" t="s">
        <v>46</v>
      </c>
      <c r="C242" s="5">
        <f>[1]Results!F362</f>
        <v>21.78056273</v>
      </c>
      <c r="D242" s="5">
        <f>[1]Results!G362</f>
        <v>21.48476106</v>
      </c>
      <c r="E242" s="5">
        <f>[1]Results!H362</f>
        <v>21.313862620000002</v>
      </c>
      <c r="F242" s="5">
        <f>[1]Results!I362</f>
        <v>21.228948329999998</v>
      </c>
      <c r="G242" s="5">
        <f>[1]Results!J362</f>
        <v>21.204405870000002</v>
      </c>
      <c r="H242" s="5">
        <f>[1]Results!K362</f>
        <v>21.223703749999999</v>
      </c>
      <c r="I242" s="5">
        <f>[1]Results!L362</f>
        <v>21.273509390000001</v>
      </c>
      <c r="J242" s="5">
        <f>[1]Results!M362</f>
        <v>21.346683649999999</v>
      </c>
      <c r="K242" s="5">
        <f>[1]Results!N362</f>
        <v>21.438268969999999</v>
      </c>
      <c r="L242" s="5">
        <f>[1]Results!O362</f>
        <v>21.54465381</v>
      </c>
      <c r="M242" s="5">
        <f>[1]Results!P362</f>
        <v>21.665573719999998</v>
      </c>
      <c r="N242" s="5">
        <f>[1]Results!Q362</f>
        <v>21.796491360000001</v>
      </c>
      <c r="O242" s="5">
        <f>[1]Results!R362</f>
        <v>21.936488090000001</v>
      </c>
      <c r="P242" s="5">
        <f>[1]Results!S362</f>
        <v>22.084368960000003</v>
      </c>
      <c r="Q242" s="5">
        <f>[1]Results!T362</f>
        <v>22.238950190000001</v>
      </c>
      <c r="R242" s="5">
        <f>[1]Results!U362</f>
        <v>22.39911197</v>
      </c>
      <c r="S242" s="5">
        <f>[1]Results!V362</f>
        <v>22.56371086</v>
      </c>
      <c r="T242" s="5">
        <f>[1]Results!W362</f>
        <v>22.731727079999999</v>
      </c>
      <c r="U242" s="5">
        <f>[1]Results!X362</f>
        <v>22.902250989999999</v>
      </c>
      <c r="V242" s="5">
        <f>[1]Results!Y362</f>
        <v>23.074471260000003</v>
      </c>
      <c r="W242" s="5">
        <f>[1]Results!Z362</f>
        <v>23.244548999999999</v>
      </c>
      <c r="X242" s="5">
        <f>[1]Results!AA362</f>
        <v>23.415243969999999</v>
      </c>
      <c r="Y242" s="5">
        <f>[1]Results!AB362</f>
        <v>23.58608971</v>
      </c>
      <c r="Z242" s="5">
        <f>[1]Results!AC362</f>
        <v>23.756741030000001</v>
      </c>
      <c r="AA242" s="5">
        <f>[1]Results!AD362</f>
        <v>23.926905140000002</v>
      </c>
      <c r="AB242" s="5">
        <f>[1]Results!AE362</f>
        <v>24.087555719999997</v>
      </c>
      <c r="AC242" s="5">
        <f>[1]Results!AF362</f>
        <v>24.243877940000001</v>
      </c>
      <c r="AD242" s="5">
        <f>[1]Results!AG362</f>
        <v>24.39616912</v>
      </c>
      <c r="AE242" s="5">
        <f>[1]Results!AH362</f>
        <v>24.544895420000003</v>
      </c>
      <c r="AF242" s="5">
        <f>[1]Results!AI362</f>
        <v>24.690564780000003</v>
      </c>
      <c r="AG242" s="5">
        <f>[1]Results!AJ362</f>
        <v>24.83366221</v>
      </c>
      <c r="AH242" s="5">
        <f>[1]Results!AK362</f>
        <v>24.974643929999999</v>
      </c>
      <c r="AI242" s="5">
        <f>[1]Results!AL362</f>
        <v>25.113888280000001</v>
      </c>
      <c r="AJ242" s="5">
        <f>[1]Results!AM362</f>
        <v>25.251706120000001</v>
      </c>
      <c r="AK242" s="5">
        <f>[1]Results!AN362</f>
        <v>25.388357800000001</v>
      </c>
      <c r="AL242" s="5">
        <f>[1]Results!AO362</f>
        <v>25.524066390000002</v>
      </c>
      <c r="AM242" s="5">
        <f>[1]Results!AP362</f>
        <v>25.657283760000002</v>
      </c>
      <c r="AN242" s="5">
        <f>[1]Results!AQ362</f>
        <v>25.788422100000002</v>
      </c>
      <c r="AO242" s="5">
        <f>[1]Results!AR362</f>
        <v>25.9178131</v>
      </c>
      <c r="AP242" s="5">
        <f>[1]Results!AS362</f>
        <v>26.04579498</v>
      </c>
      <c r="AQ242" s="5">
        <f>[1]Results!AT362</f>
        <v>26.172713760000001</v>
      </c>
      <c r="AR242" s="5">
        <f>[1]Results!AU362</f>
        <v>26.298936649999998</v>
      </c>
      <c r="AS242" s="5">
        <f>[1]Results!AV362</f>
        <v>26.42476877</v>
      </c>
      <c r="AT242" s="5">
        <f>[1]Results!AW362</f>
        <v>26.550448800000002</v>
      </c>
      <c r="AU242" s="5">
        <f>[1]Results!AX362</f>
        <v>26.676157170000003</v>
      </c>
      <c r="AV242" s="5">
        <f>[1]Results!AY362</f>
        <v>26.802023050000003</v>
      </c>
      <c r="AW242" s="5">
        <f>[1]Results!AZ362</f>
        <v>26.928422770000001</v>
      </c>
      <c r="AX242" s="5">
        <f>[1]Results!BA362</f>
        <v>27.05543338</v>
      </c>
      <c r="AY242" s="5">
        <f>[1]Results!BB362</f>
        <v>27.183046000000001</v>
      </c>
      <c r="AZ242" s="5">
        <f>[1]Results!BC362</f>
        <v>27.311212989999998</v>
      </c>
      <c r="BA242" s="5">
        <f>[1]Results!BD362</f>
        <v>27.439868870000002</v>
      </c>
      <c r="BB242" s="5">
        <f>[1]Results!BE362</f>
        <v>29.57035072</v>
      </c>
      <c r="BC242" s="5">
        <f>[1]Results!BF362</f>
        <v>29.775512519999999</v>
      </c>
      <c r="BD242" s="5">
        <f>[1]Results!BG362</f>
        <v>29.98238898</v>
      </c>
      <c r="BE242" s="5">
        <f>[1]Results!BH362</f>
        <v>30.191121769999999</v>
      </c>
      <c r="BF242" s="5">
        <f>[1]Results!BI362</f>
        <v>30.401872050000001</v>
      </c>
    </row>
    <row r="244" spans="1:58" x14ac:dyDescent="0.35">
      <c r="A244" s="12" t="s">
        <v>43</v>
      </c>
      <c r="B244" t="s">
        <v>26</v>
      </c>
      <c r="C244" s="5">
        <f>C245+C246+C247+C248</f>
        <v>98.023964293000006</v>
      </c>
      <c r="D244" s="5">
        <f t="shared" ref="D244:AL244" si="135">D245+D246+D247+D248</f>
        <v>99.171189541999993</v>
      </c>
      <c r="E244" s="5">
        <f t="shared" si="135"/>
        <v>100.42206186200001</v>
      </c>
      <c r="F244" s="5">
        <f t="shared" si="135"/>
        <v>101.78541328099999</v>
      </c>
      <c r="G244" s="5">
        <f t="shared" si="135"/>
        <v>103.26253461900001</v>
      </c>
      <c r="H244" s="5">
        <f t="shared" si="135"/>
        <v>104.845316806</v>
      </c>
      <c r="I244" s="5">
        <f t="shared" si="135"/>
        <v>106.457062523</v>
      </c>
      <c r="J244" s="5">
        <f t="shared" si="135"/>
        <v>108.119988069</v>
      </c>
      <c r="K244" s="5">
        <f t="shared" si="135"/>
        <v>109.83043148</v>
      </c>
      <c r="L244" s="5">
        <f t="shared" si="135"/>
        <v>111.58132749799999</v>
      </c>
      <c r="M244" s="5">
        <f t="shared" si="135"/>
        <v>113.478143909</v>
      </c>
      <c r="N244" s="5">
        <f t="shared" si="135"/>
        <v>115.339317674</v>
      </c>
      <c r="O244" s="5">
        <f t="shared" si="135"/>
        <v>117.20854004499999</v>
      </c>
      <c r="P244" s="5">
        <f t="shared" si="135"/>
        <v>119.091829312</v>
      </c>
      <c r="Q244" s="5">
        <f t="shared" si="135"/>
        <v>120.98922409700002</v>
      </c>
      <c r="R244" s="5">
        <f t="shared" si="135"/>
        <v>122.90047926899999</v>
      </c>
      <c r="S244" s="5">
        <f t="shared" si="135"/>
        <v>124.825965513</v>
      </c>
      <c r="T244" s="5">
        <f t="shared" si="135"/>
        <v>126.76666918500001</v>
      </c>
      <c r="U244" s="5">
        <f t="shared" si="135"/>
        <v>128.724039328</v>
      </c>
      <c r="V244" s="5">
        <f t="shared" si="135"/>
        <v>130.69983028800002</v>
      </c>
      <c r="W244" s="5">
        <f t="shared" si="135"/>
        <v>132.612544052</v>
      </c>
      <c r="X244" s="5">
        <f t="shared" si="135"/>
        <v>134.595649974</v>
      </c>
      <c r="Y244" s="5">
        <f t="shared" si="135"/>
        <v>136.61572726</v>
      </c>
      <c r="Z244" s="5">
        <f t="shared" si="135"/>
        <v>138.668122971</v>
      </c>
      <c r="AA244" s="5">
        <f t="shared" si="135"/>
        <v>140.753153548</v>
      </c>
      <c r="AB244" s="5">
        <f t="shared" si="135"/>
        <v>142.63061653800003</v>
      </c>
      <c r="AC244" s="5">
        <f t="shared" si="135"/>
        <v>144.566692297</v>
      </c>
      <c r="AD244" s="5">
        <f t="shared" si="135"/>
        <v>146.52419219000001</v>
      </c>
      <c r="AE244" s="5">
        <f t="shared" si="135"/>
        <v>148.50138984399999</v>
      </c>
      <c r="AF244" s="5">
        <f t="shared" si="135"/>
        <v>150.5023003</v>
      </c>
      <c r="AG244" s="5">
        <f t="shared" si="135"/>
        <v>152.53111216600001</v>
      </c>
      <c r="AH244" s="5">
        <f t="shared" si="135"/>
        <v>154.59114194399999</v>
      </c>
      <c r="AI244" s="5">
        <f t="shared" si="135"/>
        <v>156.68472303199999</v>
      </c>
      <c r="AJ244" s="5">
        <f t="shared" si="135"/>
        <v>158.81331736800001</v>
      </c>
      <c r="AK244" s="5">
        <f t="shared" si="135"/>
        <v>160.97768415100001</v>
      </c>
      <c r="AL244" s="5">
        <f t="shared" si="135"/>
        <v>163.17805468099999</v>
      </c>
      <c r="AM244" s="5">
        <f t="shared" ref="AM244:BC244" si="136">AM245+AM246+AM247+AM248</f>
        <v>165.355807422</v>
      </c>
      <c r="AN244" s="5">
        <f t="shared" si="136"/>
        <v>167.54353679800002</v>
      </c>
      <c r="AO244" s="5">
        <f t="shared" si="136"/>
        <v>169.74932130400001</v>
      </c>
      <c r="AP244" s="5">
        <f t="shared" si="136"/>
        <v>171.97670177200001</v>
      </c>
      <c r="AQ244" s="5">
        <f t="shared" si="136"/>
        <v>174.22822511599998</v>
      </c>
      <c r="AR244" s="5">
        <f t="shared" si="136"/>
        <v>176.50600502399999</v>
      </c>
      <c r="AS244" s="5">
        <f t="shared" si="136"/>
        <v>178.81177329900004</v>
      </c>
      <c r="AT244" s="5">
        <f t="shared" si="136"/>
        <v>181.146882154</v>
      </c>
      <c r="AU244" s="5">
        <f t="shared" si="136"/>
        <v>183.51233411100003</v>
      </c>
      <c r="AV244" s="5">
        <f t="shared" si="136"/>
        <v>185.90884284099999</v>
      </c>
      <c r="AW244" s="5">
        <f t="shared" si="136"/>
        <v>188.342244709</v>
      </c>
      <c r="AX244" s="5">
        <f t="shared" si="136"/>
        <v>190.80997443699999</v>
      </c>
      <c r="AY244" s="5">
        <f t="shared" si="136"/>
        <v>193.311604227</v>
      </c>
      <c r="AZ244" s="5">
        <f t="shared" si="136"/>
        <v>195.84689904699999</v>
      </c>
      <c r="BA244" s="5">
        <f t="shared" si="136"/>
        <v>198.41565624899999</v>
      </c>
      <c r="BB244" s="5">
        <f t="shared" si="136"/>
        <v>219.62979436000001</v>
      </c>
      <c r="BC244" s="5">
        <f t="shared" si="136"/>
        <v>223.28244995</v>
      </c>
      <c r="BD244" s="5">
        <f t="shared" ref="BD244:BF244" si="137">BD245+BD246+BD247+BD248</f>
        <v>226.99166742999998</v>
      </c>
      <c r="BE244" s="5">
        <f t="shared" si="137"/>
        <v>230.75868786000001</v>
      </c>
      <c r="BF244" s="5">
        <f t="shared" si="137"/>
        <v>234.58481332999997</v>
      </c>
    </row>
    <row r="245" spans="1:58" x14ac:dyDescent="0.35">
      <c r="A245" t="s">
        <v>38</v>
      </c>
      <c r="B245" t="s">
        <v>7</v>
      </c>
      <c r="C245" s="5">
        <f>[1]Results!F439</f>
        <v>4.8967256030000001</v>
      </c>
      <c r="D245" s="5">
        <f>[1]Results!G439</f>
        <v>4.9371381320000003</v>
      </c>
      <c r="E245" s="5">
        <f>[1]Results!H439</f>
        <v>4.9821183519999996</v>
      </c>
      <c r="F245" s="5">
        <f>[1]Results!I439</f>
        <v>5.0356536409999997</v>
      </c>
      <c r="G245" s="5">
        <f>[1]Results!J439</f>
        <v>5.098033729</v>
      </c>
      <c r="H245" s="5">
        <f>[1]Results!K439</f>
        <v>5.1684125659999998</v>
      </c>
      <c r="I245" s="5">
        <f>[1]Results!L439</f>
        <v>5.2427701229999997</v>
      </c>
      <c r="J245" s="5">
        <f>[1]Results!M439</f>
        <v>5.3211436990000003</v>
      </c>
      <c r="K245" s="5">
        <f>[1]Results!N439</f>
        <v>5.40296237</v>
      </c>
      <c r="L245" s="5">
        <f>[1]Results!O439</f>
        <v>5.4876413079999997</v>
      </c>
      <c r="M245" s="5">
        <f>[1]Results!P439</f>
        <v>5.579664009</v>
      </c>
      <c r="N245" s="5">
        <f>[1]Results!Q439</f>
        <v>5.6715202140000001</v>
      </c>
      <c r="O245" s="5">
        <f>[1]Results!R439</f>
        <v>5.7642180249999999</v>
      </c>
      <c r="P245" s="5">
        <f>[1]Results!S439</f>
        <v>5.8578144620000003</v>
      </c>
      <c r="Q245" s="5">
        <f>[1]Results!T439</f>
        <v>5.9522154670000003</v>
      </c>
      <c r="R245" s="5">
        <f>[1]Results!U439</f>
        <v>6.0473505789999997</v>
      </c>
      <c r="S245" s="5">
        <f>[1]Results!V439</f>
        <v>6.1431971130000003</v>
      </c>
      <c r="T245" s="5">
        <f>[1]Results!W439</f>
        <v>6.2397721449999999</v>
      </c>
      <c r="U245" s="5">
        <f>[1]Results!X439</f>
        <v>6.3371204580000002</v>
      </c>
      <c r="V245" s="5">
        <f>[1]Results!Y439</f>
        <v>6.4353045179999997</v>
      </c>
      <c r="W245" s="5">
        <f>[1]Results!Z439</f>
        <v>6.5306901320000001</v>
      </c>
      <c r="X245" s="5">
        <f>[1]Results!AA439</f>
        <v>6.6286546739999999</v>
      </c>
      <c r="Y245" s="5">
        <f>[1]Results!AB439</f>
        <v>6.7283058200000001</v>
      </c>
      <c r="Z245" s="5">
        <f>[1]Results!AC439</f>
        <v>6.8295040910000004</v>
      </c>
      <c r="AA245" s="5">
        <f>[1]Results!AD439</f>
        <v>6.9322594579999999</v>
      </c>
      <c r="AB245" s="5">
        <f>[1]Results!AE439</f>
        <v>7.0258803680000002</v>
      </c>
      <c r="AC245" s="5">
        <f>[1]Results!AF439</f>
        <v>7.1206103570000003</v>
      </c>
      <c r="AD245" s="5">
        <f>[1]Results!AG439</f>
        <v>7.2157772400000004</v>
      </c>
      <c r="AE245" s="5">
        <f>[1]Results!AH439</f>
        <v>7.3115759440000003</v>
      </c>
      <c r="AF245" s="5">
        <f>[1]Results!AI439</f>
        <v>7.4083459999999999</v>
      </c>
      <c r="AG245" s="5">
        <f>[1]Results!AJ439</f>
        <v>7.506391196</v>
      </c>
      <c r="AH245" s="5">
        <f>[1]Results!AK439</f>
        <v>7.6059430240000001</v>
      </c>
      <c r="AI245" s="5">
        <f>[1]Results!AL439</f>
        <v>7.707162962</v>
      </c>
      <c r="AJ245" s="5">
        <f>[1]Results!AM439</f>
        <v>7.8101549280000002</v>
      </c>
      <c r="AK245" s="5">
        <f>[1]Results!AN439</f>
        <v>7.9149793610000003</v>
      </c>
      <c r="AL245" s="5">
        <f>[1]Results!AO439</f>
        <v>8.0216660409999996</v>
      </c>
      <c r="AM245" s="5">
        <f>[1]Results!AP439</f>
        <v>8.1276290420000006</v>
      </c>
      <c r="AN245" s="5">
        <f>[1]Results!AQ439</f>
        <v>8.2339534580000002</v>
      </c>
      <c r="AO245" s="5">
        <f>[1]Results!AR439</f>
        <v>8.3410495640000004</v>
      </c>
      <c r="AP245" s="5">
        <f>[1]Results!AS439</f>
        <v>8.4491758620000006</v>
      </c>
      <c r="AQ245" s="5">
        <f>[1]Results!AT439</f>
        <v>8.5585446760000004</v>
      </c>
      <c r="AR245" s="5">
        <f>[1]Results!AU439</f>
        <v>8.6693354639999995</v>
      </c>
      <c r="AS245" s="5">
        <f>[1]Results!AV439</f>
        <v>8.7816934189999998</v>
      </c>
      <c r="AT245" s="5">
        <f>[1]Results!AW439</f>
        <v>8.8957294640000004</v>
      </c>
      <c r="AU245" s="5">
        <f>[1]Results!AX439</f>
        <v>9.0115234809999993</v>
      </c>
      <c r="AV245" s="5">
        <f>[1]Results!AY439</f>
        <v>9.1291295209999994</v>
      </c>
      <c r="AW245" s="5">
        <f>[1]Results!AZ439</f>
        <v>9.2488160490000002</v>
      </c>
      <c r="AX245" s="5">
        <f>[1]Results!BA439</f>
        <v>9.3705138570000006</v>
      </c>
      <c r="AY245" s="5">
        <f>[1]Results!BB439</f>
        <v>9.4942086470000007</v>
      </c>
      <c r="AZ245" s="5">
        <f>[1]Results!BC439</f>
        <v>9.6198788670000006</v>
      </c>
      <c r="BA245" s="5">
        <f>[1]Results!BD439</f>
        <v>9.7475017390000005</v>
      </c>
      <c r="BB245" s="5">
        <f>[1]Results!BE439</f>
        <v>10.78471672</v>
      </c>
      <c r="BC245" s="5">
        <f>[1]Results!BF439</f>
        <v>10.958941790000001</v>
      </c>
      <c r="BD245" s="5">
        <f>[1]Results!BG439</f>
        <v>11.13593225</v>
      </c>
      <c r="BE245" s="5">
        <f>[1]Results!BH439</f>
        <v>11.315761910000001</v>
      </c>
      <c r="BF245" s="5">
        <f>[1]Results!BI439</f>
        <v>11.498509670000001</v>
      </c>
    </row>
    <row r="246" spans="1:58" x14ac:dyDescent="0.35">
      <c r="B246" t="s">
        <v>30</v>
      </c>
      <c r="C246" s="5">
        <f>[1]Results!F451</f>
        <v>44.244008659999999</v>
      </c>
      <c r="D246" s="5">
        <f>[1]Results!G451</f>
        <v>44.769815770000001</v>
      </c>
      <c r="E246" s="5">
        <f>[1]Results!H451</f>
        <v>45.353067879999998</v>
      </c>
      <c r="F246" s="5">
        <f>[1]Results!I451</f>
        <v>45.991688310000001</v>
      </c>
      <c r="G246" s="5">
        <f>[1]Results!J451</f>
        <v>46.683978740000001</v>
      </c>
      <c r="H246" s="5">
        <f>[1]Results!K451</f>
        <v>47.42537514</v>
      </c>
      <c r="I246" s="5">
        <f>[1]Results!L451</f>
        <v>48.179204900000002</v>
      </c>
      <c r="J246" s="5">
        <f>[1]Results!M451</f>
        <v>48.95718368</v>
      </c>
      <c r="K246" s="5">
        <f>[1]Results!N451</f>
        <v>49.757438270000002</v>
      </c>
      <c r="L246" s="5">
        <f>[1]Results!O451</f>
        <v>50.576470350000001</v>
      </c>
      <c r="M246" s="5">
        <f>[1]Results!P451</f>
        <v>51.464484419999998</v>
      </c>
      <c r="N246" s="5">
        <f>[1]Results!Q451</f>
        <v>52.333025550000002</v>
      </c>
      <c r="O246" s="5">
        <f>[1]Results!R451</f>
        <v>53.205418080000001</v>
      </c>
      <c r="P246" s="5">
        <f>[1]Results!S451</f>
        <v>54.084782150000002</v>
      </c>
      <c r="Q246" s="5">
        <f>[1]Results!T451</f>
        <v>54.971196980000002</v>
      </c>
      <c r="R246" s="5">
        <f>[1]Results!U451</f>
        <v>55.864593290000002</v>
      </c>
      <c r="S246" s="5">
        <f>[1]Results!V451</f>
        <v>56.765192839999997</v>
      </c>
      <c r="T246" s="5">
        <f>[1]Results!W451</f>
        <v>57.673515649999999</v>
      </c>
      <c r="U246" s="5">
        <f>[1]Results!X451</f>
        <v>58.59031281</v>
      </c>
      <c r="V246" s="5">
        <f>[1]Results!Y451</f>
        <v>59.516491950000002</v>
      </c>
      <c r="W246" s="5">
        <f>[1]Results!Z451</f>
        <v>60.413300249999999</v>
      </c>
      <c r="X246" s="5">
        <f>[1]Results!AA451</f>
        <v>61.345848250000003</v>
      </c>
      <c r="Y246" s="5">
        <f>[1]Results!AB451</f>
        <v>62.296504040000002</v>
      </c>
      <c r="Z246" s="5">
        <f>[1]Results!AC451</f>
        <v>63.263019229999998</v>
      </c>
      <c r="AA246" s="5">
        <f>[1]Results!AD451</f>
        <v>64.245650549999993</v>
      </c>
      <c r="AB246" s="5">
        <f>[1]Results!AE451</f>
        <v>65.130067490000002</v>
      </c>
      <c r="AC246" s="5">
        <f>[1]Results!AF451</f>
        <v>66.047222959999999</v>
      </c>
      <c r="AD246" s="5">
        <f>[1]Results!AG451</f>
        <v>66.976295690000001</v>
      </c>
      <c r="AE246" s="5">
        <f>[1]Results!AH451</f>
        <v>67.915770949999995</v>
      </c>
      <c r="AF246" s="5">
        <f>[1]Results!AI451</f>
        <v>68.867155030000006</v>
      </c>
      <c r="AG246" s="5">
        <f>[1]Results!AJ451</f>
        <v>69.832134850000003</v>
      </c>
      <c r="AH246" s="5">
        <f>[1]Results!AK451</f>
        <v>70.812064419999999</v>
      </c>
      <c r="AI246" s="5">
        <f>[1]Results!AL451</f>
        <v>71.80789231</v>
      </c>
      <c r="AJ246" s="5">
        <f>[1]Results!AM451</f>
        <v>72.820190319999995</v>
      </c>
      <c r="AK246" s="5">
        <f>[1]Results!AN451</f>
        <v>73.849212989999998</v>
      </c>
      <c r="AL246" s="5">
        <f>[1]Results!AO451</f>
        <v>74.89496681</v>
      </c>
      <c r="AM246" s="5">
        <f>[1]Results!AP451</f>
        <v>75.929390159999997</v>
      </c>
      <c r="AN246" s="5">
        <f>[1]Results!AQ451</f>
        <v>76.968864960000005</v>
      </c>
      <c r="AO246" s="5">
        <f>[1]Results!AR451</f>
        <v>78.016891330000007</v>
      </c>
      <c r="AP246" s="5">
        <f>[1]Results!AS451</f>
        <v>79.074750660000007</v>
      </c>
      <c r="AQ246" s="5">
        <f>[1]Results!AT451</f>
        <v>80.143301089999994</v>
      </c>
      <c r="AR246" s="5">
        <f>[1]Results!AU451</f>
        <v>81.223257200000006</v>
      </c>
      <c r="AS246" s="5">
        <f>[1]Results!AV451</f>
        <v>82.315217110000006</v>
      </c>
      <c r="AT246" s="5">
        <f>[1]Results!AW451</f>
        <v>83.419659260000003</v>
      </c>
      <c r="AU246" s="5">
        <f>[1]Results!AX451</f>
        <v>84.536947400000003</v>
      </c>
      <c r="AV246" s="5">
        <f>[1]Results!AY451</f>
        <v>85.667348410000002</v>
      </c>
      <c r="AW246" s="5">
        <f>[1]Results!AZ451</f>
        <v>86.813606910000004</v>
      </c>
      <c r="AX246" s="5">
        <f>[1]Results!BA451</f>
        <v>87.974380510000003</v>
      </c>
      <c r="AY246" s="5">
        <f>[1]Results!BB451</f>
        <v>89.149470120000004</v>
      </c>
      <c r="AZ246" s="5">
        <f>[1]Results!BC451</f>
        <v>90.338799109999997</v>
      </c>
      <c r="BA246" s="5">
        <f>[1]Results!BD451</f>
        <v>91.542314680000004</v>
      </c>
      <c r="BB246" s="5">
        <f>[1]Results!BE451</f>
        <v>101.9694488</v>
      </c>
      <c r="BC246" s="5">
        <f>[1]Results!BF451</f>
        <v>103.7202384</v>
      </c>
      <c r="BD246" s="5">
        <f>[1]Results!BG451</f>
        <v>105.4971243</v>
      </c>
      <c r="BE246" s="5">
        <f>[1]Results!BH451</f>
        <v>107.30059749999999</v>
      </c>
      <c r="BF246" s="5">
        <f>[1]Results!BI451</f>
        <v>109.13117939999999</v>
      </c>
    </row>
    <row r="247" spans="1:58" x14ac:dyDescent="0.35">
      <c r="B247" t="s">
        <v>28</v>
      </c>
      <c r="C247" s="5">
        <f>[1]Results!F427</f>
        <v>26.37987115</v>
      </c>
      <c r="D247" s="5">
        <f>[1]Results!G427</f>
        <v>26.68954651</v>
      </c>
      <c r="E247" s="5">
        <f>[1]Results!H427</f>
        <v>27.01817612</v>
      </c>
      <c r="F247" s="5">
        <f>[1]Results!I427</f>
        <v>27.368658140000001</v>
      </c>
      <c r="G247" s="5">
        <f>[1]Results!J427</f>
        <v>27.741209659999999</v>
      </c>
      <c r="H247" s="5">
        <f>[1]Results!K427</f>
        <v>28.134008099999999</v>
      </c>
      <c r="I247" s="5">
        <f>[1]Results!L427</f>
        <v>28.528733840000001</v>
      </c>
      <c r="J247" s="5">
        <f>[1]Results!M427</f>
        <v>28.931914150000001</v>
      </c>
      <c r="K247" s="5">
        <f>[1]Results!N427</f>
        <v>29.343819929999999</v>
      </c>
      <c r="L247" s="5">
        <f>[1]Results!O427</f>
        <v>29.76361064</v>
      </c>
      <c r="M247" s="5">
        <f>[1]Results!P427</f>
        <v>30.217983719999999</v>
      </c>
      <c r="N247" s="5">
        <f>[1]Results!Q427</f>
        <v>30.66237564</v>
      </c>
      <c r="O247" s="5">
        <f>[1]Results!R427</f>
        <v>31.10769329</v>
      </c>
      <c r="P247" s="5">
        <f>[1]Results!S427</f>
        <v>31.55592957</v>
      </c>
      <c r="Q247" s="5">
        <f>[1]Results!T427</f>
        <v>32.007439150000003</v>
      </c>
      <c r="R247" s="5">
        <f>[1]Results!U427</f>
        <v>32.462404929999998</v>
      </c>
      <c r="S247" s="5">
        <f>[1]Results!V427</f>
        <v>32.921099069999997</v>
      </c>
      <c r="T247" s="5">
        <f>[1]Results!W427</f>
        <v>33.383893200000003</v>
      </c>
      <c r="U247" s="5">
        <f>[1]Results!X427</f>
        <v>33.851222610000001</v>
      </c>
      <c r="V247" s="5">
        <f>[1]Results!Y427</f>
        <v>34.323550640000001</v>
      </c>
      <c r="W247" s="5">
        <f>[1]Results!Z427</f>
        <v>34.780851679999998</v>
      </c>
      <c r="X247" s="5">
        <f>[1]Results!AA427</f>
        <v>35.256059579999999</v>
      </c>
      <c r="Y247" s="5">
        <f>[1]Results!AB427</f>
        <v>35.741056260000001</v>
      </c>
      <c r="Z247" s="5">
        <f>[1]Results!AC427</f>
        <v>36.234440220000003</v>
      </c>
      <c r="AA247" s="5">
        <f>[1]Results!AD427</f>
        <v>36.736105350000003</v>
      </c>
      <c r="AB247" s="5">
        <f>[1]Results!AE427</f>
        <v>37.186976510000001</v>
      </c>
      <c r="AC247" s="5">
        <f>[1]Results!AF427</f>
        <v>37.652840159999997</v>
      </c>
      <c r="AD247" s="5">
        <f>[1]Results!AG427</f>
        <v>38.125171440000003</v>
      </c>
      <c r="AE247" s="5">
        <f>[1]Results!AH427</f>
        <v>38.603413750000001</v>
      </c>
      <c r="AF247" s="5">
        <f>[1]Results!AI427</f>
        <v>39.088421289999999</v>
      </c>
      <c r="AG247" s="5">
        <f>[1]Results!AJ427</f>
        <v>39.581094669999999</v>
      </c>
      <c r="AH247" s="5">
        <f>[1]Results!AK427</f>
        <v>40.082111329999996</v>
      </c>
      <c r="AI247" s="5">
        <f>[1]Results!AL427</f>
        <v>40.591904800000002</v>
      </c>
      <c r="AJ247" s="5">
        <f>[1]Results!AM427</f>
        <v>41.110705840000001</v>
      </c>
      <c r="AK247" s="5">
        <f>[1]Results!AN427</f>
        <v>41.63859626</v>
      </c>
      <c r="AL247" s="5">
        <f>[1]Results!AO427</f>
        <v>42.175559499999999</v>
      </c>
      <c r="AM247" s="5">
        <f>[1]Results!AP427</f>
        <v>42.707177549999997</v>
      </c>
      <c r="AN247" s="5">
        <f>[1]Results!AQ427</f>
        <v>43.241588370000002</v>
      </c>
      <c r="AO247" s="5">
        <f>[1]Results!AR427</f>
        <v>43.781027960000003</v>
      </c>
      <c r="AP247" s="5">
        <f>[1]Results!AS427</f>
        <v>44.326505830000002</v>
      </c>
      <c r="AQ247" s="5">
        <f>[1]Results!AT427</f>
        <v>44.878725410000001</v>
      </c>
      <c r="AR247" s="5">
        <f>[1]Results!AU427</f>
        <v>45.438246919999997</v>
      </c>
      <c r="AS247" s="5">
        <f>[1]Results!AV427</f>
        <v>46.005509140000001</v>
      </c>
      <c r="AT247" s="5">
        <f>[1]Results!AW427</f>
        <v>46.580835890000003</v>
      </c>
      <c r="AU247" s="5">
        <f>[1]Results!AX427</f>
        <v>47.164449439999999</v>
      </c>
      <c r="AV247" s="5">
        <f>[1]Results!AY427</f>
        <v>47.756491279999999</v>
      </c>
      <c r="AW247" s="5">
        <f>[1]Results!AZ427</f>
        <v>48.358352050000001</v>
      </c>
      <c r="AX247" s="5">
        <f>[1]Results!BA427</f>
        <v>48.969339869999999</v>
      </c>
      <c r="AY247" s="5">
        <f>[1]Results!BB427</f>
        <v>49.58928006</v>
      </c>
      <c r="AZ247" s="5">
        <f>[1]Results!BC427</f>
        <v>50.218076879999998</v>
      </c>
      <c r="BA247" s="5">
        <f>[1]Results!BD427</f>
        <v>50.855660749999998</v>
      </c>
      <c r="BB247" s="5">
        <f>[1]Results!BE427</f>
        <v>55.493589890000003</v>
      </c>
      <c r="BC247" s="5">
        <f>[1]Results!BF427</f>
        <v>56.373474880000003</v>
      </c>
      <c r="BD247" s="5">
        <f>[1]Results!BG427</f>
        <v>57.26841727</v>
      </c>
      <c r="BE247" s="5">
        <f>[1]Results!BH427</f>
        <v>58.178734579999997</v>
      </c>
      <c r="BF247" s="5">
        <f>[1]Results!BI427</f>
        <v>59.104750869999997</v>
      </c>
    </row>
    <row r="248" spans="1:58" x14ac:dyDescent="0.35">
      <c r="B248" t="s">
        <v>10</v>
      </c>
      <c r="C248" s="5">
        <f>[1]Results!F463</f>
        <v>22.50335888</v>
      </c>
      <c r="D248" s="5">
        <f>[1]Results!G463</f>
        <v>22.774689129999999</v>
      </c>
      <c r="E248" s="5">
        <f>[1]Results!H463</f>
        <v>23.068699509999998</v>
      </c>
      <c r="F248" s="5">
        <f>[1]Results!I463</f>
        <v>23.389413189999999</v>
      </c>
      <c r="G248" s="5">
        <f>[1]Results!J463</f>
        <v>23.73931249</v>
      </c>
      <c r="H248" s="5">
        <f>[1]Results!K463</f>
        <v>24.117521</v>
      </c>
      <c r="I248" s="5">
        <f>[1]Results!L463</f>
        <v>24.506353659999998</v>
      </c>
      <c r="J248" s="5">
        <f>[1]Results!M463</f>
        <v>24.90974654</v>
      </c>
      <c r="K248" s="5">
        <f>[1]Results!N463</f>
        <v>25.32621091</v>
      </c>
      <c r="L248" s="5">
        <f>[1]Results!O463</f>
        <v>25.753605199999999</v>
      </c>
      <c r="M248" s="5">
        <f>[1]Results!P463</f>
        <v>26.216011760000001</v>
      </c>
      <c r="N248" s="5">
        <f>[1]Results!Q463</f>
        <v>26.67239627</v>
      </c>
      <c r="O248" s="5">
        <f>[1]Results!R463</f>
        <v>27.13121065</v>
      </c>
      <c r="P248" s="5">
        <f>[1]Results!S463</f>
        <v>27.593303129999999</v>
      </c>
      <c r="Q248" s="5">
        <f>[1]Results!T463</f>
        <v>28.058372500000001</v>
      </c>
      <c r="R248" s="5">
        <f>[1]Results!U463</f>
        <v>28.526130469999998</v>
      </c>
      <c r="S248" s="5">
        <f>[1]Results!V463</f>
        <v>28.996476489999999</v>
      </c>
      <c r="T248" s="5">
        <f>[1]Results!W463</f>
        <v>29.46948819</v>
      </c>
      <c r="U248" s="5">
        <f>[1]Results!X463</f>
        <v>29.945383450000001</v>
      </c>
      <c r="V248" s="5">
        <f>[1]Results!Y463</f>
        <v>30.424483179999999</v>
      </c>
      <c r="W248" s="5">
        <f>[1]Results!Z463</f>
        <v>30.88770199</v>
      </c>
      <c r="X248" s="5">
        <f>[1]Results!AA463</f>
        <v>31.365087469999999</v>
      </c>
      <c r="Y248" s="5">
        <f>[1]Results!AB463</f>
        <v>31.849861140000002</v>
      </c>
      <c r="Z248" s="5">
        <f>[1]Results!AC463</f>
        <v>32.341159429999998</v>
      </c>
      <c r="AA248" s="5">
        <f>[1]Results!AD463</f>
        <v>32.83913819</v>
      </c>
      <c r="AB248" s="5">
        <f>[1]Results!AE463</f>
        <v>33.28769217</v>
      </c>
      <c r="AC248" s="5">
        <f>[1]Results!AF463</f>
        <v>33.746018820000003</v>
      </c>
      <c r="AD248" s="5">
        <f>[1]Results!AG463</f>
        <v>34.206947820000003</v>
      </c>
      <c r="AE248" s="5">
        <f>[1]Results!AH463</f>
        <v>34.6706292</v>
      </c>
      <c r="AF248" s="5">
        <f>[1]Results!AI463</f>
        <v>35.138377980000001</v>
      </c>
      <c r="AG248" s="5">
        <f>[1]Results!AJ463</f>
        <v>35.611491450000003</v>
      </c>
      <c r="AH248" s="5">
        <f>[1]Results!AK463</f>
        <v>36.09102317</v>
      </c>
      <c r="AI248" s="5">
        <f>[1]Results!AL463</f>
        <v>36.577762960000001</v>
      </c>
      <c r="AJ248" s="5">
        <f>[1]Results!AM463</f>
        <v>37.072266280000001</v>
      </c>
      <c r="AK248" s="5">
        <f>[1]Results!AN463</f>
        <v>37.57489554</v>
      </c>
      <c r="AL248" s="5">
        <f>[1]Results!AO463</f>
        <v>38.085862329999998</v>
      </c>
      <c r="AM248" s="5">
        <f>[1]Results!AP463</f>
        <v>38.591610670000001</v>
      </c>
      <c r="AN248" s="5">
        <f>[1]Results!AQ463</f>
        <v>39.099130010000003</v>
      </c>
      <c r="AO248" s="5">
        <f>[1]Results!AR463</f>
        <v>39.610352450000001</v>
      </c>
      <c r="AP248" s="5">
        <f>[1]Results!AS463</f>
        <v>40.12626942</v>
      </c>
      <c r="AQ248" s="5">
        <f>[1]Results!AT463</f>
        <v>40.647653939999998</v>
      </c>
      <c r="AR248" s="5">
        <f>[1]Results!AU463</f>
        <v>41.175165440000001</v>
      </c>
      <c r="AS248" s="5">
        <f>[1]Results!AV463</f>
        <v>41.709353630000003</v>
      </c>
      <c r="AT248" s="5">
        <f>[1]Results!AW463</f>
        <v>42.250657539999999</v>
      </c>
      <c r="AU248" s="5">
        <f>[1]Results!AX463</f>
        <v>42.799413790000003</v>
      </c>
      <c r="AV248" s="5">
        <f>[1]Results!AY463</f>
        <v>43.355873629999998</v>
      </c>
      <c r="AW248" s="5">
        <f>[1]Results!AZ463</f>
        <v>43.921469700000003</v>
      </c>
      <c r="AX248" s="5">
        <f>[1]Results!BA463</f>
        <v>44.4957402</v>
      </c>
      <c r="AY248" s="5">
        <f>[1]Results!BB463</f>
        <v>45.078645399999999</v>
      </c>
      <c r="AZ248" s="5">
        <f>[1]Results!BC463</f>
        <v>45.670144190000002</v>
      </c>
      <c r="BA248" s="5">
        <f>[1]Results!BD463</f>
        <v>46.270179079999998</v>
      </c>
      <c r="BB248" s="5">
        <f>[1]Results!BE463</f>
        <v>51.382038950000002</v>
      </c>
      <c r="BC248" s="5">
        <f>[1]Results!BF463</f>
        <v>52.22979488</v>
      </c>
      <c r="BD248" s="5">
        <f>[1]Results!BG463</f>
        <v>53.09019361</v>
      </c>
      <c r="BE248" s="5">
        <f>[1]Results!BH463</f>
        <v>53.963593869999997</v>
      </c>
      <c r="BF248" s="5">
        <f>[1]Results!BI463</f>
        <v>54.850373390000001</v>
      </c>
    </row>
    <row r="249" spans="1:58" x14ac:dyDescent="0.35">
      <c r="B249" t="s">
        <v>25</v>
      </c>
      <c r="C249" s="5">
        <f>[1]Results!F414</f>
        <v>64.301440170000006</v>
      </c>
      <c r="D249" s="5">
        <f>[1]Results!G414</f>
        <v>64.244438369999997</v>
      </c>
      <c r="E249" s="5">
        <f>[1]Results!H414</f>
        <v>63.979054069999997</v>
      </c>
      <c r="F249" s="5">
        <f>[1]Results!I414</f>
        <v>63.707653280000002</v>
      </c>
      <c r="G249" s="5">
        <f>[1]Results!J414</f>
        <v>63.482470309999997</v>
      </c>
      <c r="H249" s="5">
        <f>[1]Results!K414</f>
        <v>63.336263119999998</v>
      </c>
      <c r="I249" s="5">
        <f>[1]Results!L414</f>
        <v>63.253989850000004</v>
      </c>
      <c r="J249" s="5">
        <f>[1]Results!M414</f>
        <v>63.230666900000003</v>
      </c>
      <c r="K249" s="5">
        <f>[1]Results!N414</f>
        <v>63.25270665</v>
      </c>
      <c r="L249" s="5">
        <f>[1]Results!O414</f>
        <v>63.306551339999999</v>
      </c>
      <c r="M249" s="5">
        <f>[1]Results!P414</f>
        <v>63.411263230000003</v>
      </c>
      <c r="N249" s="5">
        <f>[1]Results!Q414</f>
        <v>63.516182059999998</v>
      </c>
      <c r="O249" s="5">
        <f>[1]Results!R414</f>
        <v>63.624458609999998</v>
      </c>
      <c r="P249" s="5">
        <f>[1]Results!S414</f>
        <v>63.736656080000003</v>
      </c>
      <c r="Q249" s="5">
        <f>[1]Results!T414</f>
        <v>63.852380840000002</v>
      </c>
      <c r="R249" s="5">
        <f>[1]Results!U414</f>
        <v>63.970976999999998</v>
      </c>
      <c r="S249" s="5">
        <f>[1]Results!V414</f>
        <v>64.091795399999995</v>
      </c>
      <c r="T249" s="5">
        <f>[1]Results!W414</f>
        <v>64.21427869</v>
      </c>
      <c r="U249" s="5">
        <f>[1]Results!X414</f>
        <v>64.337973930000004</v>
      </c>
      <c r="V249" s="5">
        <f>[1]Results!Y414</f>
        <v>64.462521370000005</v>
      </c>
      <c r="W249" s="5">
        <f>[1]Results!Z414</f>
        <v>64.568139410000001</v>
      </c>
      <c r="X249" s="5">
        <f>[1]Results!AA414</f>
        <v>64.683683740000006</v>
      </c>
      <c r="Y249" s="5">
        <f>[1]Results!AB414</f>
        <v>64.803930500000007</v>
      </c>
      <c r="Z249" s="5">
        <f>[1]Results!AC414</f>
        <v>64.926449059999996</v>
      </c>
      <c r="AA249" s="5">
        <f>[1]Results!AD414</f>
        <v>65.050136710000004</v>
      </c>
      <c r="AB249" s="5">
        <f>[1]Results!AE414</f>
        <v>65.121097719999995</v>
      </c>
      <c r="AC249" s="5">
        <f>[1]Results!AF414</f>
        <v>65.193553199999997</v>
      </c>
      <c r="AD249" s="5">
        <f>[1]Results!AG414</f>
        <v>65.265840109999999</v>
      </c>
      <c r="AE249" s="5">
        <f>[1]Results!AH414</f>
        <v>65.33738142</v>
      </c>
      <c r="AF249" s="5">
        <f>[1]Results!AI414</f>
        <v>65.407922630000002</v>
      </c>
      <c r="AG249" s="5">
        <f>[1]Results!AJ414</f>
        <v>65.477596759999997</v>
      </c>
      <c r="AH249" s="5">
        <f>[1]Results!AK414</f>
        <v>65.546739720000005</v>
      </c>
      <c r="AI249" s="5">
        <f>[1]Results!AL414</f>
        <v>65.615738050000004</v>
      </c>
      <c r="AJ249" s="5">
        <f>[1]Results!AM414</f>
        <v>65.684962580000004</v>
      </c>
      <c r="AK249" s="5">
        <f>[1]Results!AN414</f>
        <v>65.754746269999998</v>
      </c>
      <c r="AL249" s="5">
        <f>[1]Results!AO414</f>
        <v>65.825382500000003</v>
      </c>
      <c r="AM249" s="5">
        <f>[1]Results!AP414</f>
        <v>65.885647710000001</v>
      </c>
      <c r="AN249" s="5">
        <f>[1]Results!AQ414</f>
        <v>65.941297739999996</v>
      </c>
      <c r="AO249" s="5">
        <f>[1]Results!AR414</f>
        <v>65.995158619999998</v>
      </c>
      <c r="AP249" s="5">
        <f>[1]Results!AS414</f>
        <v>66.048711780000005</v>
      </c>
      <c r="AQ249" s="5">
        <f>[1]Results!AT414</f>
        <v>66.102831179999995</v>
      </c>
      <c r="AR249" s="5">
        <f>[1]Results!AU414</f>
        <v>66.158103019999999</v>
      </c>
      <c r="AS249" s="5">
        <f>[1]Results!AV414</f>
        <v>66.214953059999999</v>
      </c>
      <c r="AT249" s="5">
        <f>[1]Results!AW414</f>
        <v>66.273683539999993</v>
      </c>
      <c r="AU249" s="5">
        <f>[1]Results!AX414</f>
        <v>66.334417869999996</v>
      </c>
      <c r="AV249" s="5">
        <f>[1]Results!AY414</f>
        <v>66.396859019999994</v>
      </c>
      <c r="AW249" s="5">
        <f>[1]Results!AZ414</f>
        <v>66.460015470000002</v>
      </c>
      <c r="AX249" s="5">
        <f>[1]Results!BA414</f>
        <v>66.519687619999999</v>
      </c>
      <c r="AY249" s="5">
        <f>[1]Results!BB414</f>
        <v>66.57202814</v>
      </c>
      <c r="AZ249" s="5">
        <f>[1]Results!BC414</f>
        <v>66.623567550000004</v>
      </c>
      <c r="BA249" s="5">
        <f>[1]Results!BD414</f>
        <v>66.679879940000006</v>
      </c>
      <c r="BB249" s="5">
        <f>[1]Results!BE414</f>
        <v>66.181774820000001</v>
      </c>
      <c r="BC249" s="5">
        <f>[1]Results!BF414</f>
        <v>66.315964530000002</v>
      </c>
      <c r="BD249" s="5">
        <f>[1]Results!BG414</f>
        <v>66.452371409999998</v>
      </c>
      <c r="BE249" s="5">
        <f>[1]Results!BH414</f>
        <v>66.591310300000004</v>
      </c>
      <c r="BF249" s="5">
        <f>[1]Results!BI414</f>
        <v>66.732995119999998</v>
      </c>
    </row>
    <row r="250" spans="1:58" x14ac:dyDescent="0.35">
      <c r="B250" t="s">
        <v>47</v>
      </c>
      <c r="C250" s="5">
        <f>[1]Results!F415</f>
        <v>42.52087745</v>
      </c>
      <c r="D250" s="5">
        <f>[1]Results!G415</f>
        <v>42.741900170000001</v>
      </c>
      <c r="E250" s="5">
        <f>[1]Results!H415</f>
        <v>42.617083280000003</v>
      </c>
      <c r="F250" s="5">
        <f>[1]Results!I415</f>
        <v>42.393360109999996</v>
      </c>
      <c r="G250" s="5">
        <f>[1]Results!J415</f>
        <v>42.152352610000001</v>
      </c>
      <c r="H250" s="5">
        <f>[1]Results!K415</f>
        <v>41.945862579999996</v>
      </c>
      <c r="I250" s="5">
        <f>[1]Results!L415</f>
        <v>41.773744979999996</v>
      </c>
      <c r="J250" s="5">
        <f>[1]Results!M415</f>
        <v>41.63906678</v>
      </c>
      <c r="K250" s="5">
        <f>[1]Results!N415</f>
        <v>41.53363547</v>
      </c>
      <c r="L250" s="5">
        <f>[1]Results!O415</f>
        <v>41.447631289999997</v>
      </c>
      <c r="M250" s="5">
        <f>[1]Results!P415</f>
        <v>41.39838589</v>
      </c>
      <c r="N250" s="5">
        <f>[1]Results!Q415</f>
        <v>41.341999030000004</v>
      </c>
      <c r="O250" s="5">
        <f>[1]Results!R415</f>
        <v>41.283366899999997</v>
      </c>
      <c r="P250" s="5">
        <f>[1]Results!S415</f>
        <v>41.224530630000004</v>
      </c>
      <c r="Q250" s="5">
        <f>[1]Results!T415</f>
        <v>41.166291569999999</v>
      </c>
      <c r="R250" s="5">
        <f>[1]Results!U415</f>
        <v>41.108941189999996</v>
      </c>
      <c r="S250" s="5">
        <f>[1]Results!V415</f>
        <v>41.05257563</v>
      </c>
      <c r="T250" s="5">
        <f>[1]Results!W415</f>
        <v>40.997223380000001</v>
      </c>
      <c r="U250" s="5">
        <f>[1]Results!X415</f>
        <v>40.942892430000001</v>
      </c>
      <c r="V250" s="5">
        <f>[1]Results!Y415</f>
        <v>40.889584890000002</v>
      </c>
      <c r="W250" s="5">
        <f>[1]Results!Z415</f>
        <v>40.820963689999999</v>
      </c>
      <c r="X250" s="5">
        <f>[1]Results!AA415</f>
        <v>40.76271363</v>
      </c>
      <c r="Y250" s="5">
        <f>[1]Results!AB415</f>
        <v>40.709698619999998</v>
      </c>
      <c r="Z250" s="5">
        <f>[1]Results!AC415</f>
        <v>40.659504579999997</v>
      </c>
      <c r="AA250" s="5">
        <f>[1]Results!AD415</f>
        <v>40.611042140000002</v>
      </c>
      <c r="AB250" s="5">
        <f>[1]Results!AE415</f>
        <v>40.519310369999999</v>
      </c>
      <c r="AC250" s="5">
        <f>[1]Results!AF415</f>
        <v>40.433222389999997</v>
      </c>
      <c r="AD250" s="5">
        <f>[1]Results!AG415</f>
        <v>40.350661649999999</v>
      </c>
      <c r="AE250" s="5">
        <f>[1]Results!AH415</f>
        <v>40.270437149999999</v>
      </c>
      <c r="AF250" s="5">
        <f>[1]Results!AI415</f>
        <v>40.191664909999993</v>
      </c>
      <c r="AG250" s="5">
        <f>[1]Results!AJ415</f>
        <v>40.113900999999998</v>
      </c>
      <c r="AH250" s="5">
        <f>[1]Results!AK415</f>
        <v>40.03698438</v>
      </c>
      <c r="AI250" s="5">
        <f>[1]Results!AL415</f>
        <v>39.960888400000002</v>
      </c>
      <c r="AJ250" s="5">
        <f>[1]Results!AM415</f>
        <v>39.885645930000003</v>
      </c>
      <c r="AK250" s="5">
        <f>[1]Results!AN415</f>
        <v>39.811313599999998</v>
      </c>
      <c r="AL250" s="5">
        <f>[1]Results!AO415</f>
        <v>39.737956179999998</v>
      </c>
      <c r="AM250" s="5">
        <f>[1]Results!AP415</f>
        <v>39.656155240000004</v>
      </c>
      <c r="AN250" s="5">
        <f>[1]Results!AQ415</f>
        <v>39.571360890000001</v>
      </c>
      <c r="AO250" s="5">
        <f>[1]Results!AR415</f>
        <v>39.48607277</v>
      </c>
      <c r="AP250" s="5">
        <f>[1]Results!AS415</f>
        <v>39.401410409999997</v>
      </c>
      <c r="AQ250" s="5">
        <f>[1]Results!AT415</f>
        <v>39.3178755</v>
      </c>
      <c r="AR250" s="5">
        <f>[1]Results!AU415</f>
        <v>39.235699830000001</v>
      </c>
      <c r="AS250" s="5">
        <f>[1]Results!AV415</f>
        <v>39.154992740000004</v>
      </c>
      <c r="AT250" s="5">
        <f>[1]Results!AW415</f>
        <v>39.075788380000006</v>
      </c>
      <c r="AU250" s="5">
        <f>[1]Results!AX415</f>
        <v>38.997992529999998</v>
      </c>
      <c r="AV250" s="5">
        <f>[1]Results!AY415</f>
        <v>38.921137639999998</v>
      </c>
      <c r="AW250" s="5">
        <f>[1]Results!AZ415</f>
        <v>38.843933640000003</v>
      </c>
      <c r="AX250" s="5">
        <f>[1]Results!BA415</f>
        <v>38.762096219999997</v>
      </c>
      <c r="AY250" s="5">
        <f>[1]Results!BB415</f>
        <v>38.67172317</v>
      </c>
      <c r="AZ250" s="5">
        <f>[1]Results!BC415</f>
        <v>38.579317320000001</v>
      </c>
      <c r="BA250" s="5">
        <f>[1]Results!BD415</f>
        <v>38.49044559</v>
      </c>
      <c r="BB250" s="5">
        <f>[1]Results!BE415</f>
        <v>36.670255640000001</v>
      </c>
      <c r="BC250" s="5">
        <f>[1]Results!BF415</f>
        <v>36.60359107</v>
      </c>
      <c r="BD250" s="5">
        <f>[1]Results!BG415</f>
        <v>36.537648270000005</v>
      </c>
      <c r="BE250" s="5">
        <f>[1]Results!BH415</f>
        <v>36.472608630000003</v>
      </c>
      <c r="BF250" s="5">
        <f>[1]Results!BI415</f>
        <v>36.408537789999997</v>
      </c>
    </row>
    <row r="251" spans="1:58" x14ac:dyDescent="0.35">
      <c r="B251" t="s">
        <v>48</v>
      </c>
      <c r="C251" s="5">
        <f>[1]Results!F423</f>
        <v>21.78056273</v>
      </c>
      <c r="D251" s="5">
        <f>[1]Results!G423</f>
        <v>21.5025382</v>
      </c>
      <c r="E251" s="5">
        <f>[1]Results!H423</f>
        <v>21.361970790000001</v>
      </c>
      <c r="F251" s="5">
        <f>[1]Results!I423</f>
        <v>21.314293170000003</v>
      </c>
      <c r="G251" s="5">
        <f>[1]Results!J423</f>
        <v>21.330117699999999</v>
      </c>
      <c r="H251" s="5">
        <f>[1]Results!K423</f>
        <v>21.390400539999998</v>
      </c>
      <c r="I251" s="5">
        <f>[1]Results!L423</f>
        <v>21.48024487</v>
      </c>
      <c r="J251" s="5">
        <f>[1]Results!M423</f>
        <v>21.591600109999998</v>
      </c>
      <c r="K251" s="5">
        <f>[1]Results!N423</f>
        <v>21.71907118</v>
      </c>
      <c r="L251" s="5">
        <f>[1]Results!O423</f>
        <v>21.858920050000002</v>
      </c>
      <c r="M251" s="5">
        <f>[1]Results!P423</f>
        <v>22.012877339999999</v>
      </c>
      <c r="N251" s="5">
        <f>[1]Results!Q423</f>
        <v>22.174183030000002</v>
      </c>
      <c r="O251" s="5">
        <f>[1]Results!R423</f>
        <v>22.341091710000001</v>
      </c>
      <c r="P251" s="5">
        <f>[1]Results!S423</f>
        <v>22.51212546</v>
      </c>
      <c r="Q251" s="5">
        <f>[1]Results!T423</f>
        <v>22.686089260000003</v>
      </c>
      <c r="R251" s="5">
        <f>[1]Results!U423</f>
        <v>22.862035809999998</v>
      </c>
      <c r="S251" s="5">
        <f>[1]Results!V423</f>
        <v>23.039219769999999</v>
      </c>
      <c r="T251" s="5">
        <f>[1]Results!W423</f>
        <v>23.217055309999999</v>
      </c>
      <c r="U251" s="5">
        <f>[1]Results!X423</f>
        <v>23.395081510000001</v>
      </c>
      <c r="V251" s="5">
        <f>[1]Results!Y423</f>
        <v>23.572936479999999</v>
      </c>
      <c r="W251" s="5">
        <f>[1]Results!Z423</f>
        <v>23.747175730000002</v>
      </c>
      <c r="X251" s="5">
        <f>[1]Results!AA423</f>
        <v>23.920970109999999</v>
      </c>
      <c r="Y251" s="5">
        <f>[1]Results!AB423</f>
        <v>24.094231879999999</v>
      </c>
      <c r="Z251" s="5">
        <f>[1]Results!AC423</f>
        <v>24.266944479999999</v>
      </c>
      <c r="AA251" s="5">
        <f>[1]Results!AD423</f>
        <v>24.439094570000002</v>
      </c>
      <c r="AB251" s="5">
        <f>[1]Results!AE423</f>
        <v>24.601787350000002</v>
      </c>
      <c r="AC251" s="5">
        <f>[1]Results!AF423</f>
        <v>24.760330809999999</v>
      </c>
      <c r="AD251" s="5">
        <f>[1]Results!AG423</f>
        <v>24.91517846</v>
      </c>
      <c r="AE251" s="5">
        <f>[1]Results!AH423</f>
        <v>25.06694427</v>
      </c>
      <c r="AF251" s="5">
        <f>[1]Results!AI423</f>
        <v>25.216257719999998</v>
      </c>
      <c r="AG251" s="5">
        <f>[1]Results!AJ423</f>
        <v>25.363695750000002</v>
      </c>
      <c r="AH251" s="5">
        <f>[1]Results!AK423</f>
        <v>25.509755339999998</v>
      </c>
      <c r="AI251" s="5">
        <f>[1]Results!AL423</f>
        <v>25.654849640000002</v>
      </c>
      <c r="AJ251" s="5">
        <f>[1]Results!AM423</f>
        <v>25.799316640000001</v>
      </c>
      <c r="AK251" s="5">
        <f>[1]Results!AN423</f>
        <v>25.943432670000004</v>
      </c>
      <c r="AL251" s="5">
        <f>[1]Results!AO423</f>
        <v>26.087426319999999</v>
      </c>
      <c r="AM251" s="5">
        <f>[1]Results!AP423</f>
        <v>26.22949247</v>
      </c>
      <c r="AN251" s="5">
        <f>[1]Results!AQ423</f>
        <v>26.369936850000002</v>
      </c>
      <c r="AO251" s="5">
        <f>[1]Results!AR423</f>
        <v>26.509085850000002</v>
      </c>
      <c r="AP251" s="5">
        <f>[1]Results!AS423</f>
        <v>26.647301370000001</v>
      </c>
      <c r="AQ251" s="5">
        <f>[1]Results!AT423</f>
        <v>26.784955679999999</v>
      </c>
      <c r="AR251" s="5">
        <f>[1]Results!AU423</f>
        <v>26.922403190000001</v>
      </c>
      <c r="AS251" s="5">
        <f>[1]Results!AV423</f>
        <v>27.059960329999999</v>
      </c>
      <c r="AT251" s="5">
        <f>[1]Results!AW423</f>
        <v>27.197895160000002</v>
      </c>
      <c r="AU251" s="5">
        <f>[1]Results!AX423</f>
        <v>27.336425329999997</v>
      </c>
      <c r="AV251" s="5">
        <f>[1]Results!AY423</f>
        <v>27.47572139</v>
      </c>
      <c r="AW251" s="5">
        <f>[1]Results!AZ423</f>
        <v>27.616081829999999</v>
      </c>
      <c r="AX251" s="5">
        <f>[1]Results!BA423</f>
        <v>27.757591399999999</v>
      </c>
      <c r="AY251" s="5">
        <f>[1]Results!BB423</f>
        <v>27.90030496</v>
      </c>
      <c r="AZ251" s="5">
        <f>[1]Results!BC423</f>
        <v>28.044250229999999</v>
      </c>
      <c r="BA251" s="5">
        <f>[1]Results!BD423</f>
        <v>28.189434350000003</v>
      </c>
      <c r="BB251" s="5">
        <f>[1]Results!BE423</f>
        <v>29.511519180000001</v>
      </c>
      <c r="BC251" s="5">
        <f>[1]Results!BF423</f>
        <v>29.712373460000002</v>
      </c>
      <c r="BD251" s="5">
        <f>[1]Results!BG423</f>
        <v>29.91472314</v>
      </c>
      <c r="BE251" s="5">
        <f>[1]Results!BH423</f>
        <v>30.11870167</v>
      </c>
      <c r="BF251" s="5">
        <f>[1]Results!BI423</f>
        <v>30.324457339999999</v>
      </c>
    </row>
    <row r="253" spans="1:58" x14ac:dyDescent="0.35">
      <c r="A253" s="12" t="s">
        <v>43</v>
      </c>
      <c r="C253" s="2">
        <v>42005</v>
      </c>
      <c r="D253" s="2">
        <v>42370</v>
      </c>
      <c r="E253" s="2">
        <v>42736</v>
      </c>
      <c r="F253" s="2">
        <v>43101</v>
      </c>
      <c r="G253" s="2">
        <v>43466</v>
      </c>
      <c r="H253" s="2">
        <v>43831</v>
      </c>
      <c r="I253" s="2">
        <v>44197</v>
      </c>
      <c r="J253" s="2">
        <v>44562</v>
      </c>
      <c r="K253" s="2">
        <v>44927</v>
      </c>
      <c r="L253" s="2">
        <v>45292</v>
      </c>
      <c r="M253" s="2">
        <v>45658</v>
      </c>
      <c r="N253" s="2">
        <v>46023</v>
      </c>
      <c r="O253" s="2">
        <v>46388</v>
      </c>
      <c r="P253" s="2">
        <v>46753</v>
      </c>
      <c r="Q253" s="2">
        <v>47119</v>
      </c>
      <c r="R253" s="2">
        <v>47484</v>
      </c>
      <c r="S253" s="2">
        <v>47849</v>
      </c>
      <c r="T253" s="2">
        <v>48214</v>
      </c>
      <c r="U253" s="2">
        <v>48580</v>
      </c>
      <c r="V253" s="2">
        <v>48945</v>
      </c>
      <c r="W253" s="2">
        <v>49310</v>
      </c>
      <c r="X253" s="2">
        <v>49675</v>
      </c>
      <c r="Y253" s="2">
        <v>50041</v>
      </c>
      <c r="Z253" s="2">
        <v>50406</v>
      </c>
      <c r="AA253" s="2">
        <v>50771</v>
      </c>
      <c r="AB253" s="2">
        <v>51136</v>
      </c>
      <c r="AC253" s="2">
        <v>51502</v>
      </c>
      <c r="AD253" s="2">
        <v>51867</v>
      </c>
      <c r="AE253" s="2">
        <v>52232</v>
      </c>
      <c r="AF253" s="2">
        <v>52597</v>
      </c>
      <c r="AG253" s="2">
        <v>52963</v>
      </c>
      <c r="AH253" s="2">
        <v>53328</v>
      </c>
      <c r="AI253" s="2">
        <v>53693</v>
      </c>
      <c r="AJ253" s="2">
        <v>54058</v>
      </c>
      <c r="AK253" s="2">
        <v>54424</v>
      </c>
      <c r="AL253" s="2">
        <v>54789</v>
      </c>
      <c r="AM253" s="2">
        <v>54790</v>
      </c>
      <c r="AN253" s="2">
        <v>54791</v>
      </c>
      <c r="AO253" s="2">
        <v>54792</v>
      </c>
      <c r="AP253" s="2">
        <v>54793</v>
      </c>
      <c r="AQ253" s="2">
        <v>54794</v>
      </c>
      <c r="AR253" s="2">
        <v>54795</v>
      </c>
      <c r="AS253" s="2">
        <v>54796</v>
      </c>
      <c r="AT253" s="2">
        <v>54797</v>
      </c>
      <c r="AU253" s="2">
        <v>54798</v>
      </c>
      <c r="AV253" s="2">
        <v>54799</v>
      </c>
      <c r="AW253" s="2">
        <v>54800</v>
      </c>
      <c r="AX253" s="2">
        <v>54801</v>
      </c>
      <c r="AY253" s="2">
        <v>54802</v>
      </c>
      <c r="AZ253" s="2">
        <v>54803</v>
      </c>
      <c r="BA253" s="2">
        <v>54804</v>
      </c>
      <c r="BB253" s="2">
        <v>54805</v>
      </c>
      <c r="BC253" s="2">
        <v>54806</v>
      </c>
      <c r="BD253" s="2">
        <v>54807</v>
      </c>
      <c r="BE253" s="2">
        <v>54808</v>
      </c>
      <c r="BF253" s="2">
        <v>54809</v>
      </c>
    </row>
    <row r="254" spans="1:58" x14ac:dyDescent="0.35">
      <c r="A254" t="s">
        <v>39</v>
      </c>
      <c r="B254" t="s">
        <v>26</v>
      </c>
      <c r="C254" s="9">
        <f t="shared" ref="C254:AL254" si="138">(C235/C136)/(C244/C125)-1</f>
        <v>-3.9151684482252591E-3</v>
      </c>
      <c r="D254" s="9">
        <f t="shared" si="138"/>
        <v>-6.5153337460027716E-3</v>
      </c>
      <c r="E254" s="9">
        <f t="shared" si="138"/>
        <v>-8.0348479800679273E-3</v>
      </c>
      <c r="F254" s="9">
        <f t="shared" si="138"/>
        <v>-9.3073013615229128E-3</v>
      </c>
      <c r="G254" s="9">
        <f t="shared" si="138"/>
        <v>-1.0359017596954234E-2</v>
      </c>
      <c r="H254" s="9">
        <f t="shared" si="138"/>
        <v>-1.1176012971553573E-2</v>
      </c>
      <c r="I254" s="9">
        <f t="shared" si="138"/>
        <v>-1.1784145237107135E-2</v>
      </c>
      <c r="J254" s="9">
        <f t="shared" si="138"/>
        <v>-1.2226194185817607E-2</v>
      </c>
      <c r="K254" s="9">
        <f t="shared" si="138"/>
        <v>-1.2544285299423086E-2</v>
      </c>
      <c r="L254" s="9">
        <f t="shared" si="138"/>
        <v>-1.2775735115639453E-2</v>
      </c>
      <c r="M254" s="9">
        <f t="shared" si="138"/>
        <v>-1.3300403607213185E-2</v>
      </c>
      <c r="N254" s="9">
        <f t="shared" si="138"/>
        <v>-1.3400855828728075E-2</v>
      </c>
      <c r="O254" s="9">
        <f t="shared" si="138"/>
        <v>-1.3257968121203278E-2</v>
      </c>
      <c r="P254" s="9">
        <f t="shared" si="138"/>
        <v>-1.3039985900333395E-2</v>
      </c>
      <c r="Q254" s="9">
        <f t="shared" si="138"/>
        <v>-1.2790980090752968E-2</v>
      </c>
      <c r="R254" s="9">
        <f t="shared" si="138"/>
        <v>-1.2538748350883311E-2</v>
      </c>
      <c r="S254" s="9">
        <f t="shared" si="138"/>
        <v>-1.2312162014016859E-2</v>
      </c>
      <c r="T254" s="9">
        <f t="shared" si="138"/>
        <v>-1.2125999282747046E-2</v>
      </c>
      <c r="U254" s="9">
        <f t="shared" si="138"/>
        <v>-1.1988719394604552E-2</v>
      </c>
      <c r="V254" s="9">
        <f t="shared" si="138"/>
        <v>-1.190681354641554E-2</v>
      </c>
      <c r="W254" s="9">
        <f t="shared" si="138"/>
        <v>-1.1880028909871609E-2</v>
      </c>
      <c r="X254" s="9">
        <f t="shared" si="138"/>
        <v>-1.1915153696805292E-2</v>
      </c>
      <c r="Y254" s="9">
        <f t="shared" si="138"/>
        <v>-1.2004758877801169E-2</v>
      </c>
      <c r="Z254" s="9">
        <f t="shared" si="138"/>
        <v>-1.2144514049577948E-2</v>
      </c>
      <c r="AA254" s="9">
        <f t="shared" si="138"/>
        <v>-1.2329753921555997E-2</v>
      </c>
      <c r="AB254" s="9">
        <f t="shared" si="138"/>
        <v>-1.2546350821197372E-2</v>
      </c>
      <c r="AC254" s="9">
        <f t="shared" si="138"/>
        <v>-1.2804142078358449E-2</v>
      </c>
      <c r="AD254" s="9">
        <f t="shared" si="138"/>
        <v>-1.3090192378314103E-2</v>
      </c>
      <c r="AE254" s="9">
        <f t="shared" si="138"/>
        <v>-1.3397566255506477E-2</v>
      </c>
      <c r="AF254" s="9">
        <f t="shared" si="138"/>
        <v>-1.3719597507437786E-2</v>
      </c>
      <c r="AG254" s="9">
        <f t="shared" si="138"/>
        <v>-1.4050855405322249E-2</v>
      </c>
      <c r="AH254" s="9">
        <f t="shared" si="138"/>
        <v>-1.4385710639418847E-2</v>
      </c>
      <c r="AI254" s="9">
        <f t="shared" si="138"/>
        <v>-1.4721056091771101E-2</v>
      </c>
      <c r="AJ254" s="9">
        <f t="shared" si="138"/>
        <v>-1.5054438733386188E-2</v>
      </c>
      <c r="AK254" s="9">
        <f t="shared" si="138"/>
        <v>-1.5383279039354325E-2</v>
      </c>
      <c r="AL254" s="9">
        <f t="shared" si="138"/>
        <v>-1.5705581199238372E-2</v>
      </c>
      <c r="AM254" s="9">
        <f t="shared" ref="AM254:BC254" si="139">(AM235/AM136)/(AM244/AM125)-1</f>
        <v>-1.6006498585622975E-2</v>
      </c>
      <c r="AN254" s="9">
        <f t="shared" si="139"/>
        <v>-1.6291855877729633E-2</v>
      </c>
      <c r="AO254" s="9">
        <f t="shared" si="139"/>
        <v>-1.6564473538651425E-2</v>
      </c>
      <c r="AP254" s="9">
        <f t="shared" si="139"/>
        <v>-1.6821688550152536E-2</v>
      </c>
      <c r="AQ254" s="9">
        <f t="shared" si="139"/>
        <v>-1.7062769395238209E-2</v>
      </c>
      <c r="AR254" s="9">
        <f t="shared" si="139"/>
        <v>-1.7287334144432509E-2</v>
      </c>
      <c r="AS254" s="9">
        <f t="shared" si="139"/>
        <v>-1.749828465314518E-2</v>
      </c>
      <c r="AT254" s="9">
        <f t="shared" si="139"/>
        <v>-1.7698821992613745E-2</v>
      </c>
      <c r="AU254" s="9">
        <f t="shared" si="139"/>
        <v>-1.789119979509457E-2</v>
      </c>
      <c r="AV254" s="9">
        <f t="shared" si="139"/>
        <v>-1.8077653225832768E-2</v>
      </c>
      <c r="AW254" s="9">
        <f t="shared" si="139"/>
        <v>-1.8255164551098546E-2</v>
      </c>
      <c r="AX254" s="9">
        <f t="shared" si="139"/>
        <v>-1.842747836049452E-2</v>
      </c>
      <c r="AY254" s="9">
        <f t="shared" si="139"/>
        <v>-1.8598042384190383E-2</v>
      </c>
      <c r="AZ254" s="9">
        <f t="shared" si="139"/>
        <v>-1.876685038650161E-2</v>
      </c>
      <c r="BA254" s="9">
        <f t="shared" si="139"/>
        <v>-1.8934349925009752E-2</v>
      </c>
      <c r="BB254" s="9">
        <f t="shared" si="139"/>
        <v>1.6773189553196399E-3</v>
      </c>
      <c r="BC254" s="9">
        <f t="shared" si="139"/>
        <v>1.7224712825913979E-3</v>
      </c>
      <c r="BD254" s="9">
        <f t="shared" ref="BD254:BF254" si="140">(BD235/BD136)/(BD244/BD125)-1</f>
        <v>1.7673669112274748E-3</v>
      </c>
      <c r="BE254" s="9">
        <f t="shared" si="140"/>
        <v>1.8128581843241953E-3</v>
      </c>
      <c r="BF254" s="9">
        <f t="shared" si="140"/>
        <v>1.8593316536263949E-3</v>
      </c>
    </row>
    <row r="255" spans="1:58" x14ac:dyDescent="0.35">
      <c r="B255" t="s">
        <v>7</v>
      </c>
      <c r="C255" s="9">
        <f t="shared" ref="C255:AL255" si="141">(C236/C137)/(C245/C126)-1</f>
        <v>6.3088762147402999E-3</v>
      </c>
      <c r="D255" s="9">
        <f t="shared" si="141"/>
        <v>6.1899521958628245E-3</v>
      </c>
      <c r="E255" s="9">
        <f t="shared" si="141"/>
        <v>6.2244896350296397E-3</v>
      </c>
      <c r="F255" s="9">
        <f t="shared" si="141"/>
        <v>6.3216572885618216E-3</v>
      </c>
      <c r="G255" s="9">
        <f t="shared" si="141"/>
        <v>6.5563097166145834E-3</v>
      </c>
      <c r="H255" s="9">
        <f t="shared" si="141"/>
        <v>6.9946145709174345E-3</v>
      </c>
      <c r="I255" s="9">
        <f t="shared" si="141"/>
        <v>7.6674664688975991E-3</v>
      </c>
      <c r="J255" s="9">
        <f t="shared" si="141"/>
        <v>8.5234865894165956E-3</v>
      </c>
      <c r="K255" s="9">
        <f t="shared" si="141"/>
        <v>9.5294837169326296E-3</v>
      </c>
      <c r="L255" s="9">
        <f t="shared" si="141"/>
        <v>1.0653596617244077E-2</v>
      </c>
      <c r="M255" s="9">
        <f t="shared" si="141"/>
        <v>1.1903453061420155E-2</v>
      </c>
      <c r="N255" s="9">
        <f t="shared" si="141"/>
        <v>1.3090505639851147E-2</v>
      </c>
      <c r="O255" s="9">
        <f t="shared" si="141"/>
        <v>1.4542875670780386E-2</v>
      </c>
      <c r="P255" s="9">
        <f t="shared" si="141"/>
        <v>1.612063711601297E-2</v>
      </c>
      <c r="Q255" s="9">
        <f t="shared" si="141"/>
        <v>1.7785621752583358E-2</v>
      </c>
      <c r="R255" s="9">
        <f t="shared" si="141"/>
        <v>1.9513579488995569E-2</v>
      </c>
      <c r="S255" s="9">
        <f t="shared" si="141"/>
        <v>2.1395626972141812E-2</v>
      </c>
      <c r="T255" s="9">
        <f t="shared" si="141"/>
        <v>2.3310739388613833E-2</v>
      </c>
      <c r="U255" s="9">
        <f t="shared" si="141"/>
        <v>2.523622377911261E-2</v>
      </c>
      <c r="V255" s="9">
        <f t="shared" si="141"/>
        <v>2.716141096050384E-2</v>
      </c>
      <c r="W255" s="9">
        <f t="shared" si="141"/>
        <v>2.9078902600883527E-2</v>
      </c>
      <c r="X255" s="9">
        <f t="shared" si="141"/>
        <v>3.0981741291766118E-2</v>
      </c>
      <c r="Y255" s="9">
        <f t="shared" si="141"/>
        <v>3.2870874012984164E-2</v>
      </c>
      <c r="Z255" s="9">
        <f t="shared" si="141"/>
        <v>3.4746764213894554E-2</v>
      </c>
      <c r="AA255" s="9">
        <f t="shared" si="141"/>
        <v>3.6609166826462758E-2</v>
      </c>
      <c r="AB255" s="9">
        <f t="shared" si="141"/>
        <v>3.8455329725751941E-2</v>
      </c>
      <c r="AC255" s="9">
        <f t="shared" si="141"/>
        <v>4.0230575629095933E-2</v>
      </c>
      <c r="AD255" s="9">
        <f t="shared" si="141"/>
        <v>4.1988922512268045E-2</v>
      </c>
      <c r="AE255" s="9">
        <f t="shared" si="141"/>
        <v>4.3740622339009994E-2</v>
      </c>
      <c r="AF255" s="9">
        <f t="shared" si="141"/>
        <v>4.5489284096342342E-2</v>
      </c>
      <c r="AG255" s="9">
        <f t="shared" si="141"/>
        <v>4.7237095719734778E-2</v>
      </c>
      <c r="AH255" s="9">
        <f t="shared" si="141"/>
        <v>4.8957352508546492E-2</v>
      </c>
      <c r="AI255" s="9">
        <f t="shared" si="141"/>
        <v>5.0677845837529212E-2</v>
      </c>
      <c r="AJ255" s="9">
        <f t="shared" si="141"/>
        <v>5.2402646050623058E-2</v>
      </c>
      <c r="AK255" s="9">
        <f t="shared" si="141"/>
        <v>5.4133561825039367E-2</v>
      </c>
      <c r="AL255" s="9">
        <f t="shared" si="141"/>
        <v>5.587186225597085E-2</v>
      </c>
      <c r="AM255" s="9">
        <f t="shared" ref="AM255:BC255" si="142">(AM236/AM137)/(AM245/AM126)-1</f>
        <v>5.736286314287331E-2</v>
      </c>
      <c r="AN255" s="9">
        <f t="shared" si="142"/>
        <v>5.8844442059723834E-2</v>
      </c>
      <c r="AO255" s="9">
        <f t="shared" si="142"/>
        <v>6.0340628597296497E-2</v>
      </c>
      <c r="AP255" s="9">
        <f t="shared" si="142"/>
        <v>6.1856357338677892E-2</v>
      </c>
      <c r="AQ255" s="9">
        <f t="shared" si="142"/>
        <v>6.3391983033598942E-2</v>
      </c>
      <c r="AR255" s="9">
        <f t="shared" si="142"/>
        <v>6.4904737659774225E-2</v>
      </c>
      <c r="AS255" s="9">
        <f t="shared" si="142"/>
        <v>6.6430436557175065E-2</v>
      </c>
      <c r="AT255" s="9">
        <f t="shared" si="142"/>
        <v>6.7970602467689156E-2</v>
      </c>
      <c r="AU255" s="9">
        <f t="shared" si="142"/>
        <v>6.9523608063030373E-2</v>
      </c>
      <c r="AV255" s="9">
        <f t="shared" si="142"/>
        <v>7.1087112729556923E-2</v>
      </c>
      <c r="AW255" s="9">
        <f t="shared" si="142"/>
        <v>7.2517279927411193E-2</v>
      </c>
      <c r="AX255" s="9">
        <f t="shared" si="142"/>
        <v>7.3941232678413016E-2</v>
      </c>
      <c r="AY255" s="9">
        <f t="shared" si="142"/>
        <v>7.5371475699736568E-2</v>
      </c>
      <c r="AZ255" s="9">
        <f t="shared" si="142"/>
        <v>7.6810016243823442E-2</v>
      </c>
      <c r="BA255" s="9">
        <f t="shared" si="142"/>
        <v>7.8256637327955847E-2</v>
      </c>
      <c r="BB255" s="9">
        <f t="shared" si="142"/>
        <v>1.5159107040098263E-2</v>
      </c>
      <c r="BC255" s="9">
        <f t="shared" si="142"/>
        <v>1.5598909604015443E-2</v>
      </c>
      <c r="BD255" s="9">
        <f t="shared" ref="BD255:BF255" si="143">(BD236/BD137)/(BD245/BD126)-1</f>
        <v>1.6031975680400157E-2</v>
      </c>
      <c r="BE255" s="9">
        <f t="shared" si="143"/>
        <v>1.6460824759982229E-2</v>
      </c>
      <c r="BF255" s="9">
        <f t="shared" si="143"/>
        <v>1.6887081515647218E-2</v>
      </c>
    </row>
    <row r="256" spans="1:58" x14ac:dyDescent="0.35">
      <c r="B256" t="s">
        <v>30</v>
      </c>
      <c r="C256" s="9">
        <f t="shared" ref="C256:AL256" si="144">(C237/C138)/(C246/C127)-1</f>
        <v>-2.9096358661964139E-3</v>
      </c>
      <c r="D256" s="9">
        <f t="shared" si="144"/>
        <v>-6.4369236625509973E-3</v>
      </c>
      <c r="E256" s="9">
        <f t="shared" si="144"/>
        <v>-8.2334812400666202E-3</v>
      </c>
      <c r="F256" s="9">
        <f t="shared" si="144"/>
        <v>-9.670715986481615E-3</v>
      </c>
      <c r="G256" s="9">
        <f t="shared" si="144"/>
        <v>-1.081105980700936E-2</v>
      </c>
      <c r="H256" s="9">
        <f t="shared" si="144"/>
        <v>-1.1633262061174987E-2</v>
      </c>
      <c r="I256" s="9">
        <f t="shared" si="144"/>
        <v>-1.2165532717691274E-2</v>
      </c>
      <c r="J256" s="9">
        <f t="shared" si="144"/>
        <v>-1.2457905981102191E-2</v>
      </c>
      <c r="K256" s="9">
        <f t="shared" si="144"/>
        <v>-1.2563009102959488E-2</v>
      </c>
      <c r="L256" s="9">
        <f t="shared" si="144"/>
        <v>-1.2529700122389853E-2</v>
      </c>
      <c r="M256" s="9">
        <f t="shared" si="144"/>
        <v>-1.2635388804637993E-2</v>
      </c>
      <c r="N256" s="9">
        <f t="shared" si="144"/>
        <v>-1.253974425027693E-2</v>
      </c>
      <c r="O256" s="9">
        <f t="shared" si="144"/>
        <v>-1.2087184874602808E-2</v>
      </c>
      <c r="P256" s="9">
        <f t="shared" si="144"/>
        <v>-1.1520250160962697E-2</v>
      </c>
      <c r="Q256" s="9">
        <f t="shared" si="144"/>
        <v>-1.0896086823844131E-2</v>
      </c>
      <c r="R256" s="9">
        <f t="shared" si="144"/>
        <v>-1.025142110758448E-2</v>
      </c>
      <c r="S256" s="9">
        <f t="shared" si="144"/>
        <v>-9.6238534294231792E-3</v>
      </c>
      <c r="T256" s="9">
        <f t="shared" si="144"/>
        <v>-9.040434061508007E-3</v>
      </c>
      <c r="U256" s="9">
        <f t="shared" si="144"/>
        <v>-8.5151643841188118E-3</v>
      </c>
      <c r="V256" s="9">
        <f t="shared" si="144"/>
        <v>-8.0608576064639115E-3</v>
      </c>
      <c r="W256" s="9">
        <f t="shared" si="144"/>
        <v>-7.6850384278066564E-3</v>
      </c>
      <c r="X256" s="9">
        <f t="shared" si="144"/>
        <v>-7.3901857116136505E-3</v>
      </c>
      <c r="Y256" s="9">
        <f t="shared" si="144"/>
        <v>-7.1762048238879217E-3</v>
      </c>
      <c r="Z256" s="9">
        <f t="shared" si="144"/>
        <v>-7.039518154287272E-3</v>
      </c>
      <c r="AA256" s="9">
        <f t="shared" si="144"/>
        <v>-6.9756518035236637E-3</v>
      </c>
      <c r="AB256" s="9">
        <f t="shared" si="144"/>
        <v>-6.9783993336882677E-3</v>
      </c>
      <c r="AC256" s="9">
        <f t="shared" si="144"/>
        <v>-7.0393751813955241E-3</v>
      </c>
      <c r="AD256" s="9">
        <f t="shared" si="144"/>
        <v>-7.152225487448538E-3</v>
      </c>
      <c r="AE256" s="9">
        <f t="shared" si="144"/>
        <v>-7.3094453654312108E-3</v>
      </c>
      <c r="AF256" s="9">
        <f t="shared" si="144"/>
        <v>-7.5027534770869542E-3</v>
      </c>
      <c r="AG256" s="9">
        <f t="shared" si="144"/>
        <v>-7.7250984032924963E-3</v>
      </c>
      <c r="AH256" s="9">
        <f t="shared" si="144"/>
        <v>-7.9695680427699367E-3</v>
      </c>
      <c r="AI256" s="9">
        <f t="shared" si="144"/>
        <v>-8.2309585928423967E-3</v>
      </c>
      <c r="AJ256" s="9">
        <f t="shared" si="144"/>
        <v>-8.5060122809927918E-3</v>
      </c>
      <c r="AK256" s="9">
        <f t="shared" si="144"/>
        <v>-8.7908056579981686E-3</v>
      </c>
      <c r="AL256" s="9">
        <f t="shared" si="144"/>
        <v>-9.0820438294925143E-3</v>
      </c>
      <c r="AM256" s="9">
        <f t="shared" ref="AM256:BC256" si="145">(AM237/AM138)/(AM246/AM127)-1</f>
        <v>-9.3678862700437016E-3</v>
      </c>
      <c r="AN256" s="9">
        <f t="shared" si="145"/>
        <v>-9.6436334235205923E-3</v>
      </c>
      <c r="AO256" s="9">
        <f t="shared" si="145"/>
        <v>-9.9163517273589408E-3</v>
      </c>
      <c r="AP256" s="9">
        <f t="shared" si="145"/>
        <v>-1.0182098318865185E-2</v>
      </c>
      <c r="AQ256" s="9">
        <f t="shared" si="145"/>
        <v>-1.043886053773091E-2</v>
      </c>
      <c r="AR256" s="9">
        <f t="shared" si="145"/>
        <v>-1.0685884374005639E-2</v>
      </c>
      <c r="AS256" s="9">
        <f t="shared" si="145"/>
        <v>-1.0924850811671605E-2</v>
      </c>
      <c r="AT256" s="9">
        <f t="shared" si="145"/>
        <v>-1.115959594017335E-2</v>
      </c>
      <c r="AU256" s="9">
        <f t="shared" si="145"/>
        <v>-1.1392199569966399E-2</v>
      </c>
      <c r="AV256" s="9">
        <f t="shared" si="145"/>
        <v>-1.1624665015692259E-2</v>
      </c>
      <c r="AW256" s="9">
        <f t="shared" si="145"/>
        <v>-1.1854683364432961E-2</v>
      </c>
      <c r="AX256" s="9">
        <f t="shared" si="145"/>
        <v>-1.2082677743910364E-2</v>
      </c>
      <c r="AY256" s="9">
        <f t="shared" si="145"/>
        <v>-1.2314077057705708E-2</v>
      </c>
      <c r="AZ256" s="9">
        <f t="shared" si="145"/>
        <v>-1.2548324954967938E-2</v>
      </c>
      <c r="BA256" s="9">
        <f t="shared" si="145"/>
        <v>-1.2785242135156305E-2</v>
      </c>
      <c r="BB256" s="9">
        <f t="shared" si="145"/>
        <v>1.6425488298359436E-3</v>
      </c>
      <c r="BC256" s="9">
        <f t="shared" si="145"/>
        <v>1.6519665940082362E-3</v>
      </c>
      <c r="BD256" s="9">
        <f t="shared" ref="BD256:BF256" si="146">(BD237/BD138)/(BD246/BD127)-1</f>
        <v>1.6577395388683858E-3</v>
      </c>
      <c r="BE256" s="9">
        <f t="shared" si="146"/>
        <v>1.6609277976322723E-3</v>
      </c>
      <c r="BF256" s="9">
        <f t="shared" si="146"/>
        <v>1.6621310827849012E-3</v>
      </c>
    </row>
    <row r="257" spans="1:58" x14ac:dyDescent="0.35">
      <c r="B257" t="s">
        <v>28</v>
      </c>
      <c r="C257" s="9">
        <f t="shared" ref="C257:AL257" si="147">(C238/C139)/(C247/C128)-1</f>
        <v>4.8479181120486547E-3</v>
      </c>
      <c r="D257" s="9">
        <f t="shared" si="147"/>
        <v>3.2654520124599795E-3</v>
      </c>
      <c r="E257" s="9">
        <f t="shared" si="147"/>
        <v>2.8916113234027652E-3</v>
      </c>
      <c r="F257" s="9">
        <f t="shared" si="147"/>
        <v>2.7348465010208489E-3</v>
      </c>
      <c r="G257" s="9">
        <f t="shared" si="147"/>
        <v>2.653419296194004E-3</v>
      </c>
      <c r="H257" s="9">
        <f t="shared" si="147"/>
        <v>2.6293308349425448E-3</v>
      </c>
      <c r="I257" s="9">
        <f t="shared" si="147"/>
        <v>2.6650041810476477E-3</v>
      </c>
      <c r="J257" s="9">
        <f t="shared" si="147"/>
        <v>2.7441386952697933E-3</v>
      </c>
      <c r="K257" s="9">
        <f t="shared" si="147"/>
        <v>2.8612787698616415E-3</v>
      </c>
      <c r="L257" s="9">
        <f t="shared" si="147"/>
        <v>3.0102866968120257E-3</v>
      </c>
      <c r="M257" s="9">
        <f t="shared" si="147"/>
        <v>3.5540808477676489E-3</v>
      </c>
      <c r="N257" s="9">
        <f t="shared" si="147"/>
        <v>3.3686442040941067E-3</v>
      </c>
      <c r="O257" s="9">
        <f t="shared" si="147"/>
        <v>3.4031144743975617E-3</v>
      </c>
      <c r="P257" s="9">
        <f t="shared" si="147"/>
        <v>3.5033296565836203E-3</v>
      </c>
      <c r="Q257" s="9">
        <f t="shared" si="147"/>
        <v>3.6389034269137532E-3</v>
      </c>
      <c r="R257" s="9">
        <f t="shared" si="147"/>
        <v>3.7993820293851233E-3</v>
      </c>
      <c r="S257" s="9">
        <f t="shared" si="147"/>
        <v>3.9956742263085321E-3</v>
      </c>
      <c r="T257" s="9">
        <f t="shared" si="147"/>
        <v>4.1988207723695492E-3</v>
      </c>
      <c r="U257" s="9">
        <f t="shared" si="147"/>
        <v>4.408892795503272E-3</v>
      </c>
      <c r="V257" s="9">
        <f t="shared" si="147"/>
        <v>4.6230999617618007E-3</v>
      </c>
      <c r="W257" s="9">
        <f t="shared" si="147"/>
        <v>4.8376316576499434E-3</v>
      </c>
      <c r="X257" s="9">
        <f t="shared" si="147"/>
        <v>5.053430284681637E-3</v>
      </c>
      <c r="Y257" s="9">
        <f t="shared" si="147"/>
        <v>5.2667095628469163E-3</v>
      </c>
      <c r="Z257" s="9">
        <f t="shared" si="147"/>
        <v>5.4770587612680277E-3</v>
      </c>
      <c r="AA257" s="9">
        <f t="shared" si="147"/>
        <v>5.6837543434273829E-3</v>
      </c>
      <c r="AB257" s="9">
        <f t="shared" si="147"/>
        <v>5.8824743469931828E-3</v>
      </c>
      <c r="AC257" s="9">
        <f t="shared" si="147"/>
        <v>6.0739246495451482E-3</v>
      </c>
      <c r="AD257" s="9">
        <f t="shared" si="147"/>
        <v>6.2632962120225955E-3</v>
      </c>
      <c r="AE257" s="9">
        <f t="shared" si="147"/>
        <v>6.4500193393342009E-3</v>
      </c>
      <c r="AF257" s="9">
        <f t="shared" si="147"/>
        <v>6.6342633220537461E-3</v>
      </c>
      <c r="AG257" s="9">
        <f t="shared" si="147"/>
        <v>6.8163079703358331E-3</v>
      </c>
      <c r="AH257" s="9">
        <f t="shared" si="147"/>
        <v>6.9920731675361392E-3</v>
      </c>
      <c r="AI257" s="9">
        <f t="shared" si="147"/>
        <v>7.1676421541546631E-3</v>
      </c>
      <c r="AJ257" s="9">
        <f t="shared" si="147"/>
        <v>7.3423076378882346E-3</v>
      </c>
      <c r="AK257" s="9">
        <f t="shared" si="147"/>
        <v>7.5162871933118769E-3</v>
      </c>
      <c r="AL257" s="9">
        <f t="shared" si="147"/>
        <v>7.6899116074338192E-3</v>
      </c>
      <c r="AM257" s="9">
        <f t="shared" ref="AM257:BC257" si="148">(AM238/AM139)/(AM247/AM128)-1</f>
        <v>7.8234562949481834E-3</v>
      </c>
      <c r="AN257" s="9">
        <f t="shared" si="148"/>
        <v>7.9709294393883745E-3</v>
      </c>
      <c r="AO257" s="9">
        <f t="shared" si="148"/>
        <v>8.1223969572423727E-3</v>
      </c>
      <c r="AP257" s="9">
        <f t="shared" si="148"/>
        <v>8.2768366510546088E-3</v>
      </c>
      <c r="AQ257" s="9">
        <f t="shared" si="148"/>
        <v>8.4341701452157469E-3</v>
      </c>
      <c r="AR257" s="9">
        <f t="shared" si="148"/>
        <v>8.587897267476885E-3</v>
      </c>
      <c r="AS257" s="9">
        <f t="shared" si="148"/>
        <v>8.7459125911890645E-3</v>
      </c>
      <c r="AT257" s="9">
        <f t="shared" si="148"/>
        <v>8.9063057817655444E-3</v>
      </c>
      <c r="AU257" s="9">
        <f t="shared" si="148"/>
        <v>9.0684702861096866E-3</v>
      </c>
      <c r="AV257" s="9">
        <f t="shared" si="148"/>
        <v>9.2319696348213132E-3</v>
      </c>
      <c r="AW257" s="9">
        <f t="shared" si="148"/>
        <v>9.3751766071072939E-3</v>
      </c>
      <c r="AX257" s="9">
        <f t="shared" si="148"/>
        <v>9.5253557324663785E-3</v>
      </c>
      <c r="AY257" s="9">
        <f t="shared" si="148"/>
        <v>9.6772031668721503E-3</v>
      </c>
      <c r="AZ257" s="9">
        <f t="shared" si="148"/>
        <v>9.8298421414522164E-3</v>
      </c>
      <c r="BA257" s="9">
        <f t="shared" si="148"/>
        <v>9.9829584754589362E-3</v>
      </c>
      <c r="BB257" s="9">
        <f t="shared" si="148"/>
        <v>1.3127601447533443E-3</v>
      </c>
      <c r="BC257" s="9">
        <f t="shared" si="148"/>
        <v>1.3568681449920295E-3</v>
      </c>
      <c r="BD257" s="9">
        <f t="shared" ref="BD257:BF257" si="149">(BD238/BD139)/(BD247/BD128)-1</f>
        <v>1.4005014999880494E-3</v>
      </c>
      <c r="BE257" s="9">
        <f t="shared" si="149"/>
        <v>1.4438554644697899E-3</v>
      </c>
      <c r="BF257" s="9">
        <f t="shared" si="149"/>
        <v>1.4870524614551961E-3</v>
      </c>
    </row>
    <row r="258" spans="1:58" x14ac:dyDescent="0.35">
      <c r="B258" t="s">
        <v>10</v>
      </c>
      <c r="C258" s="9">
        <f t="shared" ref="C258:AL258" si="150">(C239/C140)/(C248/C129)-1</f>
        <v>3.0114016078752748E-4</v>
      </c>
      <c r="D258" s="9">
        <f t="shared" si="150"/>
        <v>-2.0129334855386594E-3</v>
      </c>
      <c r="E258" s="9">
        <f t="shared" si="150"/>
        <v>-4.1628837266460827E-3</v>
      </c>
      <c r="F258" s="9">
        <f t="shared" si="150"/>
        <v>-6.0966542076219543E-3</v>
      </c>
      <c r="G258" s="9">
        <f t="shared" si="150"/>
        <v>-7.6729103122161746E-3</v>
      </c>
      <c r="H258" s="9">
        <f t="shared" si="150"/>
        <v>-8.8523984042480075E-3</v>
      </c>
      <c r="I258" s="9">
        <f t="shared" si="150"/>
        <v>-9.6723359723136504E-3</v>
      </c>
      <c r="J258" s="9">
        <f t="shared" si="150"/>
        <v>-1.0205019986023633E-2</v>
      </c>
      <c r="K258" s="9">
        <f t="shared" si="150"/>
        <v>-1.051846734165085E-2</v>
      </c>
      <c r="L258" s="9">
        <f t="shared" si="150"/>
        <v>-1.067024823742857E-2</v>
      </c>
      <c r="M258" s="9">
        <f t="shared" si="150"/>
        <v>-1.0710559394563002E-2</v>
      </c>
      <c r="N258" s="9">
        <f t="shared" si="150"/>
        <v>-1.0845566377242544E-2</v>
      </c>
      <c r="O258" s="9">
        <f t="shared" si="150"/>
        <v>-1.0763993834406294E-2</v>
      </c>
      <c r="P258" s="9">
        <f t="shared" si="150"/>
        <v>-1.0523253596529614E-2</v>
      </c>
      <c r="Q258" s="9">
        <f t="shared" si="150"/>
        <v>-1.0168801945306671E-2</v>
      </c>
      <c r="R258" s="9">
        <f t="shared" si="150"/>
        <v>-9.7465978100728101E-3</v>
      </c>
      <c r="S258" s="9">
        <f t="shared" si="150"/>
        <v>-9.2912818763322136E-3</v>
      </c>
      <c r="T258" s="9">
        <f t="shared" si="150"/>
        <v>-8.8423158003956281E-3</v>
      </c>
      <c r="U258" s="9">
        <f t="shared" si="150"/>
        <v>-8.4223650447556864E-3</v>
      </c>
      <c r="V258" s="9">
        <f t="shared" si="150"/>
        <v>-8.0466259770923809E-3</v>
      </c>
      <c r="W258" s="9">
        <f t="shared" si="150"/>
        <v>-7.7246421439096657E-3</v>
      </c>
      <c r="X258" s="9">
        <f t="shared" si="150"/>
        <v>-7.4601876560795866E-3</v>
      </c>
      <c r="Y258" s="9">
        <f t="shared" si="150"/>
        <v>-7.2516933887352142E-3</v>
      </c>
      <c r="Z258" s="9">
        <f t="shared" si="150"/>
        <v>-7.0975563312126733E-3</v>
      </c>
      <c r="AA258" s="9">
        <f t="shared" si="150"/>
        <v>-6.9947000646176649E-3</v>
      </c>
      <c r="AB258" s="9">
        <f t="shared" si="150"/>
        <v>-6.9414290013510849E-3</v>
      </c>
      <c r="AC258" s="9">
        <f t="shared" si="150"/>
        <v>-6.9364461453250703E-3</v>
      </c>
      <c r="AD258" s="9">
        <f t="shared" si="150"/>
        <v>-6.9659904106191828E-3</v>
      </c>
      <c r="AE258" s="9">
        <f t="shared" si="150"/>
        <v>-7.0219036907659405E-3</v>
      </c>
      <c r="AF258" s="9">
        <f t="shared" si="150"/>
        <v>-7.0964798758842429E-3</v>
      </c>
      <c r="AG258" s="9">
        <f t="shared" si="150"/>
        <v>-7.183511812820953E-3</v>
      </c>
      <c r="AH258" s="9">
        <f t="shared" si="150"/>
        <v>-7.2798782361428449E-3</v>
      </c>
      <c r="AI258" s="9">
        <f t="shared" si="150"/>
        <v>-7.3793640828476725E-3</v>
      </c>
      <c r="AJ258" s="9">
        <f t="shared" si="150"/>
        <v>-7.4779458046101421E-3</v>
      </c>
      <c r="AK258" s="9">
        <f t="shared" si="150"/>
        <v>-7.5720628393671774E-3</v>
      </c>
      <c r="AL258" s="9">
        <f t="shared" si="150"/>
        <v>-7.6589222380285538E-3</v>
      </c>
      <c r="AM258" s="9">
        <f t="shared" ref="AM258:BC258" si="151">(AM239/AM140)/(AM248/AM129)-1</f>
        <v>-7.7545188958924038E-3</v>
      </c>
      <c r="AN258" s="9">
        <f t="shared" si="151"/>
        <v>-7.8386127062191058E-3</v>
      </c>
      <c r="AO258" s="9">
        <f t="shared" si="151"/>
        <v>-7.9048140091616537E-3</v>
      </c>
      <c r="AP258" s="9">
        <f t="shared" si="151"/>
        <v>-7.947620407167344E-3</v>
      </c>
      <c r="AQ258" s="9">
        <f t="shared" si="151"/>
        <v>-7.9655318334204139E-3</v>
      </c>
      <c r="AR258" s="9">
        <f t="shared" si="151"/>
        <v>-7.9632409111463076E-3</v>
      </c>
      <c r="AS258" s="9">
        <f t="shared" si="151"/>
        <v>-7.9411203325272517E-3</v>
      </c>
      <c r="AT258" s="9">
        <f t="shared" si="151"/>
        <v>-7.902266203630437E-3</v>
      </c>
      <c r="AU258" s="9">
        <f t="shared" si="151"/>
        <v>-7.8497420502348092E-3</v>
      </c>
      <c r="AV258" s="9">
        <f t="shared" si="151"/>
        <v>-7.7868026285989878E-3</v>
      </c>
      <c r="AW258" s="9">
        <f t="shared" si="151"/>
        <v>-7.7272115289978016E-3</v>
      </c>
      <c r="AX258" s="9">
        <f t="shared" si="151"/>
        <v>-7.6637763052167518E-3</v>
      </c>
      <c r="AY258" s="9">
        <f t="shared" si="151"/>
        <v>-7.5963727052180685E-3</v>
      </c>
      <c r="AZ258" s="9">
        <f t="shared" si="151"/>
        <v>-7.524706525878333E-3</v>
      </c>
      <c r="BA258" s="9">
        <f t="shared" si="151"/>
        <v>-7.4496643364335702E-3</v>
      </c>
      <c r="BB258" s="9">
        <f t="shared" si="151"/>
        <v>1.3385524583131581E-3</v>
      </c>
      <c r="BC258" s="9">
        <f t="shared" si="151"/>
        <v>1.407900504426296E-3</v>
      </c>
      <c r="BD258" s="9">
        <f t="shared" ref="BD258:BF258" si="152">(BD239/BD140)/(BD248/BD129)-1</f>
        <v>1.4798966020035387E-3</v>
      </c>
      <c r="BE258" s="9">
        <f t="shared" si="152"/>
        <v>1.55543731404717E-3</v>
      </c>
      <c r="BF258" s="9">
        <f t="shared" si="152"/>
        <v>1.6347815718924519E-3</v>
      </c>
    </row>
    <row r="259" spans="1:58" x14ac:dyDescent="0.35">
      <c r="B259" t="s">
        <v>25</v>
      </c>
      <c r="C259" s="9">
        <f t="shared" ref="C259:AL259" si="153">(C240/C59)/(C249/C58)-1</f>
        <v>4.6588988679734378E-3</v>
      </c>
      <c r="D259" s="9">
        <f t="shared" si="153"/>
        <v>1.1490308507878355E-2</v>
      </c>
      <c r="E259" s="9">
        <f t="shared" si="153"/>
        <v>1.7478613423136835E-2</v>
      </c>
      <c r="F259" s="9">
        <f t="shared" si="153"/>
        <v>2.2596961711242702E-2</v>
      </c>
      <c r="G259" s="9">
        <f t="shared" si="153"/>
        <v>2.718890315914968E-2</v>
      </c>
      <c r="H259" s="9">
        <f t="shared" si="153"/>
        <v>3.1054840268988304E-2</v>
      </c>
      <c r="I259" s="9">
        <f t="shared" si="153"/>
        <v>3.4155512219442352E-2</v>
      </c>
      <c r="J259" s="9">
        <f t="shared" si="153"/>
        <v>3.6582048479956386E-2</v>
      </c>
      <c r="K259" s="9">
        <f t="shared" si="153"/>
        <v>3.8475498261130392E-2</v>
      </c>
      <c r="L259" s="9">
        <f t="shared" si="153"/>
        <v>3.9976826497522877E-2</v>
      </c>
      <c r="M259" s="9">
        <f t="shared" si="153"/>
        <v>4.1476084110622979E-2</v>
      </c>
      <c r="N259" s="9">
        <f t="shared" si="153"/>
        <v>4.2642860912919911E-2</v>
      </c>
      <c r="O259" s="9">
        <f t="shared" si="153"/>
        <v>4.3439299651238272E-2</v>
      </c>
      <c r="P259" s="9">
        <f t="shared" si="153"/>
        <v>4.39290500618994E-2</v>
      </c>
      <c r="Q259" s="9">
        <f t="shared" si="153"/>
        <v>4.418437796839636E-2</v>
      </c>
      <c r="R259" s="9">
        <f t="shared" si="153"/>
        <v>4.4279598810922138E-2</v>
      </c>
      <c r="S259" s="9">
        <f t="shared" si="153"/>
        <v>4.4304564544927594E-2</v>
      </c>
      <c r="T259" s="9">
        <f t="shared" si="153"/>
        <v>4.431532254355286E-2</v>
      </c>
      <c r="U259" s="9">
        <f t="shared" si="153"/>
        <v>4.43489042741394E-2</v>
      </c>
      <c r="V259" s="9">
        <f t="shared" si="153"/>
        <v>4.4429681878107141E-2</v>
      </c>
      <c r="W259" s="9">
        <f t="shared" si="153"/>
        <v>4.4578444085904279E-2</v>
      </c>
      <c r="X259" s="9">
        <f t="shared" si="153"/>
        <v>4.4790951314530147E-2</v>
      </c>
      <c r="Y259" s="9">
        <f t="shared" si="153"/>
        <v>4.507463587498961E-2</v>
      </c>
      <c r="Z259" s="9">
        <f t="shared" si="153"/>
        <v>4.543156113218072E-2</v>
      </c>
      <c r="AA259" s="9">
        <f t="shared" si="153"/>
        <v>4.5860514800534657E-2</v>
      </c>
      <c r="AB259" s="9">
        <f t="shared" si="153"/>
        <v>4.6373516724093733E-2</v>
      </c>
      <c r="AC259" s="9">
        <f t="shared" si="153"/>
        <v>4.6929805612816233E-2</v>
      </c>
      <c r="AD259" s="9">
        <f t="shared" si="153"/>
        <v>4.752743372658208E-2</v>
      </c>
      <c r="AE259" s="9">
        <f t="shared" si="153"/>
        <v>4.8166438660169009E-2</v>
      </c>
      <c r="AF259" s="9">
        <f t="shared" si="153"/>
        <v>4.8849615822802006E-2</v>
      </c>
      <c r="AG259" s="9">
        <f t="shared" si="153"/>
        <v>4.9575927483858084E-2</v>
      </c>
      <c r="AH259" s="9">
        <f t="shared" si="153"/>
        <v>5.033588786087928E-2</v>
      </c>
      <c r="AI259" s="9">
        <f t="shared" si="153"/>
        <v>5.1123591383215095E-2</v>
      </c>
      <c r="AJ259" s="9">
        <f t="shared" si="153"/>
        <v>5.1932541740614235E-2</v>
      </c>
      <c r="AK259" s="9">
        <f t="shared" si="153"/>
        <v>5.2758607017713954E-2</v>
      </c>
      <c r="AL259" s="9">
        <f t="shared" si="153"/>
        <v>5.3598374171629271E-2</v>
      </c>
      <c r="AM259" s="9">
        <f t="shared" ref="AM259:BC259" si="154">(AM240/AM59)/(AM249/AM58)-1</f>
        <v>5.4398434610529289E-2</v>
      </c>
      <c r="AN259" s="9">
        <f t="shared" si="154"/>
        <v>5.5154558810711629E-2</v>
      </c>
      <c r="AO259" s="9">
        <f t="shared" si="154"/>
        <v>5.5878844284954932E-2</v>
      </c>
      <c r="AP259" s="9">
        <f t="shared" si="154"/>
        <v>5.6582731020767829E-2</v>
      </c>
      <c r="AQ259" s="9">
        <f t="shared" si="154"/>
        <v>5.7273029079260018E-2</v>
      </c>
      <c r="AR259" s="9">
        <f t="shared" si="154"/>
        <v>5.7944111864279835E-2</v>
      </c>
      <c r="AS259" s="9">
        <f t="shared" si="154"/>
        <v>5.8597566233472564E-2</v>
      </c>
      <c r="AT259" s="9">
        <f t="shared" si="154"/>
        <v>5.9236800743564633E-2</v>
      </c>
      <c r="AU259" s="9">
        <f t="shared" si="154"/>
        <v>5.9866356114500974E-2</v>
      </c>
      <c r="AV259" s="9">
        <f t="shared" si="154"/>
        <v>6.049566498174519E-2</v>
      </c>
      <c r="AW259" s="9">
        <f t="shared" si="154"/>
        <v>6.1128699990573354E-2</v>
      </c>
      <c r="AX259" s="9">
        <f t="shared" si="154"/>
        <v>6.1829955590692265E-2</v>
      </c>
      <c r="AY259" s="9">
        <f t="shared" si="154"/>
        <v>6.2668603931620881E-2</v>
      </c>
      <c r="AZ259" s="9">
        <f t="shared" si="154"/>
        <v>6.3547605649936889E-2</v>
      </c>
      <c r="BA259" s="9">
        <f t="shared" si="154"/>
        <v>6.4382058998521119E-2</v>
      </c>
      <c r="BB259" s="9">
        <f t="shared" si="154"/>
        <v>-2.7084014241802401E-2</v>
      </c>
      <c r="BC259" s="9">
        <f t="shared" si="154"/>
        <v>-2.7558168482025747E-2</v>
      </c>
      <c r="BD259" s="9">
        <f t="shared" ref="BD259:BF259" si="155">(BD240/BD59)/(BD249/BD58)-1</f>
        <v>-2.8016455654708561E-2</v>
      </c>
      <c r="BE259" s="9">
        <f t="shared" si="155"/>
        <v>-2.846402495120226E-2</v>
      </c>
      <c r="BF259" s="9">
        <f t="shared" si="155"/>
        <v>-2.8902146350103797E-2</v>
      </c>
    </row>
    <row r="260" spans="1:58" x14ac:dyDescent="0.35">
      <c r="B260" t="s">
        <v>47</v>
      </c>
      <c r="C260" s="9">
        <f t="shared" ref="C260:AL260" si="156">(C241/C59)/(C250/C58)-1</f>
        <v>4.6588988679732157E-3</v>
      </c>
      <c r="D260" s="9">
        <f t="shared" si="156"/>
        <v>1.2501945527806146E-2</v>
      </c>
      <c r="E260" s="9">
        <f t="shared" si="156"/>
        <v>1.9515384741054298E-2</v>
      </c>
      <c r="F260" s="9">
        <f t="shared" si="156"/>
        <v>2.5719289263603562E-2</v>
      </c>
      <c r="G260" s="9">
        <f t="shared" si="156"/>
        <v>3.1567340077510941E-2</v>
      </c>
      <c r="H260" s="9">
        <f t="shared" si="156"/>
        <v>3.6669912571914987E-2</v>
      </c>
      <c r="I260" s="9">
        <f t="shared" si="156"/>
        <v>4.0877046915455351E-2</v>
      </c>
      <c r="J260" s="9">
        <f t="shared" si="156"/>
        <v>4.4254455929901848E-2</v>
      </c>
      <c r="K260" s="9">
        <f t="shared" si="156"/>
        <v>4.6958012223549561E-2</v>
      </c>
      <c r="L260" s="9">
        <f t="shared" si="156"/>
        <v>4.9156970573903225E-2</v>
      </c>
      <c r="M260" s="9">
        <f t="shared" si="156"/>
        <v>5.1295687305796811E-2</v>
      </c>
      <c r="N260" s="9">
        <f t="shared" si="156"/>
        <v>5.3024637397592889E-2</v>
      </c>
      <c r="O260" s="9">
        <f t="shared" si="156"/>
        <v>5.4310344327524351E-2</v>
      </c>
      <c r="P260" s="9">
        <f t="shared" si="156"/>
        <v>5.5231156058921815E-2</v>
      </c>
      <c r="Q260" s="9">
        <f t="shared" si="156"/>
        <v>5.5869028318347391E-2</v>
      </c>
      <c r="R260" s="9">
        <f t="shared" si="156"/>
        <v>5.6309982811985959E-2</v>
      </c>
      <c r="S260" s="9">
        <f t="shared" si="156"/>
        <v>5.6660843026071994E-2</v>
      </c>
      <c r="T260" s="9">
        <f t="shared" si="156"/>
        <v>5.6988201603678901E-2</v>
      </c>
      <c r="U260" s="9">
        <f t="shared" si="156"/>
        <v>5.7335878026240961E-2</v>
      </c>
      <c r="V260" s="9">
        <f t="shared" si="156"/>
        <v>5.7732594759136946E-2</v>
      </c>
      <c r="W260" s="9">
        <f t="shared" si="156"/>
        <v>5.8206424367742038E-2</v>
      </c>
      <c r="X260" s="9">
        <f t="shared" si="156"/>
        <v>5.874653283826281E-2</v>
      </c>
      <c r="Y260" s="9">
        <f t="shared" si="156"/>
        <v>5.9363526177870662E-2</v>
      </c>
      <c r="Z260" s="9">
        <f t="shared" si="156"/>
        <v>6.0061588645162534E-2</v>
      </c>
      <c r="AA260" s="9">
        <f t="shared" si="156"/>
        <v>6.08411324504603E-2</v>
      </c>
      <c r="AB260" s="9">
        <f t="shared" si="156"/>
        <v>6.1729958738393265E-2</v>
      </c>
      <c r="AC260" s="9">
        <f t="shared" si="156"/>
        <v>6.2666839337379265E-2</v>
      </c>
      <c r="AD260" s="9">
        <f t="shared" si="156"/>
        <v>6.3651552228690678E-2</v>
      </c>
      <c r="AE260" s="9">
        <f t="shared" si="156"/>
        <v>6.4686333011092501E-2</v>
      </c>
      <c r="AF260" s="9">
        <f t="shared" si="156"/>
        <v>6.5778374292656094E-2</v>
      </c>
      <c r="AG260" s="9">
        <f t="shared" si="156"/>
        <v>6.6929081180135519E-2</v>
      </c>
      <c r="AH260" s="9">
        <f t="shared" si="156"/>
        <v>6.8128376911414934E-2</v>
      </c>
      <c r="AI260" s="9">
        <f t="shared" si="156"/>
        <v>6.9369689200866613E-2</v>
      </c>
      <c r="AJ260" s="9">
        <f t="shared" si="156"/>
        <v>7.0644689880882128E-2</v>
      </c>
      <c r="AK260" s="9">
        <f t="shared" si="156"/>
        <v>7.1948655397152006E-2</v>
      </c>
      <c r="AL260" s="9">
        <f t="shared" si="156"/>
        <v>7.3277913276135864E-2</v>
      </c>
      <c r="AM260" s="9">
        <f t="shared" ref="AM260:BC260" si="157">(AM241/AM59)/(AM250/AM58)-1</f>
        <v>7.4567952520945502E-2</v>
      </c>
      <c r="AN260" s="9">
        <f t="shared" si="157"/>
        <v>7.5811779878743879E-2</v>
      </c>
      <c r="AO260" s="9">
        <f t="shared" si="157"/>
        <v>7.7024438429363462E-2</v>
      </c>
      <c r="AP260" s="9">
        <f t="shared" si="157"/>
        <v>7.8220212697309721E-2</v>
      </c>
      <c r="AQ260" s="9">
        <f t="shared" si="157"/>
        <v>7.9407265884203992E-2</v>
      </c>
      <c r="AR260" s="9">
        <f t="shared" si="157"/>
        <v>8.0577630370344488E-2</v>
      </c>
      <c r="AS260" s="9">
        <f t="shared" si="157"/>
        <v>8.1732711725952756E-2</v>
      </c>
      <c r="AT260" s="9">
        <f t="shared" si="157"/>
        <v>8.2876664274414091E-2</v>
      </c>
      <c r="AU260" s="9">
        <f t="shared" si="157"/>
        <v>8.4016019080865867E-2</v>
      </c>
      <c r="AV260" s="9">
        <f t="shared" si="157"/>
        <v>8.5166430474016508E-2</v>
      </c>
      <c r="AW260" s="9">
        <f t="shared" si="157"/>
        <v>8.6347729951654628E-2</v>
      </c>
      <c r="AX260" s="9">
        <f t="shared" si="157"/>
        <v>8.767307646164979E-2</v>
      </c>
      <c r="AY260" s="9">
        <f t="shared" si="157"/>
        <v>8.9262549066310815E-2</v>
      </c>
      <c r="AZ260" s="9">
        <f t="shared" si="157"/>
        <v>9.0944392686842068E-2</v>
      </c>
      <c r="BA260" s="9">
        <f t="shared" si="157"/>
        <v>9.2567272425425395E-2</v>
      </c>
      <c r="BB260" s="9">
        <f t="shared" si="157"/>
        <v>-5.0104351290258475E-2</v>
      </c>
      <c r="BC260" s="9">
        <f t="shared" si="157"/>
        <v>-5.1237477600364012E-2</v>
      </c>
      <c r="BD260" s="9">
        <f t="shared" ref="BD260:BF260" si="158">(BD241/BD59)/(BD250/BD58)-1</f>
        <v>-5.2356795709070703E-2</v>
      </c>
      <c r="BE260" s="9">
        <f t="shared" si="158"/>
        <v>-5.3472512495467694E-2</v>
      </c>
      <c r="BF260" s="9">
        <f t="shared" si="158"/>
        <v>-5.4587788113607316E-2</v>
      </c>
    </row>
    <row r="261" spans="1:58" x14ac:dyDescent="0.35">
      <c r="B261" t="s">
        <v>48</v>
      </c>
      <c r="C261" s="9">
        <f t="shared" ref="C261:AL261" si="159">(C242/C59)/(C251/C58)-1</f>
        <v>4.6588988679734378E-3</v>
      </c>
      <c r="D261" s="9">
        <f t="shared" si="159"/>
        <v>9.4794162070785948E-3</v>
      </c>
      <c r="E261" s="9">
        <f t="shared" si="159"/>
        <v>1.3415259738484231E-2</v>
      </c>
      <c r="F261" s="9">
        <f t="shared" si="159"/>
        <v>1.6386764861040737E-2</v>
      </c>
      <c r="G261" s="9">
        <f t="shared" si="159"/>
        <v>1.8536282509832303E-2</v>
      </c>
      <c r="H261" s="9">
        <f t="shared" si="159"/>
        <v>2.004387061674251E-2</v>
      </c>
      <c r="I261" s="9">
        <f t="shared" si="159"/>
        <v>2.1083795487869761E-2</v>
      </c>
      <c r="J261" s="9">
        <f t="shared" si="159"/>
        <v>2.1785929888547217E-2</v>
      </c>
      <c r="K261" s="9">
        <f t="shared" si="159"/>
        <v>2.2254286487344066E-2</v>
      </c>
      <c r="L261" s="9">
        <f t="shared" si="159"/>
        <v>2.2569963487065525E-2</v>
      </c>
      <c r="M261" s="9">
        <f t="shared" si="159"/>
        <v>2.3008905718824746E-2</v>
      </c>
      <c r="N261" s="9">
        <f t="shared" si="159"/>
        <v>2.3286865123656186E-2</v>
      </c>
      <c r="O261" s="9">
        <f t="shared" si="159"/>
        <v>2.3351054089863377E-2</v>
      </c>
      <c r="P261" s="9">
        <f t="shared" si="159"/>
        <v>2.3232469184856441E-2</v>
      </c>
      <c r="Q261" s="9">
        <f t="shared" si="159"/>
        <v>2.2981352727665882E-2</v>
      </c>
      <c r="R261" s="9">
        <f t="shared" si="159"/>
        <v>2.2647389304167209E-2</v>
      </c>
      <c r="S261" s="9">
        <f t="shared" si="159"/>
        <v>2.2287453639417087E-2</v>
      </c>
      <c r="T261" s="9">
        <f t="shared" si="159"/>
        <v>2.1937254060770739E-2</v>
      </c>
      <c r="U261" s="9">
        <f t="shared" si="159"/>
        <v>2.1620867652267561E-2</v>
      </c>
      <c r="V261" s="9">
        <f t="shared" si="159"/>
        <v>2.1354466978153797E-2</v>
      </c>
      <c r="W261" s="9">
        <f t="shared" si="159"/>
        <v>2.1152193106680928E-2</v>
      </c>
      <c r="X261" s="9">
        <f t="shared" si="159"/>
        <v>2.1009834972839148E-2</v>
      </c>
      <c r="Y261" s="9">
        <f t="shared" si="159"/>
        <v>2.0932076745417971E-2</v>
      </c>
      <c r="Z261" s="9">
        <f t="shared" si="159"/>
        <v>2.0918805883580971E-2</v>
      </c>
      <c r="AA261" s="9">
        <f t="shared" si="159"/>
        <v>2.0966855039530774E-2</v>
      </c>
      <c r="AB261" s="9">
        <f t="shared" si="159"/>
        <v>2.108135273193823E-2</v>
      </c>
      <c r="AC261" s="9">
        <f t="shared" si="159"/>
        <v>2.1231482386568468E-2</v>
      </c>
      <c r="AD261" s="9">
        <f t="shared" si="159"/>
        <v>2.1414080730630669E-2</v>
      </c>
      <c r="AE261" s="9">
        <f t="shared" si="159"/>
        <v>2.1626971001714734E-2</v>
      </c>
      <c r="AF261" s="9">
        <f t="shared" si="159"/>
        <v>2.1867222348013859E-2</v>
      </c>
      <c r="AG261" s="9">
        <f t="shared" si="159"/>
        <v>2.213108325548907E-2</v>
      </c>
      <c r="AH261" s="9">
        <f t="shared" si="159"/>
        <v>2.2410978480011279E-2</v>
      </c>
      <c r="AI261" s="9">
        <f t="shared" si="159"/>
        <v>2.2702833579256954E-2</v>
      </c>
      <c r="AJ261" s="9">
        <f t="shared" si="159"/>
        <v>2.3003631909105593E-2</v>
      </c>
      <c r="AK261" s="9">
        <f t="shared" si="159"/>
        <v>2.3310652163365919E-2</v>
      </c>
      <c r="AL261" s="9">
        <f t="shared" si="159"/>
        <v>2.3621302362295982E-2</v>
      </c>
      <c r="AM261" s="9">
        <f t="shared" ref="AM261:BC261" si="160">(AM242/AM59)/(AM251/AM58)-1</f>
        <v>2.3904305367035361E-2</v>
      </c>
      <c r="AN261" s="9">
        <f t="shared" si="160"/>
        <v>2.4155836496076555E-2</v>
      </c>
      <c r="AO261" s="9">
        <f t="shared" si="160"/>
        <v>2.4381852126283077E-2</v>
      </c>
      <c r="AP261" s="9">
        <f t="shared" si="160"/>
        <v>2.4588973606513909E-2</v>
      </c>
      <c r="AQ261" s="9">
        <f t="shared" si="160"/>
        <v>2.478198532389797E-2</v>
      </c>
      <c r="AR261" s="9">
        <f t="shared" si="160"/>
        <v>2.4958871581920228E-2</v>
      </c>
      <c r="AS261" s="9">
        <f t="shared" si="160"/>
        <v>2.5121668510938777E-2</v>
      </c>
      <c r="AT261" s="9">
        <f t="shared" si="160"/>
        <v>2.527291128707021E-2</v>
      </c>
      <c r="AU261" s="9">
        <f t="shared" si="160"/>
        <v>2.5414581458649943E-2</v>
      </c>
      <c r="AV261" s="9">
        <f t="shared" si="160"/>
        <v>2.5547928910654161E-2</v>
      </c>
      <c r="AW261" s="9">
        <f t="shared" si="160"/>
        <v>2.5656385985143748E-2</v>
      </c>
      <c r="AX261" s="9">
        <f t="shared" si="160"/>
        <v>2.5741321893578251E-2</v>
      </c>
      <c r="AY261" s="9">
        <f t="shared" si="160"/>
        <v>2.5807584846178955E-2</v>
      </c>
      <c r="AZ261" s="9">
        <f t="shared" si="160"/>
        <v>2.585897671613302E-2</v>
      </c>
      <c r="BA261" s="9">
        <f t="shared" si="160"/>
        <v>2.5897376745548373E-2</v>
      </c>
      <c r="BB261" s="9">
        <f t="shared" si="160"/>
        <v>1.5204652272835517E-3</v>
      </c>
      <c r="BC261" s="9">
        <f t="shared" si="160"/>
        <v>1.613104185054004E-3</v>
      </c>
      <c r="BD261" s="9">
        <f t="shared" ref="BD261:BF261" si="161">(BD242/BD59)/(BD251/BD58)-1</f>
        <v>1.7126773717413002E-3</v>
      </c>
      <c r="BE261" s="9">
        <f t="shared" si="161"/>
        <v>1.8203076413527697E-3</v>
      </c>
      <c r="BF261" s="9">
        <f t="shared" si="161"/>
        <v>1.9368770365537635E-3</v>
      </c>
    </row>
    <row r="263" spans="1:58" x14ac:dyDescent="0.35">
      <c r="A263" s="12" t="s">
        <v>21</v>
      </c>
      <c r="B263" t="s">
        <v>26</v>
      </c>
      <c r="C263" s="6">
        <f>[1]Results!F1600</f>
        <v>468696.7378</v>
      </c>
      <c r="D263" s="6">
        <f>[1]Results!G1600</f>
        <v>471831.89760000003</v>
      </c>
      <c r="E263" s="6">
        <f>[1]Results!H1600</f>
        <v>476245.11</v>
      </c>
      <c r="F263" s="6">
        <f>[1]Results!I1600</f>
        <v>481462.34409999999</v>
      </c>
      <c r="G263" s="6">
        <f>[1]Results!J1600</f>
        <v>487222.79350000003</v>
      </c>
      <c r="H263" s="6">
        <f>[1]Results!K1600</f>
        <v>493388.08279999997</v>
      </c>
      <c r="I263" s="6">
        <f>[1]Results!L1600</f>
        <v>499686.7144</v>
      </c>
      <c r="J263" s="6">
        <f>[1]Results!M1600</f>
        <v>506131.42310000001</v>
      </c>
      <c r="K263" s="6">
        <f>[1]Results!N1600</f>
        <v>512738.42670000001</v>
      </c>
      <c r="L263" s="6">
        <f>[1]Results!O1600</f>
        <v>519516.52799999999</v>
      </c>
      <c r="M263" s="6">
        <f>[1]Results!P1600</f>
        <v>526441.41619999998</v>
      </c>
      <c r="N263" s="6">
        <f>[1]Results!Q1600</f>
        <v>533833.53330000001</v>
      </c>
      <c r="O263" s="6">
        <f>[1]Results!R1600</f>
        <v>541554.06550000003</v>
      </c>
      <c r="P263" s="6">
        <f>[1]Results!S1600</f>
        <v>549531.71920000005</v>
      </c>
      <c r="Q263" s="6">
        <f>[1]Results!T1600</f>
        <v>557735.85100000002</v>
      </c>
      <c r="R263" s="6">
        <f>[1]Results!U1600</f>
        <v>566154.44090000005</v>
      </c>
      <c r="S263" s="6">
        <f>[1]Results!V1600</f>
        <v>574764.4804</v>
      </c>
      <c r="T263" s="6">
        <f>[1]Results!W1600</f>
        <v>583571.08920000005</v>
      </c>
      <c r="U263" s="6">
        <f>[1]Results!X1600</f>
        <v>592578.01809999999</v>
      </c>
      <c r="V263" s="6">
        <f>[1]Results!Y1600</f>
        <v>601787.49109999998</v>
      </c>
      <c r="W263" s="6">
        <f>[1]Results!Z1600</f>
        <v>610953.75199999998</v>
      </c>
      <c r="X263" s="6">
        <f>[1]Results!AA1600</f>
        <v>620382.35270000005</v>
      </c>
      <c r="Y263" s="6">
        <f>[1]Results!AB1600</f>
        <v>630058.08400000003</v>
      </c>
      <c r="Z263" s="6">
        <f>[1]Results!AC1600</f>
        <v>639965.42330000002</v>
      </c>
      <c r="AA263" s="6">
        <f>[1]Results!AD1600</f>
        <v>650095.74829999998</v>
      </c>
      <c r="AB263" s="6">
        <f>[1]Results!AE1600</f>
        <v>659730.005</v>
      </c>
      <c r="AC263" s="6">
        <f>[1]Results!AF1600</f>
        <v>669413.33200000005</v>
      </c>
      <c r="AD263" s="6">
        <f>[1]Results!AG1600</f>
        <v>679169.66890000005</v>
      </c>
      <c r="AE263" s="6">
        <f>[1]Results!AH1600</f>
        <v>689004.81</v>
      </c>
      <c r="AF263" s="6">
        <f>[1]Results!AI1600</f>
        <v>698926.3395</v>
      </c>
      <c r="AG263" s="6">
        <f>[1]Results!AJ1600</f>
        <v>708941.73629999999</v>
      </c>
      <c r="AH263" s="6">
        <f>[1]Results!AK1600</f>
        <v>719062.37569999998</v>
      </c>
      <c r="AI263" s="6">
        <f>[1]Results!AL1600</f>
        <v>729289.39210000006</v>
      </c>
      <c r="AJ263" s="6">
        <f>[1]Results!AM1600</f>
        <v>739621.81590000005</v>
      </c>
      <c r="AK263" s="6">
        <f>[1]Results!AN1600</f>
        <v>750056.90830000001</v>
      </c>
      <c r="AL263" s="6">
        <f>[1]Results!AO1600</f>
        <v>760590.67680000002</v>
      </c>
      <c r="AM263" s="6">
        <f>[1]Results!AP1600</f>
        <v>771101.71510000003</v>
      </c>
      <c r="AN263" s="6">
        <f>[1]Results!AQ1600</f>
        <v>781606.45019999996</v>
      </c>
      <c r="AO263" s="6">
        <f>[1]Results!AR1600</f>
        <v>792117.41720000003</v>
      </c>
      <c r="AP263" s="6">
        <f>[1]Results!AS1600</f>
        <v>802641.74179999996</v>
      </c>
      <c r="AQ263" s="6">
        <f>[1]Results!AT1600</f>
        <v>813184.64809999999</v>
      </c>
      <c r="AR263" s="6">
        <f>[1]Results!AU1600</f>
        <v>823760.62399999995</v>
      </c>
      <c r="AS263" s="6">
        <f>[1]Results!AV1600</f>
        <v>834371.73259999999</v>
      </c>
      <c r="AT263" s="6">
        <f>[1]Results!AW1600</f>
        <v>845020.42680000002</v>
      </c>
      <c r="AU263" s="6">
        <f>[1]Results!AX1600</f>
        <v>855709.14480000001</v>
      </c>
      <c r="AV263" s="6">
        <f>[1]Results!AY1600</f>
        <v>866440.07050000003</v>
      </c>
      <c r="AW263" s="6">
        <f>[1]Results!AZ1600</f>
        <v>877265.37109999999</v>
      </c>
      <c r="AX263" s="6">
        <f>[1]Results!BA1600</f>
        <v>888173.95330000005</v>
      </c>
      <c r="AY263" s="6">
        <f>[1]Results!BB1600</f>
        <v>899158.30099999998</v>
      </c>
      <c r="AZ263" s="6">
        <f>[1]Results!BC1600</f>
        <v>910214.19180000003</v>
      </c>
      <c r="BA263" s="6">
        <f>[1]Results!BD1600</f>
        <v>921339.78040000005</v>
      </c>
      <c r="BB263" s="6">
        <f>[1]Results!BE1600</f>
        <v>1177882.68</v>
      </c>
      <c r="BC263" s="6">
        <f>[1]Results!BF1600</f>
        <v>1199509.7779999999</v>
      </c>
      <c r="BD263" s="6">
        <f>[1]Results!BG1600</f>
        <v>1221370.1200000001</v>
      </c>
      <c r="BE263" s="6">
        <f>[1]Results!BH1600</f>
        <v>1243459.7209999999</v>
      </c>
      <c r="BF263" s="6">
        <f>[1]Results!BI1600</f>
        <v>1265775.415</v>
      </c>
    </row>
    <row r="264" spans="1:58" x14ac:dyDescent="0.35">
      <c r="A264" t="s">
        <v>39</v>
      </c>
      <c r="B264" t="s">
        <v>7</v>
      </c>
      <c r="C264" s="6">
        <f>[1]Results!F1601</f>
        <v>4391.6265780000003</v>
      </c>
      <c r="D264" s="6">
        <f>[1]Results!G1601</f>
        <v>4400.496521</v>
      </c>
      <c r="E264" s="6">
        <f>[1]Results!H1601</f>
        <v>4418.616857</v>
      </c>
      <c r="F264" s="6">
        <f>[1]Results!I1601</f>
        <v>4446.0729689999998</v>
      </c>
      <c r="G264" s="6">
        <f>[1]Results!J1601</f>
        <v>4482.0492670000003</v>
      </c>
      <c r="H264" s="6">
        <f>[1]Results!K1601</f>
        <v>4525.4743699999999</v>
      </c>
      <c r="I264" s="6">
        <f>[1]Results!L1601</f>
        <v>4573.4161569999997</v>
      </c>
      <c r="J264" s="6">
        <f>[1]Results!M1601</f>
        <v>4625.3644219999996</v>
      </c>
      <c r="K264" s="6">
        <f>[1]Results!N1601</f>
        <v>4680.8914880000002</v>
      </c>
      <c r="L264" s="6">
        <f>[1]Results!O1601</f>
        <v>4739.5886780000001</v>
      </c>
      <c r="M264" s="6">
        <f>[1]Results!P1601</f>
        <v>4799.9979229999999</v>
      </c>
      <c r="N264" s="6">
        <f>[1]Results!Q1601</f>
        <v>4866.8173079999997</v>
      </c>
      <c r="O264" s="6">
        <f>[1]Results!R1601</f>
        <v>4937.7031290000004</v>
      </c>
      <c r="P264" s="6">
        <f>[1]Results!S1601</f>
        <v>5011.5180609999998</v>
      </c>
      <c r="Q264" s="6">
        <f>[1]Results!T1601</f>
        <v>5087.7656580000003</v>
      </c>
      <c r="R264" s="6">
        <f>[1]Results!U1601</f>
        <v>5166.1951239999999</v>
      </c>
      <c r="S264" s="6">
        <f>[1]Results!V1601</f>
        <v>5246.4522859999997</v>
      </c>
      <c r="T264" s="6">
        <f>[1]Results!W1601</f>
        <v>5328.4808890000004</v>
      </c>
      <c r="U264" s="6">
        <f>[1]Results!X1601</f>
        <v>5412.2115430000003</v>
      </c>
      <c r="V264" s="6">
        <f>[1]Results!Y1601</f>
        <v>5497.59087</v>
      </c>
      <c r="W264" s="6">
        <f>[1]Results!Z1601</f>
        <v>5582.2649950000005</v>
      </c>
      <c r="X264" s="6">
        <f>[1]Results!AA1601</f>
        <v>5668.9578670000001</v>
      </c>
      <c r="Y264" s="6">
        <f>[1]Results!AB1601</f>
        <v>5757.6315679999998</v>
      </c>
      <c r="Z264" s="6">
        <f>[1]Results!AC1601</f>
        <v>5848.1756320000004</v>
      </c>
      <c r="AA264" s="6">
        <f>[1]Results!AD1601</f>
        <v>5940.5247639999998</v>
      </c>
      <c r="AB264" s="6">
        <f>[1]Results!AE1601</f>
        <v>6027.9424040000004</v>
      </c>
      <c r="AC264" s="6">
        <f>[1]Results!AF1601</f>
        <v>6115.2521859999997</v>
      </c>
      <c r="AD264" s="6">
        <f>[1]Results!AG1601</f>
        <v>6202.9144050000004</v>
      </c>
      <c r="AE264" s="6">
        <f>[1]Results!AH1601</f>
        <v>6291.1627749999998</v>
      </c>
      <c r="AF264" s="6">
        <f>[1]Results!AI1601</f>
        <v>6380.2200510000002</v>
      </c>
      <c r="AG264" s="6">
        <f>[1]Results!AJ1601</f>
        <v>6470.2861679999996</v>
      </c>
      <c r="AH264" s="6">
        <f>[1]Results!AK1601</f>
        <v>6561.5812679999999</v>
      </c>
      <c r="AI264" s="6">
        <f>[1]Results!AL1601</f>
        <v>6654.2021130000003</v>
      </c>
      <c r="AJ264" s="6">
        <f>[1]Results!AM1601</f>
        <v>6748.2135660000004</v>
      </c>
      <c r="AK264" s="6">
        <f>[1]Results!AN1601</f>
        <v>6843.6476259999999</v>
      </c>
      <c r="AL264" s="6">
        <f>[1]Results!AO1601</f>
        <v>6940.5145849999999</v>
      </c>
      <c r="AM264" s="6">
        <f>[1]Results!AP1601</f>
        <v>7037.7688840000001</v>
      </c>
      <c r="AN264" s="6">
        <f>[1]Results!AQ1601</f>
        <v>7135.5147999999999</v>
      </c>
      <c r="AO264" s="6">
        <f>[1]Results!AR1601</f>
        <v>7233.9453329999997</v>
      </c>
      <c r="AP264" s="6">
        <f>[1]Results!AS1601</f>
        <v>7333.1895679999998</v>
      </c>
      <c r="AQ264" s="6">
        <f>[1]Results!AT1601</f>
        <v>7433.3510649999998</v>
      </c>
      <c r="AR264" s="6">
        <f>[1]Results!AU1601</f>
        <v>7534.6266260000002</v>
      </c>
      <c r="AS264" s="6">
        <f>[1]Results!AV1601</f>
        <v>7637.078458</v>
      </c>
      <c r="AT264" s="6">
        <f>[1]Results!AW1601</f>
        <v>7740.771248</v>
      </c>
      <c r="AU264" s="6">
        <f>[1]Results!AX1601</f>
        <v>7845.7540360000003</v>
      </c>
      <c r="AV264" s="6">
        <f>[1]Results!AY1601</f>
        <v>7952.0626119999997</v>
      </c>
      <c r="AW264" s="6">
        <f>[1]Results!AZ1601</f>
        <v>8060.2350139999999</v>
      </c>
      <c r="AX264" s="6">
        <f>[1]Results!BA1601</f>
        <v>8170.1667440000001</v>
      </c>
      <c r="AY264" s="6">
        <f>[1]Results!BB1601</f>
        <v>8281.7961099999993</v>
      </c>
      <c r="AZ264" s="6">
        <f>[1]Results!BC1601</f>
        <v>8395.060657</v>
      </c>
      <c r="BA264" s="6">
        <f>[1]Results!BD1601</f>
        <v>8509.9075529999991</v>
      </c>
      <c r="BB264" s="6">
        <f>[1]Results!BE1601</f>
        <v>10315.183279999999</v>
      </c>
      <c r="BC264" s="6">
        <f>[1]Results!BF1601</f>
        <v>10501.124680000001</v>
      </c>
      <c r="BD264" s="6">
        <f>[1]Results!BG1601</f>
        <v>10690.10708</v>
      </c>
      <c r="BE264" s="6">
        <f>[1]Results!BH1601</f>
        <v>10882.175730000001</v>
      </c>
      <c r="BF264" s="6">
        <f>[1]Results!BI1601</f>
        <v>11077.383040000001</v>
      </c>
    </row>
    <row r="265" spans="1:58" x14ac:dyDescent="0.35">
      <c r="B265" t="s">
        <v>30</v>
      </c>
      <c r="C265" s="6">
        <f>[1]Results!F1604</f>
        <v>232631.8383</v>
      </c>
      <c r="D265" s="6">
        <f>[1]Results!G1604</f>
        <v>234179.0796</v>
      </c>
      <c r="E265" s="6">
        <f>[1]Results!H1604</f>
        <v>236431.61900000001</v>
      </c>
      <c r="F265" s="6">
        <f>[1]Results!I1604</f>
        <v>239089.06140000001</v>
      </c>
      <c r="G265" s="6">
        <f>[1]Results!J1604</f>
        <v>241992.16750000001</v>
      </c>
      <c r="H265" s="6">
        <f>[1]Results!K1604</f>
        <v>245061.17939999999</v>
      </c>
      <c r="I265" s="6">
        <f>[1]Results!L1604</f>
        <v>248171.83499999999</v>
      </c>
      <c r="J265" s="6">
        <f>[1]Results!M1604</f>
        <v>251327.3199</v>
      </c>
      <c r="K265" s="6">
        <f>[1]Results!N1604</f>
        <v>254539.20670000001</v>
      </c>
      <c r="L265" s="6">
        <f>[1]Results!O1604</f>
        <v>257818.0705</v>
      </c>
      <c r="M265" s="6">
        <f>[1]Results!P1604</f>
        <v>261118.4075</v>
      </c>
      <c r="N265" s="6">
        <f>[1]Results!Q1604</f>
        <v>264682.9927</v>
      </c>
      <c r="O265" s="6">
        <f>[1]Results!R1604</f>
        <v>268425.66710000002</v>
      </c>
      <c r="P265" s="6">
        <f>[1]Results!S1604</f>
        <v>272306.42300000001</v>
      </c>
      <c r="Q265" s="6">
        <f>[1]Results!T1604</f>
        <v>276309.70899999997</v>
      </c>
      <c r="R265" s="6">
        <f>[1]Results!U1604</f>
        <v>280430.9768</v>
      </c>
      <c r="S265" s="6">
        <f>[1]Results!V1604</f>
        <v>284660.13040000002</v>
      </c>
      <c r="T265" s="6">
        <f>[1]Results!W1604</f>
        <v>289002.84830000001</v>
      </c>
      <c r="U265" s="6">
        <f>[1]Results!X1604</f>
        <v>293463.7377</v>
      </c>
      <c r="V265" s="6">
        <f>[1]Results!Y1604</f>
        <v>298046.33720000001</v>
      </c>
      <c r="W265" s="6">
        <f>[1]Results!Z1604</f>
        <v>302645.89789999998</v>
      </c>
      <c r="X265" s="6">
        <f>[1]Results!AA1604</f>
        <v>307389.38160000002</v>
      </c>
      <c r="Y265" s="6">
        <f>[1]Results!AB1604</f>
        <v>312276.1655</v>
      </c>
      <c r="Z265" s="6">
        <f>[1]Results!AC1604</f>
        <v>317302.12199999997</v>
      </c>
      <c r="AA265" s="6">
        <f>[1]Results!AD1604</f>
        <v>322464.28960000002</v>
      </c>
      <c r="AB265" s="6">
        <f>[1]Results!AE1604</f>
        <v>327450.5085</v>
      </c>
      <c r="AC265" s="6">
        <f>[1]Results!AF1604</f>
        <v>332475.46519999998</v>
      </c>
      <c r="AD265" s="6">
        <f>[1]Results!AG1604</f>
        <v>337551.80229999998</v>
      </c>
      <c r="AE265" s="6">
        <f>[1]Results!AH1604</f>
        <v>342682.14250000002</v>
      </c>
      <c r="AF265" s="6">
        <f>[1]Results!AI1604</f>
        <v>347867.94500000001</v>
      </c>
      <c r="AG265" s="6">
        <f>[1]Results!AJ1604</f>
        <v>353109.92629999999</v>
      </c>
      <c r="AH265" s="6">
        <f>[1]Results!AK1604</f>
        <v>358411.03340000001</v>
      </c>
      <c r="AI265" s="6">
        <f>[1]Results!AL1604</f>
        <v>363768.9313</v>
      </c>
      <c r="AJ265" s="6">
        <f>[1]Results!AM1604</f>
        <v>369180.55719999998</v>
      </c>
      <c r="AK265" s="6">
        <f>[1]Results!AN1604</f>
        <v>374642.12150000001</v>
      </c>
      <c r="AL265" s="6">
        <f>[1]Results!AO1604</f>
        <v>380149.28659999999</v>
      </c>
      <c r="AM265" s="6">
        <f>[1]Results!AP1604</f>
        <v>385652.99089999998</v>
      </c>
      <c r="AN265" s="6">
        <f>[1]Results!AQ1604</f>
        <v>391149.6825</v>
      </c>
      <c r="AO265" s="6">
        <f>[1]Results!AR1604</f>
        <v>396639.19400000002</v>
      </c>
      <c r="AP265" s="6">
        <f>[1]Results!AS1604</f>
        <v>402120.8738</v>
      </c>
      <c r="AQ265" s="6">
        <f>[1]Results!AT1604</f>
        <v>407593.83669999999</v>
      </c>
      <c r="AR265" s="6">
        <f>[1]Results!AU1604</f>
        <v>413062.64970000001</v>
      </c>
      <c r="AS265" s="6">
        <f>[1]Results!AV1604</f>
        <v>418525.44839999999</v>
      </c>
      <c r="AT265" s="6">
        <f>[1]Results!AW1604</f>
        <v>423981.16029999999</v>
      </c>
      <c r="AU265" s="6">
        <f>[1]Results!AX1604</f>
        <v>429429.13449999999</v>
      </c>
      <c r="AV265" s="6">
        <f>[1]Results!AY1604</f>
        <v>434868.95789999998</v>
      </c>
      <c r="AW265" s="6">
        <f>[1]Results!AZ1604</f>
        <v>440326.09700000001</v>
      </c>
      <c r="AX265" s="6">
        <f>[1]Results!BA1604</f>
        <v>445794.30680000002</v>
      </c>
      <c r="AY265" s="6">
        <f>[1]Results!BB1604</f>
        <v>451269.58360000001</v>
      </c>
      <c r="AZ265" s="6">
        <f>[1]Results!BC1604</f>
        <v>456749.61609999998</v>
      </c>
      <c r="BA265" s="6">
        <f>[1]Results!BD1604</f>
        <v>462233.36249999999</v>
      </c>
      <c r="BB265" s="6">
        <f>[1]Results!BE1604</f>
        <v>617742.98450000002</v>
      </c>
      <c r="BC265" s="6">
        <f>[1]Results!BF1604</f>
        <v>629611.85600000003</v>
      </c>
      <c r="BD265" s="6">
        <f>[1]Results!BG1604</f>
        <v>641570.32310000004</v>
      </c>
      <c r="BE265" s="6">
        <f>[1]Results!BH1604</f>
        <v>653612.58900000004</v>
      </c>
      <c r="BF265" s="6">
        <f>[1]Results!BI1604</f>
        <v>665733.37950000004</v>
      </c>
    </row>
    <row r="266" spans="1:58" x14ac:dyDescent="0.35">
      <c r="B266" t="s">
        <v>28</v>
      </c>
      <c r="C266" s="6">
        <f>[1]Results!F1616</f>
        <v>7877.6052909999999</v>
      </c>
      <c r="D266" s="6">
        <f>[1]Results!G1616</f>
        <v>7910.8999839999997</v>
      </c>
      <c r="E266" s="6">
        <f>[1]Results!H1616</f>
        <v>7979.9137369999999</v>
      </c>
      <c r="F266" s="6">
        <f>[1]Results!I1616</f>
        <v>8065.32366</v>
      </c>
      <c r="G266" s="6">
        <f>[1]Results!J1616</f>
        <v>8159.9380019999999</v>
      </c>
      <c r="H266" s="6">
        <f>[1]Results!K1616</f>
        <v>8260.7180320000007</v>
      </c>
      <c r="I266" s="6">
        <f>[1]Results!L1616</f>
        <v>8361.8365819999999</v>
      </c>
      <c r="J266" s="6">
        <f>[1]Results!M1616</f>
        <v>8464.3138820000004</v>
      </c>
      <c r="K266" s="6">
        <f>[1]Results!N1616</f>
        <v>8568.4442579999995</v>
      </c>
      <c r="L266" s="6">
        <f>[1]Results!O1616</f>
        <v>8674.1666150000001</v>
      </c>
      <c r="M266" s="6">
        <f>[1]Results!P1616</f>
        <v>8776.1834899999994</v>
      </c>
      <c r="N266" s="6">
        <f>[1]Results!Q1616</f>
        <v>8890.9892610000006</v>
      </c>
      <c r="O266" s="6">
        <f>[1]Results!R1616</f>
        <v>9011.4881719999994</v>
      </c>
      <c r="P266" s="6">
        <f>[1]Results!S1616</f>
        <v>9134.8694620000006</v>
      </c>
      <c r="Q266" s="6">
        <f>[1]Results!T1616</f>
        <v>9260.1458060000004</v>
      </c>
      <c r="R266" s="6">
        <f>[1]Results!U1616</f>
        <v>9386.9827729999997</v>
      </c>
      <c r="S266" s="6">
        <f>[1]Results!V1616</f>
        <v>9514.6621429999996</v>
      </c>
      <c r="T266" s="6">
        <f>[1]Results!W1616</f>
        <v>9643.5059700000002</v>
      </c>
      <c r="U266" s="6">
        <f>[1]Results!X1616</f>
        <v>9773.6872609999991</v>
      </c>
      <c r="V266" s="6">
        <f>[1]Results!Y1616</f>
        <v>9905.3196200000002</v>
      </c>
      <c r="W266" s="6">
        <f>[1]Results!Z1616</f>
        <v>10033.362370000001</v>
      </c>
      <c r="X266" s="6">
        <f>[1]Results!AA1616</f>
        <v>10165.34022</v>
      </c>
      <c r="Y266" s="6">
        <f>[1]Results!AB1616</f>
        <v>10300.17577</v>
      </c>
      <c r="Z266" s="6">
        <f>[1]Results!AC1616</f>
        <v>10437.400970000001</v>
      </c>
      <c r="AA266" s="6">
        <f>[1]Results!AD1616</f>
        <v>10576.89623</v>
      </c>
      <c r="AB266" s="6">
        <f>[1]Results!AE1616</f>
        <v>10703.909110000001</v>
      </c>
      <c r="AC266" s="6">
        <f>[1]Results!AF1616</f>
        <v>10833.063050000001</v>
      </c>
      <c r="AD266" s="6">
        <f>[1]Results!AG1616</f>
        <v>10963.886860000001</v>
      </c>
      <c r="AE266" s="6">
        <f>[1]Results!AH1616</f>
        <v>11096.193939999999</v>
      </c>
      <c r="AF266" s="6">
        <f>[1]Results!AI1616</f>
        <v>11230.085290000001</v>
      </c>
      <c r="AG266" s="6">
        <f>[1]Results!AJ1616</f>
        <v>11365.7353</v>
      </c>
      <c r="AH266" s="6">
        <f>[1]Results!AK1616</f>
        <v>11503.49098</v>
      </c>
      <c r="AI266" s="6">
        <f>[1]Results!AL1616</f>
        <v>11643.37155</v>
      </c>
      <c r="AJ266" s="6">
        <f>[1]Results!AM1616</f>
        <v>11785.403270000001</v>
      </c>
      <c r="AK266" s="6">
        <f>[1]Results!AN1616</f>
        <v>11929.59554</v>
      </c>
      <c r="AL266" s="6">
        <f>[1]Results!AO1616</f>
        <v>12075.937739999999</v>
      </c>
      <c r="AM266" s="6">
        <f>[1]Results!AP1616</f>
        <v>12222.665849999999</v>
      </c>
      <c r="AN266" s="6">
        <f>[1]Results!AQ1616</f>
        <v>12370.34035</v>
      </c>
      <c r="AO266" s="6">
        <f>[1]Results!AR1616</f>
        <v>12519.272070000001</v>
      </c>
      <c r="AP266" s="6">
        <f>[1]Results!AS1616</f>
        <v>12669.620080000001</v>
      </c>
      <c r="AQ266" s="6">
        <f>[1]Results!AT1616</f>
        <v>12821.49113</v>
      </c>
      <c r="AR266" s="6">
        <f>[1]Results!AU1616</f>
        <v>12975.28155</v>
      </c>
      <c r="AS266" s="6">
        <f>[1]Results!AV1616</f>
        <v>13130.916670000001</v>
      </c>
      <c r="AT266" s="6">
        <f>[1]Results!AW1616</f>
        <v>13288.39401</v>
      </c>
      <c r="AU266" s="6">
        <f>[1]Results!AX1616</f>
        <v>13447.73144</v>
      </c>
      <c r="AV266" s="6">
        <f>[1]Results!AY1616</f>
        <v>13608.94586</v>
      </c>
      <c r="AW266" s="6">
        <f>[1]Results!AZ1616</f>
        <v>13773.469709999999</v>
      </c>
      <c r="AX266" s="6">
        <f>[1]Results!BA1616</f>
        <v>13940.626560000001</v>
      </c>
      <c r="AY266" s="6">
        <f>[1]Results!BB1616</f>
        <v>14110.113520000001</v>
      </c>
      <c r="AZ266" s="6">
        <f>[1]Results!BC1616</f>
        <v>14281.792460000001</v>
      </c>
      <c r="BA266" s="6">
        <f>[1]Results!BD1616</f>
        <v>14455.593629999999</v>
      </c>
      <c r="BB266" s="6">
        <f>[1]Results!BE1616</f>
        <v>18304.411169999999</v>
      </c>
      <c r="BC266" s="6">
        <f>[1]Results!BF1616</f>
        <v>18627.571029999999</v>
      </c>
      <c r="BD266" s="6">
        <f>[1]Results!BG1616</f>
        <v>18956.537619999999</v>
      </c>
      <c r="BE266" s="6">
        <f>[1]Results!BH1616</f>
        <v>19291.396369999999</v>
      </c>
      <c r="BF266" s="6">
        <f>[1]Results!BI1616</f>
        <v>19632.235570000001</v>
      </c>
    </row>
    <row r="267" spans="1:58" x14ac:dyDescent="0.35">
      <c r="B267" t="s">
        <v>10</v>
      </c>
      <c r="C267" s="6">
        <f>[1]Results!F1621</f>
        <v>217956.3389</v>
      </c>
      <c r="D267" s="6">
        <f>[1]Results!G1621</f>
        <v>219486.1667</v>
      </c>
      <c r="E267" s="6">
        <f>[1]Results!H1621</f>
        <v>221542.27530000001</v>
      </c>
      <c r="F267" s="6">
        <f>[1]Results!I1621</f>
        <v>223969.65909999999</v>
      </c>
      <c r="G267" s="6">
        <f>[1]Results!J1621</f>
        <v>226672.5129</v>
      </c>
      <c r="H267" s="6">
        <f>[1]Results!K1621</f>
        <v>229595.09529999999</v>
      </c>
      <c r="I267" s="6">
        <f>[1]Results!L1621</f>
        <v>232601.11480000001</v>
      </c>
      <c r="J267" s="6">
        <f>[1]Results!M1621</f>
        <v>235699.56890000001</v>
      </c>
      <c r="K267" s="6">
        <f>[1]Results!N1621</f>
        <v>238895.57019999999</v>
      </c>
      <c r="L267" s="6">
        <f>[1]Results!O1621</f>
        <v>242188.38459999999</v>
      </c>
      <c r="M267" s="6">
        <f>[1]Results!P1621</f>
        <v>245607.9327</v>
      </c>
      <c r="N267" s="6">
        <f>[1]Results!Q1621</f>
        <v>249205.4466</v>
      </c>
      <c r="O267" s="6">
        <f>[1]Results!R1621</f>
        <v>252940.13870000001</v>
      </c>
      <c r="P267" s="6">
        <f>[1]Results!S1621</f>
        <v>256785.97409999999</v>
      </c>
      <c r="Q267" s="6">
        <f>[1]Results!T1621</f>
        <v>260729.9411</v>
      </c>
      <c r="R267" s="6">
        <f>[1]Results!U1621</f>
        <v>264765.47330000001</v>
      </c>
      <c r="S267" s="6">
        <f>[1]Results!V1621</f>
        <v>268881.14760000003</v>
      </c>
      <c r="T267" s="6">
        <f>[1]Results!W1621</f>
        <v>273076.19069999998</v>
      </c>
      <c r="U267" s="6">
        <f>[1]Results!X1621</f>
        <v>277349.6997</v>
      </c>
      <c r="V267" s="6">
        <f>[1]Results!Y1621</f>
        <v>281700.34869999997</v>
      </c>
      <c r="W267" s="6">
        <f>[1]Results!Z1621</f>
        <v>285997.20750000002</v>
      </c>
      <c r="X267" s="6">
        <f>[1]Results!AA1621</f>
        <v>290405.21230000001</v>
      </c>
      <c r="Y267" s="6">
        <f>[1]Results!AB1621</f>
        <v>294910.98739999998</v>
      </c>
      <c r="Z267" s="6">
        <f>[1]Results!AC1621</f>
        <v>299503.92109999998</v>
      </c>
      <c r="AA267" s="6">
        <f>[1]Results!AD1621</f>
        <v>304178.61060000001</v>
      </c>
      <c r="AB267" s="6">
        <f>[1]Results!AE1621</f>
        <v>308557.18040000001</v>
      </c>
      <c r="AC267" s="6">
        <f>[1]Results!AF1621</f>
        <v>312944.40879999998</v>
      </c>
      <c r="AD267" s="6">
        <f>[1]Results!AG1621</f>
        <v>317350.98509999999</v>
      </c>
      <c r="AE267" s="6">
        <f>[1]Results!AH1621</f>
        <v>321779.89480000001</v>
      </c>
      <c r="AF267" s="6">
        <f>[1]Results!AI1621</f>
        <v>326236.78340000001</v>
      </c>
      <c r="AG267" s="6">
        <f>[1]Results!AJ1621</f>
        <v>330727.86499999999</v>
      </c>
      <c r="AH267" s="6">
        <f>[1]Results!AK1621</f>
        <v>335260.77380000002</v>
      </c>
      <c r="AI267" s="6">
        <f>[1]Results!AL1621</f>
        <v>339838.74900000001</v>
      </c>
      <c r="AJ267" s="6">
        <f>[1]Results!AM1621</f>
        <v>344463.69280000002</v>
      </c>
      <c r="AK267" s="6">
        <f>[1]Results!AN1621</f>
        <v>349136.53289999999</v>
      </c>
      <c r="AL267" s="6">
        <f>[1]Results!AO1621</f>
        <v>353857.55550000002</v>
      </c>
      <c r="AM267" s="6">
        <f>[1]Results!AP1621</f>
        <v>358558.35190000001</v>
      </c>
      <c r="AN267" s="6">
        <f>[1]Results!AQ1621</f>
        <v>363257.99489999999</v>
      </c>
      <c r="AO267" s="6">
        <f>[1]Results!AR1621</f>
        <v>367968.39069999999</v>
      </c>
      <c r="AP267" s="6">
        <f>[1]Results!AS1621</f>
        <v>372696.82860000001</v>
      </c>
      <c r="AQ267" s="6">
        <f>[1]Results!AT1621</f>
        <v>377449.08069999999</v>
      </c>
      <c r="AR267" s="6">
        <f>[1]Results!AU1621</f>
        <v>382234.29379999998</v>
      </c>
      <c r="AS267" s="6">
        <f>[1]Results!AV1621</f>
        <v>387056.39809999999</v>
      </c>
      <c r="AT267" s="6">
        <f>[1]Results!AW1621</f>
        <v>391918.84179999999</v>
      </c>
      <c r="AU267" s="6">
        <f>[1]Results!AX1621</f>
        <v>396824.63270000002</v>
      </c>
      <c r="AV267" s="6">
        <f>[1]Results!AY1621</f>
        <v>401776.30719999998</v>
      </c>
      <c r="AW267" s="6">
        <f>[1]Results!AZ1621</f>
        <v>406798.0834</v>
      </c>
      <c r="AX267" s="6">
        <f>[1]Results!BA1621</f>
        <v>411886.09230000002</v>
      </c>
      <c r="AY267" s="6">
        <f>[1]Results!BB1621</f>
        <v>417037.29599999997</v>
      </c>
      <c r="AZ267" s="6">
        <f>[1]Results!BC1621</f>
        <v>422250.03629999998</v>
      </c>
      <c r="BA267" s="6">
        <f>[1]Results!BD1621</f>
        <v>427523.66499999998</v>
      </c>
      <c r="BB267" s="6">
        <f>[1]Results!BE1621</f>
        <v>520690.10560000001</v>
      </c>
      <c r="BC267" s="6">
        <f>[1]Results!BF1621</f>
        <v>529771.0233</v>
      </c>
      <c r="BD267" s="6">
        <f>[1]Results!BG1621</f>
        <v>538983.70779999997</v>
      </c>
      <c r="BE267" s="6">
        <f>[1]Results!BH1621</f>
        <v>548329.81590000005</v>
      </c>
      <c r="BF267" s="6">
        <f>[1]Results!BI1621</f>
        <v>557811.28489999997</v>
      </c>
    </row>
    <row r="268" spans="1:58" x14ac:dyDescent="0.35">
      <c r="B268" t="s">
        <v>31</v>
      </c>
      <c r="C268" s="6">
        <f>[1]Results!F1624</f>
        <v>2220.325292</v>
      </c>
      <c r="D268" s="6">
        <f>[1]Results!G1624</f>
        <v>2221.7777430000001</v>
      </c>
      <c r="E268" s="6">
        <f>[1]Results!H1624</f>
        <v>2225.7885660000002</v>
      </c>
      <c r="F268" s="6">
        <f>[1]Results!I1624</f>
        <v>2231.8979629999999</v>
      </c>
      <c r="G268" s="6">
        <f>[1]Results!J1624</f>
        <v>2240.566061</v>
      </c>
      <c r="H268" s="6">
        <f>[1]Results!K1624</f>
        <v>2251.9697620000002</v>
      </c>
      <c r="I268" s="6">
        <f>[1]Results!L1624</f>
        <v>2265.0497479999999</v>
      </c>
      <c r="J268" s="6">
        <f>[1]Results!M1624</f>
        <v>2279.811244</v>
      </c>
      <c r="K268" s="6">
        <f>[1]Results!N1624</f>
        <v>2296.0925269999998</v>
      </c>
      <c r="L268" s="6">
        <f>[1]Results!O1624</f>
        <v>2313.6646209999999</v>
      </c>
      <c r="M268" s="6">
        <f>[1]Results!P1624</f>
        <v>2331.1264999999999</v>
      </c>
      <c r="N268" s="6">
        <f>[1]Results!Q1624</f>
        <v>2351.899034</v>
      </c>
      <c r="O268" s="6">
        <f>[1]Results!R1624</f>
        <v>2374.6180380000001</v>
      </c>
      <c r="P268" s="6">
        <f>[1]Results!S1624</f>
        <v>2398.5963230000002</v>
      </c>
      <c r="Q268" s="6">
        <f>[1]Results!T1624</f>
        <v>2423.537112</v>
      </c>
      <c r="R268" s="6">
        <f>[1]Results!U1624</f>
        <v>2449.2904800000001</v>
      </c>
      <c r="S268" s="6">
        <f>[1]Results!V1624</f>
        <v>2475.6441519999998</v>
      </c>
      <c r="T268" s="6">
        <f>[1]Results!W1624</f>
        <v>2502.580919</v>
      </c>
      <c r="U268" s="6">
        <f>[1]Results!X1624</f>
        <v>2530.0660889999999</v>
      </c>
      <c r="V268" s="6">
        <f>[1]Results!Y1624</f>
        <v>2558.0590910000001</v>
      </c>
      <c r="W268" s="6">
        <f>[1]Results!Z1624</f>
        <v>2585.472976</v>
      </c>
      <c r="X268" s="6">
        <f>[1]Results!AA1624</f>
        <v>2613.6952620000002</v>
      </c>
      <c r="Y268" s="6">
        <f>[1]Results!AB1624</f>
        <v>2642.5551810000002</v>
      </c>
      <c r="Z268" s="6">
        <f>[1]Results!AC1624</f>
        <v>2671.9282459999999</v>
      </c>
      <c r="AA268" s="6">
        <f>[1]Results!AD1624</f>
        <v>2701.7595820000001</v>
      </c>
      <c r="AB268" s="6">
        <f>[1]Results!AE1624</f>
        <v>2729.025952</v>
      </c>
      <c r="AC268" s="6">
        <f>[1]Results!AF1624</f>
        <v>2756.4005000000002</v>
      </c>
      <c r="AD268" s="6">
        <f>[1]Results!AG1624</f>
        <v>2783.9077200000002</v>
      </c>
      <c r="AE268" s="6">
        <f>[1]Results!AH1624</f>
        <v>2811.5141119999998</v>
      </c>
      <c r="AF268" s="6">
        <f>[1]Results!AI1624</f>
        <v>2839.2377000000001</v>
      </c>
      <c r="AG268" s="6">
        <f>[1]Results!AJ1624</f>
        <v>2867.1184699999999</v>
      </c>
      <c r="AH268" s="6">
        <f>[1]Results!AK1624</f>
        <v>2895.2338100000002</v>
      </c>
      <c r="AI268" s="6">
        <f>[1]Results!AL1624</f>
        <v>2923.6049600000001</v>
      </c>
      <c r="AJ268" s="6">
        <f>[1]Results!AM1624</f>
        <v>2952.2540800000002</v>
      </c>
      <c r="AK268" s="6">
        <f>[1]Results!AN1624</f>
        <v>2981.201094</v>
      </c>
      <c r="AL268" s="6">
        <f>[1]Results!AO1624</f>
        <v>3010.4615520000002</v>
      </c>
      <c r="AM268" s="6">
        <f>[1]Results!AP1624</f>
        <v>3039.664526</v>
      </c>
      <c r="AN268" s="6">
        <f>[1]Results!AQ1624</f>
        <v>3068.9027190000002</v>
      </c>
      <c r="AO268" s="6">
        <f>[1]Results!AR1624</f>
        <v>3098.25747</v>
      </c>
      <c r="AP268" s="6">
        <f>[1]Results!AS1624</f>
        <v>3127.7811470000001</v>
      </c>
      <c r="AQ268" s="6">
        <f>[1]Results!AT1624</f>
        <v>3157.50974</v>
      </c>
      <c r="AR268" s="6">
        <f>[1]Results!AU1624</f>
        <v>3187.5258549999999</v>
      </c>
      <c r="AS268" s="6">
        <f>[1]Results!AV1624</f>
        <v>3217.8244460000001</v>
      </c>
      <c r="AT268" s="6">
        <f>[1]Results!AW1624</f>
        <v>3248.4103930000001</v>
      </c>
      <c r="AU268" s="6">
        <f>[1]Results!AX1624</f>
        <v>3279.2916100000002</v>
      </c>
      <c r="AV268" s="6">
        <f>[1]Results!AY1624</f>
        <v>3310.4744850000002</v>
      </c>
      <c r="AW268" s="6">
        <f>[1]Results!AZ1624</f>
        <v>3342.2245579999999</v>
      </c>
      <c r="AX268" s="6">
        <f>[1]Results!BA1624</f>
        <v>3374.4282389999998</v>
      </c>
      <c r="AY268" s="6">
        <f>[1]Results!BB1624</f>
        <v>3407.0313879999999</v>
      </c>
      <c r="AZ268" s="6">
        <f>[1]Results!BC1624</f>
        <v>3440.0110749999999</v>
      </c>
      <c r="BA268" s="6">
        <f>[1]Results!BD1624</f>
        <v>3473.35428</v>
      </c>
      <c r="BB268" s="6">
        <f>[1]Results!BE1624</f>
        <v>4426.5473080000002</v>
      </c>
      <c r="BC268" s="6">
        <f>[1]Results!BF1624</f>
        <v>4495.1861529999996</v>
      </c>
      <c r="BD268" s="6">
        <f>[1]Results!BG1624</f>
        <v>4564.88544</v>
      </c>
      <c r="BE268" s="6">
        <f>[1]Results!BH1624</f>
        <v>4635.66716</v>
      </c>
      <c r="BF268" s="6">
        <f>[1]Results!BI1624</f>
        <v>4707.5559839999996</v>
      </c>
    </row>
    <row r="269" spans="1:58" x14ac:dyDescent="0.35">
      <c r="B269" t="s">
        <v>33</v>
      </c>
      <c r="C269" s="6">
        <f>[1]Results!F1629</f>
        <v>3619.003424</v>
      </c>
      <c r="D269" s="6">
        <f>[1]Results!G1629</f>
        <v>3633.477069</v>
      </c>
      <c r="E269" s="6">
        <f>[1]Results!H1629</f>
        <v>3646.896495</v>
      </c>
      <c r="F269" s="6">
        <f>[1]Results!I1629</f>
        <v>3660.3291020000001</v>
      </c>
      <c r="G269" s="6">
        <f>[1]Results!J1629</f>
        <v>3675.5596959999998</v>
      </c>
      <c r="H269" s="6">
        <f>[1]Results!K1629</f>
        <v>3693.6460029999998</v>
      </c>
      <c r="I269" s="6">
        <f>[1]Results!L1629</f>
        <v>3713.4622009999998</v>
      </c>
      <c r="J269" s="6">
        <f>[1]Results!M1629</f>
        <v>3735.0447840000002</v>
      </c>
      <c r="K269" s="6">
        <f>[1]Results!N1629</f>
        <v>3758.221583</v>
      </c>
      <c r="L269" s="6">
        <f>[1]Results!O1629</f>
        <v>3782.6529529999998</v>
      </c>
      <c r="M269" s="6">
        <f>[1]Results!P1629</f>
        <v>3807.7681349999998</v>
      </c>
      <c r="N269" s="6">
        <f>[1]Results!Q1629</f>
        <v>3835.3884269999999</v>
      </c>
      <c r="O269" s="6">
        <f>[1]Results!R1629</f>
        <v>3864.4502859999998</v>
      </c>
      <c r="P269" s="6">
        <f>[1]Results!S1629</f>
        <v>3894.3382839999999</v>
      </c>
      <c r="Q269" s="6">
        <f>[1]Results!T1629</f>
        <v>3924.7522180000001</v>
      </c>
      <c r="R269" s="6">
        <f>[1]Results!U1629</f>
        <v>3955.5224210000001</v>
      </c>
      <c r="S269" s="6">
        <f>[1]Results!V1629</f>
        <v>3986.4438829999999</v>
      </c>
      <c r="T269" s="6">
        <f>[1]Results!W1629</f>
        <v>4017.4824760000001</v>
      </c>
      <c r="U269" s="6">
        <f>[1]Results!X1629</f>
        <v>4048.6157950000002</v>
      </c>
      <c r="V269" s="6">
        <f>[1]Results!Y1629</f>
        <v>4079.8355879999999</v>
      </c>
      <c r="W269" s="6">
        <f>[1]Results!Z1629</f>
        <v>4109.5461660000001</v>
      </c>
      <c r="X269" s="6">
        <f>[1]Results!AA1629</f>
        <v>4139.7654689999999</v>
      </c>
      <c r="Y269" s="6">
        <f>[1]Results!AB1629</f>
        <v>4170.5685130000002</v>
      </c>
      <c r="Z269" s="6">
        <f>[1]Results!AC1629</f>
        <v>4201.8753129999996</v>
      </c>
      <c r="AA269" s="6">
        <f>[1]Results!AD1629</f>
        <v>4233.6675489999998</v>
      </c>
      <c r="AB269" s="6">
        <f>[1]Results!AE1629</f>
        <v>4261.4385650000004</v>
      </c>
      <c r="AC269" s="6">
        <f>[1]Results!AF1629</f>
        <v>4288.742287</v>
      </c>
      <c r="AD269" s="6">
        <f>[1]Results!AG1629</f>
        <v>4316.1725299999998</v>
      </c>
      <c r="AE269" s="6">
        <f>[1]Results!AH1629</f>
        <v>4343.9018820000001</v>
      </c>
      <c r="AF269" s="6">
        <f>[1]Results!AI1629</f>
        <v>4372.0680810000003</v>
      </c>
      <c r="AG269" s="6">
        <f>[1]Results!AJ1629</f>
        <v>4400.8050910000002</v>
      </c>
      <c r="AH269" s="6">
        <f>[1]Results!AK1629</f>
        <v>4430.2624720000003</v>
      </c>
      <c r="AI269" s="6">
        <f>[1]Results!AL1629</f>
        <v>4460.5331399999995</v>
      </c>
      <c r="AJ269" s="6">
        <f>[1]Results!AM1629</f>
        <v>4491.6950310000002</v>
      </c>
      <c r="AK269" s="6">
        <f>[1]Results!AN1629</f>
        <v>4523.8095579999999</v>
      </c>
      <c r="AL269" s="6">
        <f>[1]Results!AO1629</f>
        <v>4556.9209090000004</v>
      </c>
      <c r="AM269" s="6">
        <f>[1]Results!AP1629</f>
        <v>4590.2729689999996</v>
      </c>
      <c r="AN269" s="6">
        <f>[1]Results!AQ1629</f>
        <v>4624.0148870000003</v>
      </c>
      <c r="AO269" s="6">
        <f>[1]Results!AR1629</f>
        <v>4658.3576519999997</v>
      </c>
      <c r="AP269" s="6">
        <f>[1]Results!AS1629</f>
        <v>4693.4486390000002</v>
      </c>
      <c r="AQ269" s="6">
        <f>[1]Results!AT1629</f>
        <v>4729.378796</v>
      </c>
      <c r="AR269" s="6">
        <f>[1]Results!AU1629</f>
        <v>4766.2464540000001</v>
      </c>
      <c r="AS269" s="6">
        <f>[1]Results!AV1629</f>
        <v>4804.0665200000003</v>
      </c>
      <c r="AT269" s="6">
        <f>[1]Results!AW1629</f>
        <v>4842.8490149999998</v>
      </c>
      <c r="AU269" s="6">
        <f>[1]Results!AX1629</f>
        <v>4882.6004970000004</v>
      </c>
      <c r="AV269" s="6">
        <f>[1]Results!AY1629</f>
        <v>4923.3223509999998</v>
      </c>
      <c r="AW269" s="6">
        <f>[1]Results!AZ1629</f>
        <v>4965.2614530000001</v>
      </c>
      <c r="AX269" s="6">
        <f>[1]Results!BA1629</f>
        <v>5008.3327380000001</v>
      </c>
      <c r="AY269" s="6">
        <f>[1]Results!BB1629</f>
        <v>5052.4802749999999</v>
      </c>
      <c r="AZ269" s="6">
        <f>[1]Results!BC1629</f>
        <v>5097.6751629999999</v>
      </c>
      <c r="BA269" s="6">
        <f>[1]Results!BD1629</f>
        <v>5143.8974280000002</v>
      </c>
      <c r="BB269" s="6">
        <f>[1]Results!BE1629</f>
        <v>6403.448018</v>
      </c>
      <c r="BC269" s="6">
        <f>[1]Results!BF1629</f>
        <v>6503.0164150000001</v>
      </c>
      <c r="BD269" s="6">
        <f>[1]Results!BG1629</f>
        <v>6604.5586430000003</v>
      </c>
      <c r="BE269" s="6">
        <f>[1]Results!BH1629</f>
        <v>6708.0768269999999</v>
      </c>
      <c r="BF269" s="6">
        <f>[1]Results!BI1629</f>
        <v>6813.5759399999997</v>
      </c>
    </row>
    <row r="271" spans="1:58" x14ac:dyDescent="0.35">
      <c r="A271" s="12" t="s">
        <v>21</v>
      </c>
      <c r="B271" t="s">
        <v>26</v>
      </c>
      <c r="C271" s="6">
        <f>[1]Results!F1639</f>
        <v>473222.20449999999</v>
      </c>
      <c r="D271" s="6">
        <f>[1]Results!G1639</f>
        <v>479535.71799999999</v>
      </c>
      <c r="E271" s="6">
        <f>[1]Results!H1639</f>
        <v>486404.21620000002</v>
      </c>
      <c r="F271" s="6">
        <f>[1]Results!I1639</f>
        <v>493756.32160000002</v>
      </c>
      <c r="G271" s="6">
        <f>[1]Results!J1639</f>
        <v>501524.69660000002</v>
      </c>
      <c r="H271" s="6">
        <f>[1]Results!K1639</f>
        <v>509663.84759999998</v>
      </c>
      <c r="I271" s="6">
        <f>[1]Results!L1639</f>
        <v>517948.18280000001</v>
      </c>
      <c r="J271" s="6">
        <f>[1]Results!M1639</f>
        <v>526410.65689999994</v>
      </c>
      <c r="K271" s="6">
        <f>[1]Results!N1639</f>
        <v>535078.52879999997</v>
      </c>
      <c r="L271" s="6">
        <f>[1]Results!O1639</f>
        <v>543968.31129999994</v>
      </c>
      <c r="M271" s="6">
        <f>[1]Results!P1639</f>
        <v>553440.23609999998</v>
      </c>
      <c r="N271" s="6">
        <f>[1]Results!Q1639</f>
        <v>563065.29280000005</v>
      </c>
      <c r="O271" s="6">
        <f>[1]Results!R1639</f>
        <v>572866.74789999996</v>
      </c>
      <c r="P271" s="6">
        <f>[1]Results!S1639</f>
        <v>582865.13520000002</v>
      </c>
      <c r="Q271" s="6">
        <f>[1]Results!T1639</f>
        <v>593069.4804</v>
      </c>
      <c r="R271" s="6">
        <f>[1]Results!U1639</f>
        <v>603483.72750000004</v>
      </c>
      <c r="S271" s="6">
        <f>[1]Results!V1639</f>
        <v>614110.22360000003</v>
      </c>
      <c r="T271" s="6">
        <f>[1]Results!W1639</f>
        <v>624950.97450000001</v>
      </c>
      <c r="U271" s="6">
        <f>[1]Results!X1639</f>
        <v>636007.82849999995</v>
      </c>
      <c r="V271" s="6">
        <f>[1]Results!Y1639</f>
        <v>647282.27859999996</v>
      </c>
      <c r="W271" s="6">
        <f>[1]Results!Z1639</f>
        <v>658510.55299999996</v>
      </c>
      <c r="X271" s="6">
        <f>[1]Results!AA1639</f>
        <v>670018.11320000002</v>
      </c>
      <c r="Y271" s="6">
        <f>[1]Results!AB1639</f>
        <v>681788.45440000005</v>
      </c>
      <c r="Z271" s="6">
        <f>[1]Results!AC1639</f>
        <v>693804.71589999995</v>
      </c>
      <c r="AA271" s="6">
        <f>[1]Results!AD1639</f>
        <v>706056.9031</v>
      </c>
      <c r="AB271" s="6">
        <f>[1]Results!AE1639</f>
        <v>717765.83059999999</v>
      </c>
      <c r="AC271" s="6">
        <f>[1]Results!AF1639</f>
        <v>729504.46380000003</v>
      </c>
      <c r="AD271" s="6">
        <f>[1]Results!AG1639</f>
        <v>741298.69669999997</v>
      </c>
      <c r="AE271" s="6">
        <f>[1]Results!AH1639</f>
        <v>753155.01020000002</v>
      </c>
      <c r="AF271" s="6">
        <f>[1]Results!AI1639</f>
        <v>765081.60789999994</v>
      </c>
      <c r="AG271" s="6">
        <f>[1]Results!AJ1639</f>
        <v>777086.3591</v>
      </c>
      <c r="AH271" s="6">
        <f>[1]Results!AK1639</f>
        <v>789174.87</v>
      </c>
      <c r="AI271" s="6">
        <f>[1]Results!AL1639</f>
        <v>801349.80110000004</v>
      </c>
      <c r="AJ271" s="6">
        <f>[1]Results!AM1639</f>
        <v>813611.05669999996</v>
      </c>
      <c r="AK271" s="6">
        <f>[1]Results!AN1639</f>
        <v>825956.42440000002</v>
      </c>
      <c r="AL271" s="6">
        <f>[1]Results!AO1639</f>
        <v>838382.36239999998</v>
      </c>
      <c r="AM271" s="6">
        <f>[1]Results!AP1639</f>
        <v>850694.96979999996</v>
      </c>
      <c r="AN271" s="6">
        <f>[1]Results!AQ1639</f>
        <v>862930.71739999996</v>
      </c>
      <c r="AO271" s="6">
        <f>[1]Results!AR1639</f>
        <v>875116.26710000006</v>
      </c>
      <c r="AP271" s="6">
        <f>[1]Results!AS1639</f>
        <v>887268.72759999998</v>
      </c>
      <c r="AQ271" s="6">
        <f>[1]Results!AT1639</f>
        <v>899400.95730000001</v>
      </c>
      <c r="AR271" s="6">
        <f>[1]Results!AU1639</f>
        <v>911523.86580000003</v>
      </c>
      <c r="AS271" s="6">
        <f>[1]Results!AV1639</f>
        <v>923647.1298</v>
      </c>
      <c r="AT271" s="6">
        <f>[1]Results!AW1639</f>
        <v>935779.36780000001</v>
      </c>
      <c r="AU271" s="6">
        <f>[1]Results!AX1639</f>
        <v>947928.24890000001</v>
      </c>
      <c r="AV271" s="6">
        <f>[1]Results!AY1639</f>
        <v>960100.6888</v>
      </c>
      <c r="AW271" s="6">
        <f>[1]Results!AZ1639</f>
        <v>972320.42850000004</v>
      </c>
      <c r="AX271" s="6">
        <f>[1]Results!BA1639</f>
        <v>984590.03749999998</v>
      </c>
      <c r="AY271" s="6">
        <f>[1]Results!BB1639</f>
        <v>996913.12549999997</v>
      </c>
      <c r="AZ271" s="6">
        <f>[1]Results!BC1639</f>
        <v>1009294.171</v>
      </c>
      <c r="BA271" s="6">
        <f>[1]Results!BD1639</f>
        <v>1021738.414</v>
      </c>
      <c r="BB271" s="6">
        <f>[1]Results!BE1639</f>
        <v>1178106.1470000001</v>
      </c>
      <c r="BC271" s="6">
        <f>[1]Results!BF1639</f>
        <v>1199473.1200000001</v>
      </c>
      <c r="BD271" s="6">
        <f>[1]Results!BG1639</f>
        <v>1221043.7919999999</v>
      </c>
      <c r="BE271" s="6">
        <f>[1]Results!BH1639</f>
        <v>1242814.6680000001</v>
      </c>
      <c r="BF271" s="6">
        <f>[1]Results!BI1639</f>
        <v>1264783.2679999999</v>
      </c>
    </row>
    <row r="272" spans="1:58" x14ac:dyDescent="0.35">
      <c r="A272" t="s">
        <v>38</v>
      </c>
      <c r="B272" t="s">
        <v>7</v>
      </c>
      <c r="C272" s="6">
        <f>[1]Results!F1640</f>
        <v>4444.0176270000002</v>
      </c>
      <c r="D272" s="6">
        <f>[1]Results!G1640</f>
        <v>4488.0620570000001</v>
      </c>
      <c r="E272" s="6">
        <f>[1]Results!H1640</f>
        <v>4532.6467709999997</v>
      </c>
      <c r="F272" s="6">
        <f>[1]Results!I1640</f>
        <v>4582.237263</v>
      </c>
      <c r="G272" s="6">
        <f>[1]Results!J1640</f>
        <v>4637.9010760000001</v>
      </c>
      <c r="H272" s="6">
        <f>[1]Results!K1640</f>
        <v>4699.4452179999998</v>
      </c>
      <c r="I272" s="6">
        <f>[1]Results!L1640</f>
        <v>4764.3885300000002</v>
      </c>
      <c r="J272" s="6">
        <f>[1]Results!M1640</f>
        <v>4832.4695460000003</v>
      </c>
      <c r="K272" s="6">
        <f>[1]Results!N1640</f>
        <v>4903.4569199999996</v>
      </c>
      <c r="L272" s="6">
        <f>[1]Results!O1640</f>
        <v>4977.110111</v>
      </c>
      <c r="M272" s="6">
        <f>[1]Results!P1640</f>
        <v>5056.5187219999998</v>
      </c>
      <c r="N272" s="6">
        <f>[1]Results!Q1640</f>
        <v>5137.5110080000004</v>
      </c>
      <c r="O272" s="6">
        <f>[1]Results!R1640</f>
        <v>5219.9802669999999</v>
      </c>
      <c r="P272" s="6">
        <f>[1]Results!S1640</f>
        <v>5303.930257</v>
      </c>
      <c r="Q272" s="6">
        <f>[1]Results!T1640</f>
        <v>5389.3211110000002</v>
      </c>
      <c r="R272" s="6">
        <f>[1]Results!U1640</f>
        <v>5476.1104580000001</v>
      </c>
      <c r="S272" s="6">
        <f>[1]Results!V1640</f>
        <v>5564.2748140000003</v>
      </c>
      <c r="T272" s="6">
        <f>[1]Results!W1640</f>
        <v>5653.8114850000002</v>
      </c>
      <c r="U272" s="6">
        <f>[1]Results!X1640</f>
        <v>5744.7326750000002</v>
      </c>
      <c r="V272" s="6">
        <f>[1]Results!Y1640</f>
        <v>5837.0585549999996</v>
      </c>
      <c r="W272" s="6">
        <f>[1]Results!Z1640</f>
        <v>5928.3355840000004</v>
      </c>
      <c r="X272" s="6">
        <f>[1]Results!AA1640</f>
        <v>6021.5515089999999</v>
      </c>
      <c r="Y272" s="6">
        <f>[1]Results!AB1640</f>
        <v>6116.6896900000002</v>
      </c>
      <c r="Z272" s="6">
        <f>[1]Results!AC1640</f>
        <v>6213.6633670000001</v>
      </c>
      <c r="AA272" s="6">
        <f>[1]Results!AD1640</f>
        <v>6312.4292169999999</v>
      </c>
      <c r="AB272" s="6">
        <f>[1]Results!AE1640</f>
        <v>6405.7649449999999</v>
      </c>
      <c r="AC272" s="6">
        <f>[1]Results!AF1640</f>
        <v>6498.8306679999996</v>
      </c>
      <c r="AD272" s="6">
        <f>[1]Results!AG1640</f>
        <v>6592.1205040000004</v>
      </c>
      <c r="AE272" s="6">
        <f>[1]Results!AH1640</f>
        <v>6685.8917430000001</v>
      </c>
      <c r="AF272" s="6">
        <f>[1]Results!AI1640</f>
        <v>6780.4005049999996</v>
      </c>
      <c r="AG272" s="6">
        <f>[1]Results!AJ1640</f>
        <v>6875.8779510000004</v>
      </c>
      <c r="AH272" s="6">
        <f>[1]Results!AK1640</f>
        <v>6972.5078350000003</v>
      </c>
      <c r="AI272" s="6">
        <f>[1]Results!AL1640</f>
        <v>7070.4217200000003</v>
      </c>
      <c r="AJ272" s="6">
        <f>[1]Results!AM1640</f>
        <v>7169.7052439999998</v>
      </c>
      <c r="AK272" s="6">
        <f>[1]Results!AN1640</f>
        <v>7270.4089169999997</v>
      </c>
      <c r="AL272" s="6">
        <f>[1]Results!AO1640</f>
        <v>7372.5594639999999</v>
      </c>
      <c r="AM272" s="6">
        <f>[1]Results!AP1640</f>
        <v>7474.4116610000001</v>
      </c>
      <c r="AN272" s="6">
        <f>[1]Results!AQ1640</f>
        <v>7576.3010379999996</v>
      </c>
      <c r="AO272" s="6">
        <f>[1]Results!AR1640</f>
        <v>7678.5395339999995</v>
      </c>
      <c r="AP272" s="6">
        <f>[1]Results!AS1640</f>
        <v>7781.3699740000002</v>
      </c>
      <c r="AQ272" s="6">
        <f>[1]Results!AT1640</f>
        <v>7884.9984249999998</v>
      </c>
      <c r="AR272" s="6">
        <f>[1]Results!AU1640</f>
        <v>7989.6052259999997</v>
      </c>
      <c r="AS272" s="6">
        <f>[1]Results!AV1640</f>
        <v>8095.3451029999997</v>
      </c>
      <c r="AT272" s="6">
        <f>[1]Results!AW1640</f>
        <v>8202.3458279999995</v>
      </c>
      <c r="AU272" s="6">
        <f>[1]Results!AX1640</f>
        <v>8310.7088910000002</v>
      </c>
      <c r="AV272" s="6">
        <f>[1]Results!AY1640</f>
        <v>8420.5122219999994</v>
      </c>
      <c r="AW272" s="6">
        <f>[1]Results!AZ1640</f>
        <v>8531.9724740000001</v>
      </c>
      <c r="AX272" s="6">
        <f>[1]Results!BA1640</f>
        <v>8645.1093600000004</v>
      </c>
      <c r="AY272" s="6">
        <f>[1]Results!BB1640</f>
        <v>8759.9395199999999</v>
      </c>
      <c r="AZ272" s="6">
        <f>[1]Results!BC1640</f>
        <v>8876.4714619999995</v>
      </c>
      <c r="BA272" s="6">
        <f>[1]Results!BD1640</f>
        <v>8994.7104469999995</v>
      </c>
      <c r="BB272" s="6">
        <f>[1]Results!BE1640</f>
        <v>10203.664870000001</v>
      </c>
      <c r="BC272" s="6">
        <f>[1]Results!BF1640</f>
        <v>10378.79773</v>
      </c>
      <c r="BD272" s="6">
        <f>[1]Results!BG1640</f>
        <v>10556.48702</v>
      </c>
      <c r="BE272" s="6">
        <f>[1]Results!BH1640</f>
        <v>10736.797769999999</v>
      </c>
      <c r="BF272" s="6">
        <f>[1]Results!BI1640</f>
        <v>10919.79932</v>
      </c>
    </row>
    <row r="273" spans="1:58" x14ac:dyDescent="0.35">
      <c r="B273" t="s">
        <v>30</v>
      </c>
      <c r="C273" s="6">
        <f>[1]Results!F1643</f>
        <v>235100.95420000001</v>
      </c>
      <c r="D273" s="6">
        <f>[1]Results!G1643</f>
        <v>238344.5226</v>
      </c>
      <c r="E273" s="6">
        <f>[1]Results!H1643</f>
        <v>241920.59419999999</v>
      </c>
      <c r="F273" s="6">
        <f>[1]Results!I1643</f>
        <v>245745.02059999999</v>
      </c>
      <c r="G273" s="6">
        <f>[1]Results!J1643</f>
        <v>249762.5914</v>
      </c>
      <c r="H273" s="6">
        <f>[1]Results!K1643</f>
        <v>253946.9259</v>
      </c>
      <c r="I273" s="6">
        <f>[1]Results!L1643</f>
        <v>258201.81140000001</v>
      </c>
      <c r="J273" s="6">
        <f>[1]Results!M1643</f>
        <v>262543.01459999999</v>
      </c>
      <c r="K273" s="6">
        <f>[1]Results!N1643</f>
        <v>266988.00469999999</v>
      </c>
      <c r="L273" s="6">
        <f>[1]Results!O1643</f>
        <v>271550.33140000002</v>
      </c>
      <c r="M273" s="6">
        <f>[1]Results!P1643</f>
        <v>276394.68900000001</v>
      </c>
      <c r="N273" s="6">
        <f>[1]Results!Q1643</f>
        <v>281345.98479999998</v>
      </c>
      <c r="O273" s="6">
        <f>[1]Results!R1643</f>
        <v>286411.80930000002</v>
      </c>
      <c r="P273" s="6">
        <f>[1]Results!S1643</f>
        <v>291601.40600000002</v>
      </c>
      <c r="Q273" s="6">
        <f>[1]Results!T1643</f>
        <v>296920.24190000002</v>
      </c>
      <c r="R273" s="6">
        <f>[1]Results!U1643</f>
        <v>302371.5025</v>
      </c>
      <c r="S273" s="6">
        <f>[1]Results!V1643</f>
        <v>307957.24550000002</v>
      </c>
      <c r="T273" s="6">
        <f>[1]Results!W1643</f>
        <v>313678.9595</v>
      </c>
      <c r="U273" s="6">
        <f>[1]Results!X1643</f>
        <v>319537.72519999999</v>
      </c>
      <c r="V273" s="6">
        <f>[1]Results!Y1643</f>
        <v>325534.18520000001</v>
      </c>
      <c r="W273" s="6">
        <f>[1]Results!Z1643</f>
        <v>331551.12560000003</v>
      </c>
      <c r="X273" s="6">
        <f>[1]Results!AA1643</f>
        <v>337724.21899999998</v>
      </c>
      <c r="Y273" s="6">
        <f>[1]Results!AB1643</f>
        <v>344050.01890000002</v>
      </c>
      <c r="Z273" s="6">
        <f>[1]Results!AC1643</f>
        <v>350521.8898</v>
      </c>
      <c r="AA273" s="6">
        <f>[1]Results!AD1643</f>
        <v>357134.49540000001</v>
      </c>
      <c r="AB273" s="6">
        <f>[1]Results!AE1643</f>
        <v>363540.1017</v>
      </c>
      <c r="AC273" s="6">
        <f>[1]Results!AF1643</f>
        <v>369966.99890000001</v>
      </c>
      <c r="AD273" s="6">
        <f>[1]Results!AG1643</f>
        <v>376427.0282</v>
      </c>
      <c r="AE273" s="6">
        <f>[1]Results!AH1643</f>
        <v>382921.5368</v>
      </c>
      <c r="AF273" s="6">
        <f>[1]Results!AI1643</f>
        <v>389450.804</v>
      </c>
      <c r="AG273" s="6">
        <f>[1]Results!AJ1643</f>
        <v>396014.40879999998</v>
      </c>
      <c r="AH273" s="6">
        <f>[1]Results!AK1643</f>
        <v>402610.96629999997</v>
      </c>
      <c r="AI273" s="6">
        <f>[1]Results!AL1643</f>
        <v>409237.97979999997</v>
      </c>
      <c r="AJ273" s="6">
        <f>[1]Results!AM1643</f>
        <v>415891.91729999997</v>
      </c>
      <c r="AK273" s="6">
        <f>[1]Results!AN1643</f>
        <v>422568.46039999998</v>
      </c>
      <c r="AL273" s="6">
        <f>[1]Results!AO1643</f>
        <v>429262.83840000001</v>
      </c>
      <c r="AM273" s="6">
        <f>[1]Results!AP1643</f>
        <v>435885.40120000002</v>
      </c>
      <c r="AN273" s="6">
        <f>[1]Results!AQ1643</f>
        <v>442443.24699999997</v>
      </c>
      <c r="AO273" s="6">
        <f>[1]Results!AR1643</f>
        <v>448942.93089999998</v>
      </c>
      <c r="AP273" s="6">
        <f>[1]Results!AS1643</f>
        <v>455388.5552</v>
      </c>
      <c r="AQ273" s="6">
        <f>[1]Results!AT1643</f>
        <v>461783.05959999998</v>
      </c>
      <c r="AR273" s="6">
        <f>[1]Results!AU1643</f>
        <v>468128.98590000003</v>
      </c>
      <c r="AS273" s="6">
        <f>[1]Results!AV1643</f>
        <v>474428.79379999998</v>
      </c>
      <c r="AT273" s="6">
        <f>[1]Results!AW1643</f>
        <v>480684.96189999999</v>
      </c>
      <c r="AU273" s="6">
        <f>[1]Results!AX1643</f>
        <v>486900.03259999998</v>
      </c>
      <c r="AV273" s="6">
        <f>[1]Results!AY1643</f>
        <v>493076.67249999999</v>
      </c>
      <c r="AW273" s="6">
        <f>[1]Results!AZ1643</f>
        <v>499225.49550000002</v>
      </c>
      <c r="AX273" s="6">
        <f>[1]Results!BA1643</f>
        <v>505348.59840000002</v>
      </c>
      <c r="AY273" s="6">
        <f>[1]Results!BB1643</f>
        <v>511448.57020000002</v>
      </c>
      <c r="AZ273" s="6">
        <f>[1]Results!BC1643</f>
        <v>517528.63699999999</v>
      </c>
      <c r="BA273" s="6">
        <f>[1]Results!BD1643</f>
        <v>523592.67509999999</v>
      </c>
      <c r="BB273" s="6">
        <f>[1]Results!BE1643</f>
        <v>617696.26529999997</v>
      </c>
      <c r="BC273" s="6">
        <f>[1]Results!BF1643</f>
        <v>629357.23699999996</v>
      </c>
      <c r="BD273" s="6">
        <f>[1]Results!BG1643</f>
        <v>641083.97759999998</v>
      </c>
      <c r="BE273" s="6">
        <f>[1]Results!BH1643</f>
        <v>652870.74470000004</v>
      </c>
      <c r="BF273" s="6">
        <f>[1]Results!BI1643</f>
        <v>664712.53189999994</v>
      </c>
    </row>
    <row r="274" spans="1:58" x14ac:dyDescent="0.35">
      <c r="B274" t="s">
        <v>28</v>
      </c>
      <c r="C274" s="6">
        <f>[1]Results!F1655</f>
        <v>8024.1639029999997</v>
      </c>
      <c r="D274" s="6">
        <f>[1]Results!G1655</f>
        <v>8132.0422669999998</v>
      </c>
      <c r="E274" s="6">
        <f>[1]Results!H1655</f>
        <v>8248.5171609999998</v>
      </c>
      <c r="F274" s="6">
        <f>[1]Results!I1655</f>
        <v>8372.0966559999997</v>
      </c>
      <c r="G274" s="6">
        <f>[1]Results!J1655</f>
        <v>8501.6821049999999</v>
      </c>
      <c r="H274" s="6">
        <f>[1]Results!K1655</f>
        <v>8636.3994619999994</v>
      </c>
      <c r="I274" s="6">
        <f>[1]Results!L1655</f>
        <v>8771.289761</v>
      </c>
      <c r="J274" s="6">
        <f>[1]Results!M1655</f>
        <v>8907.7087539999993</v>
      </c>
      <c r="K274" s="6">
        <f>[1]Results!N1655</f>
        <v>9046.1770899999992</v>
      </c>
      <c r="L274" s="6">
        <f>[1]Results!O1655</f>
        <v>9186.8322270000008</v>
      </c>
      <c r="M274" s="6">
        <f>[1]Results!P1655</f>
        <v>9337.196242</v>
      </c>
      <c r="N274" s="6">
        <f>[1]Results!Q1655</f>
        <v>9486.3876639999999</v>
      </c>
      <c r="O274" s="6">
        <f>[1]Results!R1655</f>
        <v>9636.1222099999995</v>
      </c>
      <c r="P274" s="6">
        <f>[1]Results!S1655</f>
        <v>9787.2138720000003</v>
      </c>
      <c r="Q274" s="6">
        <f>[1]Results!T1655</f>
        <v>9939.9767809999994</v>
      </c>
      <c r="R274" s="6">
        <f>[1]Results!U1655</f>
        <v>10094.56666</v>
      </c>
      <c r="S274" s="6">
        <f>[1]Results!V1655</f>
        <v>10251.10512</v>
      </c>
      <c r="T274" s="6">
        <f>[1]Results!W1655</f>
        <v>10409.71551</v>
      </c>
      <c r="U274" s="6">
        <f>[1]Results!X1655</f>
        <v>10570.5272</v>
      </c>
      <c r="V274" s="6">
        <f>[1]Results!Y1655</f>
        <v>10733.67078</v>
      </c>
      <c r="W274" s="6">
        <f>[1]Results!Z1655</f>
        <v>10893.636490000001</v>
      </c>
      <c r="X274" s="6">
        <f>[1]Results!AA1655</f>
        <v>11058.68102</v>
      </c>
      <c r="Y274" s="6">
        <f>[1]Results!AB1655</f>
        <v>11227.617469999999</v>
      </c>
      <c r="Z274" s="6">
        <f>[1]Results!AC1655</f>
        <v>11399.929700000001</v>
      </c>
      <c r="AA274" s="6">
        <f>[1]Results!AD1655</f>
        <v>11575.47306</v>
      </c>
      <c r="AB274" s="6">
        <f>[1]Results!AE1655</f>
        <v>11737.84527</v>
      </c>
      <c r="AC274" s="6">
        <f>[1]Results!AF1655</f>
        <v>11902.896059999999</v>
      </c>
      <c r="AD274" s="6">
        <f>[1]Results!AG1655</f>
        <v>12070.222540000001</v>
      </c>
      <c r="AE274" s="6">
        <f>[1]Results!AH1655</f>
        <v>12239.661</v>
      </c>
      <c r="AF274" s="6">
        <f>[1]Results!AI1655</f>
        <v>12411.33244</v>
      </c>
      <c r="AG274" s="6">
        <f>[1]Results!AJ1655</f>
        <v>12585.427439999999</v>
      </c>
      <c r="AH274" s="6">
        <f>[1]Results!AK1655</f>
        <v>12762.11658</v>
      </c>
      <c r="AI274" s="6">
        <f>[1]Results!AL1655</f>
        <v>12941.522800000001</v>
      </c>
      <c r="AJ274" s="6">
        <f>[1]Results!AM1655</f>
        <v>13123.72055</v>
      </c>
      <c r="AK274" s="6">
        <f>[1]Results!AN1655</f>
        <v>13308.745269999999</v>
      </c>
      <c r="AL274" s="6">
        <f>[1]Results!AO1655</f>
        <v>13496.605729999999</v>
      </c>
      <c r="AM274" s="6">
        <f>[1]Results!AP1655</f>
        <v>13683.2808</v>
      </c>
      <c r="AN274" s="6">
        <f>[1]Results!AQ1655</f>
        <v>13870.48345</v>
      </c>
      <c r="AO274" s="6">
        <f>[1]Results!AR1655</f>
        <v>14059.033009999999</v>
      </c>
      <c r="AP274" s="6">
        <f>[1]Results!AS1655</f>
        <v>14249.32941</v>
      </c>
      <c r="AQ274" s="6">
        <f>[1]Results!AT1655</f>
        <v>14441.620199999999</v>
      </c>
      <c r="AR274" s="6">
        <f>[1]Results!AU1655</f>
        <v>14636.091119999999</v>
      </c>
      <c r="AS274" s="6">
        <f>[1]Results!AV1655</f>
        <v>14832.89234</v>
      </c>
      <c r="AT274" s="6">
        <f>[1]Results!AW1655</f>
        <v>15032.145490000001</v>
      </c>
      <c r="AU274" s="6">
        <f>[1]Results!AX1655</f>
        <v>15233.94686</v>
      </c>
      <c r="AV274" s="6">
        <f>[1]Results!AY1655</f>
        <v>15438.37138</v>
      </c>
      <c r="AW274" s="6">
        <f>[1]Results!AZ1655</f>
        <v>15645.845020000001</v>
      </c>
      <c r="AX274" s="6">
        <f>[1]Results!BA1655</f>
        <v>15856.25864</v>
      </c>
      <c r="AY274" s="6">
        <f>[1]Results!BB1655</f>
        <v>16069.578310000001</v>
      </c>
      <c r="AZ274" s="6">
        <f>[1]Results!BC1655</f>
        <v>16285.801589999999</v>
      </c>
      <c r="BA274" s="6">
        <f>[1]Results!BD1655</f>
        <v>16504.938399999999</v>
      </c>
      <c r="BB274" s="6">
        <f>[1]Results!BE1655</f>
        <v>18375.041580000001</v>
      </c>
      <c r="BC274" s="6">
        <f>[1]Results!BF1655</f>
        <v>18700.720560000002</v>
      </c>
      <c r="BD274" s="6">
        <f>[1]Results!BG1655</f>
        <v>19032.156940000001</v>
      </c>
      <c r="BE274" s="6">
        <f>[1]Results!BH1655</f>
        <v>19369.446889999999</v>
      </c>
      <c r="BF274" s="6">
        <f>[1]Results!BI1655</f>
        <v>19712.689709999999</v>
      </c>
    </row>
    <row r="275" spans="1:58" x14ac:dyDescent="0.35">
      <c r="B275" t="s">
        <v>10</v>
      </c>
      <c r="C275" s="6">
        <f>[1]Results!F1660</f>
        <v>219751.9693</v>
      </c>
      <c r="D275" s="6">
        <f>[1]Results!G1660</f>
        <v>222616.73790000001</v>
      </c>
      <c r="E275" s="6">
        <f>[1]Results!H1660</f>
        <v>225704.5876</v>
      </c>
      <c r="F275" s="6">
        <f>[1]Results!I1660</f>
        <v>229017.53779999999</v>
      </c>
      <c r="G275" s="6">
        <f>[1]Results!J1660</f>
        <v>232539.38320000001</v>
      </c>
      <c r="H275" s="6">
        <f>[1]Results!K1660</f>
        <v>236250.1574</v>
      </c>
      <c r="I275" s="6">
        <f>[1]Results!L1660</f>
        <v>240029.6177</v>
      </c>
      <c r="J275" s="6">
        <f>[1]Results!M1660</f>
        <v>243893.4762</v>
      </c>
      <c r="K275" s="6">
        <f>[1]Results!N1660</f>
        <v>247851.334</v>
      </c>
      <c r="L275" s="6">
        <f>[1]Results!O1660</f>
        <v>251906.64929999999</v>
      </c>
      <c r="M275" s="6">
        <f>[1]Results!P1660</f>
        <v>256240.83590000001</v>
      </c>
      <c r="N275" s="6">
        <f>[1]Results!Q1660</f>
        <v>260620.41329999999</v>
      </c>
      <c r="O275" s="6">
        <f>[1]Results!R1660</f>
        <v>265059.50229999999</v>
      </c>
      <c r="P275" s="6">
        <f>[1]Results!S1660</f>
        <v>269568.36979999999</v>
      </c>
      <c r="Q275" s="6">
        <f>[1]Results!T1660</f>
        <v>274150.20860000001</v>
      </c>
      <c r="R275" s="6">
        <f>[1]Results!U1660</f>
        <v>278805.63020000001</v>
      </c>
      <c r="S275" s="6">
        <f>[1]Results!V1660</f>
        <v>283534.80050000001</v>
      </c>
      <c r="T275" s="6">
        <f>[1]Results!W1660</f>
        <v>288338.07860000001</v>
      </c>
      <c r="U275" s="6">
        <f>[1]Results!X1660</f>
        <v>293216.03649999999</v>
      </c>
      <c r="V275" s="6">
        <f>[1]Results!Y1660</f>
        <v>298169.30599999998</v>
      </c>
      <c r="W275" s="6">
        <f>[1]Results!Z1660</f>
        <v>303062.07120000001</v>
      </c>
      <c r="X275" s="6">
        <f>[1]Results!AA1660</f>
        <v>308069.12119999999</v>
      </c>
      <c r="Y275" s="6">
        <f>[1]Results!AB1660</f>
        <v>313178.66519999999</v>
      </c>
      <c r="Z275" s="6">
        <f>[1]Results!AC1660</f>
        <v>318381.2635</v>
      </c>
      <c r="AA275" s="6">
        <f>[1]Results!AD1660</f>
        <v>323672.50180000003</v>
      </c>
      <c r="AB275" s="6">
        <f>[1]Results!AE1660</f>
        <v>328652.71100000001</v>
      </c>
      <c r="AC275" s="6">
        <f>[1]Results!AF1660</f>
        <v>333638.8849</v>
      </c>
      <c r="AD275" s="6">
        <f>[1]Results!AG1660</f>
        <v>338644.32669999998</v>
      </c>
      <c r="AE275" s="6">
        <f>[1]Results!AH1660</f>
        <v>343673.94640000002</v>
      </c>
      <c r="AF275" s="6">
        <f>[1]Results!AI1660</f>
        <v>348735.15139999997</v>
      </c>
      <c r="AG275" s="6">
        <f>[1]Results!AJ1660</f>
        <v>353835.6508</v>
      </c>
      <c r="AH275" s="6">
        <f>[1]Results!AK1660</f>
        <v>358981.92969999998</v>
      </c>
      <c r="AI275" s="6">
        <f>[1]Results!AL1660</f>
        <v>364178.7623</v>
      </c>
      <c r="AJ275" s="6">
        <f>[1]Results!AM1660</f>
        <v>369429.3248</v>
      </c>
      <c r="AK275" s="6">
        <f>[1]Results!AN1660</f>
        <v>374735.5638</v>
      </c>
      <c r="AL275" s="6">
        <f>[1]Results!AO1660</f>
        <v>380098.62239999999</v>
      </c>
      <c r="AM275" s="6">
        <f>[1]Results!AP1660</f>
        <v>385421.92349999998</v>
      </c>
      <c r="AN275" s="6">
        <f>[1]Results!AQ1660</f>
        <v>390732.23239999998</v>
      </c>
      <c r="AO275" s="6">
        <f>[1]Results!AR1660</f>
        <v>396048.08350000001</v>
      </c>
      <c r="AP275" s="6">
        <f>[1]Results!AS1660</f>
        <v>401381.58529999998</v>
      </c>
      <c r="AQ275" s="6">
        <f>[1]Results!AT1660</f>
        <v>406742.04149999999</v>
      </c>
      <c r="AR275" s="6">
        <f>[1]Results!AU1660</f>
        <v>412137.33720000001</v>
      </c>
      <c r="AS275" s="6">
        <f>[1]Results!AV1660</f>
        <v>417574.29239999998</v>
      </c>
      <c r="AT275" s="6">
        <f>[1]Results!AW1660</f>
        <v>423058.72230000002</v>
      </c>
      <c r="AU275" s="6">
        <f>[1]Results!AX1660</f>
        <v>428595.49570000003</v>
      </c>
      <c r="AV275" s="6">
        <f>[1]Results!AY1660</f>
        <v>434188.66710000002</v>
      </c>
      <c r="AW275" s="6">
        <f>[1]Results!AZ1660</f>
        <v>439850.54849999998</v>
      </c>
      <c r="AX275" s="6">
        <f>[1]Results!BA1660</f>
        <v>445581.87439999997</v>
      </c>
      <c r="AY275" s="6">
        <f>[1]Results!BB1660</f>
        <v>451383.82040000003</v>
      </c>
      <c r="AZ275" s="6">
        <f>[1]Results!BC1660</f>
        <v>457257.57059999998</v>
      </c>
      <c r="BA275" s="6">
        <f>[1]Results!BD1660</f>
        <v>463204.34389999998</v>
      </c>
      <c r="BB275" s="6">
        <f>[1]Results!BE1660</f>
        <v>521119.83889999997</v>
      </c>
      <c r="BC275" s="6">
        <f>[1]Results!BF1660</f>
        <v>530169.70979999995</v>
      </c>
      <c r="BD275" s="6">
        <f>[1]Results!BG1660</f>
        <v>539346.7709</v>
      </c>
      <c r="BE275" s="6">
        <f>[1]Results!BH1660</f>
        <v>548653.06019999995</v>
      </c>
      <c r="BF275" s="6">
        <f>[1]Results!BI1660</f>
        <v>558090.89249999996</v>
      </c>
    </row>
    <row r="276" spans="1:58" x14ac:dyDescent="0.35">
      <c r="B276" t="s">
        <v>31</v>
      </c>
      <c r="C276" s="6">
        <f>[1]Results!F1663</f>
        <v>2252.437441</v>
      </c>
      <c r="D276" s="6">
        <f>[1]Results!G1663</f>
        <v>2272.7715079999998</v>
      </c>
      <c r="E276" s="6">
        <f>[1]Results!H1663</f>
        <v>2289.9450120000001</v>
      </c>
      <c r="F276" s="6">
        <f>[1]Results!I1663</f>
        <v>2307.390758</v>
      </c>
      <c r="G276" s="6">
        <f>[1]Results!J1663</f>
        <v>2326.783179</v>
      </c>
      <c r="H276" s="6">
        <f>[1]Results!K1663</f>
        <v>2348.7159959999999</v>
      </c>
      <c r="I276" s="6">
        <f>[1]Results!L1663</f>
        <v>2372.2729730000001</v>
      </c>
      <c r="J276" s="6">
        <f>[1]Results!M1663</f>
        <v>2397.497034</v>
      </c>
      <c r="K276" s="6">
        <f>[1]Results!N1663</f>
        <v>2424.2398400000002</v>
      </c>
      <c r="L276" s="6">
        <f>[1]Results!O1663</f>
        <v>2452.285535</v>
      </c>
      <c r="M276" s="6">
        <f>[1]Results!P1663</f>
        <v>2483.0136819999998</v>
      </c>
      <c r="N276" s="6">
        <f>[1]Results!Q1663</f>
        <v>2514.1315129999998</v>
      </c>
      <c r="O276" s="6">
        <f>[1]Results!R1663</f>
        <v>2545.7482500000001</v>
      </c>
      <c r="P276" s="6">
        <f>[1]Results!S1663</f>
        <v>2577.9376149999998</v>
      </c>
      <c r="Q276" s="6">
        <f>[1]Results!T1663</f>
        <v>2610.6974580000001</v>
      </c>
      <c r="R276" s="6">
        <f>[1]Results!U1663</f>
        <v>2644.0019010000001</v>
      </c>
      <c r="S276" s="6">
        <f>[1]Results!V1663</f>
        <v>2677.82503</v>
      </c>
      <c r="T276" s="6">
        <f>[1]Results!W1663</f>
        <v>2712.1478350000002</v>
      </c>
      <c r="U276" s="6">
        <f>[1]Results!X1663</f>
        <v>2746.9588140000001</v>
      </c>
      <c r="V276" s="6">
        <f>[1]Results!Y1663</f>
        <v>2782.25272</v>
      </c>
      <c r="W276" s="6">
        <f>[1]Results!Z1663</f>
        <v>2816.859246</v>
      </c>
      <c r="X276" s="6">
        <f>[1]Results!AA1663</f>
        <v>2852.3653439999998</v>
      </c>
      <c r="Y276" s="6">
        <f>[1]Results!AB1663</f>
        <v>2888.605689</v>
      </c>
      <c r="Z276" s="6">
        <f>[1]Results!AC1663</f>
        <v>2925.467173</v>
      </c>
      <c r="AA276" s="6">
        <f>[1]Results!AD1663</f>
        <v>2962.910738</v>
      </c>
      <c r="AB276" s="6">
        <f>[1]Results!AE1663</f>
        <v>2997.546531</v>
      </c>
      <c r="AC276" s="6">
        <f>[1]Results!AF1663</f>
        <v>3032.3524750000001</v>
      </c>
      <c r="AD276" s="6">
        <f>[1]Results!AG1663</f>
        <v>3067.3839029999999</v>
      </c>
      <c r="AE276" s="6">
        <f>[1]Results!AH1663</f>
        <v>3102.6169890000001</v>
      </c>
      <c r="AF276" s="6">
        <f>[1]Results!AI1663</f>
        <v>3138.076834</v>
      </c>
      <c r="AG276" s="6">
        <f>[1]Results!AJ1663</f>
        <v>3173.8103420000002</v>
      </c>
      <c r="AH276" s="6">
        <f>[1]Results!AK1663</f>
        <v>3209.8672729999998</v>
      </c>
      <c r="AI276" s="6">
        <f>[1]Results!AL1663</f>
        <v>3246.2920389999999</v>
      </c>
      <c r="AJ276" s="6">
        <f>[1]Results!AM1663</f>
        <v>3283.1212180000002</v>
      </c>
      <c r="AK276" s="6">
        <f>[1]Results!AN1663</f>
        <v>3320.3836219999998</v>
      </c>
      <c r="AL276" s="6">
        <f>[1]Results!AO1663</f>
        <v>3358.1014140000002</v>
      </c>
      <c r="AM276" s="6">
        <f>[1]Results!AP1663</f>
        <v>3395.4739479999998</v>
      </c>
      <c r="AN276" s="6">
        <f>[1]Results!AQ1663</f>
        <v>3432.799223</v>
      </c>
      <c r="AO276" s="6">
        <f>[1]Results!AR1663</f>
        <v>3470.2532339999998</v>
      </c>
      <c r="AP276" s="6">
        <f>[1]Results!AS1663</f>
        <v>3507.9270780000002</v>
      </c>
      <c r="AQ276" s="6">
        <f>[1]Results!AT1663</f>
        <v>3545.878256</v>
      </c>
      <c r="AR276" s="6">
        <f>[1]Results!AU1663</f>
        <v>3584.1513730000001</v>
      </c>
      <c r="AS276" s="6">
        <f>[1]Results!AV1663</f>
        <v>3622.7845349999998</v>
      </c>
      <c r="AT276" s="6">
        <f>[1]Results!AW1663</f>
        <v>3661.810782</v>
      </c>
      <c r="AU276" s="6">
        <f>[1]Results!AX1663</f>
        <v>3701.2580630000002</v>
      </c>
      <c r="AV276" s="6">
        <f>[1]Results!AY1663</f>
        <v>3741.1482470000001</v>
      </c>
      <c r="AW276" s="6">
        <f>[1]Results!AZ1663</f>
        <v>3781.5656909999998</v>
      </c>
      <c r="AX276" s="6">
        <f>[1]Results!BA1663</f>
        <v>3822.4931489999999</v>
      </c>
      <c r="AY276" s="6">
        <f>[1]Results!BB1663</f>
        <v>3863.9172440000002</v>
      </c>
      <c r="AZ276" s="6">
        <f>[1]Results!BC1663</f>
        <v>3905.8592870000002</v>
      </c>
      <c r="BA276" s="6">
        <f>[1]Results!BD1663</f>
        <v>3948.349134</v>
      </c>
      <c r="BB276" s="6">
        <f>[1]Results!BE1663</f>
        <v>4416.6468480000003</v>
      </c>
      <c r="BC276" s="6">
        <f>[1]Results!BF1663</f>
        <v>4483.9938819999998</v>
      </c>
      <c r="BD276" s="6">
        <f>[1]Results!BG1663</f>
        <v>4552.3246609999997</v>
      </c>
      <c r="BE276" s="6">
        <f>[1]Results!BH1663</f>
        <v>4621.6617919999999</v>
      </c>
      <c r="BF276" s="6">
        <f>[1]Results!BI1663</f>
        <v>4692.0295589999996</v>
      </c>
    </row>
    <row r="277" spans="1:58" x14ac:dyDescent="0.35">
      <c r="B277" t="s">
        <v>33</v>
      </c>
      <c r="C277" s="6">
        <f>[1]Results!F1668</f>
        <v>3648.662045</v>
      </c>
      <c r="D277" s="6">
        <f>[1]Results!G1668</f>
        <v>3681.5816500000001</v>
      </c>
      <c r="E277" s="6">
        <f>[1]Results!H1668</f>
        <v>3707.9254270000001</v>
      </c>
      <c r="F277" s="6">
        <f>[1]Results!I1668</f>
        <v>3732.0385390000001</v>
      </c>
      <c r="G277" s="6">
        <f>[1]Results!J1668</f>
        <v>3756.3557019999998</v>
      </c>
      <c r="H277" s="6">
        <f>[1]Results!K1668</f>
        <v>3782.203626</v>
      </c>
      <c r="I277" s="6">
        <f>[1]Results!L1668</f>
        <v>3808.8024650000002</v>
      </c>
      <c r="J277" s="6">
        <f>[1]Results!M1668</f>
        <v>3836.4908</v>
      </c>
      <c r="K277" s="6">
        <f>[1]Results!N1668</f>
        <v>3865.3162649999999</v>
      </c>
      <c r="L277" s="6">
        <f>[1]Results!O1668</f>
        <v>3895.1027170000002</v>
      </c>
      <c r="M277" s="6">
        <f>[1]Results!P1668</f>
        <v>3927.9826189999999</v>
      </c>
      <c r="N277" s="6">
        <f>[1]Results!Q1668</f>
        <v>3960.8645139999999</v>
      </c>
      <c r="O277" s="6">
        <f>[1]Results!R1668</f>
        <v>3993.5854770000001</v>
      </c>
      <c r="P277" s="6">
        <f>[1]Results!S1668</f>
        <v>4026.2776800000001</v>
      </c>
      <c r="Q277" s="6">
        <f>[1]Results!T1668</f>
        <v>4059.034631</v>
      </c>
      <c r="R277" s="6">
        <f>[1]Results!U1668</f>
        <v>4091.9157759999998</v>
      </c>
      <c r="S277" s="6">
        <f>[1]Results!V1668</f>
        <v>4124.9725829999998</v>
      </c>
      <c r="T277" s="6">
        <f>[1]Results!W1668</f>
        <v>4158.2615859999996</v>
      </c>
      <c r="U277" s="6">
        <f>[1]Results!X1668</f>
        <v>4191.8480719999998</v>
      </c>
      <c r="V277" s="6">
        <f>[1]Results!Y1668</f>
        <v>4225.8053600000003</v>
      </c>
      <c r="W277" s="6">
        <f>[1]Results!Z1668</f>
        <v>4258.5247829999998</v>
      </c>
      <c r="X277" s="6">
        <f>[1]Results!AA1668</f>
        <v>4292.175064</v>
      </c>
      <c r="Y277" s="6">
        <f>[1]Results!AB1668</f>
        <v>4326.8575330000003</v>
      </c>
      <c r="Z277" s="6">
        <f>[1]Results!AC1668</f>
        <v>4362.5023799999999</v>
      </c>
      <c r="AA277" s="6">
        <f>[1]Results!AD1668</f>
        <v>4399.0929319999996</v>
      </c>
      <c r="AB277" s="6">
        <f>[1]Results!AE1668</f>
        <v>4431.861089</v>
      </c>
      <c r="AC277" s="6">
        <f>[1]Results!AF1668</f>
        <v>4464.500822</v>
      </c>
      <c r="AD277" s="6">
        <f>[1]Results!AG1668</f>
        <v>4497.6148249999997</v>
      </c>
      <c r="AE277" s="6">
        <f>[1]Results!AH1668</f>
        <v>4531.3573329999999</v>
      </c>
      <c r="AF277" s="6">
        <f>[1]Results!AI1668</f>
        <v>4565.8427430000002</v>
      </c>
      <c r="AG277" s="6">
        <f>[1]Results!AJ1668</f>
        <v>4601.1837420000002</v>
      </c>
      <c r="AH277" s="6">
        <f>[1]Results!AK1668</f>
        <v>4637.4823319999996</v>
      </c>
      <c r="AI277" s="6">
        <f>[1]Results!AL1668</f>
        <v>4674.8224049999999</v>
      </c>
      <c r="AJ277" s="6">
        <f>[1]Results!AM1668</f>
        <v>4713.267578</v>
      </c>
      <c r="AK277" s="6">
        <f>[1]Results!AN1668</f>
        <v>4752.8623749999997</v>
      </c>
      <c r="AL277" s="6">
        <f>[1]Results!AO1668</f>
        <v>4793.6350599999996</v>
      </c>
      <c r="AM277" s="6">
        <f>[1]Results!AP1668</f>
        <v>4834.4787130000004</v>
      </c>
      <c r="AN277" s="6">
        <f>[1]Results!AQ1668</f>
        <v>4875.6542929999996</v>
      </c>
      <c r="AO277" s="6">
        <f>[1]Results!AR1668</f>
        <v>4917.4267909999999</v>
      </c>
      <c r="AP277" s="6">
        <f>[1]Results!AS1668</f>
        <v>4959.9606510000003</v>
      </c>
      <c r="AQ277" s="6">
        <f>[1]Results!AT1668</f>
        <v>5003.3593769999998</v>
      </c>
      <c r="AR277" s="6">
        <f>[1]Results!AU1668</f>
        <v>5047.6949750000003</v>
      </c>
      <c r="AS277" s="6">
        <f>[1]Results!AV1668</f>
        <v>5093.021557</v>
      </c>
      <c r="AT277" s="6">
        <f>[1]Results!AW1668</f>
        <v>5139.381429</v>
      </c>
      <c r="AU277" s="6">
        <f>[1]Results!AX1668</f>
        <v>5186.8067769999998</v>
      </c>
      <c r="AV277" s="6">
        <f>[1]Results!AY1668</f>
        <v>5235.317368</v>
      </c>
      <c r="AW277" s="6">
        <f>[1]Results!AZ1668</f>
        <v>5285.0013680000002</v>
      </c>
      <c r="AX277" s="6">
        <f>[1]Results!BA1668</f>
        <v>5335.7035320000005</v>
      </c>
      <c r="AY277" s="6">
        <f>[1]Results!BB1668</f>
        <v>5387.2997949999999</v>
      </c>
      <c r="AZ277" s="6">
        <f>[1]Results!BC1668</f>
        <v>5439.8311320000003</v>
      </c>
      <c r="BA277" s="6">
        <f>[1]Results!BD1668</f>
        <v>5493.3967640000001</v>
      </c>
      <c r="BB277" s="6">
        <f>[1]Results!BE1668</f>
        <v>6294.689676</v>
      </c>
      <c r="BC277" s="6">
        <f>[1]Results!BF1668</f>
        <v>6382.6613719999996</v>
      </c>
      <c r="BD277" s="6">
        <f>[1]Results!BG1668</f>
        <v>6472.0753290000002</v>
      </c>
      <c r="BE277" s="6">
        <f>[1]Results!BH1668</f>
        <v>6562.95615</v>
      </c>
      <c r="BF277" s="6">
        <f>[1]Results!BI1668</f>
        <v>6655.3246710000003</v>
      </c>
    </row>
    <row r="279" spans="1:58" x14ac:dyDescent="0.35">
      <c r="A279" s="12" t="s">
        <v>21</v>
      </c>
      <c r="B279" t="s">
        <v>26</v>
      </c>
      <c r="C279" s="4">
        <f>C263/C271-1</f>
        <v>-9.5630903557907265E-3</v>
      </c>
      <c r="D279" s="4">
        <f t="shared" ref="D279:AK279" si="162">D263/D271-1</f>
        <v>-1.6065164931051035E-2</v>
      </c>
      <c r="E279" s="4">
        <f t="shared" si="162"/>
        <v>-2.0886139267803583E-2</v>
      </c>
      <c r="F279" s="4">
        <f t="shared" si="162"/>
        <v>-2.4898876150409199E-2</v>
      </c>
      <c r="G279" s="4">
        <f t="shared" si="162"/>
        <v>-2.8516847120305888E-2</v>
      </c>
      <c r="H279" s="4">
        <f t="shared" si="162"/>
        <v>-3.1934312933205589E-2</v>
      </c>
      <c r="I279" s="4">
        <f t="shared" si="162"/>
        <v>-3.5257326903397002E-2</v>
      </c>
      <c r="J279" s="4">
        <f t="shared" si="162"/>
        <v>-3.8523600413834846E-2</v>
      </c>
      <c r="K279" s="4">
        <f t="shared" si="162"/>
        <v>-4.1751071847530907E-2</v>
      </c>
      <c r="L279" s="4">
        <f t="shared" si="162"/>
        <v>-4.495074950517608E-2</v>
      </c>
      <c r="M279" s="4">
        <f t="shared" si="162"/>
        <v>-4.8783623124795117E-2</v>
      </c>
      <c r="N279" s="4">
        <f t="shared" si="162"/>
        <v>-5.1915399286354358E-2</v>
      </c>
      <c r="O279" s="4">
        <f t="shared" si="162"/>
        <v>-5.4659626369980674E-2</v>
      </c>
      <c r="P279" s="4">
        <f t="shared" si="162"/>
        <v>-5.7188900119342634E-2</v>
      </c>
      <c r="Q279" s="4">
        <f t="shared" si="162"/>
        <v>-5.9577554684096978E-2</v>
      </c>
      <c r="R279" s="4">
        <f t="shared" si="162"/>
        <v>-6.1856326689438301E-2</v>
      </c>
      <c r="S279" s="4">
        <f t="shared" si="162"/>
        <v>-6.4069513399972022E-2</v>
      </c>
      <c r="T279" s="4">
        <f t="shared" si="162"/>
        <v>-6.6213010281496842E-2</v>
      </c>
      <c r="U279" s="4">
        <f t="shared" si="162"/>
        <v>-6.8285024891010404E-2</v>
      </c>
      <c r="V279" s="4">
        <f t="shared" si="162"/>
        <v>-7.0285853643946794E-2</v>
      </c>
      <c r="W279" s="4">
        <f t="shared" si="162"/>
        <v>-7.2218737852178361E-2</v>
      </c>
      <c r="X279" s="4">
        <f t="shared" si="162"/>
        <v>-7.4081221868674607E-2</v>
      </c>
      <c r="Y279" s="4">
        <f t="shared" si="162"/>
        <v>-7.5874518065174201E-2</v>
      </c>
      <c r="Z279" s="4">
        <f t="shared" si="162"/>
        <v>-7.7600067232405423E-2</v>
      </c>
      <c r="AA279" s="4">
        <f t="shared" si="162"/>
        <v>-7.9258703589325519E-2</v>
      </c>
      <c r="AB279" s="4">
        <f t="shared" si="162"/>
        <v>-8.0856211212347984E-2</v>
      </c>
      <c r="AC279" s="4">
        <f t="shared" si="162"/>
        <v>-8.2372534757339744E-2</v>
      </c>
      <c r="AD279" s="4">
        <f t="shared" si="162"/>
        <v>-8.3811057643263687E-2</v>
      </c>
      <c r="AE279" s="4">
        <f t="shared" si="162"/>
        <v>-8.5175295033840248E-2</v>
      </c>
      <c r="AF279" s="4">
        <f t="shared" si="162"/>
        <v>-8.6468250859647822E-2</v>
      </c>
      <c r="AG279" s="4">
        <f t="shared" si="162"/>
        <v>-8.7692470729924032E-2</v>
      </c>
      <c r="AH279" s="4">
        <f t="shared" si="162"/>
        <v>-8.8842786263581885E-2</v>
      </c>
      <c r="AI279" s="4">
        <f>AI263/AI271-1</f>
        <v>-8.9923787216373952E-2</v>
      </c>
      <c r="AJ279" s="4">
        <f t="shared" si="162"/>
        <v>-9.093932560368545E-2</v>
      </c>
      <c r="AK279" s="4">
        <f t="shared" si="162"/>
        <v>-9.189288182501365E-2</v>
      </c>
      <c r="AL279" s="4">
        <f>AL263/AL271-1</f>
        <v>-9.2787836539534485E-2</v>
      </c>
      <c r="AM279" s="4">
        <f t="shared" ref="AM279:BC279" si="163">AM263/AM271-1</f>
        <v>-9.3562625295307011E-2</v>
      </c>
      <c r="AN279" s="4">
        <f t="shared" si="163"/>
        <v>-9.4241942673021328E-2</v>
      </c>
      <c r="AO279" s="4">
        <f t="shared" si="163"/>
        <v>-9.484322600360906E-2</v>
      </c>
      <c r="AP279" s="4">
        <f t="shared" si="163"/>
        <v>-9.5379204932546369E-2</v>
      </c>
      <c r="AQ279" s="4">
        <f t="shared" si="163"/>
        <v>-9.5859703617418024E-2</v>
      </c>
      <c r="AR279" s="4">
        <f t="shared" si="163"/>
        <v>-9.628189133915277E-2</v>
      </c>
      <c r="AS279" s="4">
        <f t="shared" si="163"/>
        <v>-9.6655307335097862E-2</v>
      </c>
      <c r="AT279" s="4">
        <f t="shared" si="163"/>
        <v>-9.6987542280796979E-2</v>
      </c>
      <c r="AU279" s="4">
        <f t="shared" si="163"/>
        <v>-9.7284899154565063E-2</v>
      </c>
      <c r="AV279" s="4">
        <f t="shared" si="163"/>
        <v>-9.7552912306586803E-2</v>
      </c>
      <c r="AW279" s="4">
        <f t="shared" si="163"/>
        <v>-9.7761041127811699E-2</v>
      </c>
      <c r="AX279" s="4">
        <f t="shared" si="163"/>
        <v>-9.7925106417705243E-2</v>
      </c>
      <c r="AY279" s="4">
        <f t="shared" si="163"/>
        <v>-9.8057515744886192E-2</v>
      </c>
      <c r="AZ279" s="4">
        <f t="shared" si="163"/>
        <v>-9.8167592805804449E-2</v>
      </c>
      <c r="BA279" s="4">
        <f t="shared" si="163"/>
        <v>-9.8262561360446199E-2</v>
      </c>
      <c r="BB279" s="4">
        <f t="shared" si="163"/>
        <v>-1.8968324761670097E-4</v>
      </c>
      <c r="BC279" s="4">
        <f t="shared" si="163"/>
        <v>3.056175197979627E-5</v>
      </c>
      <c r="BD279" s="4">
        <f t="shared" ref="BD279:BF279" si="164">BD263/BD271-1</f>
        <v>2.6725331404020558E-4</v>
      </c>
      <c r="BE279" s="4">
        <f t="shared" si="164"/>
        <v>5.1902589871888338E-4</v>
      </c>
      <c r="BF279" s="4">
        <f t="shared" si="164"/>
        <v>7.8444032673608E-4</v>
      </c>
    </row>
    <row r="280" spans="1:58" x14ac:dyDescent="0.35">
      <c r="A280" t="s">
        <v>88</v>
      </c>
      <c r="B280" t="s">
        <v>7</v>
      </c>
      <c r="C280" s="4">
        <f>(C264-C272)/C$271</f>
        <v>-1.1071130750374551E-4</v>
      </c>
      <c r="D280" s="4">
        <f t="shared" ref="D280:AL280" si="165">(D264-D272)/D$271</f>
        <v>-1.8260482527810383E-4</v>
      </c>
      <c r="E280" s="4">
        <f t="shared" si="165"/>
        <v>-2.3443446870352133E-4</v>
      </c>
      <c r="F280" s="4">
        <f t="shared" si="165"/>
        <v>-2.7577225453795617E-4</v>
      </c>
      <c r="G280" s="4">
        <f t="shared" si="165"/>
        <v>-3.1075600076440935E-4</v>
      </c>
      <c r="H280" s="4">
        <f t="shared" si="165"/>
        <v>-3.4134429746042661E-4</v>
      </c>
      <c r="I280" s="4">
        <f t="shared" si="165"/>
        <v>-3.6870941793369009E-4</v>
      </c>
      <c r="J280" s="4">
        <f t="shared" si="165"/>
        <v>-3.934288207986327E-4</v>
      </c>
      <c r="K280" s="4">
        <f t="shared" si="165"/>
        <v>-4.1594909909604922E-4</v>
      </c>
      <c r="L280" s="4">
        <f t="shared" si="165"/>
        <v>-4.3664571642484186E-4</v>
      </c>
      <c r="M280" s="4">
        <f t="shared" si="165"/>
        <v>-4.6350225781858345E-4</v>
      </c>
      <c r="N280" s="4">
        <f t="shared" si="165"/>
        <v>-4.8075010742342221E-4</v>
      </c>
      <c r="O280" s="4">
        <f t="shared" si="165"/>
        <v>-4.9274484692079558E-4</v>
      </c>
      <c r="P280" s="4">
        <f t="shared" si="165"/>
        <v>-5.0168071195348489E-4</v>
      </c>
      <c r="Q280" s="4">
        <f t="shared" si="165"/>
        <v>-5.0846564014154583E-4</v>
      </c>
      <c r="R280" s="4">
        <f t="shared" si="165"/>
        <v>-5.1354381216517592E-4</v>
      </c>
      <c r="S280" s="4">
        <f t="shared" si="165"/>
        <v>-5.1753336092807652E-4</v>
      </c>
      <c r="T280" s="4">
        <f t="shared" si="165"/>
        <v>-5.205697875105878E-4</v>
      </c>
      <c r="U280" s="4">
        <f t="shared" si="165"/>
        <v>-5.2282553311370106E-4</v>
      </c>
      <c r="V280" s="4">
        <f t="shared" si="165"/>
        <v>-5.2445076317280109E-4</v>
      </c>
      <c r="W280" s="4">
        <f t="shared" si="165"/>
        <v>-5.2553537285529269E-4</v>
      </c>
      <c r="X280" s="4">
        <f t="shared" si="165"/>
        <v>-5.2624494032857709E-4</v>
      </c>
      <c r="Y280" s="4">
        <f t="shared" si="165"/>
        <v>-5.2664154061685489E-4</v>
      </c>
      <c r="Z280" s="4">
        <f t="shared" si="165"/>
        <v>-5.2678761995137336E-4</v>
      </c>
      <c r="AA280" s="4">
        <f t="shared" si="165"/>
        <v>-5.2673439119017677E-4</v>
      </c>
      <c r="AB280" s="4">
        <f t="shared" si="165"/>
        <v>-5.2638691463505226E-4</v>
      </c>
      <c r="AC280" s="4">
        <f t="shared" si="165"/>
        <v>-5.2580690185490247E-4</v>
      </c>
      <c r="AD280" s="4">
        <f t="shared" si="165"/>
        <v>-5.2503275768945516E-4</v>
      </c>
      <c r="AE280" s="4">
        <f t="shared" si="165"/>
        <v>-5.2410056715307548E-4</v>
      </c>
      <c r="AF280" s="4">
        <f t="shared" si="165"/>
        <v>-5.230559065436389E-4</v>
      </c>
      <c r="AG280" s="4">
        <f t="shared" si="165"/>
        <v>-5.2193913617238881E-4</v>
      </c>
      <c r="AH280" s="4">
        <f t="shared" si="165"/>
        <v>-5.2070407031587366E-4</v>
      </c>
      <c r="AI280" s="4">
        <f t="shared" si="165"/>
        <v>-5.1939815350133243E-4</v>
      </c>
      <c r="AJ280" s="4">
        <f t="shared" si="165"/>
        <v>-5.1805057776570338E-4</v>
      </c>
      <c r="AK280" s="4">
        <f t="shared" si="165"/>
        <v>-5.1668741642152882E-4</v>
      </c>
      <c r="AL280" s="4">
        <f t="shared" si="165"/>
        <v>-5.1533154605400372E-4</v>
      </c>
      <c r="AM280" s="4">
        <f t="shared" ref="AM280:BC280" si="166">(AM264-AM272)/AM$271</f>
        <v>-5.1327772292183126E-4</v>
      </c>
      <c r="AN280" s="4">
        <f t="shared" si="166"/>
        <v>-5.1080142253839725E-4</v>
      </c>
      <c r="AO280" s="4">
        <f t="shared" si="166"/>
        <v>-5.0804015159416048E-4</v>
      </c>
      <c r="AP280" s="4">
        <f t="shared" si="166"/>
        <v>-5.0512363623171652E-4</v>
      </c>
      <c r="AQ280" s="4">
        <f t="shared" si="166"/>
        <v>-5.0216464229240366E-4</v>
      </c>
      <c r="AR280" s="4">
        <f t="shared" si="166"/>
        <v>-4.9914063369112878E-4</v>
      </c>
      <c r="AS280" s="4">
        <f t="shared" si="166"/>
        <v>-4.961490489330374E-4</v>
      </c>
      <c r="AT280" s="4">
        <f t="shared" si="166"/>
        <v>-4.9325150338070908E-4</v>
      </c>
      <c r="AU280" s="4">
        <f t="shared" si="166"/>
        <v>-4.9049583187287156E-4</v>
      </c>
      <c r="AV280" s="4">
        <f t="shared" si="166"/>
        <v>-4.8791716896433047E-4</v>
      </c>
      <c r="AW280" s="4">
        <f t="shared" si="166"/>
        <v>-4.8516666540448014E-4</v>
      </c>
      <c r="AX280" s="4">
        <f t="shared" si="166"/>
        <v>-4.8237601225982371E-4</v>
      </c>
      <c r="AY280" s="4">
        <f t="shared" si="166"/>
        <v>-4.7962394893756528E-4</v>
      </c>
      <c r="AZ280" s="4">
        <f t="shared" si="166"/>
        <v>-4.7697769276029987E-4</v>
      </c>
      <c r="BA280" s="4">
        <f t="shared" si="166"/>
        <v>-4.7448827151564879E-4</v>
      </c>
      <c r="BB280" s="4">
        <f t="shared" si="166"/>
        <v>9.4659051125381113E-5</v>
      </c>
      <c r="BC280" s="4">
        <f t="shared" si="166"/>
        <v>1.0198390273222677E-4</v>
      </c>
      <c r="BD280" s="4">
        <f t="shared" ref="BD280:BF280" si="167">(BD264-BD272)/BD$271</f>
        <v>1.0943101375679349E-4</v>
      </c>
      <c r="BE280" s="4">
        <f t="shared" si="167"/>
        <v>1.1697477004672881E-4</v>
      </c>
      <c r="BF280" s="4">
        <f t="shared" si="167"/>
        <v>1.2459345722464171E-4</v>
      </c>
    </row>
    <row r="281" spans="1:58" x14ac:dyDescent="0.35">
      <c r="B281" t="s">
        <v>30</v>
      </c>
      <c r="C281" s="4">
        <f t="shared" ref="C281:AL281" si="168">(C265-C273)/C$271</f>
        <v>-5.2176670420798149E-3</v>
      </c>
      <c r="D281" s="4">
        <f t="shared" si="168"/>
        <v>-8.6864082145388793E-3</v>
      </c>
      <c r="E281" s="4">
        <f t="shared" si="168"/>
        <v>-1.128480185242273E-2</v>
      </c>
      <c r="F281" s="4">
        <f t="shared" si="168"/>
        <v>-1.3480251105305509E-2</v>
      </c>
      <c r="G281" s="4">
        <f t="shared" si="168"/>
        <v>-1.5493601716282846E-2</v>
      </c>
      <c r="H281" s="4">
        <f t="shared" si="168"/>
        <v>-1.7434523837315252E-2</v>
      </c>
      <c r="I281" s="4">
        <f t="shared" si="168"/>
        <v>-1.9364825928683639E-2</v>
      </c>
      <c r="J281" s="4">
        <f t="shared" si="168"/>
        <v>-2.1305979567451255E-2</v>
      </c>
      <c r="K281" s="4">
        <f t="shared" si="168"/>
        <v>-2.3265366352707931E-2</v>
      </c>
      <c r="L281" s="4">
        <f t="shared" si="168"/>
        <v>-2.5244597184681673E-2</v>
      </c>
      <c r="M281" s="4">
        <f t="shared" si="168"/>
        <v>-2.7602404927493874E-2</v>
      </c>
      <c r="N281" s="4">
        <f t="shared" si="168"/>
        <v>-2.9593356779528308E-2</v>
      </c>
      <c r="O281" s="4">
        <f t="shared" si="168"/>
        <v>-3.1396729284660238E-2</v>
      </c>
      <c r="P281" s="4">
        <f t="shared" si="168"/>
        <v>-3.3103683570607237E-2</v>
      </c>
      <c r="Q281" s="4">
        <f t="shared" si="168"/>
        <v>-3.475230741278261E-2</v>
      </c>
      <c r="R281" s="4">
        <f t="shared" si="168"/>
        <v>-3.6356449561434113E-2</v>
      </c>
      <c r="S281" s="4">
        <f t="shared" si="168"/>
        <v>-3.793637396789952E-2</v>
      </c>
      <c r="T281" s="4">
        <f t="shared" si="168"/>
        <v>-3.9484875145194262E-2</v>
      </c>
      <c r="U281" s="4">
        <f t="shared" si="168"/>
        <v>-4.099633106953178E-2</v>
      </c>
      <c r="V281" s="4">
        <f t="shared" si="168"/>
        <v>-4.2466554251188796E-2</v>
      </c>
      <c r="W281" s="4">
        <f t="shared" si="168"/>
        <v>-4.389485873584785E-2</v>
      </c>
      <c r="X281" s="4">
        <f t="shared" si="168"/>
        <v>-4.5274652733074738E-2</v>
      </c>
      <c r="Y281" s="4">
        <f t="shared" si="168"/>
        <v>-4.6603683583879736E-2</v>
      </c>
      <c r="Z281" s="4">
        <f t="shared" si="168"/>
        <v>-4.7880573652353341E-2</v>
      </c>
      <c r="AA281" s="4">
        <f t="shared" si="168"/>
        <v>-4.9103982480417162E-2</v>
      </c>
      <c r="AB281" s="4">
        <f t="shared" si="168"/>
        <v>-5.0280455911131533E-2</v>
      </c>
      <c r="AC281" s="4">
        <f t="shared" si="168"/>
        <v>-5.1393151872856334E-2</v>
      </c>
      <c r="AD281" s="4">
        <f t="shared" si="168"/>
        <v>-5.2442053484052779E-2</v>
      </c>
      <c r="AE281" s="4">
        <f t="shared" si="168"/>
        <v>-5.3427772178418396E-2</v>
      </c>
      <c r="AF281" s="4">
        <f t="shared" si="168"/>
        <v>-5.4350880442854778E-2</v>
      </c>
      <c r="AG281" s="4">
        <f t="shared" si="168"/>
        <v>-5.5211987699399036E-2</v>
      </c>
      <c r="AH281" s="4">
        <f t="shared" si="168"/>
        <v>-5.6007780506239328E-2</v>
      </c>
      <c r="AI281" s="4">
        <f t="shared" si="168"/>
        <v>-5.6740575011793026E-2</v>
      </c>
      <c r="AJ281" s="4">
        <f t="shared" si="168"/>
        <v>-5.7412395905066603E-2</v>
      </c>
      <c r="AK281" s="4">
        <f t="shared" si="168"/>
        <v>-5.8025263178762887E-2</v>
      </c>
      <c r="AL281" s="4">
        <f t="shared" si="168"/>
        <v>-5.8581327569207003E-2</v>
      </c>
      <c r="AM281" s="4">
        <f t="shared" ref="AM281:BC281" si="169">(AM265-AM273)/AM$271</f>
        <v>-5.9048674417117787E-2</v>
      </c>
      <c r="AN281" s="4">
        <f t="shared" si="169"/>
        <v>-5.9441115567825518E-2</v>
      </c>
      <c r="AO281" s="4">
        <f t="shared" si="169"/>
        <v>-5.976775757274682E-2</v>
      </c>
      <c r="AP281" s="4">
        <f t="shared" si="169"/>
        <v>-6.0035567289839421E-2</v>
      </c>
      <c r="AQ281" s="4">
        <f t="shared" si="169"/>
        <v>-6.0250350480697663E-2</v>
      </c>
      <c r="AR281" s="4">
        <f t="shared" si="169"/>
        <v>-6.0411293950785351E-2</v>
      </c>
      <c r="AS281" s="4">
        <f t="shared" si="169"/>
        <v>-6.0524570040189379E-2</v>
      </c>
      <c r="AT281" s="4">
        <f t="shared" si="169"/>
        <v>-6.0595268020612159E-2</v>
      </c>
      <c r="AU281" s="4">
        <f t="shared" si="169"/>
        <v>-6.0627898964600621E-2</v>
      </c>
      <c r="AV281" s="4">
        <f t="shared" si="169"/>
        <v>-6.0626677263144156E-2</v>
      </c>
      <c r="AW281" s="4">
        <f t="shared" si="169"/>
        <v>-6.0576119531772242E-2</v>
      </c>
      <c r="AX281" s="4">
        <f t="shared" si="169"/>
        <v>-6.0486384517170172E-2</v>
      </c>
      <c r="AY281" s="4">
        <f t="shared" si="169"/>
        <v>-6.0365326787945886E-2</v>
      </c>
      <c r="AZ281" s="4">
        <f t="shared" si="169"/>
        <v>-6.0219332129680954E-2</v>
      </c>
      <c r="BA281" s="4">
        <f t="shared" si="169"/>
        <v>-6.0053837419878006E-2</v>
      </c>
      <c r="BB281" s="4">
        <f t="shared" si="169"/>
        <v>3.9656188976705569E-5</v>
      </c>
      <c r="BC281" s="4">
        <f t="shared" si="169"/>
        <v>2.122757031854655E-4</v>
      </c>
      <c r="BD281" s="4">
        <f t="shared" ref="BD281:BF281" si="170">(BD265-BD273)/BD$271</f>
        <v>3.9830307740515013E-4</v>
      </c>
      <c r="BE281" s="4">
        <f t="shared" si="170"/>
        <v>5.9690661777737962E-4</v>
      </c>
      <c r="BF281" s="4">
        <f t="shared" si="170"/>
        <v>8.0713243591082643E-4</v>
      </c>
    </row>
    <row r="282" spans="1:58" x14ac:dyDescent="0.35">
      <c r="B282" t="s">
        <v>28</v>
      </c>
      <c r="C282" s="4">
        <f t="shared" ref="C282:AL282" si="171">(C266-C274)/C$271</f>
        <v>-3.0970358238969705E-4</v>
      </c>
      <c r="D282" s="4">
        <f t="shared" si="171"/>
        <v>-4.6115914769043366E-4</v>
      </c>
      <c r="E282" s="4">
        <f t="shared" si="171"/>
        <v>-5.5222264744834233E-4</v>
      </c>
      <c r="F282" s="4">
        <f t="shared" si="171"/>
        <v>-6.2130444225182288E-4</v>
      </c>
      <c r="G282" s="4">
        <f t="shared" si="171"/>
        <v>-6.814103180098509E-4</v>
      </c>
      <c r="H282" s="4">
        <f t="shared" si="171"/>
        <v>-7.371161046032152E-4</v>
      </c>
      <c r="I282" s="4">
        <f t="shared" si="171"/>
        <v>-7.9052923168205407E-4</v>
      </c>
      <c r="J282" s="4">
        <f t="shared" si="171"/>
        <v>-8.4229843409919572E-4</v>
      </c>
      <c r="K282" s="4">
        <f t="shared" si="171"/>
        <v>-8.9282751276040305E-4</v>
      </c>
      <c r="L282" s="4">
        <f t="shared" si="171"/>
        <v>-9.4245492127070665E-4</v>
      </c>
      <c r="M282" s="4">
        <f t="shared" si="171"/>
        <v>-1.0136826262459029E-3</v>
      </c>
      <c r="N282" s="4">
        <f t="shared" si="171"/>
        <v>-1.0574233763178933E-3</v>
      </c>
      <c r="O282" s="4">
        <f t="shared" si="171"/>
        <v>-1.0903653254264929E-3</v>
      </c>
      <c r="P282" s="4">
        <f t="shared" si="171"/>
        <v>-1.1192030035835976E-3</v>
      </c>
      <c r="Q282" s="4">
        <f t="shared" si="171"/>
        <v>-1.1462922936811418E-3</v>
      </c>
      <c r="R282" s="4">
        <f t="shared" si="171"/>
        <v>-1.1724987017152019E-3</v>
      </c>
      <c r="S282" s="4">
        <f t="shared" si="171"/>
        <v>-1.1992032516294369E-3</v>
      </c>
      <c r="T282" s="4">
        <f t="shared" si="171"/>
        <v>-1.2260314348865773E-3</v>
      </c>
      <c r="U282" s="4">
        <f t="shared" si="171"/>
        <v>-1.2528775642263992E-3</v>
      </c>
      <c r="V282" s="4">
        <f t="shared" si="171"/>
        <v>-1.2797371214791052E-3</v>
      </c>
      <c r="W282" s="4">
        <f t="shared" si="171"/>
        <v>-1.3063938247926607E-3</v>
      </c>
      <c r="X282" s="4">
        <f t="shared" si="171"/>
        <v>-1.3333084321159811E-3</v>
      </c>
      <c r="Y282" s="4">
        <f t="shared" si="171"/>
        <v>-1.3603071363480093E-3</v>
      </c>
      <c r="Z282" s="4">
        <f t="shared" si="171"/>
        <v>-1.3873193824452644E-3</v>
      </c>
      <c r="AA282" s="4">
        <f t="shared" si="171"/>
        <v>-1.4143007817297268E-3</v>
      </c>
      <c r="AB282" s="4">
        <f t="shared" si="171"/>
        <v>-1.4404923108915675E-3</v>
      </c>
      <c r="AC282" s="4">
        <f t="shared" si="171"/>
        <v>-1.4665201696329887E-3</v>
      </c>
      <c r="AD282" s="4">
        <f t="shared" si="171"/>
        <v>-1.4924290099591648E-3</v>
      </c>
      <c r="AE282" s="4">
        <f t="shared" si="171"/>
        <v>-1.5182360131898395E-3</v>
      </c>
      <c r="AF282" s="4">
        <f t="shared" si="171"/>
        <v>-1.5439492177080202E-3</v>
      </c>
      <c r="AG282" s="4">
        <f t="shared" si="171"/>
        <v>-1.5695709051084272E-3</v>
      </c>
      <c r="AH282" s="4">
        <f t="shared" si="171"/>
        <v>-1.5948627456928519E-3</v>
      </c>
      <c r="AI282" s="4">
        <f t="shared" si="171"/>
        <v>-1.6199557898661102E-3</v>
      </c>
      <c r="AJ282" s="4">
        <f t="shared" si="171"/>
        <v>-1.6449103892813399E-3</v>
      </c>
      <c r="AK282" s="4">
        <f t="shared" si="171"/>
        <v>-1.6697608847850002E-3</v>
      </c>
      <c r="AL282" s="4">
        <f t="shared" si="171"/>
        <v>-1.694534682162345E-3</v>
      </c>
      <c r="AM282" s="4">
        <f t="shared" ref="AM282:BC282" si="172">(AM266-AM274)/AM$271</f>
        <v>-1.7169667176278173E-3</v>
      </c>
      <c r="AN282" s="4">
        <f t="shared" si="172"/>
        <v>-1.7384282072144942E-3</v>
      </c>
      <c r="AO282" s="4">
        <f t="shared" si="172"/>
        <v>-1.7594929929739826E-3</v>
      </c>
      <c r="AP282" s="4">
        <f t="shared" si="172"/>
        <v>-1.7804181313512573E-3</v>
      </c>
      <c r="AQ282" s="4">
        <f t="shared" si="172"/>
        <v>-1.8013423900099278E-3</v>
      </c>
      <c r="AR282" s="4">
        <f t="shared" si="172"/>
        <v>-1.8220143567413761E-3</v>
      </c>
      <c r="AS282" s="4">
        <f t="shared" si="172"/>
        <v>-1.842668715236016E-3</v>
      </c>
      <c r="AT282" s="4">
        <f t="shared" si="172"/>
        <v>-1.863421592740956E-3</v>
      </c>
      <c r="AU282" s="4">
        <f t="shared" si="172"/>
        <v>-1.8843361004092559E-3</v>
      </c>
      <c r="AV282" s="4">
        <f t="shared" si="172"/>
        <v>-1.9054517316163398E-3</v>
      </c>
      <c r="AW282" s="4">
        <f t="shared" si="172"/>
        <v>-1.9256772305900401E-3</v>
      </c>
      <c r="AX282" s="4">
        <f t="shared" si="172"/>
        <v>-1.9456139175082802E-3</v>
      </c>
      <c r="AY282" s="4">
        <f t="shared" si="172"/>
        <v>-1.9655321410451225E-3</v>
      </c>
      <c r="AZ282" s="4">
        <f t="shared" si="172"/>
        <v>-1.9855550419105696E-3</v>
      </c>
      <c r="BA282" s="4">
        <f t="shared" si="172"/>
        <v>-2.0057430961972229E-3</v>
      </c>
      <c r="BB282" s="4">
        <f t="shared" si="172"/>
        <v>-5.9952501037244454E-5</v>
      </c>
      <c r="BC282" s="4">
        <f t="shared" si="172"/>
        <v>-6.0984718023528869E-5</v>
      </c>
      <c r="BD282" s="4">
        <f t="shared" ref="BD282:BF282" si="173">(BD266-BD274)/BD$271</f>
        <v>-6.1930063848194579E-5</v>
      </c>
      <c r="BE282" s="4">
        <f t="shared" si="173"/>
        <v>-6.2801415214710579E-5</v>
      </c>
      <c r="BF282" s="4">
        <f t="shared" si="173"/>
        <v>-6.36110091234999E-5</v>
      </c>
    </row>
    <row r="283" spans="1:58" x14ac:dyDescent="0.35">
      <c r="B283" t="s">
        <v>10</v>
      </c>
      <c r="C283" s="4">
        <f t="shared" ref="C283:AL283" si="174">(C267-C275)/C$271</f>
        <v>-3.7944762162993445E-3</v>
      </c>
      <c r="D283" s="4">
        <f t="shared" si="174"/>
        <v>-6.5283378953640446E-3</v>
      </c>
      <c r="E283" s="4">
        <f t="shared" si="174"/>
        <v>-8.5573113089310229E-3</v>
      </c>
      <c r="F283" s="4">
        <f t="shared" si="174"/>
        <v>-1.0223420904551717E-2</v>
      </c>
      <c r="G283" s="4">
        <f t="shared" si="174"/>
        <v>-1.1698068589191006E-2</v>
      </c>
      <c r="H283" s="4">
        <f t="shared" si="174"/>
        <v>-1.3057748026152151E-2</v>
      </c>
      <c r="I283" s="4">
        <f t="shared" si="174"/>
        <v>-1.4342173882804078E-2</v>
      </c>
      <c r="J283" s="4">
        <f t="shared" si="174"/>
        <v>-1.5565618196739042E-2</v>
      </c>
      <c r="K283" s="4">
        <f t="shared" si="174"/>
        <v>-1.6737288674402169E-2</v>
      </c>
      <c r="L283" s="4">
        <f t="shared" si="174"/>
        <v>-1.7865497857356531E-2</v>
      </c>
      <c r="M283" s="4">
        <f t="shared" si="174"/>
        <v>-1.9212378331810994E-2</v>
      </c>
      <c r="N283" s="4">
        <f t="shared" si="174"/>
        <v>-2.0272900578254198E-2</v>
      </c>
      <c r="O283" s="4">
        <f t="shared" si="174"/>
        <v>-2.1155641594536305E-2</v>
      </c>
      <c r="P283" s="4">
        <f t="shared" si="174"/>
        <v>-2.1930280142101719E-2</v>
      </c>
      <c r="Q283" s="4">
        <f t="shared" si="174"/>
        <v>-2.2628491169278547E-2</v>
      </c>
      <c r="R283" s="4">
        <f t="shared" si="174"/>
        <v>-2.326517892729759E-2</v>
      </c>
      <c r="S283" s="4">
        <f t="shared" si="174"/>
        <v>-2.3861600632697863E-2</v>
      </c>
      <c r="T283" s="4">
        <f t="shared" si="174"/>
        <v>-2.442093623777529E-2</v>
      </c>
      <c r="U283" s="4">
        <f t="shared" si="174"/>
        <v>-2.4946763371482605E-2</v>
      </c>
      <c r="V283" s="4">
        <f t="shared" si="174"/>
        <v>-2.5443238359036408E-2</v>
      </c>
      <c r="W283" s="4">
        <f t="shared" si="174"/>
        <v>-2.5914335954461139E-2</v>
      </c>
      <c r="X283" s="4">
        <f t="shared" si="174"/>
        <v>-2.6363330411527715E-2</v>
      </c>
      <c r="Y283" s="4">
        <f t="shared" si="174"/>
        <v>-2.6793762320419846E-2</v>
      </c>
      <c r="Z283" s="4">
        <f t="shared" si="174"/>
        <v>-2.7208437716530118E-2</v>
      </c>
      <c r="AA283" s="4">
        <f t="shared" si="174"/>
        <v>-2.7609518601702646E-2</v>
      </c>
      <c r="AB283" s="4">
        <f t="shared" si="174"/>
        <v>-2.7997335263510101E-2</v>
      </c>
      <c r="AC283" s="4">
        <f t="shared" si="174"/>
        <v>-2.8367853970628479E-2</v>
      </c>
      <c r="AD283" s="4">
        <f t="shared" si="174"/>
        <v>-2.8724374796273652E-2</v>
      </c>
      <c r="AE283" s="4">
        <f t="shared" si="174"/>
        <v>-2.9069781523707913E-2</v>
      </c>
      <c r="AF283" s="4">
        <f t="shared" si="174"/>
        <v>-2.9406494376140603E-2</v>
      </c>
      <c r="AG283" s="4">
        <f t="shared" si="174"/>
        <v>-2.973644502879038E-2</v>
      </c>
      <c r="AH283" s="4">
        <f t="shared" si="174"/>
        <v>-3.0058174432239529E-2</v>
      </c>
      <c r="AI283" s="4">
        <f t="shared" si="174"/>
        <v>-3.0373768442431563E-2</v>
      </c>
      <c r="AJ283" s="4">
        <f t="shared" si="174"/>
        <v>-3.068497139316222E-2</v>
      </c>
      <c r="AK283" s="4">
        <f t="shared" si="174"/>
        <v>-3.0993197877958189E-2</v>
      </c>
      <c r="AL283" s="4">
        <f t="shared" si="174"/>
        <v>-3.1299640923839141E-2</v>
      </c>
      <c r="AM283" s="4">
        <f t="shared" ref="AM283:BC283" si="175">(AM267-AM275)/AM$271</f>
        <v>-3.1578383032305507E-2</v>
      </c>
      <c r="AN283" s="4">
        <f t="shared" si="175"/>
        <v>-3.1838288921710353E-2</v>
      </c>
      <c r="AO283" s="4">
        <f t="shared" si="175"/>
        <v>-3.2086813896228646E-2</v>
      </c>
      <c r="AP283" s="4">
        <f t="shared" si="175"/>
        <v>-3.2329277261456332E-2</v>
      </c>
      <c r="AQ283" s="4">
        <f t="shared" si="175"/>
        <v>-3.2569412520904374E-2</v>
      </c>
      <c r="AR283" s="4">
        <f t="shared" si="175"/>
        <v>-3.2805551803907602E-2</v>
      </c>
      <c r="AS283" s="4">
        <f t="shared" si="175"/>
        <v>-3.3040642162346257E-2</v>
      </c>
      <c r="AT283" s="4">
        <f t="shared" si="175"/>
        <v>-3.3276947079106167E-2</v>
      </c>
      <c r="AU283" s="4">
        <f t="shared" si="175"/>
        <v>-3.3516105292639743E-2</v>
      </c>
      <c r="AV283" s="4">
        <f t="shared" si="175"/>
        <v>-3.3759334076211567E-2</v>
      </c>
      <c r="AW283" s="4">
        <f t="shared" si="175"/>
        <v>-3.3993387499828685E-2</v>
      </c>
      <c r="AX283" s="4">
        <f t="shared" si="175"/>
        <v>-3.4223159707727546E-2</v>
      </c>
      <c r="AY283" s="4">
        <f t="shared" si="175"/>
        <v>-3.4452876104699312E-2</v>
      </c>
      <c r="AZ283" s="4">
        <f t="shared" si="175"/>
        <v>-3.4685164450434541E-2</v>
      </c>
      <c r="BA283" s="4">
        <f t="shared" si="175"/>
        <v>-3.4921540005835583E-2</v>
      </c>
      <c r="BB283" s="4">
        <f t="shared" si="175"/>
        <v>-3.6476619793068907E-4</v>
      </c>
      <c r="BC283" s="4">
        <f t="shared" si="175"/>
        <v>-3.3238468903742707E-4</v>
      </c>
      <c r="BD283" s="4">
        <f t="shared" ref="BD283:BF283" si="176">(BD267-BD275)/BD$271</f>
        <v>-2.9733831200710003E-4</v>
      </c>
      <c r="BE283" s="4">
        <f t="shared" si="176"/>
        <v>-2.6009050932757728E-4</v>
      </c>
      <c r="BF283" s="4">
        <f t="shared" si="176"/>
        <v>-2.21071551999681E-4</v>
      </c>
    </row>
    <row r="284" spans="1:58" x14ac:dyDescent="0.35">
      <c r="B284" t="s">
        <v>31</v>
      </c>
      <c r="C284" s="4">
        <f t="shared" ref="C284:AL284" si="177">(C268-C276)/C$271</f>
        <v>-6.7858500075940631E-5</v>
      </c>
      <c r="D284" s="4">
        <f t="shared" si="177"/>
        <v>-1.0633986809716583E-4</v>
      </c>
      <c r="E284" s="4">
        <f t="shared" si="177"/>
        <v>-1.3189944466603898E-4</v>
      </c>
      <c r="F284" s="4">
        <f t="shared" si="177"/>
        <v>-1.5289484245056015E-4</v>
      </c>
      <c r="G284" s="4">
        <f t="shared" si="177"/>
        <v>-1.7191001476994866E-4</v>
      </c>
      <c r="H284" s="4">
        <f t="shared" si="177"/>
        <v>-1.8982361502699555E-4</v>
      </c>
      <c r="I284" s="4">
        <f t="shared" si="177"/>
        <v>-2.0701535126613864E-4</v>
      </c>
      <c r="J284" s="4">
        <f t="shared" si="177"/>
        <v>-2.2356270424509335E-4</v>
      </c>
      <c r="K284" s="4">
        <f t="shared" si="177"/>
        <v>-2.3949253446478491E-4</v>
      </c>
      <c r="L284" s="4">
        <f t="shared" si="177"/>
        <v>-2.5483270095038734E-4</v>
      </c>
      <c r="M284" s="4">
        <f t="shared" si="177"/>
        <v>-2.7444188566831229E-4</v>
      </c>
      <c r="N284" s="4">
        <f t="shared" si="177"/>
        <v>-2.8812374173029436E-4</v>
      </c>
      <c r="O284" s="4">
        <f t="shared" si="177"/>
        <v>-2.9872603467966102E-4</v>
      </c>
      <c r="P284" s="4">
        <f t="shared" si="177"/>
        <v>-3.0768917399470421E-4</v>
      </c>
      <c r="Q284" s="4">
        <f t="shared" si="177"/>
        <v>-3.1557912215237998E-4</v>
      </c>
      <c r="R284" s="4">
        <f t="shared" si="177"/>
        <v>-3.2264568558727205E-4</v>
      </c>
      <c r="S284" s="4">
        <f t="shared" si="177"/>
        <v>-3.292257158898732E-4</v>
      </c>
      <c r="T284" s="4">
        <f t="shared" si="177"/>
        <v>-3.3533336941776417E-4</v>
      </c>
      <c r="U284" s="4">
        <f t="shared" si="177"/>
        <v>-3.410220995416571E-4</v>
      </c>
      <c r="V284" s="4">
        <f t="shared" si="177"/>
        <v>-3.4636145065628231E-4</v>
      </c>
      <c r="W284" s="4">
        <f t="shared" si="177"/>
        <v>-3.5137822612844291E-4</v>
      </c>
      <c r="X284" s="4">
        <f t="shared" si="177"/>
        <v>-3.5621437286241953E-4</v>
      </c>
      <c r="Y284" s="4">
        <f t="shared" si="177"/>
        <v>-3.6088981327284824E-4</v>
      </c>
      <c r="Z284" s="4">
        <f t="shared" si="177"/>
        <v>-3.6543269480535405E-4</v>
      </c>
      <c r="AA284" s="4">
        <f t="shared" si="177"/>
        <v>-3.6987267577640639E-4</v>
      </c>
      <c r="AB284" s="4">
        <f t="shared" si="177"/>
        <v>-3.74106104738277E-4</v>
      </c>
      <c r="AC284" s="4">
        <f t="shared" si="177"/>
        <v>-3.7827318226753796E-4</v>
      </c>
      <c r="AD284" s="4">
        <f t="shared" si="177"/>
        <v>-3.8240480424683821E-4</v>
      </c>
      <c r="AE284" s="4">
        <f t="shared" si="177"/>
        <v>-3.8651124012664803E-4</v>
      </c>
      <c r="AF284" s="4">
        <f t="shared" si="177"/>
        <v>-3.9059772305892319E-4</v>
      </c>
      <c r="AG284" s="4">
        <f t="shared" si="177"/>
        <v>-3.9466896878128499E-4</v>
      </c>
      <c r="AH284" s="4">
        <f t="shared" si="177"/>
        <v>-3.986866218890113E-4</v>
      </c>
      <c r="AI284" s="4">
        <f t="shared" si="177"/>
        <v>-4.0267942733254871E-4</v>
      </c>
      <c r="AJ284" s="4">
        <f t="shared" si="177"/>
        <v>-4.0666499708348923E-4</v>
      </c>
      <c r="AK284" s="4">
        <f t="shared" si="177"/>
        <v>-4.10654264535072E-4</v>
      </c>
      <c r="AL284" s="4">
        <f t="shared" si="177"/>
        <v>-4.146555051621396E-4</v>
      </c>
      <c r="AM284" s="4">
        <f t="shared" ref="AM284:BC284" si="178">(AM268-AM276)/AM$271</f>
        <v>-4.1825734797003831E-4</v>
      </c>
      <c r="AN284" s="4">
        <f t="shared" si="178"/>
        <v>-4.2169840134607294E-4</v>
      </c>
      <c r="AO284" s="4">
        <f t="shared" si="178"/>
        <v>-4.2508153257479281E-4</v>
      </c>
      <c r="AP284" s="4">
        <f t="shared" si="178"/>
        <v>-4.2844509129524741E-4</v>
      </c>
      <c r="AQ284" s="4">
        <f t="shared" si="178"/>
        <v>-4.3180798602425501E-4</v>
      </c>
      <c r="AR284" s="4">
        <f t="shared" si="178"/>
        <v>-4.3512356931203489E-4</v>
      </c>
      <c r="AS284" s="4">
        <f t="shared" si="178"/>
        <v>-4.3843593070839391E-4</v>
      </c>
      <c r="AT284" s="4">
        <f t="shared" si="178"/>
        <v>-4.4177121576413527E-4</v>
      </c>
      <c r="AU284" s="4">
        <f t="shared" si="178"/>
        <v>-4.4514598387553127E-4</v>
      </c>
      <c r="AV284" s="4">
        <f t="shared" si="178"/>
        <v>-4.4857145404018575E-4</v>
      </c>
      <c r="AW284" s="4">
        <f t="shared" si="178"/>
        <v>-4.5184809464280415E-4</v>
      </c>
      <c r="AX284" s="4">
        <f t="shared" si="178"/>
        <v>-4.5507763935708119E-4</v>
      </c>
      <c r="AY284" s="4">
        <f t="shared" si="178"/>
        <v>-4.5830057235012332E-4</v>
      </c>
      <c r="AZ284" s="4">
        <f t="shared" si="178"/>
        <v>-4.6155840921823806E-4</v>
      </c>
      <c r="BA284" s="4">
        <f t="shared" si="178"/>
        <v>-4.6488890648678304E-4</v>
      </c>
      <c r="BB284" s="4">
        <f t="shared" si="178"/>
        <v>8.4037079555275743E-6</v>
      </c>
      <c r="BC284" s="4">
        <f t="shared" si="178"/>
        <v>9.3309894264240709E-6</v>
      </c>
      <c r="BD284" s="4">
        <f t="shared" ref="BD284:BF284" si="179">(BD268-BD276)/BD$271</f>
        <v>1.0286919340891557E-5</v>
      </c>
      <c r="BE284" s="4">
        <f t="shared" si="179"/>
        <v>1.1269072019030989E-5</v>
      </c>
      <c r="BF284" s="4">
        <f t="shared" si="179"/>
        <v>1.227595699028493E-5</v>
      </c>
    </row>
    <row r="285" spans="1:58" x14ac:dyDescent="0.35">
      <c r="B285" t="s">
        <v>33</v>
      </c>
      <c r="C285" s="4">
        <f t="shared" ref="C285:AL285" si="180">(C269-C277)/C$271</f>
        <v>-6.2673772950567539E-5</v>
      </c>
      <c r="D285" s="4">
        <f t="shared" si="180"/>
        <v>-1.0031490709520006E-4</v>
      </c>
      <c r="E285" s="4">
        <f t="shared" si="180"/>
        <v>-1.2546957852624008E-4</v>
      </c>
      <c r="F285" s="4">
        <f t="shared" si="180"/>
        <v>-1.4523244333890868E-4</v>
      </c>
      <c r="G285" s="4">
        <f t="shared" si="180"/>
        <v>-1.6110075246093082E-4</v>
      </c>
      <c r="H285" s="4">
        <f t="shared" si="180"/>
        <v>-1.7375692511253598E-4</v>
      </c>
      <c r="I285" s="4">
        <f t="shared" si="180"/>
        <v>-1.8407297711635177E-4</v>
      </c>
      <c r="J285" s="4">
        <f t="shared" si="180"/>
        <v>-1.92712694301079E-4</v>
      </c>
      <c r="K285" s="4">
        <f t="shared" si="180"/>
        <v>-2.0014759747541552E-4</v>
      </c>
      <c r="L285" s="4">
        <f t="shared" si="180"/>
        <v>-2.0672116677396686E-4</v>
      </c>
      <c r="M285" s="4">
        <f t="shared" si="180"/>
        <v>-2.172131264743801E-4</v>
      </c>
      <c r="N285" s="4">
        <f t="shared" si="180"/>
        <v>-2.2284464804434132E-4</v>
      </c>
      <c r="O285" s="4">
        <f t="shared" si="180"/>
        <v>-2.2541924709957548E-4</v>
      </c>
      <c r="P285" s="4">
        <f t="shared" si="180"/>
        <v>-2.2636350680801573E-4</v>
      </c>
      <c r="Q285" s="4">
        <f t="shared" si="180"/>
        <v>-2.2641936136965295E-4</v>
      </c>
      <c r="R285" s="4">
        <f t="shared" si="180"/>
        <v>-2.2600999626787733E-4</v>
      </c>
      <c r="S285" s="4">
        <f t="shared" si="180"/>
        <v>-2.2557628040765259E-4</v>
      </c>
      <c r="T285" s="4">
        <f t="shared" si="180"/>
        <v>-2.2526424590765958E-4</v>
      </c>
      <c r="U285" s="4">
        <f t="shared" si="180"/>
        <v>-2.2520521066196221E-4</v>
      </c>
      <c r="V285" s="4">
        <f t="shared" si="180"/>
        <v>-2.2551176947979614E-4</v>
      </c>
      <c r="W285" s="4">
        <f t="shared" si="180"/>
        <v>-2.2623573201870884E-4</v>
      </c>
      <c r="X285" s="4">
        <f t="shared" si="180"/>
        <v>-2.2747085787292126E-4</v>
      </c>
      <c r="Y285" s="4">
        <f t="shared" si="180"/>
        <v>-2.2923389064653565E-4</v>
      </c>
      <c r="Z285" s="4">
        <f t="shared" si="180"/>
        <v>-2.3151625135847591E-4</v>
      </c>
      <c r="AA285" s="4">
        <f t="shared" si="180"/>
        <v>-2.3429468966833445E-4</v>
      </c>
      <c r="AB285" s="4">
        <f t="shared" si="180"/>
        <v>-2.3743471301432501E-4</v>
      </c>
      <c r="AC285" s="4">
        <f t="shared" si="180"/>
        <v>-2.4092866284117169E-4</v>
      </c>
      <c r="AD285" s="4">
        <f t="shared" si="180"/>
        <v>-2.4476273303557239E-4</v>
      </c>
      <c r="AE285" s="4">
        <f t="shared" si="180"/>
        <v>-2.4889358559829683E-4</v>
      </c>
      <c r="AF285" s="4">
        <f t="shared" si="180"/>
        <v>-2.5327319334191489E-4</v>
      </c>
      <c r="AG285" s="4">
        <f t="shared" si="180"/>
        <v>-2.5785892218217938E-4</v>
      </c>
      <c r="AH285" s="4">
        <f t="shared" si="180"/>
        <v>-2.625778745336876E-4</v>
      </c>
      <c r="AI285" s="4">
        <f t="shared" si="180"/>
        <v>-2.6741039269723274E-4</v>
      </c>
      <c r="AJ285" s="4">
        <f t="shared" si="180"/>
        <v>-2.7233227126816133E-4</v>
      </c>
      <c r="AK285" s="4">
        <f t="shared" si="180"/>
        <v>-2.773182824582916E-4</v>
      </c>
      <c r="AL285" s="4">
        <f t="shared" si="180"/>
        <v>-2.8234629163997215E-4</v>
      </c>
      <c r="AM285" s="4">
        <f t="shared" ref="AM285:BC285" si="181">(AM269-AM277)/AM$271</f>
        <v>-2.8706616668653165E-4</v>
      </c>
      <c r="AN285" s="4">
        <f t="shared" si="181"/>
        <v>-2.9161020801088861E-4</v>
      </c>
      <c r="AO285" s="4">
        <f t="shared" si="181"/>
        <v>-2.9603967922858435E-4</v>
      </c>
      <c r="AP285" s="4">
        <f t="shared" si="181"/>
        <v>-3.0037349870415983E-4</v>
      </c>
      <c r="AQ285" s="4">
        <f t="shared" si="181"/>
        <v>-3.0462562750932466E-4</v>
      </c>
      <c r="AR285" s="4">
        <f t="shared" si="181"/>
        <v>-3.087670345888164E-4</v>
      </c>
      <c r="AS285" s="4">
        <f t="shared" si="181"/>
        <v>-3.1284137380751457E-4</v>
      </c>
      <c r="AT285" s="4">
        <f t="shared" si="181"/>
        <v>-3.1688282965368478E-4</v>
      </c>
      <c r="AU285" s="4">
        <f t="shared" si="181"/>
        <v>-3.2091698960655315E-4</v>
      </c>
      <c r="AV285" s="4">
        <f t="shared" si="181"/>
        <v>-3.249607261400396E-4</v>
      </c>
      <c r="AW285" s="4">
        <f t="shared" si="181"/>
        <v>-3.2884212408584612E-4</v>
      </c>
      <c r="AX285" s="4">
        <f t="shared" si="181"/>
        <v>-3.3249452211728313E-4</v>
      </c>
      <c r="AY285" s="4">
        <f t="shared" si="181"/>
        <v>-3.35856266143624E-4</v>
      </c>
      <c r="AZ285" s="4">
        <f t="shared" si="181"/>
        <v>-3.3900519673168744E-4</v>
      </c>
      <c r="BA285" s="4">
        <f t="shared" si="181"/>
        <v>-3.4206341976685223E-4</v>
      </c>
      <c r="BB285" s="4">
        <f t="shared" si="181"/>
        <v>9.2316250345479334E-5</v>
      </c>
      <c r="BC285" s="4">
        <f t="shared" si="181"/>
        <v>1.0033992508310688E-4</v>
      </c>
      <c r="BD285" s="4">
        <f t="shared" ref="BD285:BF285" si="182">(BD269-BD277)/BD$271</f>
        <v>1.085000512414055E-4</v>
      </c>
      <c r="BE285" s="4">
        <f t="shared" si="182"/>
        <v>1.1676775366156194E-4</v>
      </c>
      <c r="BF285" s="4">
        <f t="shared" si="182"/>
        <v>1.2512125437130579E-4</v>
      </c>
    </row>
    <row r="287" spans="1:58" x14ac:dyDescent="0.35">
      <c r="A287" s="12" t="s">
        <v>21</v>
      </c>
      <c r="C287" s="7" t="s">
        <v>15</v>
      </c>
      <c r="D287" s="7" t="s">
        <v>16</v>
      </c>
      <c r="E287" s="7" t="s">
        <v>17</v>
      </c>
    </row>
    <row r="288" spans="1:58" x14ac:dyDescent="0.35">
      <c r="A288" t="s">
        <v>88</v>
      </c>
      <c r="B288" t="s">
        <v>26</v>
      </c>
      <c r="C288" s="4">
        <f>R279</f>
        <v>-6.1856326689438301E-2</v>
      </c>
      <c r="D288" s="4">
        <f>AB279</f>
        <v>-8.0856211212347984E-2</v>
      </c>
      <c r="E288" s="4">
        <f>AL279</f>
        <v>-9.2787836539534485E-2</v>
      </c>
    </row>
    <row r="289" spans="1:58" x14ac:dyDescent="0.35">
      <c r="B289" t="s">
        <v>7</v>
      </c>
      <c r="C289" s="4">
        <f t="shared" ref="C289:C294" si="183">R280</f>
        <v>-5.1354381216517592E-4</v>
      </c>
      <c r="D289" s="4">
        <f t="shared" ref="D289:D294" si="184">AB280</f>
        <v>-5.2638691463505226E-4</v>
      </c>
      <c r="E289" s="4">
        <f t="shared" ref="E289:E294" si="185">AL280</f>
        <v>-5.1533154605400372E-4</v>
      </c>
    </row>
    <row r="290" spans="1:58" x14ac:dyDescent="0.35">
      <c r="B290" t="s">
        <v>30</v>
      </c>
      <c r="C290" s="4">
        <f t="shared" si="183"/>
        <v>-3.6356449561434113E-2</v>
      </c>
      <c r="D290" s="4">
        <f t="shared" si="184"/>
        <v>-5.0280455911131533E-2</v>
      </c>
      <c r="E290" s="4">
        <f t="shared" si="185"/>
        <v>-5.8581327569207003E-2</v>
      </c>
    </row>
    <row r="291" spans="1:58" x14ac:dyDescent="0.35">
      <c r="B291" t="s">
        <v>28</v>
      </c>
      <c r="C291" s="4">
        <f t="shared" si="183"/>
        <v>-1.1724987017152019E-3</v>
      </c>
      <c r="D291" s="4">
        <f t="shared" si="184"/>
        <v>-1.4404923108915675E-3</v>
      </c>
      <c r="E291" s="4">
        <f t="shared" si="185"/>
        <v>-1.694534682162345E-3</v>
      </c>
    </row>
    <row r="292" spans="1:58" x14ac:dyDescent="0.35">
      <c r="B292" t="s">
        <v>10</v>
      </c>
      <c r="C292" s="4">
        <f t="shared" si="183"/>
        <v>-2.326517892729759E-2</v>
      </c>
      <c r="D292" s="4">
        <f t="shared" si="184"/>
        <v>-2.7997335263510101E-2</v>
      </c>
      <c r="E292" s="4">
        <f t="shared" si="185"/>
        <v>-3.1299640923839141E-2</v>
      </c>
    </row>
    <row r="293" spans="1:58" x14ac:dyDescent="0.35">
      <c r="B293" t="s">
        <v>31</v>
      </c>
      <c r="C293" s="4">
        <f t="shared" si="183"/>
        <v>-3.2264568558727205E-4</v>
      </c>
      <c r="D293" s="4">
        <f t="shared" si="184"/>
        <v>-3.74106104738277E-4</v>
      </c>
      <c r="E293" s="4">
        <f t="shared" si="185"/>
        <v>-4.146555051621396E-4</v>
      </c>
    </row>
    <row r="294" spans="1:58" x14ac:dyDescent="0.35">
      <c r="B294" t="s">
        <v>33</v>
      </c>
      <c r="C294" s="4">
        <f t="shared" si="183"/>
        <v>-2.2600999626787733E-4</v>
      </c>
      <c r="D294" s="4">
        <f t="shared" si="184"/>
        <v>-2.3743471301432501E-4</v>
      </c>
      <c r="E294" s="4">
        <f t="shared" si="185"/>
        <v>-2.8234629163997215E-4</v>
      </c>
    </row>
    <row r="295" spans="1:58" x14ac:dyDescent="0.35">
      <c r="C295" s="4"/>
      <c r="D295" s="4"/>
      <c r="E295" s="4"/>
    </row>
    <row r="296" spans="1:58" x14ac:dyDescent="0.35">
      <c r="A296" s="12" t="s">
        <v>89</v>
      </c>
      <c r="C296" s="2">
        <v>42005</v>
      </c>
      <c r="D296" s="2">
        <v>42370</v>
      </c>
      <c r="E296" s="2">
        <v>42736</v>
      </c>
      <c r="F296" s="2">
        <v>43101</v>
      </c>
      <c r="G296" s="2">
        <v>43466</v>
      </c>
      <c r="H296" s="2">
        <v>43831</v>
      </c>
      <c r="I296" s="2">
        <v>44197</v>
      </c>
      <c r="J296" s="2">
        <v>44562</v>
      </c>
      <c r="K296" s="2">
        <v>44927</v>
      </c>
      <c r="L296" s="2">
        <v>45292</v>
      </c>
      <c r="M296" s="2">
        <v>45658</v>
      </c>
      <c r="N296" s="2">
        <v>46023</v>
      </c>
      <c r="O296" s="2">
        <v>46388</v>
      </c>
      <c r="P296" s="2">
        <v>46753</v>
      </c>
      <c r="Q296" s="2">
        <v>47119</v>
      </c>
      <c r="R296" s="2">
        <v>47484</v>
      </c>
      <c r="S296" s="2">
        <v>47849</v>
      </c>
      <c r="T296" s="2">
        <v>48214</v>
      </c>
      <c r="U296" s="2">
        <v>48580</v>
      </c>
      <c r="V296" s="2">
        <v>48945</v>
      </c>
      <c r="W296" s="2">
        <v>49310</v>
      </c>
      <c r="X296" s="2">
        <v>49675</v>
      </c>
      <c r="Y296" s="2">
        <v>50041</v>
      </c>
      <c r="Z296" s="2">
        <v>50406</v>
      </c>
      <c r="AA296" s="2">
        <v>50771</v>
      </c>
      <c r="AB296" s="2">
        <v>51136</v>
      </c>
      <c r="AC296" s="2">
        <v>51502</v>
      </c>
      <c r="AD296" s="2">
        <v>51867</v>
      </c>
      <c r="AE296" s="2">
        <v>52232</v>
      </c>
      <c r="AF296" s="2">
        <v>52597</v>
      </c>
      <c r="AG296" s="2">
        <v>52963</v>
      </c>
      <c r="AH296" s="2">
        <v>53328</v>
      </c>
      <c r="AI296" s="2">
        <v>53693</v>
      </c>
      <c r="AJ296" s="2">
        <v>54058</v>
      </c>
      <c r="AK296" s="2">
        <v>54424</v>
      </c>
      <c r="AL296" s="2">
        <v>54789</v>
      </c>
      <c r="AM296" s="2">
        <v>54790</v>
      </c>
      <c r="AN296" s="2">
        <v>54791</v>
      </c>
      <c r="AO296" s="2">
        <v>54792</v>
      </c>
      <c r="AP296" s="2">
        <v>54793</v>
      </c>
      <c r="AQ296" s="2">
        <v>54794</v>
      </c>
      <c r="AR296" s="2">
        <v>54795</v>
      </c>
      <c r="AS296" s="2">
        <v>54796</v>
      </c>
      <c r="AT296" s="2">
        <v>54797</v>
      </c>
      <c r="AU296" s="2">
        <v>54798</v>
      </c>
      <c r="AV296" s="2">
        <v>54799</v>
      </c>
      <c r="AW296" s="2">
        <v>54800</v>
      </c>
      <c r="AX296" s="2">
        <v>54801</v>
      </c>
      <c r="AY296" s="2">
        <v>54802</v>
      </c>
      <c r="AZ296" s="2">
        <v>54803</v>
      </c>
      <c r="BA296" s="2">
        <v>54804</v>
      </c>
      <c r="BB296" s="2">
        <v>54805</v>
      </c>
      <c r="BC296" s="2">
        <v>54806</v>
      </c>
      <c r="BD296" s="2">
        <v>54807</v>
      </c>
      <c r="BE296" s="2">
        <v>54808</v>
      </c>
      <c r="BF296" s="2">
        <v>54809</v>
      </c>
    </row>
    <row r="297" spans="1:58" x14ac:dyDescent="0.35">
      <c r="A297" t="s">
        <v>39</v>
      </c>
      <c r="B297" t="s">
        <v>56</v>
      </c>
      <c r="C297" s="6">
        <f>[1]Results!F3</f>
        <v>32317.940999999999</v>
      </c>
      <c r="D297" s="6">
        <f>[1]Results!G3</f>
        <v>31912.30229</v>
      </c>
      <c r="E297" s="6">
        <f>[1]Results!H3</f>
        <v>31694.233929999999</v>
      </c>
      <c r="F297" s="6">
        <f>[1]Results!I3</f>
        <v>31605.742480000001</v>
      </c>
      <c r="G297" s="6">
        <f>[1]Results!J3</f>
        <v>31608.614860000001</v>
      </c>
      <c r="H297" s="6">
        <f>[1]Results!K3</f>
        <v>31678.15496</v>
      </c>
      <c r="I297" s="6">
        <f>[1]Results!L3</f>
        <v>31794.35455</v>
      </c>
      <c r="J297" s="6">
        <f>[1]Results!M3</f>
        <v>31946.479370000001</v>
      </c>
      <c r="K297" s="6">
        <f>[1]Results!N3</f>
        <v>32127.03672</v>
      </c>
      <c r="L297" s="6">
        <f>[1]Results!O3</f>
        <v>32330.53414</v>
      </c>
      <c r="M297" s="6">
        <f>[1]Results!P3</f>
        <v>32556.542369999999</v>
      </c>
      <c r="N297" s="6">
        <f>[1]Results!Q3</f>
        <v>32798.115140000002</v>
      </c>
      <c r="O297" s="6">
        <f>[1]Results!R3</f>
        <v>33053.818160000003</v>
      </c>
      <c r="P297" s="6">
        <f>[1]Results!S3</f>
        <v>33321.793870000001</v>
      </c>
      <c r="Q297" s="6">
        <f>[1]Results!T3</f>
        <v>33600.195160000003</v>
      </c>
      <c r="R297" s="6">
        <f>[1]Results!U3</f>
        <v>33887.265379999997</v>
      </c>
      <c r="S297" s="6">
        <f>[1]Results!V3</f>
        <v>34181.205690000003</v>
      </c>
      <c r="T297" s="6">
        <f>[1]Results!W3</f>
        <v>34480.40324</v>
      </c>
      <c r="U297" s="6">
        <f>[1]Results!X3</f>
        <v>34783.413099999998</v>
      </c>
      <c r="V297" s="6">
        <f>[1]Results!Y3</f>
        <v>35088.94255</v>
      </c>
      <c r="W297" s="6">
        <f>[1]Results!Z3</f>
        <v>35391.037349999999</v>
      </c>
      <c r="X297" s="6">
        <f>[1]Results!AA3</f>
        <v>35693.90436</v>
      </c>
      <c r="Y297" s="6">
        <f>[1]Results!AB3</f>
        <v>35996.794130000002</v>
      </c>
      <c r="Z297" s="6">
        <f>[1]Results!AC3</f>
        <v>36299.150710000002</v>
      </c>
      <c r="AA297" s="6">
        <f>[1]Results!AD3</f>
        <v>36600.505440000001</v>
      </c>
      <c r="AB297" s="6">
        <f>[1]Results!AE3</f>
        <v>36886.885779999997</v>
      </c>
      <c r="AC297" s="6">
        <f>[1]Results!AF3</f>
        <v>37166.283609999999</v>
      </c>
      <c r="AD297" s="6">
        <f>[1]Results!AG3</f>
        <v>37439.148650000003</v>
      </c>
      <c r="AE297" s="6">
        <f>[1]Results!AH3</f>
        <v>37706.201560000001</v>
      </c>
      <c r="AF297" s="6">
        <f>[1]Results!AI3</f>
        <v>37968.237050000003</v>
      </c>
      <c r="AG297" s="6">
        <f>[1]Results!AJ3</f>
        <v>38226.022570000001</v>
      </c>
      <c r="AH297" s="6">
        <f>[1]Results!AK3</f>
        <v>38480.288489999999</v>
      </c>
      <c r="AI297" s="6">
        <f>[1]Results!AL3</f>
        <v>38731.651169999997</v>
      </c>
      <c r="AJ297" s="6">
        <f>[1]Results!AM3</f>
        <v>38980.628170000004</v>
      </c>
      <c r="AK297" s="6">
        <f>[1]Results!AN3</f>
        <v>39227.664169999996</v>
      </c>
      <c r="AL297" s="6">
        <f>[1]Results!AO3</f>
        <v>39473.150849999998</v>
      </c>
      <c r="AM297" s="6">
        <f>[1]Results!AP3</f>
        <v>39714.7232</v>
      </c>
      <c r="AN297" s="6">
        <f>[1]Results!AQ3</f>
        <v>39953.07116</v>
      </c>
      <c r="AO297" s="6">
        <f>[1]Results!AR3</f>
        <v>40188.76425</v>
      </c>
      <c r="AP297" s="6">
        <f>[1]Results!AS3</f>
        <v>40422.387190000001</v>
      </c>
      <c r="AQ297" s="6">
        <f>[1]Results!AT3</f>
        <v>40654.541870000001</v>
      </c>
      <c r="AR297" s="6">
        <f>[1]Results!AU3</f>
        <v>40885.868219999997</v>
      </c>
      <c r="AS297" s="6">
        <f>[1]Results!AV3</f>
        <v>41116.913910000003</v>
      </c>
      <c r="AT297" s="6">
        <f>[1]Results!AW3</f>
        <v>41348.127489999999</v>
      </c>
      <c r="AU297" s="6">
        <f>[1]Results!AX3</f>
        <v>41579.87111</v>
      </c>
      <c r="AV297" s="6">
        <f>[1]Results!AY3</f>
        <v>41812.431349999999</v>
      </c>
      <c r="AW297" s="6">
        <f>[1]Results!AZ3</f>
        <v>42046.487959999999</v>
      </c>
      <c r="AX297" s="6">
        <f>[1]Results!BA3</f>
        <v>42282.256719999998</v>
      </c>
      <c r="AY297" s="6">
        <f>[1]Results!BB3</f>
        <v>42519.824000000001</v>
      </c>
      <c r="AZ297" s="6">
        <f>[1]Results!BC3</f>
        <v>42759.220789999999</v>
      </c>
      <c r="BA297" s="6">
        <f>[1]Results!BD3</f>
        <v>43000.455699999999</v>
      </c>
      <c r="BB297" s="6">
        <f>[1]Results!BE3</f>
        <v>46008.79161</v>
      </c>
      <c r="BC297" s="6">
        <f>[1]Results!BF3</f>
        <v>46338.604979999996</v>
      </c>
      <c r="BD297" s="6">
        <f>[1]Results!BG3</f>
        <v>46669.607629999999</v>
      </c>
      <c r="BE297" s="6">
        <f>[1]Results!BH3</f>
        <v>47001.910230000001</v>
      </c>
      <c r="BF297" s="6">
        <f>[1]Results!BI3</f>
        <v>47335.641969999997</v>
      </c>
    </row>
    <row r="298" spans="1:58" x14ac:dyDescent="0.35">
      <c r="B298" t="s">
        <v>53</v>
      </c>
      <c r="C298" s="6">
        <f>[1]Results!F4</f>
        <v>32271.24</v>
      </c>
      <c r="D298" s="6">
        <f>[1]Results!G4</f>
        <v>31848.029620000001</v>
      </c>
      <c r="E298" s="6">
        <f>[1]Results!H4</f>
        <v>31611.622210000001</v>
      </c>
      <c r="F298" s="6">
        <f>[1]Results!I4</f>
        <v>31504.424220000001</v>
      </c>
      <c r="G298" s="6">
        <f>[1]Results!J4</f>
        <v>31488.463520000001</v>
      </c>
      <c r="H298" s="6">
        <f>[1]Results!K4</f>
        <v>31539.17986</v>
      </c>
      <c r="I298" s="6">
        <f>[1]Results!L4</f>
        <v>31636.674210000001</v>
      </c>
      <c r="J298" s="6">
        <f>[1]Results!M4</f>
        <v>31770.249220000002</v>
      </c>
      <c r="K298" s="6">
        <f>[1]Results!N4</f>
        <v>31932.428309999999</v>
      </c>
      <c r="L298" s="6">
        <f>[1]Results!O4</f>
        <v>32117.723310000001</v>
      </c>
      <c r="M298" s="6">
        <f>[1]Results!P4</f>
        <v>32325.665389999998</v>
      </c>
      <c r="N298" s="6">
        <f>[1]Results!Q4</f>
        <v>32549.333610000001</v>
      </c>
      <c r="O298" s="6">
        <f>[1]Results!R4</f>
        <v>32787.269890000003</v>
      </c>
      <c r="P298" s="6">
        <f>[1]Results!S4</f>
        <v>33037.599179999997</v>
      </c>
      <c r="Q298" s="6">
        <f>[1]Results!T4</f>
        <v>33298.458839999999</v>
      </c>
      <c r="R298" s="6">
        <f>[1]Results!U4</f>
        <v>33568.077319999997</v>
      </c>
      <c r="S298" s="6">
        <f>[1]Results!V4</f>
        <v>33844.642440000003</v>
      </c>
      <c r="T298" s="6">
        <f>[1]Results!W4</f>
        <v>34126.526720000002</v>
      </c>
      <c r="U298" s="6">
        <f>[1]Results!X4</f>
        <v>34412.269039999999</v>
      </c>
      <c r="V298" s="6">
        <f>[1]Results!Y4</f>
        <v>34700.558559999998</v>
      </c>
      <c r="W298" s="6">
        <f>[1]Results!Z4</f>
        <v>34985.47294</v>
      </c>
      <c r="X298" s="6">
        <f>[1]Results!AA4</f>
        <v>35271.141880000003</v>
      </c>
      <c r="Y298" s="6">
        <f>[1]Results!AB4</f>
        <v>35556.78815</v>
      </c>
      <c r="Z298" s="6">
        <f>[1]Results!AC4</f>
        <v>35841.823980000001</v>
      </c>
      <c r="AA298" s="6">
        <f>[1]Results!AD4</f>
        <v>36125.745779999997</v>
      </c>
      <c r="AB298" s="6">
        <f>[1]Results!AE4</f>
        <v>36394.701970000002</v>
      </c>
      <c r="AC298" s="6">
        <f>[1]Results!AF4</f>
        <v>36656.555070000002</v>
      </c>
      <c r="AD298" s="6">
        <f>[1]Results!AG4</f>
        <v>36911.704819999999</v>
      </c>
      <c r="AE298" s="6">
        <f>[1]Results!AH4</f>
        <v>37160.814590000002</v>
      </c>
      <c r="AF298" s="6">
        <f>[1]Results!AI4</f>
        <v>37404.616309999998</v>
      </c>
      <c r="AG298" s="6">
        <f>[1]Results!AJ4</f>
        <v>37643.810299999997</v>
      </c>
      <c r="AH298" s="6">
        <f>[1]Results!AK4</f>
        <v>37879.055249999998</v>
      </c>
      <c r="AI298" s="6">
        <f>[1]Results!AL4</f>
        <v>38110.892140000004</v>
      </c>
      <c r="AJ298" s="6">
        <f>[1]Results!AM4</f>
        <v>38339.759160000001</v>
      </c>
      <c r="AK298" s="6">
        <f>[1]Results!AN4</f>
        <v>38566.017050000002</v>
      </c>
      <c r="AL298" s="6">
        <f>[1]Results!AO4</f>
        <v>38789.968520000002</v>
      </c>
      <c r="AM298" s="6">
        <f>[1]Results!AP4</f>
        <v>39009.195019999999</v>
      </c>
      <c r="AN298" s="6">
        <f>[1]Results!AQ4</f>
        <v>39224.283969999997</v>
      </c>
      <c r="AO298" s="6">
        <f>[1]Results!AR4</f>
        <v>39435.696620000002</v>
      </c>
      <c r="AP298" s="6">
        <f>[1]Results!AS4</f>
        <v>39643.901189999997</v>
      </c>
      <c r="AQ298" s="6">
        <f>[1]Results!AT4</f>
        <v>39849.374170000003</v>
      </c>
      <c r="AR298" s="6">
        <f>[1]Results!AU4</f>
        <v>40052.619960000004</v>
      </c>
      <c r="AS298" s="6">
        <f>[1]Results!AV4</f>
        <v>40254.042029999997</v>
      </c>
      <c r="AT298" s="6">
        <f>[1]Results!AW4</f>
        <v>40453.935660000003</v>
      </c>
      <c r="AU298" s="6">
        <f>[1]Results!AX4</f>
        <v>40652.499790000002</v>
      </c>
      <c r="AV298" s="6">
        <f>[1]Results!AY4</f>
        <v>40849.847070000003</v>
      </c>
      <c r="AW298" s="6">
        <f>[1]Results!AZ4</f>
        <v>41046.461510000001</v>
      </c>
      <c r="AX298" s="6">
        <f>[1]Results!BA4</f>
        <v>41242.358099999998</v>
      </c>
      <c r="AY298" s="6">
        <f>[1]Results!BB4</f>
        <v>41437.410380000001</v>
      </c>
      <c r="AZ298" s="6">
        <f>[1]Results!BC4</f>
        <v>41631.422350000001</v>
      </c>
      <c r="BA298" s="6">
        <f>[1]Results!BD4</f>
        <v>41824.159670000001</v>
      </c>
      <c r="BB298" s="6">
        <f>[1]Results!BE4</f>
        <v>45733.742980000003</v>
      </c>
      <c r="BC298" s="6">
        <f>[1]Results!BF4</f>
        <v>46096.605170000003</v>
      </c>
      <c r="BD298" s="6">
        <f>[1]Results!BG4</f>
        <v>46464.389629999998</v>
      </c>
      <c r="BE298" s="6">
        <f>[1]Results!BH4</f>
        <v>46837.523480000003</v>
      </c>
      <c r="BF298" s="6">
        <f>[1]Results!BI4</f>
        <v>47216.482490000002</v>
      </c>
    </row>
    <row r="299" spans="1:58" x14ac:dyDescent="0.35">
      <c r="B299" t="s">
        <v>54</v>
      </c>
      <c r="C299" s="6">
        <f>[1]Results!F20</f>
        <v>1.9359999999999999</v>
      </c>
      <c r="D299" s="6">
        <f>[1]Results!G20</f>
        <v>1.9904292539999999</v>
      </c>
      <c r="E299" s="6">
        <f>[1]Results!H20</f>
        <v>2.0543833089999999</v>
      </c>
      <c r="F299" s="6">
        <f>[1]Results!I20</f>
        <v>2.1236496580000002</v>
      </c>
      <c r="G299" s="6">
        <f>[1]Results!J20</f>
        <v>2.1955509559999999</v>
      </c>
      <c r="H299" s="6">
        <f>[1]Results!K20</f>
        <v>2.268455678</v>
      </c>
      <c r="I299" s="6">
        <f>[1]Results!L20</f>
        <v>2.3410652970000001</v>
      </c>
      <c r="J299" s="6">
        <f>[1]Results!M20</f>
        <v>2.4128053870000001</v>
      </c>
      <c r="K299" s="6">
        <f>[1]Results!N20</f>
        <v>2.4833380680000001</v>
      </c>
      <c r="L299" s="6">
        <f>[1]Results!O20</f>
        <v>2.5524647460000001</v>
      </c>
      <c r="M299" s="6">
        <f>[1]Results!P20</f>
        <v>2.6203850339999999</v>
      </c>
      <c r="N299" s="6">
        <f>[1]Results!Q20</f>
        <v>2.686740962</v>
      </c>
      <c r="O299" s="6">
        <f>[1]Results!R20</f>
        <v>2.7516106210000002</v>
      </c>
      <c r="P299" s="6">
        <f>[1]Results!S20</f>
        <v>2.8150226599999999</v>
      </c>
      <c r="Q299" s="6">
        <f>[1]Results!T20</f>
        <v>2.8769927210000001</v>
      </c>
      <c r="R299" s="6">
        <f>[1]Results!U20</f>
        <v>2.9375309449999998</v>
      </c>
      <c r="S299" s="6">
        <f>[1]Results!V20</f>
        <v>2.9966318410000001</v>
      </c>
      <c r="T299" s="6">
        <f>[1]Results!W20</f>
        <v>3.0542939310000001</v>
      </c>
      <c r="U299" s="6">
        <f>[1]Results!X20</f>
        <v>3.1105191680000002</v>
      </c>
      <c r="V299" s="6">
        <f>[1]Results!Y20</f>
        <v>3.1653124520000002</v>
      </c>
      <c r="W299" s="6">
        <f>[1]Results!Z20</f>
        <v>3.218282393</v>
      </c>
      <c r="X299" s="6">
        <f>[1]Results!AA20</f>
        <v>3.2698678229999998</v>
      </c>
      <c r="Y299" s="6">
        <f>[1]Results!AB20</f>
        <v>3.320094911</v>
      </c>
      <c r="Z299" s="6">
        <f>[1]Results!AC20</f>
        <v>3.368999026</v>
      </c>
      <c r="AA299" s="6">
        <f>[1]Results!AD20</f>
        <v>3.4166165570000002</v>
      </c>
      <c r="AB299" s="6">
        <f>[1]Results!AE20</f>
        <v>3.4618569460000002</v>
      </c>
      <c r="AC299" s="6">
        <f>[1]Results!AF20</f>
        <v>3.5054314600000001</v>
      </c>
      <c r="AD299" s="6">
        <f>[1]Results!AG20</f>
        <v>3.5474313610000001</v>
      </c>
      <c r="AE299" s="6">
        <f>[1]Results!AH20</f>
        <v>3.5879669660000002</v>
      </c>
      <c r="AF299" s="6">
        <f>[1]Results!AI20</f>
        <v>3.6271517969999998</v>
      </c>
      <c r="AG299" s="6">
        <f>[1]Results!AJ20</f>
        <v>3.6650944070000002</v>
      </c>
      <c r="AH299" s="6">
        <f>[1]Results!AK20</f>
        <v>3.7018976499999998</v>
      </c>
      <c r="AI299" s="6">
        <f>[1]Results!AL20</f>
        <v>3.737652363</v>
      </c>
      <c r="AJ299" s="6">
        <f>[1]Results!AM20</f>
        <v>3.7724386139999999</v>
      </c>
      <c r="AK299" s="6">
        <f>[1]Results!AN20</f>
        <v>3.8063278199999999</v>
      </c>
      <c r="AL299" s="6">
        <f>[1]Results!AO20</f>
        <v>3.8393844189999999</v>
      </c>
      <c r="AM299" s="6">
        <f>[1]Results!AP20</f>
        <v>3.871442187</v>
      </c>
      <c r="AN299" s="6">
        <f>[1]Results!AQ20</f>
        <v>3.902582008</v>
      </c>
      <c r="AO299" s="6">
        <f>[1]Results!AR20</f>
        <v>3.9328729519999999</v>
      </c>
      <c r="AP299" s="6">
        <f>[1]Results!AS20</f>
        <v>3.9623833770000001</v>
      </c>
      <c r="AQ299" s="6">
        <f>[1]Results!AT20</f>
        <v>3.991181122</v>
      </c>
      <c r="AR299" s="6">
        <f>[1]Results!AU20</f>
        <v>4.0193352439999996</v>
      </c>
      <c r="AS299" s="6">
        <f>[1]Results!AV20</f>
        <v>4.0469053060000002</v>
      </c>
      <c r="AT299" s="6">
        <f>[1]Results!AW20</f>
        <v>4.073940694</v>
      </c>
      <c r="AU299" s="6">
        <f>[1]Results!AX20</f>
        <v>4.1004815460000001</v>
      </c>
      <c r="AV299" s="6">
        <f>[1]Results!AY20</f>
        <v>4.1265595429999999</v>
      </c>
      <c r="AW299" s="6">
        <f>[1]Results!AZ20</f>
        <v>4.1522363200000001</v>
      </c>
      <c r="AX299" s="6">
        <f>[1]Results!BA20</f>
        <v>4.1775334209999997</v>
      </c>
      <c r="AY299" s="6">
        <f>[1]Results!BB20</f>
        <v>4.2024592590000003</v>
      </c>
      <c r="AZ299" s="6">
        <f>[1]Results!BC20</f>
        <v>4.2270150500000003</v>
      </c>
      <c r="BA299" s="6">
        <f>[1]Results!BD20</f>
        <v>4.2511974370000001</v>
      </c>
      <c r="BB299" s="6">
        <f>[1]Results!BE20</f>
        <v>4.6286853649999999</v>
      </c>
      <c r="BC299" s="6">
        <f>[1]Results!BF20</f>
        <v>4.6688759529999997</v>
      </c>
      <c r="BD299" s="6">
        <f>[1]Results!BG20</f>
        <v>4.7093404809999999</v>
      </c>
      <c r="BE299" s="6">
        <f>[1]Results!BH20</f>
        <v>4.7501298930000004</v>
      </c>
      <c r="BF299" s="6">
        <f>[1]Results!BI20</f>
        <v>4.7912988260000002</v>
      </c>
    </row>
    <row r="300" spans="1:58" x14ac:dyDescent="0.35">
      <c r="B300" t="s">
        <v>55</v>
      </c>
      <c r="C300" s="6">
        <f>[1]Results!F12</f>
        <v>44.765000000000001</v>
      </c>
      <c r="D300" s="6">
        <f>[1]Results!G12</f>
        <v>62.282239580000002</v>
      </c>
      <c r="E300" s="6">
        <f>[1]Results!H12</f>
        <v>80.55733755</v>
      </c>
      <c r="F300" s="6">
        <f>[1]Results!I12</f>
        <v>99.194617019999995</v>
      </c>
      <c r="G300" s="6">
        <f>[1]Results!J12</f>
        <v>117.9557882</v>
      </c>
      <c r="H300" s="6">
        <f>[1]Results!K12</f>
        <v>136.7066475</v>
      </c>
      <c r="I300" s="6">
        <f>[1]Results!L12</f>
        <v>155.33927879999999</v>
      </c>
      <c r="J300" s="6">
        <f>[1]Results!M12</f>
        <v>173.81734460000001</v>
      </c>
      <c r="K300" s="6">
        <f>[1]Results!N12</f>
        <v>192.1250751</v>
      </c>
      <c r="L300" s="6">
        <f>[1]Results!O12</f>
        <v>210.25836090000001</v>
      </c>
      <c r="M300" s="6">
        <f>[1]Results!P12</f>
        <v>228.25659390000001</v>
      </c>
      <c r="N300" s="6">
        <f>[1]Results!Q12</f>
        <v>246.0947907</v>
      </c>
      <c r="O300" s="6">
        <f>[1]Results!R12</f>
        <v>263.79667069999999</v>
      </c>
      <c r="P300" s="6">
        <f>[1]Results!S12</f>
        <v>281.37967830000002</v>
      </c>
      <c r="Q300" s="6">
        <f>[1]Results!T12</f>
        <v>298.85933829999999</v>
      </c>
      <c r="R300" s="6">
        <f>[1]Results!U12</f>
        <v>316.25053050000002</v>
      </c>
      <c r="S300" s="6">
        <f>[1]Results!V12</f>
        <v>333.56663150000003</v>
      </c>
      <c r="T300" s="6">
        <f>[1]Results!W12</f>
        <v>350.82224220000001</v>
      </c>
      <c r="U300" s="6">
        <f>[1]Results!X12</f>
        <v>368.03355979999998</v>
      </c>
      <c r="V300" s="6">
        <f>[1]Results!Y12</f>
        <v>385.21869299999997</v>
      </c>
      <c r="W300" s="6">
        <f>[1]Results!Z12</f>
        <v>402.3461504</v>
      </c>
      <c r="X300" s="6">
        <f>[1]Results!AA12</f>
        <v>419.49262859999999</v>
      </c>
      <c r="Y300" s="6">
        <f>[1]Results!AB12</f>
        <v>436.68590660000001</v>
      </c>
      <c r="Z300" s="6">
        <f>[1]Results!AC12</f>
        <v>453.9577587</v>
      </c>
      <c r="AA300" s="6">
        <f>[1]Results!AD12</f>
        <v>471.34306800000002</v>
      </c>
      <c r="AB300" s="6">
        <f>[1]Results!AE12</f>
        <v>488.72197560000001</v>
      </c>
      <c r="AC300" s="6">
        <f>[1]Results!AF12</f>
        <v>506.22314820000003</v>
      </c>
      <c r="AD300" s="6">
        <f>[1]Results!AG12</f>
        <v>523.89642739999999</v>
      </c>
      <c r="AE300" s="6">
        <f>[1]Results!AH12</f>
        <v>541.79903979999995</v>
      </c>
      <c r="AF300" s="6">
        <f>[1]Results!AI12</f>
        <v>559.99361590000001</v>
      </c>
      <c r="AG300" s="6">
        <f>[1]Results!AJ12</f>
        <v>578.54720699999996</v>
      </c>
      <c r="AH300" s="6">
        <f>[1]Results!AK12</f>
        <v>597.53137790000005</v>
      </c>
      <c r="AI300" s="6">
        <f>[1]Results!AL12</f>
        <v>617.0214095</v>
      </c>
      <c r="AJ300" s="6">
        <f>[1]Results!AM12</f>
        <v>637.09660919999999</v>
      </c>
      <c r="AK300" s="6">
        <f>[1]Results!AN12</f>
        <v>657.84082880000005</v>
      </c>
      <c r="AL300" s="6">
        <f>[1]Results!AO12</f>
        <v>679.34299209999995</v>
      </c>
      <c r="AM300" s="6">
        <f>[1]Results!AP12</f>
        <v>701.65677330000005</v>
      </c>
      <c r="AN300" s="6">
        <f>[1]Results!AQ12</f>
        <v>724.88464490000001</v>
      </c>
      <c r="AO300" s="6">
        <f>[1]Results!AR12</f>
        <v>749.1348031</v>
      </c>
      <c r="AP300" s="6">
        <f>[1]Results!AS12</f>
        <v>774.52366070000005</v>
      </c>
      <c r="AQ300" s="6">
        <f>[1]Results!AT12</f>
        <v>801.1765633</v>
      </c>
      <c r="AR300" s="6">
        <f>[1]Results!AU12</f>
        <v>829.22896949999995</v>
      </c>
      <c r="AS300" s="6">
        <f>[1]Results!AV12</f>
        <v>858.82501509999997</v>
      </c>
      <c r="AT300" s="6">
        <f>[1]Results!AW12</f>
        <v>890.11793909999994</v>
      </c>
      <c r="AU300" s="6">
        <f>[1]Results!AX12</f>
        <v>923.27089179999996</v>
      </c>
      <c r="AV300" s="6">
        <f>[1]Results!AY12</f>
        <v>958.45777710000004</v>
      </c>
      <c r="AW300" s="6">
        <f>[1]Results!AZ12</f>
        <v>995.87426430000005</v>
      </c>
      <c r="AX300" s="6">
        <f>[1]Results!BA12</f>
        <v>1035.7211480000001</v>
      </c>
      <c r="AY300" s="6">
        <f>[1]Results!BB12</f>
        <v>1078.211213</v>
      </c>
      <c r="AZ300" s="6">
        <f>[1]Results!BC12</f>
        <v>1123.5714840000001</v>
      </c>
      <c r="BA300" s="6">
        <f>[1]Results!BD12</f>
        <v>1172.044889</v>
      </c>
      <c r="BB300" s="6">
        <f>[1]Results!BE12</f>
        <v>270.4199448</v>
      </c>
      <c r="BC300" s="6">
        <f>[1]Results!BF12</f>
        <v>237.33092400000001</v>
      </c>
      <c r="BD300" s="6">
        <f>[1]Results!BG12</f>
        <v>200.5086518</v>
      </c>
      <c r="BE300" s="6">
        <f>[1]Results!BH12</f>
        <v>159.6366142</v>
      </c>
      <c r="BF300" s="6">
        <f>[1]Results!BI12</f>
        <v>114.3681741</v>
      </c>
    </row>
    <row r="302" spans="1:58" x14ac:dyDescent="0.35">
      <c r="A302" s="12" t="s">
        <v>89</v>
      </c>
      <c r="C302" s="2">
        <v>42005</v>
      </c>
      <c r="D302" s="2">
        <v>42370</v>
      </c>
      <c r="E302" s="2">
        <v>42736</v>
      </c>
      <c r="F302" s="2">
        <v>43101</v>
      </c>
      <c r="G302" s="2">
        <v>43466</v>
      </c>
      <c r="H302" s="2">
        <v>43831</v>
      </c>
      <c r="I302" s="2">
        <v>44197</v>
      </c>
      <c r="J302" s="2">
        <v>44562</v>
      </c>
      <c r="K302" s="2">
        <v>44927</v>
      </c>
      <c r="L302" s="2">
        <v>45292</v>
      </c>
      <c r="M302" s="2">
        <v>45658</v>
      </c>
      <c r="N302" s="2">
        <v>46023</v>
      </c>
      <c r="O302" s="2">
        <v>46388</v>
      </c>
      <c r="P302" s="2">
        <v>46753</v>
      </c>
      <c r="Q302" s="2">
        <v>47119</v>
      </c>
      <c r="R302" s="2">
        <v>47484</v>
      </c>
      <c r="S302" s="2">
        <v>47849</v>
      </c>
      <c r="T302" s="2">
        <v>48214</v>
      </c>
      <c r="U302" s="2">
        <v>48580</v>
      </c>
      <c r="V302" s="2">
        <v>48945</v>
      </c>
      <c r="W302" s="2">
        <v>49310</v>
      </c>
      <c r="X302" s="2">
        <v>49675</v>
      </c>
      <c r="Y302" s="2">
        <v>50041</v>
      </c>
      <c r="Z302" s="2">
        <v>50406</v>
      </c>
      <c r="AA302" s="2">
        <v>50771</v>
      </c>
      <c r="AB302" s="2">
        <v>51136</v>
      </c>
      <c r="AC302" s="2">
        <v>51502</v>
      </c>
      <c r="AD302" s="2">
        <v>51867</v>
      </c>
      <c r="AE302" s="2">
        <v>52232</v>
      </c>
      <c r="AF302" s="2">
        <v>52597</v>
      </c>
      <c r="AG302" s="2">
        <v>52963</v>
      </c>
      <c r="AH302" s="2">
        <v>53328</v>
      </c>
      <c r="AI302" s="2">
        <v>53693</v>
      </c>
      <c r="AJ302" s="2">
        <v>54058</v>
      </c>
      <c r="AK302" s="2">
        <v>54424</v>
      </c>
      <c r="AL302" s="2">
        <v>54789</v>
      </c>
      <c r="AM302" s="2">
        <v>54790</v>
      </c>
      <c r="AN302" s="2">
        <v>54791</v>
      </c>
      <c r="AO302" s="2">
        <v>54792</v>
      </c>
      <c r="AP302" s="2">
        <v>54793</v>
      </c>
      <c r="AQ302" s="2">
        <v>54794</v>
      </c>
      <c r="AR302" s="2">
        <v>54795</v>
      </c>
      <c r="AS302" s="2">
        <v>54796</v>
      </c>
      <c r="AT302" s="2">
        <v>54797</v>
      </c>
      <c r="AU302" s="2">
        <v>54798</v>
      </c>
      <c r="AV302" s="2">
        <v>54799</v>
      </c>
      <c r="AW302" s="2">
        <v>54800</v>
      </c>
      <c r="AX302" s="2">
        <v>54801</v>
      </c>
      <c r="AY302" s="2">
        <v>54802</v>
      </c>
      <c r="AZ302" s="2">
        <v>54803</v>
      </c>
      <c r="BA302" s="2">
        <v>54804</v>
      </c>
      <c r="BB302" s="2">
        <v>54805</v>
      </c>
      <c r="BC302" s="2">
        <v>54806</v>
      </c>
      <c r="BD302" s="2">
        <v>54807</v>
      </c>
      <c r="BE302" s="2">
        <v>54808</v>
      </c>
      <c r="BF302" s="2">
        <v>54809</v>
      </c>
    </row>
    <row r="303" spans="1:58" x14ac:dyDescent="0.35">
      <c r="A303" t="s">
        <v>38</v>
      </c>
      <c r="B303" t="s">
        <v>56</v>
      </c>
      <c r="C303" s="6">
        <f>[1]Results!F28</f>
        <v>32317.940999999999</v>
      </c>
      <c r="D303" s="6">
        <f>[1]Results!G28</f>
        <v>31939.281370000001</v>
      </c>
      <c r="E303" s="6">
        <f>[1]Results!H28</f>
        <v>31767.455890000001</v>
      </c>
      <c r="F303" s="6">
        <f>[1]Results!I28</f>
        <v>31736.000919999999</v>
      </c>
      <c r="G303" s="6">
        <f>[1]Results!J28</f>
        <v>31800.97495</v>
      </c>
      <c r="H303" s="6">
        <f>[1]Results!K28</f>
        <v>31933.821240000001</v>
      </c>
      <c r="I303" s="6">
        <f>[1]Results!L28</f>
        <v>32112.09172</v>
      </c>
      <c r="J303" s="6">
        <f>[1]Results!M28</f>
        <v>32323.605950000001</v>
      </c>
      <c r="K303" s="6">
        <f>[1]Results!N28</f>
        <v>32560.151430000002</v>
      </c>
      <c r="L303" s="6">
        <f>[1]Results!O28</f>
        <v>32815.996420000003</v>
      </c>
      <c r="M303" s="6">
        <f>[1]Results!P28</f>
        <v>33093.72565</v>
      </c>
      <c r="N303" s="6">
        <f>[1]Results!Q28</f>
        <v>33382.973189999997</v>
      </c>
      <c r="O303" s="6">
        <f>[1]Results!R28</f>
        <v>33680.999819999997</v>
      </c>
      <c r="P303" s="6">
        <f>[1]Results!S28</f>
        <v>33985.469550000002</v>
      </c>
      <c r="Q303" s="6">
        <f>[1]Results!T28</f>
        <v>34294.477440000002</v>
      </c>
      <c r="R303" s="6">
        <f>[1]Results!U28</f>
        <v>34606.498879999999</v>
      </c>
      <c r="S303" s="6">
        <f>[1]Results!V28</f>
        <v>34920.321929999998</v>
      </c>
      <c r="T303" s="6">
        <f>[1]Results!W28</f>
        <v>35234.983740000003</v>
      </c>
      <c r="U303" s="6">
        <f>[1]Results!X28</f>
        <v>35549.718569999997</v>
      </c>
      <c r="V303" s="6">
        <f>[1]Results!Y28</f>
        <v>35863.918810000003</v>
      </c>
      <c r="W303" s="6">
        <f>[1]Results!Z28</f>
        <v>36172.23345</v>
      </c>
      <c r="X303" s="6">
        <f>[1]Results!AA28</f>
        <v>36479.502639999999</v>
      </c>
      <c r="Y303" s="6">
        <f>[1]Results!AB28</f>
        <v>36785.560649999999</v>
      </c>
      <c r="Z303" s="6">
        <f>[1]Results!AC28</f>
        <v>37090.35901</v>
      </c>
      <c r="AA303" s="6">
        <f>[1]Results!AD28</f>
        <v>37393.860939999999</v>
      </c>
      <c r="AB303" s="6">
        <f>[1]Results!AE28</f>
        <v>37682.300179999998</v>
      </c>
      <c r="AC303" s="6">
        <f>[1]Results!AF28</f>
        <v>37963.857730000003</v>
      </c>
      <c r="AD303" s="6">
        <f>[1]Results!AG28</f>
        <v>38239.223639999997</v>
      </c>
      <c r="AE303" s="6">
        <f>[1]Results!AH28</f>
        <v>38509.34448</v>
      </c>
      <c r="AF303" s="6">
        <f>[1]Results!AI28</f>
        <v>38775.198470000003</v>
      </c>
      <c r="AG303" s="6">
        <f>[1]Results!AJ28</f>
        <v>39037.689030000001</v>
      </c>
      <c r="AH303" s="6">
        <f>[1]Results!AK28</f>
        <v>39297.60138</v>
      </c>
      <c r="AI303" s="6">
        <f>[1]Results!AL28</f>
        <v>39555.59562</v>
      </c>
      <c r="AJ303" s="6">
        <f>[1]Results!AM28</f>
        <v>39812.219230000002</v>
      </c>
      <c r="AK303" s="6">
        <f>[1]Results!AN28</f>
        <v>40067.927439999999</v>
      </c>
      <c r="AL303" s="6">
        <f>[1]Results!AO28</f>
        <v>40323.104209999998</v>
      </c>
      <c r="AM303" s="6">
        <f>[1]Results!AP28</f>
        <v>40574.969550000002</v>
      </c>
      <c r="AN303" s="6">
        <f>[1]Results!AQ28</f>
        <v>40824.0268</v>
      </c>
      <c r="AO303" s="6">
        <f>[1]Results!AR28</f>
        <v>41070.813589999998</v>
      </c>
      <c r="AP303" s="6">
        <f>[1]Results!AS28</f>
        <v>41315.9251</v>
      </c>
      <c r="AQ303" s="6">
        <f>[1]Results!AT28</f>
        <v>41559.975079999997</v>
      </c>
      <c r="AR303" s="6">
        <f>[1]Results!AU28</f>
        <v>41803.551679999997</v>
      </c>
      <c r="AS303" s="6">
        <f>[1]Results!AV28</f>
        <v>42047.185870000001</v>
      </c>
      <c r="AT303" s="6">
        <f>[1]Results!AW28</f>
        <v>42291.335079999997</v>
      </c>
      <c r="AU303" s="6">
        <f>[1]Results!AX28</f>
        <v>42536.379719999997</v>
      </c>
      <c r="AV303" s="6">
        <f>[1]Results!AY28</f>
        <v>42782.628239999998</v>
      </c>
      <c r="AW303" s="6">
        <f>[1]Results!AZ28</f>
        <v>43030.591090000002</v>
      </c>
      <c r="AX303" s="6">
        <f>[1]Results!BA28</f>
        <v>43280.445979999997</v>
      </c>
      <c r="AY303" s="6">
        <f>[1]Results!BB28</f>
        <v>43532.325440000001</v>
      </c>
      <c r="AZ303" s="6">
        <f>[1]Results!BC28</f>
        <v>43786.320939999998</v>
      </c>
      <c r="BA303" s="6">
        <f>[1]Results!BD28</f>
        <v>44042.493309999998</v>
      </c>
      <c r="BB303" s="6">
        <f>[1]Results!BE28</f>
        <v>45939.1077</v>
      </c>
      <c r="BC303" s="6">
        <f>[1]Results!BF28</f>
        <v>46264.987730000001</v>
      </c>
      <c r="BD303" s="6">
        <f>[1]Results!BG28</f>
        <v>46592.00649</v>
      </c>
      <c r="BE303" s="6">
        <f>[1]Results!BH28</f>
        <v>46920.289089999998</v>
      </c>
      <c r="BF303" s="6">
        <f>[1]Results!BI28</f>
        <v>47249.974520000003</v>
      </c>
    </row>
    <row r="304" spans="1:58" x14ac:dyDescent="0.35">
      <c r="B304" t="s">
        <v>53</v>
      </c>
      <c r="C304" s="6">
        <f>[1]Results!F29</f>
        <v>32271.24</v>
      </c>
      <c r="D304" s="6">
        <f>[1]Results!G29</f>
        <v>31874.761320000001</v>
      </c>
      <c r="E304" s="6">
        <f>[1]Results!H29</f>
        <v>31684.176340000002</v>
      </c>
      <c r="F304" s="6">
        <f>[1]Results!I29</f>
        <v>31633.507590000001</v>
      </c>
      <c r="G304" s="6">
        <f>[1]Results!J29</f>
        <v>31679.119419999999</v>
      </c>
      <c r="H304" s="6">
        <f>[1]Results!K29</f>
        <v>31792.640299999999</v>
      </c>
      <c r="I304" s="6">
        <f>[1]Results!L29</f>
        <v>31951.767879999999</v>
      </c>
      <c r="J304" s="6">
        <f>[1]Results!M29</f>
        <v>32144.386200000001</v>
      </c>
      <c r="K304" s="6">
        <f>[1]Results!N29</f>
        <v>32362.319500000001</v>
      </c>
      <c r="L304" s="6">
        <f>[1]Results!O29</f>
        <v>32599.856250000001</v>
      </c>
      <c r="M304" s="6">
        <f>[1]Results!P29</f>
        <v>32859.527309999998</v>
      </c>
      <c r="N304" s="6">
        <f>[1]Results!Q29</f>
        <v>33131.036670000001</v>
      </c>
      <c r="O304" s="6">
        <f>[1]Results!R29</f>
        <v>33411.648289999997</v>
      </c>
      <c r="P304" s="6">
        <f>[1]Results!S29</f>
        <v>33699.027430000002</v>
      </c>
      <c r="Q304" s="6">
        <f>[1]Results!T29</f>
        <v>33991.267699999997</v>
      </c>
      <c r="R304" s="6">
        <f>[1]Results!U29</f>
        <v>34286.840470000003</v>
      </c>
      <c r="S304" s="6">
        <f>[1]Results!V29</f>
        <v>34584.527479999997</v>
      </c>
      <c r="T304" s="6">
        <f>[1]Results!W29</f>
        <v>34883.357620000002</v>
      </c>
      <c r="U304" s="6">
        <f>[1]Results!X29</f>
        <v>35182.555240000002</v>
      </c>
      <c r="V304" s="6">
        <f>[1]Results!Y29</f>
        <v>35481.50131</v>
      </c>
      <c r="W304" s="6">
        <f>[1]Results!Z29</f>
        <v>35774.879959999998</v>
      </c>
      <c r="X304" s="6">
        <f>[1]Results!AA29</f>
        <v>36067.46789</v>
      </c>
      <c r="Y304" s="6">
        <f>[1]Results!AB29</f>
        <v>36359.082430000002</v>
      </c>
      <c r="Z304" s="6">
        <f>[1]Results!AC29</f>
        <v>36649.656450000002</v>
      </c>
      <c r="AA304" s="6">
        <f>[1]Results!AD29</f>
        <v>36939.133880000001</v>
      </c>
      <c r="AB304" s="6">
        <f>[1]Results!AE29</f>
        <v>37213.866650000004</v>
      </c>
      <c r="AC304" s="6">
        <f>[1]Results!AF29</f>
        <v>37481.938439999998</v>
      </c>
      <c r="AD304" s="6">
        <f>[1]Results!AG29</f>
        <v>37744.01225</v>
      </c>
      <c r="AE304" s="6">
        <f>[1]Results!AH29</f>
        <v>38001.003340000003</v>
      </c>
      <c r="AF304" s="6">
        <f>[1]Results!AI29</f>
        <v>38253.856570000004</v>
      </c>
      <c r="AG304" s="6">
        <f>[1]Results!AJ29</f>
        <v>38503.441050000001</v>
      </c>
      <c r="AH304" s="6">
        <f>[1]Results!AK29</f>
        <v>38750.5072</v>
      </c>
      <c r="AI304" s="6">
        <f>[1]Results!AL29</f>
        <v>38995.679929999998</v>
      </c>
      <c r="AJ304" s="6">
        <f>[1]Results!AM29</f>
        <v>39239.471109999999</v>
      </c>
      <c r="AK304" s="6">
        <f>[1]Results!AN29</f>
        <v>39482.299700000003</v>
      </c>
      <c r="AL304" s="6">
        <f>[1]Results!AO29</f>
        <v>39724.512499999997</v>
      </c>
      <c r="AM304" s="6">
        <f>[1]Results!AP29</f>
        <v>39963.32548</v>
      </c>
      <c r="AN304" s="6">
        <f>[1]Results!AQ29</f>
        <v>40199.201959999999</v>
      </c>
      <c r="AO304" s="6">
        <f>[1]Results!AR29</f>
        <v>40432.636839999999</v>
      </c>
      <c r="AP304" s="6">
        <f>[1]Results!AS29</f>
        <v>40664.17942</v>
      </c>
      <c r="AQ304" s="6">
        <f>[1]Results!AT29</f>
        <v>40894.394439999996</v>
      </c>
      <c r="AR304" s="6">
        <f>[1]Results!AU29</f>
        <v>41123.818299999999</v>
      </c>
      <c r="AS304" s="6">
        <f>[1]Results!AV29</f>
        <v>41352.927530000001</v>
      </c>
      <c r="AT304" s="6">
        <f>[1]Results!AW29</f>
        <v>41582.122450000003</v>
      </c>
      <c r="AU304" s="6">
        <f>[1]Results!AX29</f>
        <v>41811.723489999997</v>
      </c>
      <c r="AV304" s="6">
        <f>[1]Results!AY29</f>
        <v>42041.976020000002</v>
      </c>
      <c r="AW304" s="6">
        <f>[1]Results!AZ29</f>
        <v>42273.32041</v>
      </c>
      <c r="AX304" s="6">
        <f>[1]Results!BA29</f>
        <v>42505.86376</v>
      </c>
      <c r="AY304" s="6">
        <f>[1]Results!BB29</f>
        <v>42739.66358</v>
      </c>
      <c r="AZ304" s="6">
        <f>[1]Results!BC29</f>
        <v>42974.731590000003</v>
      </c>
      <c r="BA304" s="6">
        <f>[1]Results!BD29</f>
        <v>43211.043570000002</v>
      </c>
      <c r="BB304" s="6">
        <f>[1]Results!BE29</f>
        <v>45601.084470000002</v>
      </c>
      <c r="BC304" s="6">
        <f>[1]Results!BF29</f>
        <v>45952.474289999998</v>
      </c>
      <c r="BD304" s="6">
        <f>[1]Results!BG29</f>
        <v>46307.97365</v>
      </c>
      <c r="BE304" s="6">
        <f>[1]Results!BH29</f>
        <v>46667.953820000002</v>
      </c>
      <c r="BF304" s="6">
        <f>[1]Results!BI29</f>
        <v>47032.82314</v>
      </c>
    </row>
    <row r="305" spans="1:58" x14ac:dyDescent="0.35">
      <c r="B305" t="s">
        <v>54</v>
      </c>
      <c r="C305" s="6">
        <f>[1]Results!F45</f>
        <v>1.9359999999999999</v>
      </c>
      <c r="D305" s="6">
        <f>[1]Results!G45</f>
        <v>1.992675011</v>
      </c>
      <c r="E305" s="6">
        <f>[1]Results!H45</f>
        <v>2.060513061</v>
      </c>
      <c r="F305" s="6">
        <f>[1]Results!I45</f>
        <v>2.1346197249999999</v>
      </c>
      <c r="G305" s="6">
        <f>[1]Results!J45</f>
        <v>2.2118520859999999</v>
      </c>
      <c r="H305" s="6">
        <f>[1]Results!K45</f>
        <v>2.2902607339999999</v>
      </c>
      <c r="I305" s="6">
        <f>[1]Results!L45</f>
        <v>2.3683424839999998</v>
      </c>
      <c r="J305" s="6">
        <f>[1]Results!M45</f>
        <v>2.4453980629999998</v>
      </c>
      <c r="K305" s="6">
        <f>[1]Results!N45</f>
        <v>2.5210237100000001</v>
      </c>
      <c r="L305" s="6">
        <f>[1]Results!O45</f>
        <v>2.5949944669999998</v>
      </c>
      <c r="M305" s="6">
        <f>[1]Results!P45</f>
        <v>2.6677545500000002</v>
      </c>
      <c r="N305" s="6">
        <f>[1]Results!Q45</f>
        <v>2.7386593590000001</v>
      </c>
      <c r="O305" s="6">
        <f>[1]Results!R45</f>
        <v>2.8076723860000001</v>
      </c>
      <c r="P305" s="6">
        <f>[1]Results!S45</f>
        <v>2.8747752329999998</v>
      </c>
      <c r="Q305" s="6">
        <f>[1]Results!T45</f>
        <v>2.9399713740000002</v>
      </c>
      <c r="R305" s="6">
        <f>[1]Results!U45</f>
        <v>3.0032833380000001</v>
      </c>
      <c r="S305" s="6">
        <f>[1]Results!V45</f>
        <v>3.064748324</v>
      </c>
      <c r="T305" s="6">
        <f>[1]Results!W45</f>
        <v>3.1244140090000001</v>
      </c>
      <c r="U305" s="6">
        <f>[1]Results!X45</f>
        <v>3.182335159</v>
      </c>
      <c r="V305" s="6">
        <f>[1]Results!Y45</f>
        <v>3.2385712039999999</v>
      </c>
      <c r="W305" s="6">
        <f>[1]Results!Z45</f>
        <v>3.2927792280000001</v>
      </c>
      <c r="X305" s="6">
        <f>[1]Results!AA45</f>
        <v>3.3454508789999999</v>
      </c>
      <c r="Y305" s="6">
        <f>[1]Results!AB45</f>
        <v>3.3966616620000001</v>
      </c>
      <c r="Z305" s="6">
        <f>[1]Results!AC45</f>
        <v>3.4464908809999999</v>
      </c>
      <c r="AA305" s="6">
        <f>[1]Results!AD45</f>
        <v>3.495013368</v>
      </c>
      <c r="AB305" s="6">
        <f>[1]Results!AE45</f>
        <v>3.5411570380000001</v>
      </c>
      <c r="AC305" s="6">
        <f>[1]Results!AF45</f>
        <v>3.585653287</v>
      </c>
      <c r="AD305" s="6">
        <f>[1]Results!AG45</f>
        <v>3.6286172290000001</v>
      </c>
      <c r="AE305" s="6">
        <f>[1]Results!AH45</f>
        <v>3.6701823120000001</v>
      </c>
      <c r="AF305" s="6">
        <f>[1]Results!AI45</f>
        <v>3.7104821129999999</v>
      </c>
      <c r="AG305" s="6">
        <f>[1]Results!AJ45</f>
        <v>3.7496416749999999</v>
      </c>
      <c r="AH305" s="6">
        <f>[1]Results!AK45</f>
        <v>3.7877739350000001</v>
      </c>
      <c r="AI305" s="6">
        <f>[1]Results!AL45</f>
        <v>3.824979135</v>
      </c>
      <c r="AJ305" s="6">
        <f>[1]Results!AM45</f>
        <v>3.8613458399999998</v>
      </c>
      <c r="AK305" s="6">
        <f>[1]Results!AN45</f>
        <v>3.8969526210000001</v>
      </c>
      <c r="AL305" s="6">
        <f>[1]Results!AO45</f>
        <v>3.9318698150000002</v>
      </c>
      <c r="AM305" s="6">
        <f>[1]Results!AP45</f>
        <v>3.9659026050000001</v>
      </c>
      <c r="AN305" s="6">
        <f>[1]Results!AQ45</f>
        <v>3.9991229640000001</v>
      </c>
      <c r="AO305" s="6">
        <f>[1]Results!AR45</f>
        <v>4.0316040490000002</v>
      </c>
      <c r="AP305" s="6">
        <f>[1]Results!AS45</f>
        <v>4.063422246</v>
      </c>
      <c r="AQ305" s="6">
        <f>[1]Results!AT45</f>
        <v>4.0946540599999999</v>
      </c>
      <c r="AR305" s="6">
        <f>[1]Results!AU45</f>
        <v>4.1253725240000003</v>
      </c>
      <c r="AS305" s="6">
        <f>[1]Results!AV45</f>
        <v>4.155644584</v>
      </c>
      <c r="AT305" s="6">
        <f>[1]Results!AW45</f>
        <v>4.1855297140000003</v>
      </c>
      <c r="AU305" s="6">
        <f>[1]Results!AX45</f>
        <v>4.2150795780000001</v>
      </c>
      <c r="AV305" s="6">
        <f>[1]Results!AY45</f>
        <v>4.2443383969999999</v>
      </c>
      <c r="AW305" s="6">
        <f>[1]Results!AZ45</f>
        <v>4.2733656189999998</v>
      </c>
      <c r="AX305" s="6">
        <f>[1]Results!BA45</f>
        <v>4.302191852</v>
      </c>
      <c r="AY305" s="6">
        <f>[1]Results!BB45</f>
        <v>4.3308423310000004</v>
      </c>
      <c r="AZ305" s="6">
        <f>[1]Results!BC45</f>
        <v>4.3593372380000002</v>
      </c>
      <c r="BA305" s="6">
        <f>[1]Results!BD45</f>
        <v>4.3876925519999999</v>
      </c>
      <c r="BB305" s="6">
        <f>[1]Results!BE45</f>
        <v>4.6165073259999998</v>
      </c>
      <c r="BC305" s="6">
        <f>[1]Results!BF45</f>
        <v>4.6556279380000003</v>
      </c>
      <c r="BD305" s="6">
        <f>[1]Results!BG45</f>
        <v>4.6949460810000003</v>
      </c>
      <c r="BE305" s="6">
        <f>[1]Results!BH45</f>
        <v>4.7345074699999996</v>
      </c>
      <c r="BF305" s="6">
        <f>[1]Results!BI45</f>
        <v>4.7743605000000002</v>
      </c>
    </row>
    <row r="306" spans="1:58" x14ac:dyDescent="0.35">
      <c r="B306" t="s">
        <v>55</v>
      </c>
      <c r="C306" s="6">
        <f>[1]Results!F37</f>
        <v>44.765000000000001</v>
      </c>
      <c r="D306" s="6">
        <f>[1]Results!G37</f>
        <v>62.527371019999997</v>
      </c>
      <c r="E306" s="6">
        <f>[1]Results!H37</f>
        <v>81.219025709999997</v>
      </c>
      <c r="F306" s="6">
        <f>[1]Results!I37</f>
        <v>100.35870540000001</v>
      </c>
      <c r="G306" s="6">
        <f>[1]Results!J37</f>
        <v>119.64367489999999</v>
      </c>
      <c r="H306" s="6">
        <f>[1]Results!K37</f>
        <v>138.89067990000001</v>
      </c>
      <c r="I306" s="6">
        <f>[1]Results!L37</f>
        <v>157.95549130000001</v>
      </c>
      <c r="J306" s="6">
        <f>[1]Results!M37</f>
        <v>176.77435149999999</v>
      </c>
      <c r="K306" s="6">
        <f>[1]Results!N37</f>
        <v>195.3109044</v>
      </c>
      <c r="L306" s="6">
        <f>[1]Results!O37</f>
        <v>213.5451764</v>
      </c>
      <c r="M306" s="6">
        <f>[1]Results!P37</f>
        <v>231.53059099999999</v>
      </c>
      <c r="N306" s="6">
        <f>[1]Results!Q37</f>
        <v>249.19786310000001</v>
      </c>
      <c r="O306" s="6">
        <f>[1]Results!R37</f>
        <v>266.54386360000001</v>
      </c>
      <c r="P306" s="6">
        <f>[1]Results!S37</f>
        <v>283.56735750000001</v>
      </c>
      <c r="Q306" s="6">
        <f>[1]Results!T37</f>
        <v>300.26977629999999</v>
      </c>
      <c r="R306" s="6">
        <f>[1]Results!U37</f>
        <v>316.65513570000002</v>
      </c>
      <c r="S306" s="6">
        <f>[1]Results!V37</f>
        <v>332.72971460000002</v>
      </c>
      <c r="T306" s="6">
        <f>[1]Results!W37</f>
        <v>348.5017201</v>
      </c>
      <c r="U306" s="6">
        <f>[1]Results!X37</f>
        <v>363.9810195</v>
      </c>
      <c r="V306" s="6">
        <f>[1]Results!Y37</f>
        <v>379.1789574</v>
      </c>
      <c r="W306" s="6">
        <f>[1]Results!Z37</f>
        <v>394.06073959999998</v>
      </c>
      <c r="X306" s="6">
        <f>[1]Results!AA37</f>
        <v>408.68932119999999</v>
      </c>
      <c r="Y306" s="6">
        <f>[1]Results!AB37</f>
        <v>423.08158809999998</v>
      </c>
      <c r="Z306" s="6">
        <f>[1]Results!AC37</f>
        <v>437.25609750000001</v>
      </c>
      <c r="AA306" s="6">
        <f>[1]Results!AD37</f>
        <v>451.232078</v>
      </c>
      <c r="AB306" s="6">
        <f>[1]Results!AE37</f>
        <v>464.89240769999998</v>
      </c>
      <c r="AC306" s="6">
        <f>[1]Results!AF37</f>
        <v>478.33367079999999</v>
      </c>
      <c r="AD306" s="6">
        <f>[1]Results!AG37</f>
        <v>491.58281040000003</v>
      </c>
      <c r="AE306" s="6">
        <f>[1]Results!AH37</f>
        <v>504.67099910000002</v>
      </c>
      <c r="AF306" s="6">
        <f>[1]Results!AI37</f>
        <v>517.63145540000005</v>
      </c>
      <c r="AG306" s="6">
        <f>[1]Results!AJ37</f>
        <v>530.49837419999994</v>
      </c>
      <c r="AH306" s="6">
        <f>[1]Results!AK37</f>
        <v>543.30644930000005</v>
      </c>
      <c r="AI306" s="6">
        <f>[1]Results!AL37</f>
        <v>556.09075170000006</v>
      </c>
      <c r="AJ306" s="6">
        <f>[1]Results!AM37</f>
        <v>568.88681429999997</v>
      </c>
      <c r="AK306" s="6">
        <f>[1]Results!AN37</f>
        <v>581.73082739999995</v>
      </c>
      <c r="AL306" s="6">
        <f>[1]Results!AO37</f>
        <v>594.65988200000004</v>
      </c>
      <c r="AM306" s="6">
        <f>[1]Results!AP37</f>
        <v>607.67821130000004</v>
      </c>
      <c r="AN306" s="6">
        <f>[1]Results!AQ37</f>
        <v>620.82576800000004</v>
      </c>
      <c r="AO306" s="6">
        <f>[1]Results!AR37</f>
        <v>634.14518550000003</v>
      </c>
      <c r="AP306" s="6">
        <f>[1]Results!AS37</f>
        <v>647.68230889999995</v>
      </c>
      <c r="AQ306" s="6">
        <f>[1]Results!AT37</f>
        <v>661.48603360000004</v>
      </c>
      <c r="AR306" s="6">
        <f>[1]Results!AU37</f>
        <v>675.60805870000002</v>
      </c>
      <c r="AS306" s="6">
        <f>[1]Results!AV37</f>
        <v>690.10275009999998</v>
      </c>
      <c r="AT306" s="6">
        <f>[1]Results!AW37</f>
        <v>705.0271626</v>
      </c>
      <c r="AU306" s="6">
        <f>[1]Results!AX37</f>
        <v>720.44120799999996</v>
      </c>
      <c r="AV306" s="6">
        <f>[1]Results!AY37</f>
        <v>736.40794259999996</v>
      </c>
      <c r="AW306" s="6">
        <f>[1]Results!AZ37</f>
        <v>752.99737270000003</v>
      </c>
      <c r="AX306" s="6">
        <f>[1]Results!BA37</f>
        <v>770.28009689999999</v>
      </c>
      <c r="AY306" s="6">
        <f>[1]Results!BB37</f>
        <v>788.33108449999997</v>
      </c>
      <c r="AZ306" s="6">
        <f>[1]Results!BC37</f>
        <v>807.23008370000002</v>
      </c>
      <c r="BA306" s="6">
        <f>[1]Results!BD37</f>
        <v>827.06211689999998</v>
      </c>
      <c r="BB306" s="6">
        <f>[1]Results!BE37</f>
        <v>333.40671650000002</v>
      </c>
      <c r="BC306" s="6">
        <f>[1]Results!BF37</f>
        <v>307.85780840000001</v>
      </c>
      <c r="BD306" s="6">
        <f>[1]Results!BG37</f>
        <v>279.3378955</v>
      </c>
      <c r="BE306" s="6">
        <f>[1]Results!BH37</f>
        <v>247.6007549</v>
      </c>
      <c r="BF306" s="6">
        <f>[1]Results!BI37</f>
        <v>212.3770069</v>
      </c>
    </row>
    <row r="308" spans="1:58" x14ac:dyDescent="0.35">
      <c r="A308" s="12" t="s">
        <v>90</v>
      </c>
      <c r="B308" s="5" t="str">
        <f>[1]Hybrid!A18</f>
        <v>auto_ca_cfut_2</v>
      </c>
      <c r="C308" s="5">
        <f>[1]Hybrid!B18</f>
        <v>7095.7005250000002</v>
      </c>
      <c r="D308" s="5">
        <f>[1]Hybrid!C18</f>
        <v>7137.1856889999999</v>
      </c>
      <c r="E308" s="5">
        <f>[1]Hybrid!D18</f>
        <v>7223.8635400000003</v>
      </c>
      <c r="F308" s="5">
        <f>[1]Hybrid!E18</f>
        <v>7341.3087210000003</v>
      </c>
      <c r="G308" s="5">
        <f>[1]Hybrid!F18</f>
        <v>7480.0904090000004</v>
      </c>
      <c r="H308" s="5">
        <f>[1]Hybrid!G18</f>
        <v>7634.2229630000002</v>
      </c>
      <c r="I308" s="5">
        <f>[1]Hybrid!H18</f>
        <v>7798.7450339999996</v>
      </c>
      <c r="J308" s="5">
        <f>[1]Hybrid!I18</f>
        <v>7971.1615160000001</v>
      </c>
      <c r="K308" s="5">
        <f>[1]Hybrid!J18</f>
        <v>8149.767452</v>
      </c>
      <c r="L308" s="5">
        <f>[1]Hybrid!K18</f>
        <v>8333.3341729999993</v>
      </c>
      <c r="M308" s="5">
        <f>[1]Hybrid!L18</f>
        <v>8522.073316</v>
      </c>
      <c r="N308" s="5">
        <f>[1]Hybrid!M18</f>
        <v>8714.1603279999999</v>
      </c>
      <c r="O308" s="5">
        <f>[1]Hybrid!N18</f>
        <v>8909.4340570000004</v>
      </c>
      <c r="P308" s="5">
        <f>[1]Hybrid!O18</f>
        <v>9107.5766949999997</v>
      </c>
      <c r="Q308" s="5">
        <f>[1]Hybrid!P18</f>
        <v>9308.2348129999991</v>
      </c>
      <c r="R308" s="5">
        <f>[1]Hybrid!Q18</f>
        <v>9511.0414779999992</v>
      </c>
      <c r="S308" s="5">
        <f>[1]Hybrid!R18</f>
        <v>9715.5762130000003</v>
      </c>
      <c r="T308" s="5">
        <f>[1]Hybrid!S18</f>
        <v>9921.443851</v>
      </c>
      <c r="U308" s="5">
        <f>[1]Hybrid!T18</f>
        <v>10128.27519</v>
      </c>
      <c r="V308" s="5">
        <f>[1]Hybrid!U18</f>
        <v>10335.728090000001</v>
      </c>
      <c r="W308" s="5">
        <f>[1]Hybrid!V18</f>
        <v>10541.875620000001</v>
      </c>
      <c r="X308" s="5">
        <f>[1]Hybrid!W18</f>
        <v>10748.16617</v>
      </c>
      <c r="Y308" s="5">
        <f>[1]Hybrid!X18</f>
        <v>10954.396280000001</v>
      </c>
      <c r="Z308" s="5">
        <f>[1]Hybrid!Y18</f>
        <v>11160.42346</v>
      </c>
      <c r="AA308" s="5">
        <f>[1]Hybrid!Z18</f>
        <v>11366.13091</v>
      </c>
      <c r="AB308" s="5">
        <f>[1]Hybrid!AA18</f>
        <v>11566.681399999999</v>
      </c>
      <c r="AC308" s="5">
        <f>[1]Hybrid!AB18</f>
        <v>11764.82468</v>
      </c>
      <c r="AD308" s="5">
        <f>[1]Hybrid!AC18</f>
        <v>11960.709919999999</v>
      </c>
      <c r="AE308" s="5">
        <f>[1]Hybrid!AD18</f>
        <v>12154.59182</v>
      </c>
      <c r="AF308" s="5">
        <f>[1]Hybrid!AE18</f>
        <v>12346.761979999999</v>
      </c>
      <c r="AG308" s="5">
        <f>[1]Hybrid!AF18</f>
        <v>12537.51165</v>
      </c>
      <c r="AH308" s="5">
        <f>[1]Hybrid!AG18</f>
        <v>12727.126840000001</v>
      </c>
      <c r="AI308" s="5">
        <f>[1]Hybrid!AH18</f>
        <v>12915.85895</v>
      </c>
      <c r="AJ308" s="5">
        <f>[1]Hybrid!AI18</f>
        <v>13103.928959999999</v>
      </c>
      <c r="AK308" s="5">
        <f>[1]Hybrid!AJ18</f>
        <v>13291.535330000001</v>
      </c>
      <c r="AL308" s="5">
        <f>[1]Hybrid!AK18</f>
        <v>13478.86004</v>
      </c>
      <c r="AM308" s="5">
        <f>[1]Hybrid!AL18</f>
        <v>13665.047930000001</v>
      </c>
      <c r="AN308" s="5">
        <f>[1]Hybrid!AM18</f>
        <v>13850.376099999999</v>
      </c>
      <c r="AO308" s="5">
        <f>[1]Hybrid!AN18</f>
        <v>14035.07885</v>
      </c>
      <c r="AP308" s="5">
        <f>[1]Hybrid!AO18</f>
        <v>14219.3992</v>
      </c>
      <c r="AQ308" s="5">
        <f>[1]Hybrid!AP18</f>
        <v>14403.588809999999</v>
      </c>
      <c r="AR308" s="5">
        <f>[1]Hybrid!AQ18</f>
        <v>14587.91482</v>
      </c>
      <c r="AS308" s="5">
        <f>[1]Hybrid!AR18</f>
        <v>14772.608120000001</v>
      </c>
      <c r="AT308" s="5">
        <f>[1]Hybrid!AS18</f>
        <v>14957.8595</v>
      </c>
      <c r="AU308" s="5">
        <f>[1]Hybrid!AT18</f>
        <v>15143.822990000001</v>
      </c>
      <c r="AV308" s="5">
        <f>[1]Hybrid!AU18</f>
        <v>15330.61873</v>
      </c>
      <c r="AW308" s="5">
        <f>[1]Hybrid!AV18</f>
        <v>15518.519109999999</v>
      </c>
      <c r="AX308" s="5">
        <f>[1]Hybrid!AW18</f>
        <v>15707.60663</v>
      </c>
      <c r="AY308" s="5">
        <f>[1]Hybrid!AX18</f>
        <v>15897.90605</v>
      </c>
      <c r="AZ308" s="5">
        <f>[1]Hybrid!AY18</f>
        <v>16089.4123</v>
      </c>
      <c r="BA308" s="5">
        <f>[1]Hybrid!AZ18</f>
        <v>16282.102070000001</v>
      </c>
      <c r="BB308" s="5">
        <f>[1]Hybrid!BA18</f>
        <v>18081.43362</v>
      </c>
      <c r="BC308" s="5">
        <f>[1]Hybrid!BB18</f>
        <v>18357.057929999999</v>
      </c>
      <c r="BD308" s="5">
        <f>[1]Hybrid!BC18</f>
        <v>18637.218840000001</v>
      </c>
      <c r="BE308" s="5">
        <f>[1]Hybrid!BD18</f>
        <v>18922.18578</v>
      </c>
      <c r="BF308" s="5">
        <f>[1]Hybrid!BE18</f>
        <v>19212.253079999999</v>
      </c>
    </row>
    <row r="309" spans="1:58" x14ac:dyDescent="0.35">
      <c r="A309" t="s">
        <v>39</v>
      </c>
      <c r="B309" s="5" t="str">
        <f>[1]Hybrid!A20</f>
        <v>auto_cb_cfut_2</v>
      </c>
      <c r="C309" s="5">
        <f>[1]Hybrid!B20</f>
        <v>8251.256421</v>
      </c>
      <c r="D309" s="5">
        <f>[1]Hybrid!C20</f>
        <v>8178.5394489999999</v>
      </c>
      <c r="E309" s="5">
        <f>[1]Hybrid!D20</f>
        <v>8157.0040580000004</v>
      </c>
      <c r="F309" s="5">
        <f>[1]Hybrid!E20</f>
        <v>8171.89984</v>
      </c>
      <c r="G309" s="5">
        <f>[1]Hybrid!F20</f>
        <v>8213.4013040000009</v>
      </c>
      <c r="H309" s="5">
        <f>[1]Hybrid!G20</f>
        <v>8275.0824979999998</v>
      </c>
      <c r="I309" s="5">
        <f>[1]Hybrid!H20</f>
        <v>8351.5852489999997</v>
      </c>
      <c r="J309" s="5">
        <f>[1]Hybrid!I20</f>
        <v>8439.9731080000001</v>
      </c>
      <c r="K309" s="5">
        <f>[1]Hybrid!J20</f>
        <v>8538.1194250000008</v>
      </c>
      <c r="L309" s="5">
        <f>[1]Hybrid!K20</f>
        <v>8644.3984299999993</v>
      </c>
      <c r="M309" s="5">
        <f>[1]Hybrid!L20</f>
        <v>8758.586174</v>
      </c>
      <c r="N309" s="5">
        <f>[1]Hybrid!M20</f>
        <v>8878.574568</v>
      </c>
      <c r="O309" s="5">
        <f>[1]Hybrid!N20</f>
        <v>9003.8428810000005</v>
      </c>
      <c r="P309" s="5">
        <f>[1]Hybrid!O20</f>
        <v>9133.7465969999994</v>
      </c>
      <c r="Q309" s="5">
        <f>[1]Hybrid!P20</f>
        <v>9267.6340839999993</v>
      </c>
      <c r="R309" s="5">
        <f>[1]Hybrid!Q20</f>
        <v>9404.8680239999994</v>
      </c>
      <c r="S309" s="5">
        <f>[1]Hybrid!R20</f>
        <v>9544.7877119999994</v>
      </c>
      <c r="T309" s="5">
        <f>[1]Hybrid!S20</f>
        <v>9686.780385</v>
      </c>
      <c r="U309" s="5">
        <f>[1]Hybrid!T20</f>
        <v>9830.2797119999996</v>
      </c>
      <c r="V309" s="5">
        <f>[1]Hybrid!U20</f>
        <v>9974.7645470000007</v>
      </c>
      <c r="W309" s="5">
        <f>[1]Hybrid!V20</f>
        <v>10118.29191</v>
      </c>
      <c r="X309" s="5">
        <f>[1]Hybrid!W20</f>
        <v>10262.01318</v>
      </c>
      <c r="Y309" s="5">
        <f>[1]Hybrid!X20</f>
        <v>10405.583409999999</v>
      </c>
      <c r="Z309" s="5">
        <f>[1]Hybrid!Y20</f>
        <v>10548.72442</v>
      </c>
      <c r="AA309" s="5">
        <f>[1]Hybrid!Z20</f>
        <v>10691.19181</v>
      </c>
      <c r="AB309" s="5">
        <f>[1]Hybrid!AA20</f>
        <v>10828.541209999999</v>
      </c>
      <c r="AC309" s="5">
        <f>[1]Hybrid!AB20</f>
        <v>10963.14328</v>
      </c>
      <c r="AD309" s="5">
        <f>[1]Hybrid!AC20</f>
        <v>11095.041310000001</v>
      </c>
      <c r="AE309" s="5">
        <f>[1]Hybrid!AD20</f>
        <v>11224.37455</v>
      </c>
      <c r="AF309" s="5">
        <f>[1]Hybrid!AE20</f>
        <v>11351.315710000001</v>
      </c>
      <c r="AG309" s="5">
        <f>[1]Hybrid!AF20</f>
        <v>11476.03751</v>
      </c>
      <c r="AH309" s="5">
        <f>[1]Hybrid!AG20</f>
        <v>11598.708000000001</v>
      </c>
      <c r="AI309" s="5">
        <f>[1]Hybrid!AH20</f>
        <v>11719.46473</v>
      </c>
      <c r="AJ309" s="5">
        <f>[1]Hybrid!AI20</f>
        <v>11838.41814</v>
      </c>
      <c r="AK309" s="5">
        <f>[1]Hybrid!AJ20</f>
        <v>11955.658509999999</v>
      </c>
      <c r="AL309" s="5">
        <f>[1]Hybrid!AK20</f>
        <v>12071.261060000001</v>
      </c>
      <c r="AM309" s="5">
        <f>[1]Hybrid!AL20</f>
        <v>12184.418320000001</v>
      </c>
      <c r="AN309" s="5">
        <f>[1]Hybrid!AM20</f>
        <v>12295.29732</v>
      </c>
      <c r="AO309" s="5">
        <f>[1]Hybrid!AN20</f>
        <v>12404.02657</v>
      </c>
      <c r="AP309" s="5">
        <f>[1]Hybrid!AO20</f>
        <v>12510.739030000001</v>
      </c>
      <c r="AQ309" s="5">
        <f>[1]Hybrid!AP20</f>
        <v>12615.57173</v>
      </c>
      <c r="AR309" s="5">
        <f>[1]Hybrid!AQ20</f>
        <v>12718.671609999999</v>
      </c>
      <c r="AS309" s="5">
        <f>[1]Hybrid!AR20</f>
        <v>12820.15257</v>
      </c>
      <c r="AT309" s="5">
        <f>[1]Hybrid!AS20</f>
        <v>12920.092570000001</v>
      </c>
      <c r="AU309" s="5">
        <f>[1]Hybrid!AT20</f>
        <v>13018.536889999999</v>
      </c>
      <c r="AV309" s="5">
        <f>[1]Hybrid!AU20</f>
        <v>13115.50107</v>
      </c>
      <c r="AW309" s="5">
        <f>[1]Hybrid!AV20</f>
        <v>13211.121779999999</v>
      </c>
      <c r="AX309" s="5">
        <f>[1]Hybrid!AW20</f>
        <v>13305.379000000001</v>
      </c>
      <c r="AY309" s="5">
        <f>[1]Hybrid!AX20</f>
        <v>13398.20391</v>
      </c>
      <c r="AZ309" s="5">
        <f>[1]Hybrid!AY20</f>
        <v>13489.50229</v>
      </c>
      <c r="BA309" s="5">
        <f>[1]Hybrid!AZ20</f>
        <v>13579.16474</v>
      </c>
      <c r="BB309" s="5">
        <f>[1]Hybrid!BA20</f>
        <v>14944.95203</v>
      </c>
      <c r="BC309" s="5">
        <f>[1]Hybrid!BB20</f>
        <v>15091.13233</v>
      </c>
      <c r="BD309" s="5">
        <f>[1]Hybrid!BC20</f>
        <v>15237.753839999999</v>
      </c>
      <c r="BE309" s="5">
        <f>[1]Hybrid!BD20</f>
        <v>15384.92359</v>
      </c>
      <c r="BF309" s="5">
        <f>[1]Hybrid!BE20</f>
        <v>15532.76332</v>
      </c>
    </row>
    <row r="310" spans="1:58" x14ac:dyDescent="0.35">
      <c r="B310" s="5" t="str">
        <f>[1]Hybrid!A22</f>
        <v>auto_cc_cfut_2</v>
      </c>
      <c r="C310" s="5">
        <f>[1]Hybrid!B22</f>
        <v>6777.6024520000001</v>
      </c>
      <c r="D310" s="5">
        <f>[1]Hybrid!C22</f>
        <v>6643.9141769999997</v>
      </c>
      <c r="E310" s="5">
        <f>[1]Hybrid!D22</f>
        <v>6551.4790940000003</v>
      </c>
      <c r="F310" s="5">
        <f>[1]Hybrid!E22</f>
        <v>6489.4355310000001</v>
      </c>
      <c r="G310" s="5">
        <f>[1]Hybrid!F22</f>
        <v>6450.4242880000002</v>
      </c>
      <c r="H310" s="5">
        <f>[1]Hybrid!G22</f>
        <v>6429.5060249999997</v>
      </c>
      <c r="I310" s="5">
        <f>[1]Hybrid!H22</f>
        <v>6422.5414030000002</v>
      </c>
      <c r="J310" s="5">
        <f>[1]Hybrid!I22</f>
        <v>6427.1070959999997</v>
      </c>
      <c r="K310" s="5">
        <f>[1]Hybrid!J22</f>
        <v>6441.3778359999997</v>
      </c>
      <c r="L310" s="5">
        <f>[1]Hybrid!K22</f>
        <v>6463.9071910000002</v>
      </c>
      <c r="M310" s="5">
        <f>[1]Hybrid!L22</f>
        <v>6494.2344329999996</v>
      </c>
      <c r="N310" s="5">
        <f>[1]Hybrid!M22</f>
        <v>6530.6446690000002</v>
      </c>
      <c r="O310" s="5">
        <f>[1]Hybrid!N22</f>
        <v>6572.5179029999999</v>
      </c>
      <c r="P310" s="5">
        <f>[1]Hybrid!O22</f>
        <v>6619.168772</v>
      </c>
      <c r="Q310" s="5">
        <f>[1]Hybrid!P22</f>
        <v>6669.9274059999998</v>
      </c>
      <c r="R310" s="5">
        <f>[1]Hybrid!Q22</f>
        <v>6724.154184</v>
      </c>
      <c r="S310" s="5">
        <f>[1]Hybrid!R22</f>
        <v>6781.2139209999996</v>
      </c>
      <c r="T310" s="5">
        <f>[1]Hybrid!S22</f>
        <v>6840.5221840000004</v>
      </c>
      <c r="U310" s="5">
        <f>[1]Hybrid!T22</f>
        <v>6901.5426770000004</v>
      </c>
      <c r="V310" s="5">
        <f>[1]Hybrid!U22</f>
        <v>6963.7847309999997</v>
      </c>
      <c r="W310" s="5">
        <f>[1]Hybrid!V22</f>
        <v>7025.839841</v>
      </c>
      <c r="X310" s="5">
        <f>[1]Hybrid!W22</f>
        <v>7088.3479399999997</v>
      </c>
      <c r="Y310" s="5">
        <f>[1]Hybrid!X22</f>
        <v>7150.9731309999997</v>
      </c>
      <c r="Z310" s="5">
        <f>[1]Hybrid!Y22</f>
        <v>7213.4325879999997</v>
      </c>
      <c r="AA310" s="5">
        <f>[1]Hybrid!Z22</f>
        <v>7275.4742759999999</v>
      </c>
      <c r="AB310" s="5">
        <f>[1]Hybrid!AA22</f>
        <v>7334.1514889999999</v>
      </c>
      <c r="AC310" s="5">
        <f>[1]Hybrid!AB22</f>
        <v>7390.9360530000004</v>
      </c>
      <c r="AD310" s="5">
        <f>[1]Hybrid!AC22</f>
        <v>7445.7983910000003</v>
      </c>
      <c r="AE310" s="5">
        <f>[1]Hybrid!AD22</f>
        <v>7498.7733090000002</v>
      </c>
      <c r="AF310" s="5">
        <f>[1]Hybrid!AE22</f>
        <v>7549.9189710000001</v>
      </c>
      <c r="AG310" s="5">
        <f>[1]Hybrid!AF22</f>
        <v>7599.2952560000003</v>
      </c>
      <c r="AH310" s="5">
        <f>[1]Hybrid!AG22</f>
        <v>7646.9605410000004</v>
      </c>
      <c r="AI310" s="5">
        <f>[1]Hybrid!AH22</f>
        <v>7692.9552739999999</v>
      </c>
      <c r="AJ310" s="5">
        <f>[1]Hybrid!AI22</f>
        <v>7737.3040780000001</v>
      </c>
      <c r="AK310" s="5">
        <f>[1]Hybrid!AJ22</f>
        <v>7780.020066</v>
      </c>
      <c r="AL310" s="5">
        <f>[1]Hybrid!AK22</f>
        <v>7821.1080810000003</v>
      </c>
      <c r="AM310" s="5">
        <f>[1]Hybrid!AL22</f>
        <v>7860.03215</v>
      </c>
      <c r="AN310" s="5">
        <f>[1]Hybrid!AM22</f>
        <v>7896.8632980000002</v>
      </c>
      <c r="AO310" s="5">
        <f>[1]Hybrid!AN22</f>
        <v>7931.6491740000001</v>
      </c>
      <c r="AP310" s="5">
        <f>[1]Hybrid!AO22</f>
        <v>7964.4399089999997</v>
      </c>
      <c r="AQ310" s="5">
        <f>[1]Hybrid!AP22</f>
        <v>7995.2878970000002</v>
      </c>
      <c r="AR310" s="5">
        <f>[1]Hybrid!AQ22</f>
        <v>8024.2513639999997</v>
      </c>
      <c r="AS310" s="5">
        <f>[1]Hybrid!AR22</f>
        <v>8051.3687470000004</v>
      </c>
      <c r="AT310" s="5">
        <f>[1]Hybrid!AS22</f>
        <v>8076.6571679999997</v>
      </c>
      <c r="AU310" s="5">
        <f>[1]Hybrid!AT22</f>
        <v>8100.1148080000003</v>
      </c>
      <c r="AV310" s="5">
        <f>[1]Hybrid!AU22</f>
        <v>8121.7229829999997</v>
      </c>
      <c r="AW310" s="5">
        <f>[1]Hybrid!AV22</f>
        <v>8141.5346579999996</v>
      </c>
      <c r="AX310" s="5">
        <f>[1]Hybrid!AW22</f>
        <v>8159.5114830000002</v>
      </c>
      <c r="AY310" s="5">
        <f>[1]Hybrid!AX22</f>
        <v>8175.5875619999997</v>
      </c>
      <c r="AZ310" s="5">
        <f>[1]Hybrid!AY22</f>
        <v>8189.6836990000002</v>
      </c>
      <c r="BA310" s="5">
        <f>[1]Hybrid!AZ22</f>
        <v>8201.713855</v>
      </c>
      <c r="BB310" s="5">
        <f>[1]Hybrid!BA22</f>
        <v>8944.8946360000009</v>
      </c>
      <c r="BC310" s="5">
        <f>[1]Hybrid!BB22</f>
        <v>8984.7352420000007</v>
      </c>
      <c r="BD310" s="5">
        <f>[1]Hybrid!BC22</f>
        <v>9023.4650409999995</v>
      </c>
      <c r="BE310" s="5">
        <f>[1]Hybrid!BD22</f>
        <v>9061.1200069999995</v>
      </c>
      <c r="BF310" s="5">
        <f>[1]Hybrid!BE22</f>
        <v>9097.7437040000004</v>
      </c>
    </row>
    <row r="311" spans="1:58" x14ac:dyDescent="0.35">
      <c r="B311" s="5" t="str">
        <f>[1]Hybrid!A24</f>
        <v>auto_cd_cfut_2</v>
      </c>
      <c r="C311" s="5">
        <f>[1]Hybrid!B24</f>
        <v>4159.6639080000004</v>
      </c>
      <c r="D311" s="5">
        <f>[1]Hybrid!C24</f>
        <v>4053.1994679999998</v>
      </c>
      <c r="E311" s="5">
        <f>[1]Hybrid!D24</f>
        <v>3970.4311619999999</v>
      </c>
      <c r="F311" s="5">
        <f>[1]Hybrid!E24</f>
        <v>3904.7906790000002</v>
      </c>
      <c r="G311" s="5">
        <f>[1]Hybrid!F24</f>
        <v>3851.8168909999999</v>
      </c>
      <c r="H311" s="5">
        <f>[1]Hybrid!G24</f>
        <v>3808.4912629999999</v>
      </c>
      <c r="I311" s="5">
        <f>[1]Hybrid!H24</f>
        <v>3772.3277330000001</v>
      </c>
      <c r="J311" s="5">
        <f>[1]Hybrid!I24</f>
        <v>3741.829823</v>
      </c>
      <c r="K311" s="5">
        <f>[1]Hybrid!J24</f>
        <v>3715.8689279999999</v>
      </c>
      <c r="L311" s="5">
        <f>[1]Hybrid!K24</f>
        <v>3693.5530189999999</v>
      </c>
      <c r="M311" s="5">
        <f>[1]Hybrid!L24</f>
        <v>3674.5256490000002</v>
      </c>
      <c r="N311" s="5">
        <f>[1]Hybrid!M24</f>
        <v>3657.8123030000002</v>
      </c>
      <c r="O311" s="5">
        <f>[1]Hybrid!N24</f>
        <v>3642.9973500000001</v>
      </c>
      <c r="P311" s="5">
        <f>[1]Hybrid!O24</f>
        <v>3629.6420939999998</v>
      </c>
      <c r="Q311" s="5">
        <f>[1]Hybrid!P24</f>
        <v>3617.3319780000002</v>
      </c>
      <c r="R311" s="5">
        <f>[1]Hybrid!Q24</f>
        <v>3605.6865910000001</v>
      </c>
      <c r="S311" s="5">
        <f>[1]Hybrid!R24</f>
        <v>3594.3478049999999</v>
      </c>
      <c r="T311" s="5">
        <f>[1]Hybrid!S24</f>
        <v>3583.000164</v>
      </c>
      <c r="U311" s="5">
        <f>[1]Hybrid!T24</f>
        <v>3571.3675640000001</v>
      </c>
      <c r="V311" s="5">
        <f>[1]Hybrid!U24</f>
        <v>3559.2097520000002</v>
      </c>
      <c r="W311" s="5">
        <f>[1]Hybrid!V24</f>
        <v>3545.9023590000002</v>
      </c>
      <c r="X311" s="5">
        <f>[1]Hybrid!W24</f>
        <v>3531.7337670000002</v>
      </c>
      <c r="Y311" s="5">
        <f>[1]Hybrid!X24</f>
        <v>3516.5669050000001</v>
      </c>
      <c r="Z311" s="5">
        <f>[1]Hybrid!Y24</f>
        <v>3500.2942589999998</v>
      </c>
      <c r="AA311" s="5">
        <f>[1]Hybrid!Z24</f>
        <v>3482.8278100000002</v>
      </c>
      <c r="AB311" s="5">
        <f>[1]Hybrid!AA24</f>
        <v>3463.0105570000001</v>
      </c>
      <c r="AC311" s="5">
        <f>[1]Hybrid!AB24</f>
        <v>3441.4986749999998</v>
      </c>
      <c r="AD311" s="5">
        <f>[1]Hybrid!AC24</f>
        <v>3418.3343709999999</v>
      </c>
      <c r="AE311" s="5">
        <f>[1]Hybrid!AD24</f>
        <v>3393.5828499999998</v>
      </c>
      <c r="AF311" s="5">
        <f>[1]Hybrid!AE24</f>
        <v>3367.3153779999998</v>
      </c>
      <c r="AG311" s="5">
        <f>[1]Hybrid!AF24</f>
        <v>3339.6012059999998</v>
      </c>
      <c r="AH311" s="5">
        <f>[1]Hybrid!AG24</f>
        <v>3310.5067250000002</v>
      </c>
      <c r="AI311" s="5">
        <f>[1]Hybrid!AH24</f>
        <v>3280.089919</v>
      </c>
      <c r="AJ311" s="5">
        <f>[1]Hybrid!AI24</f>
        <v>3248.4016040000001</v>
      </c>
      <c r="AK311" s="5">
        <f>[1]Hybrid!AJ24</f>
        <v>3215.4875059999999</v>
      </c>
      <c r="AL311" s="5">
        <f>[1]Hybrid!AK24</f>
        <v>3181.389909</v>
      </c>
      <c r="AM311" s="5">
        <f>[1]Hybrid!AL24</f>
        <v>3145.975418</v>
      </c>
      <c r="AN311" s="5">
        <f>[1]Hybrid!AM24</f>
        <v>3109.3184670000001</v>
      </c>
      <c r="AO311" s="5">
        <f>[1]Hybrid!AN24</f>
        <v>3071.4846729999999</v>
      </c>
      <c r="AP311" s="5">
        <f>[1]Hybrid!AO24</f>
        <v>3032.5389399999999</v>
      </c>
      <c r="AQ311" s="5">
        <f>[1]Hybrid!AP24</f>
        <v>2992.5456810000001</v>
      </c>
      <c r="AR311" s="5">
        <f>[1]Hybrid!AQ24</f>
        <v>2951.5703530000001</v>
      </c>
      <c r="AS311" s="5">
        <f>[1]Hybrid!AR24</f>
        <v>2909.672317</v>
      </c>
      <c r="AT311" s="5">
        <f>[1]Hybrid!AS24</f>
        <v>2866.9048830000002</v>
      </c>
      <c r="AU311" s="5">
        <f>[1]Hybrid!AT24</f>
        <v>2823.3166190000002</v>
      </c>
      <c r="AV311" s="5">
        <f>[1]Hybrid!AU24</f>
        <v>2778.9524820000001</v>
      </c>
      <c r="AW311" s="5">
        <f>[1]Hybrid!AV24</f>
        <v>2733.8775350000001</v>
      </c>
      <c r="AX311" s="5">
        <f>[1]Hybrid!AW24</f>
        <v>2688.1334350000002</v>
      </c>
      <c r="AY311" s="5">
        <f>[1]Hybrid!AX24</f>
        <v>2641.7559809999998</v>
      </c>
      <c r="AZ311" s="5">
        <f>[1]Hybrid!AY24</f>
        <v>2594.7794279999998</v>
      </c>
      <c r="BA311" s="5">
        <f>[1]Hybrid!AZ24</f>
        <v>2547.238652</v>
      </c>
      <c r="BB311" s="5">
        <f>[1]Hybrid!BA24</f>
        <v>2593.1708560000002</v>
      </c>
      <c r="BC311" s="5">
        <f>[1]Hybrid!BB24</f>
        <v>2544.777732</v>
      </c>
      <c r="BD311" s="5">
        <f>[1]Hybrid!BC24</f>
        <v>2495.8074900000001</v>
      </c>
      <c r="BE311" s="5">
        <f>[1]Hybrid!BD24</f>
        <v>2446.3127749999999</v>
      </c>
      <c r="BF311" s="5">
        <f>[1]Hybrid!BE24</f>
        <v>2396.3466669999998</v>
      </c>
    </row>
    <row r="312" spans="1:58" x14ac:dyDescent="0.35">
      <c r="B312" s="5" t="str">
        <f>[1]Hybrid!A26</f>
        <v>auto_ce_cfut_2</v>
      </c>
      <c r="C312" s="5">
        <f>[1]Hybrid!B26</f>
        <v>2503.7292430000002</v>
      </c>
      <c r="D312" s="5">
        <f>[1]Hybrid!C26</f>
        <v>2441.9784639999998</v>
      </c>
      <c r="E312" s="5">
        <f>[1]Hybrid!D26</f>
        <v>2393.5922799999998</v>
      </c>
      <c r="F312" s="5">
        <f>[1]Hybrid!E26</f>
        <v>2354.3760360000001</v>
      </c>
      <c r="G312" s="5">
        <f>[1]Hybrid!F26</f>
        <v>2321.5180009999999</v>
      </c>
      <c r="H312" s="5">
        <f>[1]Hybrid!G26</f>
        <v>2293.1445659999999</v>
      </c>
      <c r="I312" s="5">
        <f>[1]Hybrid!H26</f>
        <v>2267.7527799999998</v>
      </c>
      <c r="J312" s="5">
        <f>[1]Hybrid!I26</f>
        <v>2244.4637670000002</v>
      </c>
      <c r="K312" s="5">
        <f>[1]Hybrid!J26</f>
        <v>2222.6388940000002</v>
      </c>
      <c r="L312" s="5">
        <f>[1]Hybrid!K26</f>
        <v>2201.7936930000001</v>
      </c>
      <c r="M312" s="5">
        <f>[1]Hybrid!L26</f>
        <v>2181.7623990000002</v>
      </c>
      <c r="N312" s="5">
        <f>[1]Hybrid!M26</f>
        <v>2162.0336929999999</v>
      </c>
      <c r="O312" s="5">
        <f>[1]Hybrid!N26</f>
        <v>2142.4120069999999</v>
      </c>
      <c r="P312" s="5">
        <f>[1]Hybrid!O26</f>
        <v>2122.6907299999998</v>
      </c>
      <c r="Q312" s="5">
        <f>[1]Hybrid!P26</f>
        <v>2102.68208</v>
      </c>
      <c r="R312" s="5">
        <f>[1]Hybrid!Q26</f>
        <v>2082.2238130000001</v>
      </c>
      <c r="S312" s="5">
        <f>[1]Hybrid!R26</f>
        <v>2061.1728069999999</v>
      </c>
      <c r="T312" s="5">
        <f>[1]Hybrid!S26</f>
        <v>2039.4148889999999</v>
      </c>
      <c r="U312" s="5">
        <f>[1]Hybrid!T26</f>
        <v>2016.8617819999999</v>
      </c>
      <c r="V312" s="5">
        <f>[1]Hybrid!U26</f>
        <v>1993.4479220000001</v>
      </c>
      <c r="W312" s="5">
        <f>[1]Hybrid!V26</f>
        <v>1968.9224099999999</v>
      </c>
      <c r="X312" s="5">
        <f>[1]Hybrid!W26</f>
        <v>1943.491921</v>
      </c>
      <c r="Y312" s="5">
        <f>[1]Hybrid!X26</f>
        <v>1917.1496589999999</v>
      </c>
      <c r="Z312" s="5">
        <f>[1]Hybrid!Y26</f>
        <v>1889.903407</v>
      </c>
      <c r="AA312" s="5">
        <f>[1]Hybrid!Z26</f>
        <v>1861.7703690000001</v>
      </c>
      <c r="AB312" s="5">
        <f>[1]Hybrid!AA26</f>
        <v>1832.280115</v>
      </c>
      <c r="AC312" s="5">
        <f>[1]Hybrid!AB26</f>
        <v>1801.8073420000001</v>
      </c>
      <c r="AD312" s="5">
        <f>[1]Hybrid!AC26</f>
        <v>1770.4369360000001</v>
      </c>
      <c r="AE312" s="5">
        <f>[1]Hybrid!AD26</f>
        <v>1738.259984</v>
      </c>
      <c r="AF312" s="5">
        <f>[1]Hybrid!AE26</f>
        <v>1705.3660460000001</v>
      </c>
      <c r="AG312" s="5">
        <f>[1]Hybrid!AF26</f>
        <v>1671.8399059999999</v>
      </c>
      <c r="AH312" s="5">
        <f>[1]Hybrid!AG26</f>
        <v>1637.7615479999999</v>
      </c>
      <c r="AI312" s="5">
        <f>[1]Hybrid!AH26</f>
        <v>1603.2041879999999</v>
      </c>
      <c r="AJ312" s="5">
        <f>[1]Hybrid!AI26</f>
        <v>1568.2351349999999</v>
      </c>
      <c r="AK312" s="5">
        <f>[1]Hybrid!AJ26</f>
        <v>1532.9169899999999</v>
      </c>
      <c r="AL312" s="5">
        <f>[1]Hybrid!AK26</f>
        <v>1497.3086189999999</v>
      </c>
      <c r="AM312" s="5">
        <f>[1]Hybrid!AL26</f>
        <v>1461.4005830000001</v>
      </c>
      <c r="AN312" s="5">
        <f>[1]Hybrid!AM26</f>
        <v>1425.2634310000001</v>
      </c>
      <c r="AO312" s="5">
        <f>[1]Hybrid!AN26</f>
        <v>1388.961767</v>
      </c>
      <c r="AP312" s="5">
        <f>[1]Hybrid!AO26</f>
        <v>1352.5573059999999</v>
      </c>
      <c r="AQ312" s="5">
        <f>[1]Hybrid!AP26</f>
        <v>1316.10914</v>
      </c>
      <c r="AR312" s="5">
        <f>[1]Hybrid!AQ26</f>
        <v>1279.674487</v>
      </c>
      <c r="AS312" s="5">
        <f>[1]Hybrid!AR26</f>
        <v>1243.3064099999999</v>
      </c>
      <c r="AT312" s="5">
        <f>[1]Hybrid!AS26</f>
        <v>1207.054026</v>
      </c>
      <c r="AU312" s="5">
        <f>[1]Hybrid!AT26</f>
        <v>1170.9631469999999</v>
      </c>
      <c r="AV312" s="5">
        <f>[1]Hybrid!AU26</f>
        <v>1135.0768129999999</v>
      </c>
      <c r="AW312" s="5">
        <f>[1]Hybrid!AV26</f>
        <v>1099.442718</v>
      </c>
      <c r="AX312" s="5">
        <f>[1]Hybrid!AW26</f>
        <v>1064.099571</v>
      </c>
      <c r="AY312" s="5">
        <f>[1]Hybrid!AX26</f>
        <v>1029.082746</v>
      </c>
      <c r="AZ312" s="5">
        <f>[1]Hybrid!AY26</f>
        <v>994.42573319999997</v>
      </c>
      <c r="BA312" s="5">
        <f>[1]Hybrid!AZ26</f>
        <v>960.16088249999996</v>
      </c>
      <c r="BB312" s="5">
        <f>[1]Hybrid!BA26</f>
        <v>942.4006637</v>
      </c>
      <c r="BC312" s="5">
        <f>[1]Hybrid!BB26</f>
        <v>908.72411469999997</v>
      </c>
      <c r="BD312" s="5">
        <f>[1]Hybrid!BC26</f>
        <v>875.52158870000005</v>
      </c>
      <c r="BE312" s="5">
        <f>[1]Hybrid!BD26</f>
        <v>842.82576189999997</v>
      </c>
      <c r="BF312" s="5">
        <f>[1]Hybrid!BE26</f>
        <v>810.66726630000005</v>
      </c>
    </row>
    <row r="313" spans="1:58" x14ac:dyDescent="0.35">
      <c r="B313" s="5" t="str">
        <f>[1]Hybrid!A28</f>
        <v>auto_cf_cfut_2</v>
      </c>
      <c r="C313" s="5">
        <f>[1]Hybrid!B28</f>
        <v>1243.6668460000001</v>
      </c>
      <c r="D313" s="5">
        <f>[1]Hybrid!C28</f>
        <v>1210.313977</v>
      </c>
      <c r="E313" s="5">
        <f>[1]Hybrid!D28</f>
        <v>1182.163976</v>
      </c>
      <c r="F313" s="5">
        <f>[1]Hybrid!E28</f>
        <v>1156.9286030000001</v>
      </c>
      <c r="G313" s="5">
        <f>[1]Hybrid!F28</f>
        <v>1133.157886</v>
      </c>
      <c r="H313" s="5">
        <f>[1]Hybrid!G28</f>
        <v>1109.9570369999999</v>
      </c>
      <c r="I313" s="5">
        <f>[1]Hybrid!H28</f>
        <v>1086.6913910000001</v>
      </c>
      <c r="J313" s="5">
        <f>[1]Hybrid!I28</f>
        <v>1063.0583059999999</v>
      </c>
      <c r="K313" s="5">
        <f>[1]Hybrid!J28</f>
        <v>1038.8952810000001</v>
      </c>
      <c r="L313" s="5">
        <f>[1]Hybrid!K28</f>
        <v>1014.127114</v>
      </c>
      <c r="M313" s="5">
        <f>[1]Hybrid!L28</f>
        <v>988.81439520000004</v>
      </c>
      <c r="N313" s="5">
        <f>[1]Hybrid!M28</f>
        <v>962.89783829999999</v>
      </c>
      <c r="O313" s="5">
        <f>[1]Hybrid!N28</f>
        <v>936.42927810000003</v>
      </c>
      <c r="P313" s="5">
        <f>[1]Hybrid!O28</f>
        <v>909.45648430000006</v>
      </c>
      <c r="Q313" s="5">
        <f>[1]Hybrid!P28</f>
        <v>882.03624230000003</v>
      </c>
      <c r="R313" s="5">
        <f>[1]Hybrid!Q28</f>
        <v>854.23637959999996</v>
      </c>
      <c r="S313" s="5">
        <f>[1]Hybrid!R28</f>
        <v>826.13228890000005</v>
      </c>
      <c r="T313" s="5">
        <f>[1]Hybrid!S28</f>
        <v>797.80739419999998</v>
      </c>
      <c r="U313" s="5">
        <f>[1]Hybrid!T28</f>
        <v>769.34994740000002</v>
      </c>
      <c r="V313" s="5">
        <f>[1]Hybrid!U28</f>
        <v>740.85010869999996</v>
      </c>
      <c r="W313" s="5">
        <f>[1]Hybrid!V28</f>
        <v>712.35272069999996</v>
      </c>
      <c r="X313" s="5">
        <f>[1]Hybrid!W28</f>
        <v>684.00068599999997</v>
      </c>
      <c r="Y313" s="5">
        <f>[1]Hybrid!X28</f>
        <v>655.87865390000002</v>
      </c>
      <c r="Z313" s="5">
        <f>[1]Hybrid!Y28</f>
        <v>628.06629410000005</v>
      </c>
      <c r="AA313" s="5">
        <f>[1]Hybrid!Z28</f>
        <v>600.63723010000001</v>
      </c>
      <c r="AB313" s="5">
        <f>[1]Hybrid!AA28</f>
        <v>573.57611050000003</v>
      </c>
      <c r="AC313" s="5">
        <f>[1]Hybrid!AB28</f>
        <v>547.01105089999999</v>
      </c>
      <c r="AD313" s="5">
        <f>[1]Hybrid!AC28</f>
        <v>521.00808749999999</v>
      </c>
      <c r="AE313" s="5">
        <f>[1]Hybrid!AD28</f>
        <v>495.62463100000002</v>
      </c>
      <c r="AF313" s="5">
        <f>[1]Hybrid!AE28</f>
        <v>470.9089391</v>
      </c>
      <c r="AG313" s="5">
        <f>[1]Hybrid!AF28</f>
        <v>446.90052350000002</v>
      </c>
      <c r="AH313" s="5">
        <f>[1]Hybrid!AG28</f>
        <v>423.6309948</v>
      </c>
      <c r="AI313" s="5">
        <f>[1]Hybrid!AH28</f>
        <v>401.12460729999998</v>
      </c>
      <c r="AJ313" s="5">
        <f>[1]Hybrid!AI28</f>
        <v>379.3990895</v>
      </c>
      <c r="AK313" s="5">
        <f>[1]Hybrid!AJ28</f>
        <v>358.46644809999998</v>
      </c>
      <c r="AL313" s="5">
        <f>[1]Hybrid!AK28</f>
        <v>338.33366660000002</v>
      </c>
      <c r="AM313" s="5">
        <f>[1]Hybrid!AL28</f>
        <v>318.99780659999999</v>
      </c>
      <c r="AN313" s="5">
        <f>[1]Hybrid!AM28</f>
        <v>300.45998880000002</v>
      </c>
      <c r="AO313" s="5">
        <f>[1]Hybrid!AN28</f>
        <v>282.71715619999998</v>
      </c>
      <c r="AP313" s="5">
        <f>[1]Hybrid!AO28</f>
        <v>265.76273789999999</v>
      </c>
      <c r="AQ313" s="5">
        <f>[1]Hybrid!AP28</f>
        <v>249.58709189999999</v>
      </c>
      <c r="AR313" s="5">
        <f>[1]Hybrid!AQ28</f>
        <v>234.17795090000001</v>
      </c>
      <c r="AS313" s="5">
        <f>[1]Hybrid!AR28</f>
        <v>219.5206349</v>
      </c>
      <c r="AT313" s="5">
        <f>[1]Hybrid!AS28</f>
        <v>205.5983923</v>
      </c>
      <c r="AU313" s="5">
        <f>[1]Hybrid!AT28</f>
        <v>192.39273829999999</v>
      </c>
      <c r="AV313" s="5">
        <f>[1]Hybrid!AU28</f>
        <v>179.88375300000001</v>
      </c>
      <c r="AW313" s="5">
        <f>[1]Hybrid!AV28</f>
        <v>168.0506302</v>
      </c>
      <c r="AX313" s="5">
        <f>[1]Hybrid!AW28</f>
        <v>156.8712893</v>
      </c>
      <c r="AY313" s="5">
        <f>[1]Hybrid!AX28</f>
        <v>146.32284430000001</v>
      </c>
      <c r="AZ313" s="5">
        <f>[1]Hybrid!AY28</f>
        <v>136.38185989999999</v>
      </c>
      <c r="BA313" s="5">
        <f>[1]Hybrid!AZ28</f>
        <v>127.0245511</v>
      </c>
      <c r="BB313" s="5">
        <f>[1]Hybrid!BA28</f>
        <v>114.4251134</v>
      </c>
      <c r="BC313" s="5">
        <f>[1]Hybrid!BB28</f>
        <v>106.3615669</v>
      </c>
      <c r="BD313" s="5">
        <f>[1]Hybrid!BC28</f>
        <v>98.805041329999995</v>
      </c>
      <c r="BE313" s="5">
        <f>[1]Hybrid!BD28</f>
        <v>91.7312467</v>
      </c>
      <c r="BF313" s="5">
        <f>[1]Hybrid!BE28</f>
        <v>85.116179560000006</v>
      </c>
    </row>
    <row r="314" spans="1:58" x14ac:dyDescent="0.35">
      <c r="B314" s="5" t="str">
        <f>[1]Hybrid!A30</f>
        <v>auto_cg_cfut_2</v>
      </c>
      <c r="C314" s="5">
        <f>[1]Hybrid!B30</f>
        <v>2239.620606</v>
      </c>
      <c r="D314" s="5">
        <f>[1]Hybrid!C30</f>
        <v>2182.8984</v>
      </c>
      <c r="E314" s="5">
        <f>[1]Hybrid!D30</f>
        <v>2133.0881009999998</v>
      </c>
      <c r="F314" s="5">
        <f>[1]Hybrid!E30</f>
        <v>2085.6848070000001</v>
      </c>
      <c r="G314" s="5">
        <f>[1]Hybrid!F30</f>
        <v>2038.054742</v>
      </c>
      <c r="H314" s="5">
        <f>[1]Hybrid!G30</f>
        <v>1988.775504</v>
      </c>
      <c r="I314" s="5">
        <f>[1]Hybrid!H30</f>
        <v>1937.0306189999999</v>
      </c>
      <c r="J314" s="5">
        <f>[1]Hybrid!I30</f>
        <v>1882.655606</v>
      </c>
      <c r="K314" s="5">
        <f>[1]Hybrid!J30</f>
        <v>1825.7604899999999</v>
      </c>
      <c r="L314" s="5">
        <f>[1]Hybrid!K30</f>
        <v>1766.6096950000001</v>
      </c>
      <c r="M314" s="5">
        <f>[1]Hybrid!L30</f>
        <v>1705.6690249999999</v>
      </c>
      <c r="N314" s="5">
        <f>[1]Hybrid!M30</f>
        <v>1643.210212</v>
      </c>
      <c r="O314" s="5">
        <f>[1]Hybrid!N30</f>
        <v>1579.636409</v>
      </c>
      <c r="P314" s="5">
        <f>[1]Hybrid!O30</f>
        <v>1515.3178049999999</v>
      </c>
      <c r="Q314" s="5">
        <f>[1]Hybrid!P30</f>
        <v>1450.6122330000001</v>
      </c>
      <c r="R314" s="5">
        <f>[1]Hybrid!Q30</f>
        <v>1385.8668560000001</v>
      </c>
      <c r="S314" s="5">
        <f>[1]Hybrid!R30</f>
        <v>1321.4116959999999</v>
      </c>
      <c r="T314" s="5">
        <f>[1]Hybrid!S30</f>
        <v>1257.5578479999999</v>
      </c>
      <c r="U314" s="5">
        <f>[1]Hybrid!T30</f>
        <v>1194.5921740000001</v>
      </c>
      <c r="V314" s="5">
        <f>[1]Hybrid!U30</f>
        <v>1132.7734109999999</v>
      </c>
      <c r="W314" s="5">
        <f>[1]Hybrid!V30</f>
        <v>1072.288076</v>
      </c>
      <c r="X314" s="5">
        <f>[1]Hybrid!W30</f>
        <v>1013.3882149999999</v>
      </c>
      <c r="Y314" s="5">
        <f>[1]Hybrid!X30</f>
        <v>956.24011340000004</v>
      </c>
      <c r="Z314" s="5">
        <f>[1]Hybrid!Y30</f>
        <v>900.97954749999997</v>
      </c>
      <c r="AA314" s="5">
        <f>[1]Hybrid!Z30</f>
        <v>847.71337749999998</v>
      </c>
      <c r="AB314" s="5">
        <f>[1]Hybrid!AA30</f>
        <v>796.46109279999996</v>
      </c>
      <c r="AC314" s="5">
        <f>[1]Hybrid!AB30</f>
        <v>747.3339823</v>
      </c>
      <c r="AD314" s="5">
        <f>[1]Hybrid!AC30</f>
        <v>700.37580979999996</v>
      </c>
      <c r="AE314" s="5">
        <f>[1]Hybrid!AD30</f>
        <v>655.60744380000006</v>
      </c>
      <c r="AF314" s="5">
        <f>[1]Hybrid!AE30</f>
        <v>613.02929529999994</v>
      </c>
      <c r="AG314" s="5">
        <f>[1]Hybrid!AF30</f>
        <v>572.62425359999997</v>
      </c>
      <c r="AH314" s="5">
        <f>[1]Hybrid!AG30</f>
        <v>534.36060359999999</v>
      </c>
      <c r="AI314" s="5">
        <f>[1]Hybrid!AH30</f>
        <v>498.19447250000002</v>
      </c>
      <c r="AJ314" s="5">
        <f>[1]Hybrid!AI30</f>
        <v>464.0721613</v>
      </c>
      <c r="AK314" s="5">
        <f>[1]Hybrid!AJ30</f>
        <v>431.93220439999999</v>
      </c>
      <c r="AL314" s="5">
        <f>[1]Hybrid!AK30</f>
        <v>401.70713899999998</v>
      </c>
      <c r="AM314" s="5">
        <f>[1]Hybrid!AL30</f>
        <v>373.32280559999998</v>
      </c>
      <c r="AN314" s="5">
        <f>[1]Hybrid!AM30</f>
        <v>346.7053722</v>
      </c>
      <c r="AO314" s="5">
        <f>[1]Hybrid!AN30</f>
        <v>321.77842450000003</v>
      </c>
      <c r="AP314" s="5">
        <f>[1]Hybrid!AO30</f>
        <v>298.4640675</v>
      </c>
      <c r="AQ314" s="5">
        <f>[1]Hybrid!AP30</f>
        <v>276.68381950000003</v>
      </c>
      <c r="AR314" s="5">
        <f>[1]Hybrid!AQ30</f>
        <v>256.35938279999999</v>
      </c>
      <c r="AS314" s="5">
        <f>[1]Hybrid!AR30</f>
        <v>237.41322919999999</v>
      </c>
      <c r="AT314" s="5">
        <f>[1]Hybrid!AS30</f>
        <v>219.76912949999999</v>
      </c>
      <c r="AU314" s="5">
        <f>[1]Hybrid!AT30</f>
        <v>203.35259579999999</v>
      </c>
      <c r="AV314" s="5">
        <f>[1]Hybrid!AU30</f>
        <v>188.0912347</v>
      </c>
      <c r="AW314" s="5">
        <f>[1]Hybrid!AV30</f>
        <v>173.91508429999999</v>
      </c>
      <c r="AX314" s="5">
        <f>[1]Hybrid!AW30</f>
        <v>160.756685</v>
      </c>
      <c r="AY314" s="5">
        <f>[1]Hybrid!AX30</f>
        <v>148.55129959999999</v>
      </c>
      <c r="AZ314" s="5">
        <f>[1]Hybrid!AY30</f>
        <v>137.23703699999999</v>
      </c>
      <c r="BA314" s="5">
        <f>[1]Hybrid!AZ30</f>
        <v>126.75492319999999</v>
      </c>
      <c r="BB314" s="5">
        <f>[1]Hybrid!BA30</f>
        <v>112.4660597</v>
      </c>
      <c r="BC314" s="5">
        <f>[1]Hybrid!BB30</f>
        <v>103.8162528</v>
      </c>
      <c r="BD314" s="5">
        <f>[1]Hybrid!BC30</f>
        <v>95.817794160000005</v>
      </c>
      <c r="BE314" s="5">
        <f>[1]Hybrid!BD30</f>
        <v>88.424316970000007</v>
      </c>
      <c r="BF314" s="5">
        <f>[1]Hybrid!BE30</f>
        <v>81.592274309999993</v>
      </c>
    </row>
    <row r="315" spans="1:58" x14ac:dyDescent="0.35">
      <c r="B315" s="5" t="str">
        <f>[1]Hybrid!A32</f>
        <v>auto_ca_cele_2</v>
      </c>
      <c r="C315" s="5">
        <f>[1]Hybrid!B32</f>
        <v>9.8427898650000003</v>
      </c>
      <c r="D315" s="5">
        <f>[1]Hybrid!C32</f>
        <v>14.938855009999999</v>
      </c>
      <c r="E315" s="5">
        <f>[1]Hybrid!D32</f>
        <v>20.289911020000002</v>
      </c>
      <c r="F315" s="5">
        <f>[1]Hybrid!E32</f>
        <v>25.795031689999998</v>
      </c>
      <c r="G315" s="5">
        <f>[1]Hybrid!F32</f>
        <v>31.393768779999998</v>
      </c>
      <c r="H315" s="5">
        <f>[1]Hybrid!G32</f>
        <v>37.052687470000002</v>
      </c>
      <c r="I315" s="5">
        <f>[1]Hybrid!H32</f>
        <v>42.743635449999999</v>
      </c>
      <c r="J315" s="5">
        <f>[1]Hybrid!I32</f>
        <v>48.457887669999998</v>
      </c>
      <c r="K315" s="5">
        <f>[1]Hybrid!J32</f>
        <v>54.191781919999997</v>
      </c>
      <c r="L315" s="5">
        <f>[1]Hybrid!K32</f>
        <v>59.944470199999998</v>
      </c>
      <c r="M315" s="5">
        <f>[1]Hybrid!L32</f>
        <v>65.727952990000006</v>
      </c>
      <c r="N315" s="5">
        <f>[1]Hybrid!M32</f>
        <v>71.534278929999999</v>
      </c>
      <c r="O315" s="5">
        <f>[1]Hybrid!N32</f>
        <v>77.370682790000004</v>
      </c>
      <c r="P315" s="5">
        <f>[1]Hybrid!O32</f>
        <v>83.242518129999993</v>
      </c>
      <c r="Q315" s="5">
        <f>[1]Hybrid!P32</f>
        <v>89.154475629999993</v>
      </c>
      <c r="R315" s="5">
        <f>[1]Hybrid!Q32</f>
        <v>95.110937199999995</v>
      </c>
      <c r="S315" s="5">
        <f>[1]Hybrid!R32</f>
        <v>101.1156994</v>
      </c>
      <c r="T315" s="5">
        <f>[1]Hybrid!S32</f>
        <v>107.1728956</v>
      </c>
      <c r="U315" s="5">
        <f>[1]Hybrid!T32</f>
        <v>113.2871705</v>
      </c>
      <c r="V315" s="5">
        <f>[1]Hybrid!U32</f>
        <v>119.4638399</v>
      </c>
      <c r="W315" s="5">
        <f>[1]Hybrid!V32</f>
        <v>125.6914587</v>
      </c>
      <c r="X315" s="5">
        <f>[1]Hybrid!W32</f>
        <v>131.9951609</v>
      </c>
      <c r="Y315" s="5">
        <f>[1]Hybrid!X32</f>
        <v>138.38388850000001</v>
      </c>
      <c r="Z315" s="5">
        <f>[1]Hybrid!Y32</f>
        <v>144.86818980000001</v>
      </c>
      <c r="AA315" s="5">
        <f>[1]Hybrid!Z32</f>
        <v>151.45994189999999</v>
      </c>
      <c r="AB315" s="5">
        <f>[1]Hybrid!AA32</f>
        <v>158.11681569999999</v>
      </c>
      <c r="AC315" s="5">
        <f>[1]Hybrid!AB32</f>
        <v>164.8833363</v>
      </c>
      <c r="AD315" s="5">
        <f>[1]Hybrid!AC32</f>
        <v>171.7769562</v>
      </c>
      <c r="AE315" s="5">
        <f>[1]Hybrid!AD32</f>
        <v>178.81819820000001</v>
      </c>
      <c r="AF315" s="5">
        <f>[1]Hybrid!AE32</f>
        <v>186.03000560000001</v>
      </c>
      <c r="AG315" s="5">
        <f>[1]Hybrid!AF32</f>
        <v>193.43742570000001</v>
      </c>
      <c r="AH315" s="5">
        <f>[1]Hybrid!AG32</f>
        <v>201.06767809999999</v>
      </c>
      <c r="AI315" s="5">
        <f>[1]Hybrid!AH32</f>
        <v>208.9499022</v>
      </c>
      <c r="AJ315" s="5">
        <f>[1]Hybrid!AI32</f>
        <v>217.1153114</v>
      </c>
      <c r="AK315" s="5">
        <f>[1]Hybrid!AJ32</f>
        <v>225.5974267</v>
      </c>
      <c r="AL315" s="5">
        <f>[1]Hybrid!AK32</f>
        <v>234.4323206</v>
      </c>
      <c r="AM315" s="5">
        <f>[1]Hybrid!AL32</f>
        <v>243.64347570000001</v>
      </c>
      <c r="AN315" s="5">
        <f>[1]Hybrid!AM32</f>
        <v>253.2732297</v>
      </c>
      <c r="AO315" s="5">
        <f>[1]Hybrid!AN32</f>
        <v>263.36690329999999</v>
      </c>
      <c r="AP315" s="5">
        <f>[1]Hybrid!AO32</f>
        <v>273.97384160000001</v>
      </c>
      <c r="AQ315" s="5">
        <f>[1]Hybrid!AP32</f>
        <v>285.14777939999999</v>
      </c>
      <c r="AR315" s="5">
        <f>[1]Hybrid!AQ32</f>
        <v>296.9473921</v>
      </c>
      <c r="AS315" s="5">
        <f>[1]Hybrid!AR32</f>
        <v>309.4358489</v>
      </c>
      <c r="AT315" s="5">
        <f>[1]Hybrid!AS32</f>
        <v>322.68109709999999</v>
      </c>
      <c r="AU315" s="5">
        <f>[1]Hybrid!AT32</f>
        <v>336.756303</v>
      </c>
      <c r="AV315" s="5">
        <f>[1]Hybrid!AU32</f>
        <v>351.7403218</v>
      </c>
      <c r="AW315" s="5">
        <f>[1]Hybrid!AV32</f>
        <v>367.72222010000002</v>
      </c>
      <c r="AX315" s="5">
        <f>[1]Hybrid!AW32</f>
        <v>384.79489530000001</v>
      </c>
      <c r="AY315" s="5">
        <f>[1]Hybrid!AX32</f>
        <v>403.05798859999999</v>
      </c>
      <c r="AZ315" s="5">
        <f>[1]Hybrid!AY32</f>
        <v>422.61898980000001</v>
      </c>
      <c r="BA315" s="5">
        <f>[1]Hybrid!AZ32</f>
        <v>443.59413189999998</v>
      </c>
      <c r="BB315" s="5">
        <f>[1]Hybrid!BA32</f>
        <v>99.339215170000003</v>
      </c>
      <c r="BC315" s="5">
        <f>[1]Hybrid!BB32</f>
        <v>86.987539580000004</v>
      </c>
      <c r="BD315" s="5">
        <f>[1]Hybrid!BC32</f>
        <v>73.015126519999995</v>
      </c>
      <c r="BE315" s="5">
        <f>[1]Hybrid!BD32</f>
        <v>57.267535199999998</v>
      </c>
      <c r="BF315" s="5">
        <f>[1]Hybrid!BE32</f>
        <v>39.574651529999997</v>
      </c>
    </row>
    <row r="316" spans="1:58" x14ac:dyDescent="0.35">
      <c r="B316" s="5" t="str">
        <f>[1]Hybrid!A34</f>
        <v>auto_cb_cele_2</v>
      </c>
      <c r="C316" s="5">
        <f>[1]Hybrid!B34</f>
        <v>11.44571741</v>
      </c>
      <c r="D316" s="5">
        <f>[1]Hybrid!C34</f>
        <v>16.253809090000001</v>
      </c>
      <c r="E316" s="5">
        <f>[1]Hybrid!D34</f>
        <v>21.30255099</v>
      </c>
      <c r="F316" s="5">
        <f>[1]Hybrid!E34</f>
        <v>26.493519880000001</v>
      </c>
      <c r="G316" s="5">
        <f>[1]Hybrid!F34</f>
        <v>31.76776856</v>
      </c>
      <c r="H316" s="5">
        <f>[1]Hybrid!G34</f>
        <v>37.092501460000001</v>
      </c>
      <c r="I316" s="5">
        <f>[1]Hybrid!H34</f>
        <v>42.440126540000001</v>
      </c>
      <c r="J316" s="5">
        <f>[1]Hybrid!I34</f>
        <v>47.80164705</v>
      </c>
      <c r="K316" s="5">
        <f>[1]Hybrid!J34</f>
        <v>53.17289959</v>
      </c>
      <c r="L316" s="5">
        <f>[1]Hybrid!K34</f>
        <v>58.552390860000003</v>
      </c>
      <c r="M316" s="5">
        <f>[1]Hybrid!L34</f>
        <v>63.950827259999997</v>
      </c>
      <c r="N316" s="5">
        <f>[1]Hybrid!M34</f>
        <v>69.359980800000002</v>
      </c>
      <c r="O316" s="5">
        <f>[1]Hybrid!N34</f>
        <v>74.785873839999994</v>
      </c>
      <c r="P316" s="5">
        <f>[1]Hybrid!O34</f>
        <v>80.232652610000002</v>
      </c>
      <c r="Q316" s="5">
        <f>[1]Hybrid!P34</f>
        <v>85.703793779999998</v>
      </c>
      <c r="R316" s="5">
        <f>[1]Hybrid!Q34</f>
        <v>91.202476149999995</v>
      </c>
      <c r="S316" s="5">
        <f>[1]Hybrid!R34</f>
        <v>96.731343409999994</v>
      </c>
      <c r="T316" s="5">
        <f>[1]Hybrid!S34</f>
        <v>102.29337719999999</v>
      </c>
      <c r="U316" s="5">
        <f>[1]Hybrid!T34</f>
        <v>107.892062</v>
      </c>
      <c r="V316" s="5">
        <f>[1]Hybrid!U34</f>
        <v>113.5315296</v>
      </c>
      <c r="W316" s="5">
        <f>[1]Hybrid!V34</f>
        <v>119.20040640000001</v>
      </c>
      <c r="X316" s="5">
        <f>[1]Hybrid!W34</f>
        <v>124.9213041</v>
      </c>
      <c r="Y316" s="5">
        <f>[1]Hybrid!X34</f>
        <v>130.70175549999999</v>
      </c>
      <c r="Z316" s="5">
        <f>[1]Hybrid!Y34</f>
        <v>136.55074210000001</v>
      </c>
      <c r="AA316" s="5">
        <f>[1]Hybrid!Z34</f>
        <v>142.4784224</v>
      </c>
      <c r="AB316" s="5">
        <f>[1]Hybrid!AA34</f>
        <v>148.4452531</v>
      </c>
      <c r="AC316" s="5">
        <f>[1]Hybrid!AB34</f>
        <v>154.49154089999999</v>
      </c>
      <c r="AD316" s="5">
        <f>[1]Hybrid!AC34</f>
        <v>160.6326013</v>
      </c>
      <c r="AE316" s="5">
        <f>[1]Hybrid!AD34</f>
        <v>166.88641430000001</v>
      </c>
      <c r="AF316" s="5">
        <f>[1]Hybrid!AE34</f>
        <v>173.27298949999999</v>
      </c>
      <c r="AG316" s="5">
        <f>[1]Hybrid!AF34</f>
        <v>179.8140425</v>
      </c>
      <c r="AH316" s="5">
        <f>[1]Hybrid!AG34</f>
        <v>186.53302020000001</v>
      </c>
      <c r="AI316" s="5">
        <f>[1]Hybrid!AH34</f>
        <v>193.45483160000001</v>
      </c>
      <c r="AJ316" s="5">
        <f>[1]Hybrid!AI34</f>
        <v>200.60594169999999</v>
      </c>
      <c r="AK316" s="5">
        <f>[1]Hybrid!AJ34</f>
        <v>208.014535</v>
      </c>
      <c r="AL316" s="5">
        <f>[1]Hybrid!AK34</f>
        <v>215.71068289999999</v>
      </c>
      <c r="AM316" s="5">
        <f>[1]Hybrid!AL34</f>
        <v>223.71277570000001</v>
      </c>
      <c r="AN316" s="5">
        <f>[1]Hybrid!AM34</f>
        <v>232.05567679999999</v>
      </c>
      <c r="AO316" s="5">
        <f>[1]Hybrid!AN34</f>
        <v>240.7763459</v>
      </c>
      <c r="AP316" s="5">
        <f>[1]Hybrid!AO34</f>
        <v>249.91467370000001</v>
      </c>
      <c r="AQ316" s="5">
        <f>[1]Hybrid!AP34</f>
        <v>259.51371719999997</v>
      </c>
      <c r="AR316" s="5">
        <f>[1]Hybrid!AQ34</f>
        <v>269.62009080000001</v>
      </c>
      <c r="AS316" s="5">
        <f>[1]Hybrid!AR34</f>
        <v>280.28346540000001</v>
      </c>
      <c r="AT316" s="5">
        <f>[1]Hybrid!AS34</f>
        <v>291.5566958</v>
      </c>
      <c r="AU316" s="5">
        <f>[1]Hybrid!AT34</f>
        <v>303.49607509999998</v>
      </c>
      <c r="AV316" s="5">
        <f>[1]Hybrid!AU34</f>
        <v>316.16159829999998</v>
      </c>
      <c r="AW316" s="5">
        <f>[1]Hybrid!AV34</f>
        <v>329.62072760000001</v>
      </c>
      <c r="AX316" s="5">
        <f>[1]Hybrid!AW34</f>
        <v>343.94263849999999</v>
      </c>
      <c r="AY316" s="5">
        <f>[1]Hybrid!AX34</f>
        <v>359.200536</v>
      </c>
      <c r="AZ316" s="5">
        <f>[1]Hybrid!AY34</f>
        <v>375.4723826</v>
      </c>
      <c r="BA316" s="5">
        <f>[1]Hybrid!AZ34</f>
        <v>392.84142129999998</v>
      </c>
      <c r="BB316" s="5">
        <f>[1]Hybrid!BA34</f>
        <v>75.420396510000003</v>
      </c>
      <c r="BC316" s="5">
        <f>[1]Hybrid!BB34</f>
        <v>63.977383179999997</v>
      </c>
      <c r="BD316" s="5">
        <f>[1]Hybrid!BC34</f>
        <v>51.223632559999999</v>
      </c>
      <c r="BE316" s="5">
        <f>[1]Hybrid!BD34</f>
        <v>37.049375359999999</v>
      </c>
      <c r="BF316" s="5">
        <f>[1]Hybrid!BE34</f>
        <v>21.33479221</v>
      </c>
    </row>
    <row r="317" spans="1:58" x14ac:dyDescent="0.35">
      <c r="B317" s="5" t="str">
        <f>[1]Hybrid!A36</f>
        <v>auto_cc_cele_2</v>
      </c>
      <c r="C317" s="5">
        <f>[1]Hybrid!B36</f>
        <v>9.4015406210000005</v>
      </c>
      <c r="D317" s="5">
        <f>[1]Hybrid!C36</f>
        <v>12.667370699999999</v>
      </c>
      <c r="E317" s="5">
        <f>[1]Hybrid!D36</f>
        <v>16.097082749999998</v>
      </c>
      <c r="F317" s="5">
        <f>[1]Hybrid!E36</f>
        <v>19.621495629999998</v>
      </c>
      <c r="G317" s="5">
        <f>[1]Hybrid!F36</f>
        <v>23.19917989</v>
      </c>
      <c r="H317" s="5">
        <f>[1]Hybrid!G36</f>
        <v>26.806960660000001</v>
      </c>
      <c r="I317" s="5">
        <f>[1]Hybrid!H36</f>
        <v>30.425358800000001</v>
      </c>
      <c r="J317" s="5">
        <f>[1]Hybrid!I36</f>
        <v>34.047731069999998</v>
      </c>
      <c r="K317" s="5">
        <f>[1]Hybrid!J36</f>
        <v>37.670763669999999</v>
      </c>
      <c r="L317" s="5">
        <f>[1]Hybrid!K36</f>
        <v>41.292971559999998</v>
      </c>
      <c r="M317" s="5">
        <f>[1]Hybrid!L36</f>
        <v>44.92122269</v>
      </c>
      <c r="N317" s="5">
        <f>[1]Hybrid!M36</f>
        <v>48.549431040000002</v>
      </c>
      <c r="O317" s="5">
        <f>[1]Hybrid!N36</f>
        <v>52.181153760000001</v>
      </c>
      <c r="P317" s="5">
        <f>[1]Hybrid!O36</f>
        <v>55.818606369999998</v>
      </c>
      <c r="Q317" s="5">
        <f>[1]Hybrid!P36</f>
        <v>59.463522580000003</v>
      </c>
      <c r="R317" s="5">
        <f>[1]Hybrid!Q36</f>
        <v>63.117432309999998</v>
      </c>
      <c r="S317" s="5">
        <f>[1]Hybrid!R36</f>
        <v>66.78151613</v>
      </c>
      <c r="T317" s="5">
        <f>[1]Hybrid!S36</f>
        <v>70.457200349999994</v>
      </c>
      <c r="U317" s="5">
        <f>[1]Hybrid!T36</f>
        <v>74.146268669999998</v>
      </c>
      <c r="V317" s="5">
        <f>[1]Hybrid!U36</f>
        <v>77.850955580000004</v>
      </c>
      <c r="W317" s="5">
        <f>[1]Hybrid!V36</f>
        <v>81.563158079999994</v>
      </c>
      <c r="X317" s="5">
        <f>[1]Hybrid!W36</f>
        <v>85.297529220000001</v>
      </c>
      <c r="Y317" s="5">
        <f>[1]Hybrid!X36</f>
        <v>89.058599610000002</v>
      </c>
      <c r="Z317" s="5">
        <f>[1]Hybrid!Y36</f>
        <v>92.851838200000003</v>
      </c>
      <c r="AA317" s="5">
        <f>[1]Hybrid!Z36</f>
        <v>96.683461500000007</v>
      </c>
      <c r="AB317" s="5">
        <f>[1]Hybrid!AA36</f>
        <v>100.52685080000001</v>
      </c>
      <c r="AC317" s="5">
        <f>[1]Hybrid!AB36</f>
        <v>104.4082715</v>
      </c>
      <c r="AD317" s="5">
        <f>[1]Hybrid!AC36</f>
        <v>108.3373611</v>
      </c>
      <c r="AE317" s="5">
        <f>[1]Hybrid!AD36</f>
        <v>112.3254105</v>
      </c>
      <c r="AF317" s="5">
        <f>[1]Hybrid!AE36</f>
        <v>116.38491860000001</v>
      </c>
      <c r="AG317" s="5">
        <f>[1]Hybrid!AF36</f>
        <v>120.5293578</v>
      </c>
      <c r="AH317" s="5">
        <f>[1]Hybrid!AG36</f>
        <v>124.773167</v>
      </c>
      <c r="AI317" s="5">
        <f>[1]Hybrid!AH36</f>
        <v>129.13155069999999</v>
      </c>
      <c r="AJ317" s="5">
        <f>[1]Hybrid!AI36</f>
        <v>133.62051220000001</v>
      </c>
      <c r="AK317" s="5">
        <f>[1]Hybrid!AJ36</f>
        <v>138.25693129999999</v>
      </c>
      <c r="AL317" s="5">
        <f>[1]Hybrid!AK36</f>
        <v>143.05864149999999</v>
      </c>
      <c r="AM317" s="5">
        <f>[1]Hybrid!AL36</f>
        <v>148.03568999999999</v>
      </c>
      <c r="AN317" s="5">
        <f>[1]Hybrid!AM36</f>
        <v>153.2084715</v>
      </c>
      <c r="AO317" s="5">
        <f>[1]Hybrid!AN36</f>
        <v>158.59836580000001</v>
      </c>
      <c r="AP317" s="5">
        <f>[1]Hybrid!AO36</f>
        <v>164.22821959999999</v>
      </c>
      <c r="AQ317" s="5">
        <f>[1]Hybrid!AP36</f>
        <v>170.12244519999999</v>
      </c>
      <c r="AR317" s="5">
        <f>[1]Hybrid!AQ36</f>
        <v>176.3072166</v>
      </c>
      <c r="AS317" s="5">
        <f>[1]Hybrid!AR36</f>
        <v>182.81009320000001</v>
      </c>
      <c r="AT317" s="5">
        <f>[1]Hybrid!AS36</f>
        <v>189.66003470000001</v>
      </c>
      <c r="AU317" s="5">
        <f>[1]Hybrid!AT36</f>
        <v>196.88749110000001</v>
      </c>
      <c r="AV317" s="5">
        <f>[1]Hybrid!AU36</f>
        <v>204.52449300000001</v>
      </c>
      <c r="AW317" s="5">
        <f>[1]Hybrid!AV36</f>
        <v>212.6069134</v>
      </c>
      <c r="AX317" s="5">
        <f>[1]Hybrid!AW36</f>
        <v>221.17077259999999</v>
      </c>
      <c r="AY317" s="5">
        <f>[1]Hybrid!AX36</f>
        <v>230.25357700000001</v>
      </c>
      <c r="AZ317" s="5">
        <f>[1]Hybrid!AY36</f>
        <v>239.89466110000001</v>
      </c>
      <c r="BA317" s="5">
        <f>[1]Hybrid!AZ36</f>
        <v>250.1353953</v>
      </c>
      <c r="BB317" s="5">
        <f>[1]Hybrid!BA36</f>
        <v>41.767990060000002</v>
      </c>
      <c r="BC317" s="5">
        <f>[1]Hybrid!BB36</f>
        <v>34.301015939999999</v>
      </c>
      <c r="BD317" s="5">
        <f>[1]Hybrid!BC36</f>
        <v>26.084829039999999</v>
      </c>
      <c r="BE317" s="5">
        <f>[1]Hybrid!BD36</f>
        <v>17.065230100000001</v>
      </c>
      <c r="BF317" s="5">
        <f>[1]Hybrid!BE36</f>
        <v>7.1835929309999997</v>
      </c>
    </row>
    <row r="318" spans="1:58" x14ac:dyDescent="0.35">
      <c r="B318" s="5" t="str">
        <f>[1]Hybrid!A38</f>
        <v>auto_cd_cele_2</v>
      </c>
      <c r="C318" s="5">
        <f>[1]Hybrid!B38</f>
        <v>5.770071272</v>
      </c>
      <c r="D318" s="5">
        <f>[1]Hybrid!C38</f>
        <v>7.5470504040000002</v>
      </c>
      <c r="E318" s="5">
        <f>[1]Hybrid!D38</f>
        <v>9.3969785960000003</v>
      </c>
      <c r="F318" s="5">
        <f>[1]Hybrid!E38</f>
        <v>11.27489508</v>
      </c>
      <c r="G318" s="5">
        <f>[1]Hybrid!F38</f>
        <v>13.152431480000001</v>
      </c>
      <c r="H318" s="5">
        <f>[1]Hybrid!G38</f>
        <v>15.01230644</v>
      </c>
      <c r="I318" s="5">
        <f>[1]Hybrid!H38</f>
        <v>16.840379949999999</v>
      </c>
      <c r="J318" s="5">
        <f>[1]Hybrid!I38</f>
        <v>18.630186649999999</v>
      </c>
      <c r="K318" s="5">
        <f>[1]Hybrid!J38</f>
        <v>20.3776315</v>
      </c>
      <c r="L318" s="5">
        <f>[1]Hybrid!K38</f>
        <v>22.080004250000002</v>
      </c>
      <c r="M318" s="5">
        <f>[1]Hybrid!L38</f>
        <v>23.738990680000001</v>
      </c>
      <c r="N318" s="5">
        <f>[1]Hybrid!M38</f>
        <v>25.35007645</v>
      </c>
      <c r="O318" s="5">
        <f>[1]Hybrid!N38</f>
        <v>26.91344527</v>
      </c>
      <c r="P318" s="5">
        <f>[1]Hybrid!O38</f>
        <v>28.42869486</v>
      </c>
      <c r="Q318" s="5">
        <f>[1]Hybrid!P38</f>
        <v>29.89530036</v>
      </c>
      <c r="R318" s="5">
        <f>[1]Hybrid!Q38</f>
        <v>31.312750269999999</v>
      </c>
      <c r="S318" s="5">
        <f>[1]Hybrid!R38</f>
        <v>32.680472479999999</v>
      </c>
      <c r="T318" s="5">
        <f>[1]Hybrid!S38</f>
        <v>33.998065279999999</v>
      </c>
      <c r="U318" s="5">
        <f>[1]Hybrid!T38</f>
        <v>35.265306870000003</v>
      </c>
      <c r="V318" s="5">
        <f>[1]Hybrid!U38</f>
        <v>36.482156430000003</v>
      </c>
      <c r="W318" s="5">
        <f>[1]Hybrid!V38</f>
        <v>37.644603969999999</v>
      </c>
      <c r="X318" s="5">
        <f>[1]Hybrid!W38</f>
        <v>38.75742348</v>
      </c>
      <c r="Y318" s="5">
        <f>[1]Hybrid!X38</f>
        <v>39.821275040000003</v>
      </c>
      <c r="Z318" s="5">
        <f>[1]Hybrid!Y38</f>
        <v>40.83703835</v>
      </c>
      <c r="AA318" s="5">
        <f>[1]Hybrid!Z38</f>
        <v>41.805725379999998</v>
      </c>
      <c r="AB318" s="5">
        <f>[1]Hybrid!AA38</f>
        <v>42.717285359999998</v>
      </c>
      <c r="AC318" s="5">
        <f>[1]Hybrid!AB38</f>
        <v>43.579737280000003</v>
      </c>
      <c r="AD318" s="5">
        <f>[1]Hybrid!AC38</f>
        <v>44.395118060000001</v>
      </c>
      <c r="AE318" s="5">
        <f>[1]Hybrid!AD38</f>
        <v>45.165732169999998</v>
      </c>
      <c r="AF318" s="5">
        <f>[1]Hybrid!AE38</f>
        <v>45.893979799999997</v>
      </c>
      <c r="AG318" s="5">
        <f>[1]Hybrid!AF38</f>
        <v>46.582268689999999</v>
      </c>
      <c r="AH318" s="5">
        <f>[1]Hybrid!AG38</f>
        <v>47.232998850000001</v>
      </c>
      <c r="AI318" s="5">
        <f>[1]Hybrid!AH38</f>
        <v>47.848495030000002</v>
      </c>
      <c r="AJ318" s="5">
        <f>[1]Hybrid!AI38</f>
        <v>48.431008300000002</v>
      </c>
      <c r="AK318" s="5">
        <f>[1]Hybrid!AJ38</f>
        <v>48.982728729999998</v>
      </c>
      <c r="AL318" s="5">
        <f>[1]Hybrid!AK38</f>
        <v>49.505796060000002</v>
      </c>
      <c r="AM318" s="5">
        <f>[1]Hybrid!AL38</f>
        <v>50.00028579</v>
      </c>
      <c r="AN318" s="5">
        <f>[1]Hybrid!AM38</f>
        <v>50.468546629999999</v>
      </c>
      <c r="AO318" s="5">
        <f>[1]Hybrid!AN38</f>
        <v>50.912832510000001</v>
      </c>
      <c r="AP318" s="5">
        <f>[1]Hybrid!AO38</f>
        <v>51.335388539999997</v>
      </c>
      <c r="AQ318" s="5">
        <f>[1]Hybrid!AP38</f>
        <v>51.73845188</v>
      </c>
      <c r="AR318" s="5">
        <f>[1]Hybrid!AQ38</f>
        <v>52.124271239999999</v>
      </c>
      <c r="AS318" s="5">
        <f>[1]Hybrid!AR38</f>
        <v>52.495016749999998</v>
      </c>
      <c r="AT318" s="5">
        <f>[1]Hybrid!AS38</f>
        <v>52.852770669999998</v>
      </c>
      <c r="AU318" s="5">
        <f>[1]Hybrid!AT38</f>
        <v>53.199534200000002</v>
      </c>
      <c r="AV318" s="5">
        <f>[1]Hybrid!AU38</f>
        <v>53.537233280000002</v>
      </c>
      <c r="AW318" s="5">
        <f>[1]Hybrid!AV38</f>
        <v>53.868053000000003</v>
      </c>
      <c r="AX318" s="5">
        <f>[1]Hybrid!AW38</f>
        <v>54.193834129999999</v>
      </c>
      <c r="AY318" s="5">
        <f>[1]Hybrid!AX38</f>
        <v>54.516284880000001</v>
      </c>
      <c r="AZ318" s="5">
        <f>[1]Hybrid!AY38</f>
        <v>54.837028410000002</v>
      </c>
      <c r="BA318" s="5">
        <f>[1]Hybrid!AZ38</f>
        <v>55.1576272</v>
      </c>
      <c r="BB318" s="5">
        <f>[1]Hybrid!BA38</f>
        <v>33.875114490000001</v>
      </c>
      <c r="BC318" s="5">
        <f>[1]Hybrid!BB38</f>
        <v>32.826666979999999</v>
      </c>
      <c r="BD318" s="5">
        <f>[1]Hybrid!BC38</f>
        <v>31.723283139999999</v>
      </c>
      <c r="BE318" s="5">
        <f>[1]Hybrid!BD38</f>
        <v>30.565733399999999</v>
      </c>
      <c r="BF318" s="5">
        <f>[1]Hybrid!BE38</f>
        <v>29.35484288</v>
      </c>
    </row>
    <row r="319" spans="1:58" x14ac:dyDescent="0.35">
      <c r="B319" s="5" t="str">
        <f>[1]Hybrid!A40</f>
        <v>auto_ce_cele_2</v>
      </c>
      <c r="C319" s="5">
        <f>[1]Hybrid!B40</f>
        <v>3.4730440960000002</v>
      </c>
      <c r="D319" s="5">
        <f>[1]Hybrid!C40</f>
        <v>4.5642360990000004</v>
      </c>
      <c r="E319" s="5">
        <f>[1]Hybrid!D40</f>
        <v>5.6921071740000002</v>
      </c>
      <c r="F319" s="5">
        <f>[1]Hybrid!E40</f>
        <v>6.8272184979999997</v>
      </c>
      <c r="G319" s="5">
        <f>[1]Hybrid!F40</f>
        <v>7.9510734699999999</v>
      </c>
      <c r="H319" s="5">
        <f>[1]Hybrid!G40</f>
        <v>9.0524038440000005</v>
      </c>
      <c r="I319" s="5">
        <f>[1]Hybrid!H40</f>
        <v>10.12222081</v>
      </c>
      <c r="J319" s="5">
        <f>[1]Hybrid!I40</f>
        <v>11.1563769</v>
      </c>
      <c r="K319" s="5">
        <f>[1]Hybrid!J40</f>
        <v>12.152305549999999</v>
      </c>
      <c r="L319" s="5">
        <f>[1]Hybrid!K40</f>
        <v>13.108381140000001</v>
      </c>
      <c r="M319" s="5">
        <f>[1]Hybrid!L40</f>
        <v>14.02561145</v>
      </c>
      <c r="N319" s="5">
        <f>[1]Hybrid!M40</f>
        <v>14.901518859999999</v>
      </c>
      <c r="O319" s="5">
        <f>[1]Hybrid!N40</f>
        <v>15.736296080000001</v>
      </c>
      <c r="P319" s="5">
        <f>[1]Hybrid!O40</f>
        <v>16.529824090000002</v>
      </c>
      <c r="Q319" s="5">
        <f>[1]Hybrid!P40</f>
        <v>17.2819693</v>
      </c>
      <c r="R319" s="5">
        <f>[1]Hybrid!Q40</f>
        <v>17.992675980000001</v>
      </c>
      <c r="S319" s="5">
        <f>[1]Hybrid!R40</f>
        <v>18.66193127</v>
      </c>
      <c r="T319" s="5">
        <f>[1]Hybrid!S40</f>
        <v>19.289884430000001</v>
      </c>
      <c r="U319" s="5">
        <f>[1]Hybrid!T40</f>
        <v>19.876843300000001</v>
      </c>
      <c r="V319" s="5">
        <f>[1]Hybrid!U40</f>
        <v>20.423264119999999</v>
      </c>
      <c r="W319" s="5">
        <f>[1]Hybrid!V40</f>
        <v>20.92766164</v>
      </c>
      <c r="X319" s="5">
        <f>[1]Hybrid!W40</f>
        <v>21.393042179999998</v>
      </c>
      <c r="Y319" s="5">
        <f>[1]Hybrid!X40</f>
        <v>21.82032658</v>
      </c>
      <c r="Z319" s="5">
        <f>[1]Hybrid!Y40</f>
        <v>22.210554559999999</v>
      </c>
      <c r="AA319" s="5">
        <f>[1]Hybrid!Z40</f>
        <v>22.564836700000001</v>
      </c>
      <c r="AB319" s="5">
        <f>[1]Hybrid!AA40</f>
        <v>22.87911077</v>
      </c>
      <c r="AC319" s="5">
        <f>[1]Hybrid!AB40</f>
        <v>23.15794666</v>
      </c>
      <c r="AD319" s="5">
        <f>[1]Hybrid!AC40</f>
        <v>23.403030650000002</v>
      </c>
      <c r="AE319" s="5">
        <f>[1]Hybrid!AD40</f>
        <v>23.616132960000002</v>
      </c>
      <c r="AF319" s="5">
        <f>[1]Hybrid!AE40</f>
        <v>23.799022260000001</v>
      </c>
      <c r="AG319" s="5">
        <f>[1]Hybrid!AF40</f>
        <v>23.95342419</v>
      </c>
      <c r="AH319" s="5">
        <f>[1]Hybrid!AG40</f>
        <v>24.081014039999999</v>
      </c>
      <c r="AI319" s="5">
        <f>[1]Hybrid!AH40</f>
        <v>24.183387320000001</v>
      </c>
      <c r="AJ319" s="5">
        <f>[1]Hybrid!AI40</f>
        <v>24.26206067</v>
      </c>
      <c r="AK319" s="5">
        <f>[1]Hybrid!AJ40</f>
        <v>24.3184781</v>
      </c>
      <c r="AL319" s="5">
        <f>[1]Hybrid!AK40</f>
        <v>24.35401654</v>
      </c>
      <c r="AM319" s="5">
        <f>[1]Hybrid!AL40</f>
        <v>24.369189209999998</v>
      </c>
      <c r="AN319" s="5">
        <f>[1]Hybrid!AM40</f>
        <v>24.36540656</v>
      </c>
      <c r="AO319" s="5">
        <f>[1]Hybrid!AN40</f>
        <v>24.343991559999999</v>
      </c>
      <c r="AP319" s="5">
        <f>[1]Hybrid!AO40</f>
        <v>24.306211869999998</v>
      </c>
      <c r="AQ319" s="5">
        <f>[1]Hybrid!AP40</f>
        <v>24.25328077</v>
      </c>
      <c r="AR319" s="5">
        <f>[1]Hybrid!AQ40</f>
        <v>24.186366020000001</v>
      </c>
      <c r="AS319" s="5">
        <f>[1]Hybrid!AR40</f>
        <v>24.106558140000001</v>
      </c>
      <c r="AT319" s="5">
        <f>[1]Hybrid!AS40</f>
        <v>24.01486865</v>
      </c>
      <c r="AU319" s="5">
        <f>[1]Hybrid!AT40</f>
        <v>23.912234829999999</v>
      </c>
      <c r="AV319" s="5">
        <f>[1]Hybrid!AU40</f>
        <v>23.79952402</v>
      </c>
      <c r="AW319" s="5">
        <f>[1]Hybrid!AV40</f>
        <v>23.67764803</v>
      </c>
      <c r="AX319" s="5">
        <f>[1]Hybrid!AW40</f>
        <v>23.54735827</v>
      </c>
      <c r="AY319" s="5">
        <f>[1]Hybrid!AX40</f>
        <v>23.409320220000001</v>
      </c>
      <c r="AZ319" s="5">
        <f>[1]Hybrid!AY40</f>
        <v>23.264132709999998</v>
      </c>
      <c r="BA319" s="5">
        <f>[1]Hybrid!AZ40</f>
        <v>23.112339519999999</v>
      </c>
      <c r="BB319" s="5">
        <f>[1]Hybrid!BA40</f>
        <v>13.85018971</v>
      </c>
      <c r="BC319" s="5">
        <f>[1]Hybrid!BB40</f>
        <v>13.3144727</v>
      </c>
      <c r="BD319" s="5">
        <f>[1]Hybrid!BC40</f>
        <v>12.772281039999999</v>
      </c>
      <c r="BE319" s="5">
        <f>[1]Hybrid!BD40</f>
        <v>12.22493592</v>
      </c>
      <c r="BF319" s="5">
        <f>[1]Hybrid!BE40</f>
        <v>11.673745009999999</v>
      </c>
    </row>
    <row r="320" spans="1:58" x14ac:dyDescent="0.35">
      <c r="B320" s="5" t="str">
        <f>[1]Hybrid!A42</f>
        <v>auto_cf_cele_2</v>
      </c>
      <c r="C320" s="5">
        <f>[1]Hybrid!B42</f>
        <v>1.7251505170000001</v>
      </c>
      <c r="D320" s="5">
        <f>[1]Hybrid!C42</f>
        <v>2.2422162939999999</v>
      </c>
      <c r="E320" s="5">
        <f>[1]Hybrid!D42</f>
        <v>2.762898023</v>
      </c>
      <c r="F320" s="5">
        <f>[1]Hybrid!E42</f>
        <v>3.2699252109999999</v>
      </c>
      <c r="G320" s="5">
        <f>[1]Hybrid!F42</f>
        <v>3.7527982620000002</v>
      </c>
      <c r="H320" s="5">
        <f>[1]Hybrid!G42</f>
        <v>4.205456334</v>
      </c>
      <c r="I320" s="5">
        <f>[1]Hybrid!H42</f>
        <v>4.6237533219999998</v>
      </c>
      <c r="J320" s="5">
        <f>[1]Hybrid!I42</f>
        <v>5.0062500930000002</v>
      </c>
      <c r="K320" s="5">
        <f>[1]Hybrid!J42</f>
        <v>5.3525892559999999</v>
      </c>
      <c r="L320" s="5">
        <f>[1]Hybrid!K42</f>
        <v>5.6630828190000004</v>
      </c>
      <c r="M320" s="5">
        <f>[1]Hybrid!L42</f>
        <v>5.9392193310000003</v>
      </c>
      <c r="N320" s="5">
        <f>[1]Hybrid!M42</f>
        <v>6.1813433800000004</v>
      </c>
      <c r="O320" s="5">
        <f>[1]Hybrid!N42</f>
        <v>6.3907757209999998</v>
      </c>
      <c r="P320" s="5">
        <f>[1]Hybrid!O42</f>
        <v>6.5687768259999997</v>
      </c>
      <c r="Q320" s="5">
        <f>[1]Hybrid!P42</f>
        <v>6.7166719659999998</v>
      </c>
      <c r="R320" s="5">
        <f>[1]Hybrid!Q42</f>
        <v>6.8358779629999997</v>
      </c>
      <c r="S320" s="5">
        <f>[1]Hybrid!R42</f>
        <v>6.9278776659999997</v>
      </c>
      <c r="T320" s="5">
        <f>[1]Hybrid!S42</f>
        <v>6.9942296600000002</v>
      </c>
      <c r="U320" s="5">
        <f>[1]Hybrid!T42</f>
        <v>7.0365426940000004</v>
      </c>
      <c r="V320" s="5">
        <f>[1]Hybrid!U42</f>
        <v>7.0564505559999997</v>
      </c>
      <c r="W320" s="5">
        <f>[1]Hybrid!V42</f>
        <v>7.0551573909999998</v>
      </c>
      <c r="X320" s="5">
        <f>[1]Hybrid!W42</f>
        <v>7.0348031070000001</v>
      </c>
      <c r="Y320" s="5">
        <f>[1]Hybrid!X42</f>
        <v>6.9969955749999997</v>
      </c>
      <c r="Z320" s="5">
        <f>[1]Hybrid!Y42</f>
        <v>6.9432990759999997</v>
      </c>
      <c r="AA320" s="5">
        <f>[1]Hybrid!Z42</f>
        <v>6.8752212869999996</v>
      </c>
      <c r="AB320" s="5">
        <f>[1]Hybrid!AA42</f>
        <v>6.7933953220000003</v>
      </c>
      <c r="AC320" s="5">
        <f>[1]Hybrid!AB42</f>
        <v>6.6998258550000003</v>
      </c>
      <c r="AD320" s="5">
        <f>[1]Hybrid!AC42</f>
        <v>6.5959338269999996</v>
      </c>
      <c r="AE320" s="5">
        <f>[1]Hybrid!AD42</f>
        <v>6.4830539869999999</v>
      </c>
      <c r="AF320" s="5">
        <f>[1]Hybrid!AE42</f>
        <v>6.3624256829999997</v>
      </c>
      <c r="AG320" s="5">
        <f>[1]Hybrid!AF42</f>
        <v>6.2351930119999999</v>
      </c>
      <c r="AH320" s="5">
        <f>[1]Hybrid!AG42</f>
        <v>6.1024098230000003</v>
      </c>
      <c r="AI320" s="5">
        <f>[1]Hybrid!AH42</f>
        <v>5.965042253</v>
      </c>
      <c r="AJ320" s="5">
        <f>[1]Hybrid!AI42</f>
        <v>5.8239745349999996</v>
      </c>
      <c r="AK320" s="5">
        <f>[1]Hybrid!AJ42</f>
        <v>5.6800151010000004</v>
      </c>
      <c r="AL320" s="5">
        <f>[1]Hybrid!AK42</f>
        <v>5.533902125</v>
      </c>
      <c r="AM320" s="5">
        <f>[1]Hybrid!AL42</f>
        <v>5.3862505350000003</v>
      </c>
      <c r="AN320" s="5">
        <f>[1]Hybrid!AM42</f>
        <v>5.2376954360000001</v>
      </c>
      <c r="AO320" s="5">
        <f>[1]Hybrid!AN42</f>
        <v>5.0888091099999997</v>
      </c>
      <c r="AP320" s="5">
        <f>[1]Hybrid!AO42</f>
        <v>4.9401069690000003</v>
      </c>
      <c r="AQ320" s="5">
        <f>[1]Hybrid!AP42</f>
        <v>4.7920515579999998</v>
      </c>
      <c r="AR320" s="5">
        <f>[1]Hybrid!AQ42</f>
        <v>4.6450568309999998</v>
      </c>
      <c r="AS320" s="5">
        <f>[1]Hybrid!AR42</f>
        <v>4.4994900749999998</v>
      </c>
      <c r="AT320" s="5">
        <f>[1]Hybrid!AS42</f>
        <v>4.3556752689999998</v>
      </c>
      <c r="AU320" s="5">
        <f>[1]Hybrid!AT42</f>
        <v>4.2138965800000001</v>
      </c>
      <c r="AV320" s="5">
        <f>[1]Hybrid!AU42</f>
        <v>4.0744015769999997</v>
      </c>
      <c r="AW320" s="5">
        <f>[1]Hybrid!AV42</f>
        <v>3.9374076009999999</v>
      </c>
      <c r="AX320" s="5">
        <f>[1]Hybrid!AW42</f>
        <v>3.8030972799999998</v>
      </c>
      <c r="AY320" s="5">
        <f>[1]Hybrid!AX42</f>
        <v>3.6716238209999998</v>
      </c>
      <c r="AZ320" s="5">
        <f>[1]Hybrid!AY42</f>
        <v>3.5431140929999998</v>
      </c>
      <c r="BA320" s="5">
        <f>[1]Hybrid!AZ42</f>
        <v>3.4176712010000001</v>
      </c>
      <c r="BB320" s="5">
        <f>[1]Hybrid!BA42</f>
        <v>2.8822763779999998</v>
      </c>
      <c r="BC320" s="5">
        <f>[1]Hybrid!BB42</f>
        <v>2.7701985680000001</v>
      </c>
      <c r="BD320" s="5">
        <f>[1]Hybrid!BC42</f>
        <v>2.6618247959999999</v>
      </c>
      <c r="BE320" s="5">
        <f>[1]Hybrid!BD42</f>
        <v>2.5571370870000001</v>
      </c>
      <c r="BF320" s="5">
        <f>[1]Hybrid!BE42</f>
        <v>2.456102048</v>
      </c>
    </row>
    <row r="321" spans="1:58" x14ac:dyDescent="0.35">
      <c r="B321" s="5" t="str">
        <f>[1]Hybrid!A44</f>
        <v>auto_cg_cele_2</v>
      </c>
      <c r="C321" s="5">
        <f>[1]Hybrid!B44</f>
        <v>3.1066862139999998</v>
      </c>
      <c r="D321" s="5">
        <f>[1]Hybrid!C44</f>
        <v>4.0687019930000003</v>
      </c>
      <c r="E321" s="5">
        <f>[1]Hybrid!D44</f>
        <v>5.0158089940000004</v>
      </c>
      <c r="F321" s="5">
        <f>[1]Hybrid!E44</f>
        <v>5.9125310259999999</v>
      </c>
      <c r="G321" s="5">
        <f>[1]Hybrid!F44</f>
        <v>6.738767739</v>
      </c>
      <c r="H321" s="5">
        <f>[1]Hybrid!G44</f>
        <v>7.4843313089999999</v>
      </c>
      <c r="I321" s="5">
        <f>[1]Hybrid!H44</f>
        <v>8.1438039300000007</v>
      </c>
      <c r="J321" s="5">
        <f>[1]Hybrid!I44</f>
        <v>8.7172651400000003</v>
      </c>
      <c r="K321" s="5">
        <f>[1]Hybrid!J44</f>
        <v>9.2071036359999994</v>
      </c>
      <c r="L321" s="5">
        <f>[1]Hybrid!K44</f>
        <v>9.6170600690000008</v>
      </c>
      <c r="M321" s="5">
        <f>[1]Hybrid!L44</f>
        <v>9.9527695430000005</v>
      </c>
      <c r="N321" s="5">
        <f>[1]Hybrid!M44</f>
        <v>10.21816128</v>
      </c>
      <c r="O321" s="5">
        <f>[1]Hybrid!N44</f>
        <v>10.41844328</v>
      </c>
      <c r="P321" s="5">
        <f>[1]Hybrid!O44</f>
        <v>10.558605399999999</v>
      </c>
      <c r="Q321" s="5">
        <f>[1]Hybrid!P44</f>
        <v>10.64360469</v>
      </c>
      <c r="R321" s="5">
        <f>[1]Hybrid!Q44</f>
        <v>10.67838059</v>
      </c>
      <c r="S321" s="5">
        <f>[1]Hybrid!R44</f>
        <v>10.667791149999999</v>
      </c>
      <c r="T321" s="5">
        <f>[1]Hybrid!S44</f>
        <v>10.61658965</v>
      </c>
      <c r="U321" s="5">
        <f>[1]Hybrid!T44</f>
        <v>10.529365800000001</v>
      </c>
      <c r="V321" s="5">
        <f>[1]Hybrid!U44</f>
        <v>10.41049694</v>
      </c>
      <c r="W321" s="5">
        <f>[1]Hybrid!V44</f>
        <v>10.26370425</v>
      </c>
      <c r="X321" s="5">
        <f>[1]Hybrid!W44</f>
        <v>10.093365609999999</v>
      </c>
      <c r="Y321" s="5">
        <f>[1]Hybrid!X44</f>
        <v>9.9030658070000008</v>
      </c>
      <c r="Z321" s="5">
        <f>[1]Hybrid!Y44</f>
        <v>9.6960966610000003</v>
      </c>
      <c r="AA321" s="5">
        <f>[1]Hybrid!Z44</f>
        <v>9.4754587850000007</v>
      </c>
      <c r="AB321" s="5">
        <f>[1]Hybrid!AA44</f>
        <v>9.2432645699999991</v>
      </c>
      <c r="AC321" s="5">
        <f>[1]Hybrid!AB44</f>
        <v>9.0024897030000002</v>
      </c>
      <c r="AD321" s="5">
        <f>[1]Hybrid!AC44</f>
        <v>8.7554261750000002</v>
      </c>
      <c r="AE321" s="5">
        <f>[1]Hybrid!AD44</f>
        <v>8.5040976629999996</v>
      </c>
      <c r="AF321" s="5">
        <f>[1]Hybrid!AE44</f>
        <v>8.2502744729999993</v>
      </c>
      <c r="AG321" s="5">
        <f>[1]Hybrid!AF44</f>
        <v>7.9954951899999998</v>
      </c>
      <c r="AH321" s="5">
        <f>[1]Hybrid!AG44</f>
        <v>7.7410899369999999</v>
      </c>
      <c r="AI321" s="5">
        <f>[1]Hybrid!AH44</f>
        <v>7.4882004540000002</v>
      </c>
      <c r="AJ321" s="5">
        <f>[1]Hybrid!AI44</f>
        <v>7.2378003489999996</v>
      </c>
      <c r="AK321" s="5">
        <f>[1]Hybrid!AJ44</f>
        <v>6.9907138279999996</v>
      </c>
      <c r="AL321" s="5">
        <f>[1]Hybrid!AK44</f>
        <v>6.7476325130000001</v>
      </c>
      <c r="AM321" s="5">
        <f>[1]Hybrid!AL44</f>
        <v>6.5091063399999998</v>
      </c>
      <c r="AN321" s="5">
        <f>[1]Hybrid!AM44</f>
        <v>6.2756183009999997</v>
      </c>
      <c r="AO321" s="5">
        <f>[1]Hybrid!AN44</f>
        <v>6.0475549119999998</v>
      </c>
      <c r="AP321" s="5">
        <f>[1]Hybrid!AO44</f>
        <v>5.8252184160000002</v>
      </c>
      <c r="AQ321" s="5">
        <f>[1]Hybrid!AP44</f>
        <v>5.6088373059999999</v>
      </c>
      <c r="AR321" s="5">
        <f>[1]Hybrid!AQ44</f>
        <v>5.3985759719999997</v>
      </c>
      <c r="AS321" s="5">
        <f>[1]Hybrid!AR44</f>
        <v>5.1945426399999999</v>
      </c>
      <c r="AT321" s="5">
        <f>[1]Hybrid!AS44</f>
        <v>4.9967969800000001</v>
      </c>
      <c r="AU321" s="5">
        <f>[1]Hybrid!AT44</f>
        <v>4.805357002</v>
      </c>
      <c r="AV321" s="5">
        <f>[1]Hybrid!AU44</f>
        <v>4.6202051690000001</v>
      </c>
      <c r="AW321" s="5">
        <f>[1]Hybrid!AV44</f>
        <v>4.4412945730000004</v>
      </c>
      <c r="AX321" s="5">
        <f>[1]Hybrid!AW44</f>
        <v>4.2685519909999998</v>
      </c>
      <c r="AY321" s="5">
        <f>[1]Hybrid!AX44</f>
        <v>4.1018828469999997</v>
      </c>
      <c r="AZ321" s="5">
        <f>[1]Hybrid!AY44</f>
        <v>3.9411751580000001</v>
      </c>
      <c r="BA321" s="5">
        <f>[1]Hybrid!AZ44</f>
        <v>3.7863029020000001</v>
      </c>
      <c r="BB321" s="5">
        <f>[1]Hybrid!BA44</f>
        <v>3.284762427</v>
      </c>
      <c r="BC321" s="5">
        <f>[1]Hybrid!BB44</f>
        <v>3.1536470840000002</v>
      </c>
      <c r="BD321" s="5">
        <f>[1]Hybrid!BC44</f>
        <v>3.0276746650000002</v>
      </c>
      <c r="BE321" s="5">
        <f>[1]Hybrid!BD44</f>
        <v>2.9066671610000001</v>
      </c>
      <c r="BF321" s="5">
        <f>[1]Hybrid!BE44</f>
        <v>2.790447458</v>
      </c>
    </row>
    <row r="322" spans="1:58" x14ac:dyDescent="0.35">
      <c r="B322" s="5" t="str">
        <f>[1]Hybrid!A46</f>
        <v>auto_ca_cgas_2</v>
      </c>
      <c r="C322" s="5">
        <f>[1]Hybrid!B46</f>
        <v>0.42568169729999999</v>
      </c>
      <c r="D322" s="5">
        <f>[1]Hybrid!C46</f>
        <v>0.4489522185</v>
      </c>
      <c r="E322" s="5">
        <f>[1]Hybrid!D46</f>
        <v>0.47483623730000002</v>
      </c>
      <c r="F322" s="5">
        <f>[1]Hybrid!E46</f>
        <v>0.50225398320000003</v>
      </c>
      <c r="G322" s="5">
        <f>[1]Hybrid!F46</f>
        <v>0.53051845669999997</v>
      </c>
      <c r="H322" s="5">
        <f>[1]Hybrid!G46</f>
        <v>0.55921337189999998</v>
      </c>
      <c r="I322" s="5">
        <f>[1]Hybrid!H46</f>
        <v>0.58799537960000003</v>
      </c>
      <c r="J322" s="5">
        <f>[1]Hybrid!I46</f>
        <v>0.61671734489999996</v>
      </c>
      <c r="K322" s="5">
        <f>[1]Hybrid!J46</f>
        <v>0.64529139759999998</v>
      </c>
      <c r="L322" s="5">
        <f>[1]Hybrid!K46</f>
        <v>0.67366402599999997</v>
      </c>
      <c r="M322" s="5">
        <f>[1]Hybrid!L46</f>
        <v>0.70189803179999999</v>
      </c>
      <c r="N322" s="5">
        <f>[1]Hybrid!M46</f>
        <v>0.7298826128</v>
      </c>
      <c r="O322" s="5">
        <f>[1]Hybrid!N46</f>
        <v>0.75764170710000001</v>
      </c>
      <c r="P322" s="5">
        <f>[1]Hybrid!O46</f>
        <v>0.7851835425</v>
      </c>
      <c r="Q322" s="5">
        <f>[1]Hybrid!P46</f>
        <v>0.81251076229999997</v>
      </c>
      <c r="R322" s="5">
        <f>[1]Hybrid!Q46</f>
        <v>0.83962239910000003</v>
      </c>
      <c r="S322" s="5">
        <f>[1]Hybrid!R46</f>
        <v>0.86651064909999997</v>
      </c>
      <c r="T322" s="5">
        <f>[1]Hybrid!S46</f>
        <v>0.89316757349999998</v>
      </c>
      <c r="U322" s="5">
        <f>[1]Hybrid!T46</f>
        <v>0.91958532690000006</v>
      </c>
      <c r="V322" s="5">
        <f>[1]Hybrid!U46</f>
        <v>0.94575641519999998</v>
      </c>
      <c r="W322" s="5">
        <f>[1]Hybrid!V46</f>
        <v>0.97153843480000002</v>
      </c>
      <c r="X322" s="5">
        <f>[1]Hybrid!W46</f>
        <v>0.99706884959999997</v>
      </c>
      <c r="Y322" s="5">
        <f>[1]Hybrid!X46</f>
        <v>1.0223472259999999</v>
      </c>
      <c r="Z322" s="5">
        <f>[1]Hybrid!Y46</f>
        <v>1.0473769509999999</v>
      </c>
      <c r="AA322" s="5">
        <f>[1]Hybrid!Z46</f>
        <v>1.0721624249999999</v>
      </c>
      <c r="AB322" s="5">
        <f>[1]Hybrid!AA46</f>
        <v>1.0963104450000001</v>
      </c>
      <c r="AC322" s="5">
        <f>[1]Hybrid!AB46</f>
        <v>1.1200581460000001</v>
      </c>
      <c r="AD322" s="5">
        <f>[1]Hybrid!AC46</f>
        <v>1.143427339</v>
      </c>
      <c r="AE322" s="5">
        <f>[1]Hybrid!AD46</f>
        <v>1.166448318</v>
      </c>
      <c r="AF322" s="5">
        <f>[1]Hybrid!AE46</f>
        <v>1.189154246</v>
      </c>
      <c r="AG322" s="5">
        <f>[1]Hybrid!AF46</f>
        <v>1.211578091</v>
      </c>
      <c r="AH322" s="5">
        <f>[1]Hybrid!AG46</f>
        <v>1.233752223</v>
      </c>
      <c r="AI322" s="5">
        <f>[1]Hybrid!AH46</f>
        <v>1.255705954</v>
      </c>
      <c r="AJ322" s="5">
        <f>[1]Hybrid!AI46</f>
        <v>1.27746585</v>
      </c>
      <c r="AK322" s="5">
        <f>[1]Hybrid!AJ46</f>
        <v>1.2990563690000001</v>
      </c>
      <c r="AL322" s="5">
        <f>[1]Hybrid!AK46</f>
        <v>1.3205003559999999</v>
      </c>
      <c r="AM322" s="5">
        <f>[1]Hybrid!AL46</f>
        <v>1.3417332829999999</v>
      </c>
      <c r="AN322" s="5">
        <f>[1]Hybrid!AM46</f>
        <v>1.3627841890000001</v>
      </c>
      <c r="AO322" s="5">
        <f>[1]Hybrid!AN46</f>
        <v>1.3836785140000001</v>
      </c>
      <c r="AP322" s="5">
        <f>[1]Hybrid!AO46</f>
        <v>1.404442371</v>
      </c>
      <c r="AQ322" s="5">
        <f>[1]Hybrid!AP46</f>
        <v>1.425102557</v>
      </c>
      <c r="AR322" s="5">
        <f>[1]Hybrid!AQ46</f>
        <v>1.4456871389999999</v>
      </c>
      <c r="AS322" s="5">
        <f>[1]Hybrid!AR46</f>
        <v>1.466221132</v>
      </c>
      <c r="AT322" s="5">
        <f>[1]Hybrid!AS46</f>
        <v>1.486726126</v>
      </c>
      <c r="AU322" s="5">
        <f>[1]Hybrid!AT46</f>
        <v>1.5072205240000001</v>
      </c>
      <c r="AV322" s="5">
        <f>[1]Hybrid!AU46</f>
        <v>1.5277197360000001</v>
      </c>
      <c r="AW322" s="5">
        <f>[1]Hybrid!AV46</f>
        <v>1.5482517849999999</v>
      </c>
      <c r="AX322" s="5">
        <f>[1]Hybrid!AW46</f>
        <v>1.5688287750000001</v>
      </c>
      <c r="AY322" s="5">
        <f>[1]Hybrid!AX46</f>
        <v>1.589457734</v>
      </c>
      <c r="AZ322" s="5">
        <f>[1]Hybrid!AY46</f>
        <v>1.610142915</v>
      </c>
      <c r="BA322" s="5">
        <f>[1]Hybrid!AZ46</f>
        <v>1.6308867339999999</v>
      </c>
      <c r="BB322" s="5">
        <f>[1]Hybrid!BA46</f>
        <v>1.8039206699999999</v>
      </c>
      <c r="BC322" s="5">
        <f>[1]Hybrid!BB46</f>
        <v>1.8325442700000001</v>
      </c>
      <c r="BD322" s="5">
        <f>[1]Hybrid!BC46</f>
        <v>1.861562003</v>
      </c>
      <c r="BE322" s="5">
        <f>[1]Hybrid!BD46</f>
        <v>1.8910015280000001</v>
      </c>
      <c r="BF322" s="5">
        <f>[1]Hybrid!BE46</f>
        <v>1.9208926319999999</v>
      </c>
    </row>
    <row r="323" spans="1:58" x14ac:dyDescent="0.35">
      <c r="B323" s="5" t="str">
        <f>[1]Hybrid!A48</f>
        <v>auto_cb_cgas_2</v>
      </c>
      <c r="C323" s="5">
        <f>[1]Hybrid!B48</f>
        <v>0.49500522540000003</v>
      </c>
      <c r="D323" s="5">
        <f>[1]Hybrid!C48</f>
        <v>0.51190360820000003</v>
      </c>
      <c r="E323" s="5">
        <f>[1]Hybrid!D48</f>
        <v>0.5315702471</v>
      </c>
      <c r="F323" s="5">
        <f>[1]Hybrid!E48</f>
        <v>0.55292754560000001</v>
      </c>
      <c r="G323" s="5">
        <f>[1]Hybrid!F48</f>
        <v>0.57528256889999996</v>
      </c>
      <c r="H323" s="5">
        <f>[1]Hybrid!G48</f>
        <v>0.59820705139999997</v>
      </c>
      <c r="I323" s="5">
        <f>[1]Hybrid!H48</f>
        <v>0.6213471881</v>
      </c>
      <c r="J323" s="5">
        <f>[1]Hybrid!I48</f>
        <v>0.64453970729999999</v>
      </c>
      <c r="K323" s="5">
        <f>[1]Hybrid!J48</f>
        <v>0.66768037579999995</v>
      </c>
      <c r="L323" s="5">
        <f>[1]Hybrid!K48</f>
        <v>0.69069965069999995</v>
      </c>
      <c r="M323" s="5">
        <f>[1]Hybrid!L48</f>
        <v>0.71363947510000003</v>
      </c>
      <c r="N323" s="5">
        <f>[1]Hybrid!M48</f>
        <v>0.73637941780000005</v>
      </c>
      <c r="O323" s="5">
        <f>[1]Hybrid!N48</f>
        <v>0.75892614800000002</v>
      </c>
      <c r="P323" s="5">
        <f>[1]Hybrid!O48</f>
        <v>0.78127211409999997</v>
      </c>
      <c r="Q323" s="5">
        <f>[1]Hybrid!P48</f>
        <v>0.80340542500000001</v>
      </c>
      <c r="R323" s="5">
        <f>[1]Hybrid!Q48</f>
        <v>0.82531187520000004</v>
      </c>
      <c r="S323" s="5">
        <f>[1]Hybrid!R48</f>
        <v>0.84697201560000002</v>
      </c>
      <c r="T323" s="5">
        <f>[1]Hybrid!S48</f>
        <v>0.86836732059999999</v>
      </c>
      <c r="U323" s="5">
        <f>[1]Hybrid!T48</f>
        <v>0.88948031709999997</v>
      </c>
      <c r="V323" s="5">
        <f>[1]Hybrid!U48</f>
        <v>0.91029471770000003</v>
      </c>
      <c r="W323" s="5">
        <f>[1]Hybrid!V48</f>
        <v>0.93067239619999997</v>
      </c>
      <c r="X323" s="5">
        <f>[1]Hybrid!W48</f>
        <v>0.95073111610000005</v>
      </c>
      <c r="Y323" s="5">
        <f>[1]Hybrid!X48</f>
        <v>0.97046310069999997</v>
      </c>
      <c r="Z323" s="5">
        <f>[1]Hybrid!Y48</f>
        <v>0.98986441349999998</v>
      </c>
      <c r="AA323" s="5">
        <f>[1]Hybrid!Z48</f>
        <v>1.008932384</v>
      </c>
      <c r="AB323" s="5">
        <f>[1]Hybrid!AA48</f>
        <v>1.0273100639999999</v>
      </c>
      <c r="AC323" s="5">
        <f>[1]Hybrid!AB48</f>
        <v>1.0452062989999999</v>
      </c>
      <c r="AD323" s="5">
        <f>[1]Hybrid!AC48</f>
        <v>1.062636854</v>
      </c>
      <c r="AE323" s="5">
        <f>[1]Hybrid!AD48</f>
        <v>1.079624855</v>
      </c>
      <c r="AF323" s="5">
        <f>[1]Hybrid!AE48</f>
        <v>1.0961957019999999</v>
      </c>
      <c r="AG323" s="5">
        <f>[1]Hybrid!AF48</f>
        <v>1.1123743399999999</v>
      </c>
      <c r="AH323" s="5">
        <f>[1]Hybrid!AG48</f>
        <v>1.1281848889999999</v>
      </c>
      <c r="AI323" s="5">
        <f>[1]Hybrid!AH48</f>
        <v>1.1436484979999999</v>
      </c>
      <c r="AJ323" s="5">
        <f>[1]Hybrid!AI48</f>
        <v>1.1587836199999999</v>
      </c>
      <c r="AK323" s="5">
        <f>[1]Hybrid!AJ48</f>
        <v>1.1736065790000001</v>
      </c>
      <c r="AL323" s="5">
        <f>[1]Hybrid!AK48</f>
        <v>1.1881320040000001</v>
      </c>
      <c r="AM323" s="5">
        <f>[1]Hybrid!AL48</f>
        <v>1.2022999480000001</v>
      </c>
      <c r="AN323" s="5">
        <f>[1]Hybrid!AM48</f>
        <v>1.2161307969999999</v>
      </c>
      <c r="AO323" s="5">
        <f>[1]Hybrid!AN48</f>
        <v>1.229641524</v>
      </c>
      <c r="AP323" s="5">
        <f>[1]Hybrid!AO48</f>
        <v>1.242849249</v>
      </c>
      <c r="AQ323" s="5">
        <f>[1]Hybrid!AP48</f>
        <v>1.255771239</v>
      </c>
      <c r="AR323" s="5">
        <f>[1]Hybrid!AQ48</f>
        <v>1.2684254049999999</v>
      </c>
      <c r="AS323" s="5">
        <f>[1]Hybrid!AR48</f>
        <v>1.2808267280000001</v>
      </c>
      <c r="AT323" s="5">
        <f>[1]Hybrid!AS48</f>
        <v>1.292986974</v>
      </c>
      <c r="AU323" s="5">
        <f>[1]Hybrid!AT48</f>
        <v>1.3049149419999999</v>
      </c>
      <c r="AV323" s="5">
        <f>[1]Hybrid!AU48</f>
        <v>1.316616674</v>
      </c>
      <c r="AW323" s="5">
        <f>[1]Hybrid!AV48</f>
        <v>1.328108117</v>
      </c>
      <c r="AX323" s="5">
        <f>[1]Hybrid!AW48</f>
        <v>1.339391947</v>
      </c>
      <c r="AY323" s="5">
        <f>[1]Hybrid!AX48</f>
        <v>1.350466444</v>
      </c>
      <c r="AZ323" s="5">
        <f>[1]Hybrid!AY48</f>
        <v>1.361327414</v>
      </c>
      <c r="BA323" s="5">
        <f>[1]Hybrid!AZ48</f>
        <v>1.371969029</v>
      </c>
      <c r="BB323" s="5">
        <f>[1]Hybrid!BA48</f>
        <v>1.5039197900000001</v>
      </c>
      <c r="BC323" s="5">
        <f>[1]Hybrid!BB48</f>
        <v>1.519912972</v>
      </c>
      <c r="BD323" s="5">
        <f>[1]Hybrid!BC48</f>
        <v>1.5358993460000001</v>
      </c>
      <c r="BE323" s="5">
        <f>[1]Hybrid!BD48</f>
        <v>1.551891216</v>
      </c>
      <c r="BF323" s="5">
        <f>[1]Hybrid!BE48</f>
        <v>1.567902049</v>
      </c>
    </row>
    <row r="324" spans="1:58" x14ac:dyDescent="0.35">
      <c r="B324" s="5" t="str">
        <f>[1]Hybrid!A50</f>
        <v>auto_cc_cgas_2</v>
      </c>
      <c r="C324" s="5">
        <f>[1]Hybrid!B50</f>
        <v>0.40659851759999999</v>
      </c>
      <c r="D324" s="5">
        <f>[1]Hybrid!C50</f>
        <v>0.41426557450000001</v>
      </c>
      <c r="E324" s="5">
        <f>[1]Hybrid!D50</f>
        <v>0.42404513199999999</v>
      </c>
      <c r="F324" s="5">
        <f>[1]Hybrid!E50</f>
        <v>0.435162365</v>
      </c>
      <c r="G324" s="5">
        <f>[1]Hybrid!F50</f>
        <v>0.44711410950000002</v>
      </c>
      <c r="H324" s="5">
        <f>[1]Hybrid!G50</f>
        <v>0.45958383060000002</v>
      </c>
      <c r="I324" s="5">
        <f>[1]Hybrid!H50</f>
        <v>0.47230969360000002</v>
      </c>
      <c r="J324" s="5">
        <f>[1]Hybrid!I50</f>
        <v>0.48516333</v>
      </c>
      <c r="K324" s="5">
        <f>[1]Hybrid!J50</f>
        <v>0.4980587943</v>
      </c>
      <c r="L324" s="5">
        <f>[1]Hybrid!K50</f>
        <v>0.5109354062</v>
      </c>
      <c r="M324" s="5">
        <f>[1]Hybrid!L50</f>
        <v>0.523809631</v>
      </c>
      <c r="N324" s="5">
        <f>[1]Hybrid!M50</f>
        <v>0.5365885292</v>
      </c>
      <c r="O324" s="5">
        <f>[1]Hybrid!N50</f>
        <v>0.54926574169999998</v>
      </c>
      <c r="P324" s="5">
        <f>[1]Hybrid!O50</f>
        <v>0.56182576200000001</v>
      </c>
      <c r="Q324" s="5">
        <f>[1]Hybrid!P50</f>
        <v>0.57425087350000004</v>
      </c>
      <c r="R324" s="5">
        <f>[1]Hybrid!Q50</f>
        <v>0.58652262860000004</v>
      </c>
      <c r="S324" s="5">
        <f>[1]Hybrid!R50</f>
        <v>0.59861992360000005</v>
      </c>
      <c r="T324" s="5">
        <f>[1]Hybrid!S50</f>
        <v>0.61052308499999997</v>
      </c>
      <c r="U324" s="5">
        <f>[1]Hybrid!T50</f>
        <v>0.62221389169999997</v>
      </c>
      <c r="V324" s="5">
        <f>[1]Hybrid!U50</f>
        <v>0.63367558850000005</v>
      </c>
      <c r="W324" s="5">
        <f>[1]Hybrid!V50</f>
        <v>0.64481215130000002</v>
      </c>
      <c r="X324" s="5">
        <f>[1]Hybrid!W50</f>
        <v>0.65569644029999996</v>
      </c>
      <c r="Y324" s="5">
        <f>[1]Hybrid!X50</f>
        <v>0.66631896489999998</v>
      </c>
      <c r="Z324" s="5">
        <f>[1]Hybrid!Y50</f>
        <v>0.67667309050000002</v>
      </c>
      <c r="AA324" s="5">
        <f>[1]Hybrid!Z50</f>
        <v>0.6867533347</v>
      </c>
      <c r="AB324" s="5">
        <f>[1]Hybrid!AA50</f>
        <v>0.69632652829999997</v>
      </c>
      <c r="AC324" s="5">
        <f>[1]Hybrid!AB50</f>
        <v>0.70552601500000001</v>
      </c>
      <c r="AD324" s="5">
        <f>[1]Hybrid!AC50</f>
        <v>0.71436029300000004</v>
      </c>
      <c r="AE324" s="5">
        <f>[1]Hybrid!AD50</f>
        <v>0.72284254469999998</v>
      </c>
      <c r="AF324" s="5">
        <f>[1]Hybrid!AE50</f>
        <v>0.73098731859999999</v>
      </c>
      <c r="AG324" s="5">
        <f>[1]Hybrid!AF50</f>
        <v>0.73880877810000001</v>
      </c>
      <c r="AH324" s="5">
        <f>[1]Hybrid!AG50</f>
        <v>0.74632046689999998</v>
      </c>
      <c r="AI324" s="5">
        <f>[1]Hybrid!AH50</f>
        <v>0.75353395749999996</v>
      </c>
      <c r="AJ324" s="5">
        <f>[1]Hybrid!AI50</f>
        <v>0.76045903420000005</v>
      </c>
      <c r="AK324" s="5">
        <f>[1]Hybrid!AJ50</f>
        <v>0.76710406350000004</v>
      </c>
      <c r="AL324" s="5">
        <f>[1]Hybrid!AK50</f>
        <v>0.77347628040000005</v>
      </c>
      <c r="AM324" s="5">
        <f>[1]Hybrid!AL50</f>
        <v>0.77953706450000004</v>
      </c>
      <c r="AN324" s="5">
        <f>[1]Hybrid!AM50</f>
        <v>0.78529769979999997</v>
      </c>
      <c r="AO324" s="5">
        <f>[1]Hybrid!AN50</f>
        <v>0.79076726549999998</v>
      </c>
      <c r="AP324" s="5">
        <f>[1]Hybrid!AO50</f>
        <v>0.79595479339999997</v>
      </c>
      <c r="AQ324" s="5">
        <f>[1]Hybrid!AP50</f>
        <v>0.80086926859999996</v>
      </c>
      <c r="AR324" s="5">
        <f>[1]Hybrid!AQ50</f>
        <v>0.80551994729999998</v>
      </c>
      <c r="AS324" s="5">
        <f>[1]Hybrid!AR50</f>
        <v>0.8099142252</v>
      </c>
      <c r="AT324" s="5">
        <f>[1]Hybrid!AS50</f>
        <v>0.81405749630000002</v>
      </c>
      <c r="AU324" s="5">
        <f>[1]Hybrid!AT50</f>
        <v>0.81795333849999996</v>
      </c>
      <c r="AV324" s="5">
        <f>[1]Hybrid!AU50</f>
        <v>0.82160367690000002</v>
      </c>
      <c r="AW324" s="5">
        <f>[1]Hybrid!AV50</f>
        <v>0.82501621380000001</v>
      </c>
      <c r="AX324" s="5">
        <f>[1]Hybrid!AW50</f>
        <v>0.82819084480000005</v>
      </c>
      <c r="AY324" s="5">
        <f>[1]Hybrid!AX50</f>
        <v>0.83112490699999997</v>
      </c>
      <c r="AZ324" s="5">
        <f>[1]Hybrid!AY50</f>
        <v>0.83381435599999998</v>
      </c>
      <c r="BA324" s="5">
        <f>[1]Hybrid!AZ50</f>
        <v>0.83625430720000005</v>
      </c>
      <c r="BB324" s="5">
        <f>[1]Hybrid!BA50</f>
        <v>0.90839681500000002</v>
      </c>
      <c r="BC324" s="5">
        <f>[1]Hybrid!BB50</f>
        <v>0.91344917969999995</v>
      </c>
      <c r="BD324" s="5">
        <f>[1]Hybrid!BC50</f>
        <v>0.9183529225</v>
      </c>
      <c r="BE324" s="5">
        <f>[1]Hybrid!BD50</f>
        <v>0.92311309210000003</v>
      </c>
      <c r="BF324" s="5">
        <f>[1]Hybrid!BE50</f>
        <v>0.92773529450000003</v>
      </c>
    </row>
    <row r="325" spans="1:58" x14ac:dyDescent="0.35">
      <c r="B325" s="5" t="str">
        <f>[1]Hybrid!A52</f>
        <v>auto_cd_cgas_2</v>
      </c>
      <c r="C325" s="5">
        <f>[1]Hybrid!B52</f>
        <v>0.2495444651</v>
      </c>
      <c r="D325" s="5">
        <f>[1]Hybrid!C52</f>
        <v>0.25219888909999999</v>
      </c>
      <c r="E325" s="5">
        <f>[1]Hybrid!D52</f>
        <v>0.25598210189999998</v>
      </c>
      <c r="F325" s="5">
        <f>[1]Hybrid!E52</f>
        <v>0.26042666510000001</v>
      </c>
      <c r="G325" s="5">
        <f>[1]Hybrid!F52</f>
        <v>0.26522843899999998</v>
      </c>
      <c r="H325" s="5">
        <f>[1]Hybrid!G52</f>
        <v>0.27019432040000002</v>
      </c>
      <c r="I325" s="5">
        <f>[1]Hybrid!H52</f>
        <v>0.27516827399999999</v>
      </c>
      <c r="J325" s="5">
        <f>[1]Hybrid!I52</f>
        <v>0.28007089930000001</v>
      </c>
      <c r="K325" s="5">
        <f>[1]Hybrid!J52</f>
        <v>0.2848488797</v>
      </c>
      <c r="L325" s="5">
        <f>[1]Hybrid!K52</f>
        <v>0.28946472750000002</v>
      </c>
      <c r="M325" s="5">
        <f>[1]Hybrid!L52</f>
        <v>0.29392246100000002</v>
      </c>
      <c r="N325" s="5">
        <f>[1]Hybrid!M52</f>
        <v>0.29817159199999999</v>
      </c>
      <c r="O325" s="5">
        <f>[1]Hybrid!N52</f>
        <v>0.30220536930000003</v>
      </c>
      <c r="P325" s="5">
        <f>[1]Hybrid!O52</f>
        <v>0.30601280860000002</v>
      </c>
      <c r="Q325" s="5">
        <f>[1]Hybrid!P52</f>
        <v>0.30958277200000001</v>
      </c>
      <c r="R325" s="5">
        <f>[1]Hybrid!Q52</f>
        <v>0.31290497589999999</v>
      </c>
      <c r="S325" s="5">
        <f>[1]Hybrid!R52</f>
        <v>0.3159691644</v>
      </c>
      <c r="T325" s="5">
        <f>[1]Hybrid!S52</f>
        <v>0.31876696630000001</v>
      </c>
      <c r="U325" s="5">
        <f>[1]Hybrid!T52</f>
        <v>0.32129177710000001</v>
      </c>
      <c r="V325" s="5">
        <f>[1]Hybrid!U52</f>
        <v>0.32353861169999998</v>
      </c>
      <c r="W325" s="5">
        <f>[1]Hybrid!V52</f>
        <v>0.32546895609999998</v>
      </c>
      <c r="X325" s="5">
        <f>[1]Hybrid!W52</f>
        <v>0.32711930249999999</v>
      </c>
      <c r="Y325" s="5">
        <f>[1]Hybrid!X52</f>
        <v>0.32849000490000002</v>
      </c>
      <c r="Z325" s="5">
        <f>[1]Hybrid!Y52</f>
        <v>0.32958298200000002</v>
      </c>
      <c r="AA325" s="5">
        <f>[1]Hybrid!Z52</f>
        <v>0.33040096800000002</v>
      </c>
      <c r="AB325" s="5">
        <f>[1]Hybrid!AA52</f>
        <v>0.33085614390000001</v>
      </c>
      <c r="AC325" s="5">
        <f>[1]Hybrid!AB52</f>
        <v>0.33101094219999999</v>
      </c>
      <c r="AD325" s="5">
        <f>[1]Hybrid!AC52</f>
        <v>0.33087660320000001</v>
      </c>
      <c r="AE325" s="5">
        <f>[1]Hybrid!AD52</f>
        <v>0.33046587249999998</v>
      </c>
      <c r="AF325" s="5">
        <f>[1]Hybrid!AE52</f>
        <v>0.32979163509999998</v>
      </c>
      <c r="AG325" s="5">
        <f>[1]Hybrid!AF52</f>
        <v>0.32886626670000002</v>
      </c>
      <c r="AH325" s="5">
        <f>[1]Hybrid!AG52</f>
        <v>0.32770158240000002</v>
      </c>
      <c r="AI325" s="5">
        <f>[1]Hybrid!AH52</f>
        <v>0.3263083866</v>
      </c>
      <c r="AJ325" s="5">
        <f>[1]Hybrid!AI52</f>
        <v>0.32469658509999999</v>
      </c>
      <c r="AK325" s="5">
        <f>[1]Hybrid!AJ52</f>
        <v>0.32287536950000001</v>
      </c>
      <c r="AL325" s="5">
        <f>[1]Hybrid!AK52</f>
        <v>0.32085336640000001</v>
      </c>
      <c r="AM325" s="5">
        <f>[1]Hybrid!AL52</f>
        <v>0.31862418100000001</v>
      </c>
      <c r="AN325" s="5">
        <f>[1]Hybrid!AM52</f>
        <v>0.31619840580000003</v>
      </c>
      <c r="AO325" s="5">
        <f>[1]Hybrid!AN52</f>
        <v>0.31358571730000001</v>
      </c>
      <c r="AP325" s="5">
        <f>[1]Hybrid!AO52</f>
        <v>0.31079555599999997</v>
      </c>
      <c r="AQ325" s="5">
        <f>[1]Hybrid!AP52</f>
        <v>0.307837156</v>
      </c>
      <c r="AR325" s="5">
        <f>[1]Hybrid!AQ52</f>
        <v>0.30471968259999999</v>
      </c>
      <c r="AS325" s="5">
        <f>[1]Hybrid!AR52</f>
        <v>0.30145164419999998</v>
      </c>
      <c r="AT325" s="5">
        <f>[1]Hybrid!AS52</f>
        <v>0.29804089750000001</v>
      </c>
      <c r="AU325" s="5">
        <f>[1]Hybrid!AT52</f>
        <v>0.29449475790000001</v>
      </c>
      <c r="AV325" s="5">
        <f>[1]Hybrid!AU52</f>
        <v>0.29082009800000003</v>
      </c>
      <c r="AW325" s="5">
        <f>[1]Hybrid!AV52</f>
        <v>0.28702534359999998</v>
      </c>
      <c r="AX325" s="5">
        <f>[1]Hybrid!AW52</f>
        <v>0.28311685320000002</v>
      </c>
      <c r="AY325" s="5">
        <f>[1]Hybrid!AX52</f>
        <v>0.2791003681</v>
      </c>
      <c r="AZ325" s="5">
        <f>[1]Hybrid!AY52</f>
        <v>0.27498137490000002</v>
      </c>
      <c r="BA325" s="5">
        <f>[1]Hybrid!AZ52</f>
        <v>0.27076529360000001</v>
      </c>
      <c r="BB325" s="5">
        <f>[1]Hybrid!BA52</f>
        <v>0.27581100089999999</v>
      </c>
      <c r="BC325" s="5">
        <f>[1]Hybrid!BB52</f>
        <v>0.27146094479999999</v>
      </c>
      <c r="BD325" s="5">
        <f>[1]Hybrid!BC52</f>
        <v>0.26701789739999998</v>
      </c>
      <c r="BE325" s="5">
        <f>[1]Hybrid!BD52</f>
        <v>0.26248832030000002</v>
      </c>
      <c r="BF325" s="5">
        <f>[1]Hybrid!BE52</f>
        <v>0.25787865199999999</v>
      </c>
    </row>
    <row r="326" spans="1:58" x14ac:dyDescent="0.35">
      <c r="B326" s="5" t="str">
        <f>[1]Hybrid!A54</f>
        <v>auto_ce_cgas_2</v>
      </c>
      <c r="C326" s="5">
        <f>[1]Hybrid!B54</f>
        <v>0.15020246549999999</v>
      </c>
      <c r="D326" s="5">
        <f>[1]Hybrid!C54</f>
        <v>0.1519959998</v>
      </c>
      <c r="E326" s="5">
        <f>[1]Hybrid!D54</f>
        <v>0.15439649550000001</v>
      </c>
      <c r="F326" s="5">
        <f>[1]Hybrid!E54</f>
        <v>0.15710099590000001</v>
      </c>
      <c r="G326" s="5">
        <f>[1]Hybrid!F54</f>
        <v>0.15991423560000001</v>
      </c>
      <c r="H326" s="5">
        <f>[1]Hybrid!G54</f>
        <v>0.16271358380000001</v>
      </c>
      <c r="I326" s="5">
        <f>[1]Hybrid!H54</f>
        <v>0.16540296339999999</v>
      </c>
      <c r="J326" s="5">
        <f>[1]Hybrid!I54</f>
        <v>0.16793490599999999</v>
      </c>
      <c r="K326" s="5">
        <f>[1]Hybrid!J54</f>
        <v>0.1702793467</v>
      </c>
      <c r="L326" s="5">
        <f>[1]Hybrid!K54</f>
        <v>0.17241687580000001</v>
      </c>
      <c r="M326" s="5">
        <f>[1]Hybrid!L54</f>
        <v>0.17435290440000001</v>
      </c>
      <c r="N326" s="5">
        <f>[1]Hybrid!M54</f>
        <v>0.1760623909</v>
      </c>
      <c r="O326" s="5">
        <f>[1]Hybrid!N54</f>
        <v>0.17754504260000001</v>
      </c>
      <c r="P326" s="5">
        <f>[1]Hybrid!O54</f>
        <v>0.17879837879999999</v>
      </c>
      <c r="Q326" s="5">
        <f>[1]Hybrid!P54</f>
        <v>0.1798203048</v>
      </c>
      <c r="R326" s="5">
        <f>[1]Hybrid!Q54</f>
        <v>0.1806097747</v>
      </c>
      <c r="S326" s="5">
        <f>[1]Hybrid!R54</f>
        <v>0.1811663536</v>
      </c>
      <c r="T326" s="5">
        <f>[1]Hybrid!S54</f>
        <v>0.1814911303</v>
      </c>
      <c r="U326" s="5">
        <f>[1]Hybrid!T54</f>
        <v>0.18158655439999999</v>
      </c>
      <c r="V326" s="5">
        <f>[1]Hybrid!U54</f>
        <v>0.18145625369999999</v>
      </c>
      <c r="W326" s="5">
        <f>[1]Hybrid!V54</f>
        <v>0.18108763019999999</v>
      </c>
      <c r="X326" s="5">
        <f>[1]Hybrid!W54</f>
        <v>0.18050567419999999</v>
      </c>
      <c r="Y326" s="5">
        <f>[1]Hybrid!X54</f>
        <v>0.17971723149999999</v>
      </c>
      <c r="Z326" s="5">
        <f>[1]Hybrid!Y54</f>
        <v>0.1787299004</v>
      </c>
      <c r="AA326" s="5">
        <f>[1]Hybrid!Z54</f>
        <v>0.1775516466</v>
      </c>
      <c r="AB326" s="5">
        <f>[1]Hybrid!AA54</f>
        <v>0.17614908379999999</v>
      </c>
      <c r="AC326" s="5">
        <f>[1]Hybrid!AB54</f>
        <v>0.17455883689999999</v>
      </c>
      <c r="AD326" s="5">
        <f>[1]Hybrid!AC54</f>
        <v>0.1727933438</v>
      </c>
      <c r="AE326" s="5">
        <f>[1]Hybrid!AD54</f>
        <v>0.17086534119999999</v>
      </c>
      <c r="AF326" s="5">
        <f>[1]Hybrid!AE54</f>
        <v>0.1687872369</v>
      </c>
      <c r="AG326" s="5">
        <f>[1]Hybrid!AF54</f>
        <v>0.16657084750000001</v>
      </c>
      <c r="AH326" s="5">
        <f>[1]Hybrid!AG54</f>
        <v>0.16422740220000001</v>
      </c>
      <c r="AI326" s="5">
        <f>[1]Hybrid!AH54</f>
        <v>0.16176738269999999</v>
      </c>
      <c r="AJ326" s="5">
        <f>[1]Hybrid!AI54</f>
        <v>0.15920059780000001</v>
      </c>
      <c r="AK326" s="5">
        <f>[1]Hybrid!AJ54</f>
        <v>0.15653628789999999</v>
      </c>
      <c r="AL326" s="5">
        <f>[1]Hybrid!AK54</f>
        <v>0.15378321149999999</v>
      </c>
      <c r="AM326" s="5">
        <f>[1]Hybrid!AL54</f>
        <v>0.1509442262</v>
      </c>
      <c r="AN326" s="5">
        <f>[1]Hybrid!AM54</f>
        <v>0.14802866880000001</v>
      </c>
      <c r="AO326" s="5">
        <f>[1]Hybrid!AN54</f>
        <v>0.1450452548</v>
      </c>
      <c r="AP326" s="5">
        <f>[1]Hybrid!AO54</f>
        <v>0.1420023343</v>
      </c>
      <c r="AQ326" s="5">
        <f>[1]Hybrid!AP54</f>
        <v>0.1389079188</v>
      </c>
      <c r="AR326" s="5">
        <f>[1]Hybrid!AQ54</f>
        <v>0.13576974789999999</v>
      </c>
      <c r="AS326" s="5">
        <f>[1]Hybrid!AR54</f>
        <v>0.13259510259999999</v>
      </c>
      <c r="AT326" s="5">
        <f>[1]Hybrid!AS54</f>
        <v>0.1293908241</v>
      </c>
      <c r="AU326" s="5">
        <f>[1]Hybrid!AT54</f>
        <v>0.1261633697</v>
      </c>
      <c r="AV326" s="5">
        <f>[1]Hybrid!AU54</f>
        <v>0.12291885950000001</v>
      </c>
      <c r="AW326" s="5">
        <f>[1]Hybrid!AV54</f>
        <v>0.1196637036</v>
      </c>
      <c r="AX326" s="5">
        <f>[1]Hybrid!AW54</f>
        <v>0.1164034685</v>
      </c>
      <c r="AY326" s="5">
        <f>[1]Hybrid!AX54</f>
        <v>0.11314334550000001</v>
      </c>
      <c r="AZ326" s="5">
        <f>[1]Hybrid!AY54</f>
        <v>0.1098882747</v>
      </c>
      <c r="BA326" s="5">
        <f>[1]Hybrid!AZ54</f>
        <v>0.1066430104</v>
      </c>
      <c r="BB326" s="5">
        <f>[1]Hybrid!BA54</f>
        <v>0.1050646423</v>
      </c>
      <c r="BC326" s="5">
        <f>[1]Hybrid!BB54</f>
        <v>0.1018301482</v>
      </c>
      <c r="BD326" s="5">
        <f>[1]Hybrid!BC54</f>
        <v>9.8617462000000003E-2</v>
      </c>
      <c r="BE326" s="5">
        <f>[1]Hybrid!BD54</f>
        <v>9.5431064800000007E-2</v>
      </c>
      <c r="BF326" s="5">
        <f>[1]Hybrid!BE54</f>
        <v>9.2275199700000005E-2</v>
      </c>
    </row>
    <row r="327" spans="1:58" x14ac:dyDescent="0.35">
      <c r="B327" s="5" t="str">
        <f>[1]Hybrid!A56</f>
        <v>auto_cf_cgas_2</v>
      </c>
      <c r="C327" s="5">
        <f>[1]Hybrid!B56</f>
        <v>7.4609436000000001E-2</v>
      </c>
      <c r="D327" s="5">
        <f>[1]Hybrid!C56</f>
        <v>7.5275209199999998E-2</v>
      </c>
      <c r="E327" s="5">
        <f>[1]Hybrid!D56</f>
        <v>7.6118414800000006E-2</v>
      </c>
      <c r="F327" s="5">
        <f>[1]Hybrid!E56</f>
        <v>7.6969741100000003E-2</v>
      </c>
      <c r="G327" s="5">
        <f>[1]Hybrid!F56</f>
        <v>7.7725922399999994E-2</v>
      </c>
      <c r="H327" s="5">
        <f>[1]Hybrid!G56</f>
        <v>7.8327308799999995E-2</v>
      </c>
      <c r="I327" s="5">
        <f>[1]Hybrid!H56</f>
        <v>7.8733981999999994E-2</v>
      </c>
      <c r="J327" s="5">
        <f>[1]Hybrid!I56</f>
        <v>7.8932262599999997E-2</v>
      </c>
      <c r="K327" s="5">
        <f>[1]Hybrid!J56</f>
        <v>7.89191209E-2</v>
      </c>
      <c r="L327" s="5">
        <f>[1]Hybrid!K56</f>
        <v>7.8697988499999996E-2</v>
      </c>
      <c r="M327" s="5">
        <f>[1]Hybrid!L56</f>
        <v>7.8282998699999995E-2</v>
      </c>
      <c r="N327" s="5">
        <f>[1]Hybrid!M56</f>
        <v>7.7677726700000005E-2</v>
      </c>
      <c r="O327" s="5">
        <f>[1]Hybrid!N56</f>
        <v>7.68944721E-2</v>
      </c>
      <c r="P327" s="5">
        <f>[1]Hybrid!O56</f>
        <v>7.5944762999999998E-2</v>
      </c>
      <c r="Q327" s="5">
        <f>[1]Hybrid!P56</f>
        <v>7.48404768E-2</v>
      </c>
      <c r="R327" s="5">
        <f>[1]Hybrid!Q56</f>
        <v>7.3594047699999998E-2</v>
      </c>
      <c r="S327" s="5">
        <f>[1]Hybrid!R56</f>
        <v>7.2218211300000001E-2</v>
      </c>
      <c r="T327" s="5">
        <f>[1]Hybrid!S56</f>
        <v>7.0726075200000002E-2</v>
      </c>
      <c r="U327" s="5">
        <f>[1]Hybrid!T56</f>
        <v>6.9130878699999995E-2</v>
      </c>
      <c r="V327" s="5">
        <f>[1]Hybrid!U56</f>
        <v>6.7445771000000002E-2</v>
      </c>
      <c r="W327" s="5">
        <f>[1]Hybrid!V56</f>
        <v>6.5679861500000006E-2</v>
      </c>
      <c r="X327" s="5">
        <f>[1]Hybrid!W56</f>
        <v>6.3850221799999995E-2</v>
      </c>
      <c r="Y327" s="5">
        <f>[1]Hybrid!X56</f>
        <v>6.1968896900000001E-2</v>
      </c>
      <c r="Z327" s="5">
        <f>[1]Hybrid!Y56</f>
        <v>6.0047313800000002E-2</v>
      </c>
      <c r="AA327" s="5">
        <f>[1]Hybrid!Z56</f>
        <v>5.8096198500000001E-2</v>
      </c>
      <c r="AB327" s="5">
        <f>[1]Hybrid!AA56</f>
        <v>5.6118612999999998E-2</v>
      </c>
      <c r="AC327" s="5">
        <f>[1]Hybrid!AB56</f>
        <v>5.4129380300000002E-2</v>
      </c>
      <c r="AD327" s="5">
        <f>[1]Hybrid!AC56</f>
        <v>5.2138019299999998E-2</v>
      </c>
      <c r="AE327" s="5">
        <f>[1]Hybrid!AD56</f>
        <v>5.0153161100000003E-2</v>
      </c>
      <c r="AF327" s="5">
        <f>[1]Hybrid!AE56</f>
        <v>4.8182503600000003E-2</v>
      </c>
      <c r="AG327" s="5">
        <f>[1]Hybrid!AF56</f>
        <v>4.6232844400000001E-2</v>
      </c>
      <c r="AH327" s="5">
        <f>[1]Hybrid!AG56</f>
        <v>4.4310150899999998E-2</v>
      </c>
      <c r="AI327" s="5">
        <f>[1]Hybrid!AH56</f>
        <v>4.2419605899999997E-2</v>
      </c>
      <c r="AJ327" s="5">
        <f>[1]Hybrid!AI56</f>
        <v>4.0565678899999999E-2</v>
      </c>
      <c r="AK327" s="5">
        <f>[1]Hybrid!AJ56</f>
        <v>3.8752195099999998E-2</v>
      </c>
      <c r="AL327" s="5">
        <f>[1]Hybrid!AK56</f>
        <v>3.6982397200000003E-2</v>
      </c>
      <c r="AM327" s="5">
        <f>[1]Hybrid!AL56</f>
        <v>3.5258537399999998E-2</v>
      </c>
      <c r="AN327" s="5">
        <f>[1]Hybrid!AM56</f>
        <v>3.35830487E-2</v>
      </c>
      <c r="AO327" s="5">
        <f>[1]Hybrid!AN56</f>
        <v>3.1957868700000003E-2</v>
      </c>
      <c r="AP327" s="5">
        <f>[1]Hybrid!AO56</f>
        <v>3.0384498400000001E-2</v>
      </c>
      <c r="AQ327" s="5">
        <f>[1]Hybrid!AP56</f>
        <v>2.8864044200000001E-2</v>
      </c>
      <c r="AR327" s="5">
        <f>[1]Hybrid!AQ56</f>
        <v>2.73972598E-2</v>
      </c>
      <c r="AS327" s="5">
        <f>[1]Hybrid!AR56</f>
        <v>2.59845688E-2</v>
      </c>
      <c r="AT327" s="5">
        <f>[1]Hybrid!AS56</f>
        <v>2.4626098400000001E-2</v>
      </c>
      <c r="AU327" s="5">
        <f>[1]Hybrid!AT56</f>
        <v>2.3321712500000001E-2</v>
      </c>
      <c r="AV327" s="5">
        <f>[1]Hybrid!AU56</f>
        <v>2.2071042400000001E-2</v>
      </c>
      <c r="AW327" s="5">
        <f>[1]Hybrid!AV56</f>
        <v>2.0873537500000001E-2</v>
      </c>
      <c r="AX327" s="5">
        <f>[1]Hybrid!AW56</f>
        <v>1.9728438800000001E-2</v>
      </c>
      <c r="AY327" s="5">
        <f>[1]Hybrid!AX56</f>
        <v>1.8634822299999999E-2</v>
      </c>
      <c r="AZ327" s="5">
        <f>[1]Hybrid!AY56</f>
        <v>1.7591626400000001E-2</v>
      </c>
      <c r="BA327" s="5">
        <f>[1]Hybrid!AZ56</f>
        <v>1.6597673100000002E-2</v>
      </c>
      <c r="BB327" s="5">
        <f>[1]Hybrid!BA56</f>
        <v>1.5214498E-2</v>
      </c>
      <c r="BC327" s="5">
        <f>[1]Hybrid!BB56</f>
        <v>1.4334256199999999E-2</v>
      </c>
      <c r="BD327" s="5">
        <f>[1]Hybrid!BC56</f>
        <v>1.34989068E-2</v>
      </c>
      <c r="BE327" s="5">
        <f>[1]Hybrid!BD56</f>
        <v>1.27069182E-2</v>
      </c>
      <c r="BF327" s="5">
        <f>[1]Hybrid!BE56</f>
        <v>1.1956719899999999E-2</v>
      </c>
    </row>
    <row r="328" spans="1:58" x14ac:dyDescent="0.35">
      <c r="B328" s="5" t="str">
        <f>[1]Hybrid!A58</f>
        <v>auto_cg_cgas_2</v>
      </c>
      <c r="C328" s="5">
        <f>[1]Hybrid!B58</f>
        <v>0.13435819299999999</v>
      </c>
      <c r="D328" s="5">
        <f>[1]Hybrid!C58</f>
        <v>0.13583775479999999</v>
      </c>
      <c r="E328" s="5">
        <f>[1]Hybrid!D58</f>
        <v>0.1374346806</v>
      </c>
      <c r="F328" s="5">
        <f>[1]Hybrid!E58</f>
        <v>0.1388083625</v>
      </c>
      <c r="G328" s="5">
        <f>[1]Hybrid!F58</f>
        <v>0.13976722389999999</v>
      </c>
      <c r="H328" s="5">
        <f>[1]Hybrid!G58</f>
        <v>0.14021621100000001</v>
      </c>
      <c r="I328" s="5">
        <f>[1]Hybrid!H58</f>
        <v>0.140107816</v>
      </c>
      <c r="J328" s="5">
        <f>[1]Hybrid!I58</f>
        <v>0.1394469374</v>
      </c>
      <c r="K328" s="5">
        <f>[1]Hybrid!J58</f>
        <v>0.13826015310000001</v>
      </c>
      <c r="L328" s="5">
        <f>[1]Hybrid!K58</f>
        <v>0.136586071</v>
      </c>
      <c r="M328" s="5">
        <f>[1]Hybrid!L58</f>
        <v>0.1344795325</v>
      </c>
      <c r="N328" s="5">
        <f>[1]Hybrid!M58</f>
        <v>0.1319786929</v>
      </c>
      <c r="O328" s="5">
        <f>[1]Hybrid!N58</f>
        <v>0.12913213979999999</v>
      </c>
      <c r="P328" s="5">
        <f>[1]Hybrid!O58</f>
        <v>0.12598529059999999</v>
      </c>
      <c r="Q328" s="5">
        <f>[1]Hybrid!P58</f>
        <v>0.1225821065</v>
      </c>
      <c r="R328" s="5">
        <f>[1]Hybrid!Q58</f>
        <v>0.1189652438</v>
      </c>
      <c r="S328" s="5">
        <f>[1]Hybrid!R58</f>
        <v>0.11517552289999999</v>
      </c>
      <c r="T328" s="5">
        <f>[1]Hybrid!S58</f>
        <v>0.1112517801</v>
      </c>
      <c r="U328" s="5">
        <f>[1]Hybrid!T58</f>
        <v>0.10723042250000001</v>
      </c>
      <c r="V328" s="5">
        <f>[1]Hybrid!U58</f>
        <v>0.1031450947</v>
      </c>
      <c r="W328" s="5">
        <f>[1]Hybrid!V58</f>
        <v>9.9022962500000006E-2</v>
      </c>
      <c r="X328" s="5">
        <f>[1]Hybrid!W58</f>
        <v>9.4896218500000004E-2</v>
      </c>
      <c r="Y328" s="5">
        <f>[1]Hybrid!X58</f>
        <v>9.07894863E-2</v>
      </c>
      <c r="Z328" s="5">
        <f>[1]Hybrid!Y58</f>
        <v>8.6724374699999995E-2</v>
      </c>
      <c r="AA328" s="5">
        <f>[1]Hybrid!Z58</f>
        <v>8.2719600000000004E-2</v>
      </c>
      <c r="AB328" s="5">
        <f>[1]Hybrid!AA58</f>
        <v>7.8786067599999995E-2</v>
      </c>
      <c r="AC328" s="5">
        <f>[1]Hybrid!AB58</f>
        <v>7.4941840699999998E-2</v>
      </c>
      <c r="AD328" s="5">
        <f>[1]Hybrid!AC58</f>
        <v>7.1198908300000002E-2</v>
      </c>
      <c r="AE328" s="5">
        <f>[1]Hybrid!AD58</f>
        <v>6.7566873E-2</v>
      </c>
      <c r="AF328" s="5">
        <f>[1]Hybrid!AE58</f>
        <v>6.4053154700000003E-2</v>
      </c>
      <c r="AG328" s="5">
        <f>[1]Hybrid!AF58</f>
        <v>6.0663240299999997E-2</v>
      </c>
      <c r="AH328" s="5">
        <f>[1]Hybrid!AG58</f>
        <v>5.7400935200000003E-2</v>
      </c>
      <c r="AI328" s="5">
        <f>[1]Hybrid!AH58</f>
        <v>5.4268577800000002E-2</v>
      </c>
      <c r="AJ328" s="5">
        <f>[1]Hybrid!AI58</f>
        <v>5.1267248500000001E-2</v>
      </c>
      <c r="AK328" s="5">
        <f>[1]Hybrid!AJ58</f>
        <v>4.8396956300000002E-2</v>
      </c>
      <c r="AL328" s="5">
        <f>[1]Hybrid!AK58</f>
        <v>4.5656804000000002E-2</v>
      </c>
      <c r="AM328" s="5">
        <f>[1]Hybrid!AL58</f>
        <v>4.3044946799999997E-2</v>
      </c>
      <c r="AN328" s="5">
        <f>[1]Hybrid!AM58</f>
        <v>4.0559198099999999E-2</v>
      </c>
      <c r="AO328" s="5">
        <f>[1]Hybrid!AN58</f>
        <v>3.81968081E-2</v>
      </c>
      <c r="AP328" s="5">
        <f>[1]Hybrid!AO58</f>
        <v>3.5954574900000001E-2</v>
      </c>
      <c r="AQ328" s="5">
        <f>[1]Hybrid!AP58</f>
        <v>3.3828938199999999E-2</v>
      </c>
      <c r="AR328" s="5">
        <f>[1]Hybrid!AQ58</f>
        <v>3.18160626E-2</v>
      </c>
      <c r="AS328" s="5">
        <f>[1]Hybrid!AR58</f>
        <v>2.99119051E-2</v>
      </c>
      <c r="AT328" s="5">
        <f>[1]Hybrid!AS58</f>
        <v>2.8112277799999998E-2</v>
      </c>
      <c r="AU328" s="5">
        <f>[1]Hybrid!AT58</f>
        <v>2.6412902200000001E-2</v>
      </c>
      <c r="AV328" s="5">
        <f>[1]Hybrid!AU58</f>
        <v>2.48094565E-2</v>
      </c>
      <c r="AW328" s="5">
        <f>[1]Hybrid!AV58</f>
        <v>2.3297619700000001E-2</v>
      </c>
      <c r="AX328" s="5">
        <f>[1]Hybrid!AW58</f>
        <v>2.1873093900000001E-2</v>
      </c>
      <c r="AY328" s="5">
        <f>[1]Hybrid!AX58</f>
        <v>2.0531637299999999E-2</v>
      </c>
      <c r="AZ328" s="5">
        <f>[1]Hybrid!AY58</f>
        <v>1.92690893E-2</v>
      </c>
      <c r="BA328" s="5">
        <f>[1]Hybrid!AZ58</f>
        <v>1.80813895E-2</v>
      </c>
      <c r="BB328" s="5">
        <f>[1]Hybrid!BA58</f>
        <v>1.63579495E-2</v>
      </c>
      <c r="BC328" s="5">
        <f>[1]Hybrid!BB58</f>
        <v>1.5344181700000001E-2</v>
      </c>
      <c r="BD328" s="5">
        <f>[1]Hybrid!BC58</f>
        <v>1.4391943900000001E-2</v>
      </c>
      <c r="BE328" s="5">
        <f>[1]Hybrid!BD58</f>
        <v>1.3497753600000001E-2</v>
      </c>
      <c r="BF328" s="5">
        <f>[1]Hybrid!BE58</f>
        <v>1.2658279600000001E-2</v>
      </c>
    </row>
    <row r="330" spans="1:58" x14ac:dyDescent="0.35">
      <c r="A330" s="12" t="s">
        <v>90</v>
      </c>
      <c r="B330" t="s">
        <v>56</v>
      </c>
      <c r="C330" s="2">
        <v>42005</v>
      </c>
      <c r="D330" s="2">
        <v>42370</v>
      </c>
      <c r="E330" s="2">
        <v>42736</v>
      </c>
      <c r="F330" s="2">
        <v>43101</v>
      </c>
      <c r="G330" s="2">
        <v>43466</v>
      </c>
      <c r="H330" s="2">
        <v>43831</v>
      </c>
      <c r="I330" s="2">
        <v>44197</v>
      </c>
      <c r="J330" s="2">
        <v>44562</v>
      </c>
      <c r="K330" s="2">
        <v>44927</v>
      </c>
      <c r="L330" s="2">
        <v>45292</v>
      </c>
      <c r="M330" s="2">
        <v>45658</v>
      </c>
      <c r="N330" s="2">
        <v>46023</v>
      </c>
      <c r="O330" s="2">
        <v>46388</v>
      </c>
      <c r="P330" s="2">
        <v>46753</v>
      </c>
      <c r="Q330" s="2">
        <v>47119</v>
      </c>
      <c r="R330" s="2">
        <v>47484</v>
      </c>
      <c r="S330" s="2">
        <v>47849</v>
      </c>
      <c r="T330" s="2">
        <v>48214</v>
      </c>
      <c r="U330" s="2">
        <v>48580</v>
      </c>
      <c r="V330" s="2">
        <v>48945</v>
      </c>
      <c r="W330" s="2">
        <v>49310</v>
      </c>
      <c r="X330" s="2">
        <v>49675</v>
      </c>
      <c r="Y330" s="2">
        <v>50041</v>
      </c>
      <c r="Z330" s="2">
        <v>50406</v>
      </c>
      <c r="AA330" s="2">
        <v>50771</v>
      </c>
      <c r="AB330" s="2">
        <v>51136</v>
      </c>
      <c r="AC330" s="2">
        <v>51502</v>
      </c>
      <c r="AD330" s="2">
        <v>51867</v>
      </c>
      <c r="AE330" s="2">
        <v>52232</v>
      </c>
      <c r="AF330" s="2">
        <v>52597</v>
      </c>
      <c r="AG330" s="2">
        <v>52963</v>
      </c>
      <c r="AH330" s="2">
        <v>53328</v>
      </c>
      <c r="AI330" s="2">
        <v>53693</v>
      </c>
      <c r="AJ330" s="2">
        <v>54058</v>
      </c>
      <c r="AK330" s="2">
        <v>54424</v>
      </c>
      <c r="AL330" s="2">
        <v>54789</v>
      </c>
      <c r="AM330" s="2">
        <v>54790</v>
      </c>
      <c r="AN330" s="2">
        <v>54791</v>
      </c>
      <c r="AO330" s="2">
        <v>54792</v>
      </c>
      <c r="AP330" s="2">
        <v>54793</v>
      </c>
      <c r="AQ330" s="2">
        <v>54794</v>
      </c>
      <c r="AR330" s="2">
        <v>54795</v>
      </c>
      <c r="AS330" s="2">
        <v>54796</v>
      </c>
      <c r="AT330" s="2">
        <v>54797</v>
      </c>
      <c r="AU330" s="2">
        <v>54798</v>
      </c>
      <c r="AV330" s="2">
        <v>54799</v>
      </c>
      <c r="AW330" s="2">
        <v>54800</v>
      </c>
      <c r="AX330" s="2">
        <v>54801</v>
      </c>
      <c r="AY330" s="2">
        <v>54802</v>
      </c>
      <c r="AZ330" s="2">
        <v>54803</v>
      </c>
      <c r="BA330" s="2">
        <v>54804</v>
      </c>
      <c r="BB330" s="2">
        <v>54805</v>
      </c>
      <c r="BC330" s="2">
        <v>54806</v>
      </c>
      <c r="BD330" s="2">
        <v>54807</v>
      </c>
      <c r="BE330" s="2">
        <v>54808</v>
      </c>
      <c r="BF330" s="2">
        <v>54809</v>
      </c>
    </row>
    <row r="331" spans="1:58" x14ac:dyDescent="0.35">
      <c r="A331" t="s">
        <v>39</v>
      </c>
      <c r="B331" t="s">
        <v>96</v>
      </c>
      <c r="C331" s="6">
        <f t="shared" ref="C331:AL331" si="186">C308+C322+C315</f>
        <v>7105.9689965623002</v>
      </c>
      <c r="D331" s="6">
        <f t="shared" si="186"/>
        <v>7152.5734962285005</v>
      </c>
      <c r="E331" s="6">
        <f t="shared" si="186"/>
        <v>7244.6282872573001</v>
      </c>
      <c r="F331" s="6">
        <f t="shared" si="186"/>
        <v>7367.6060066731998</v>
      </c>
      <c r="G331" s="6">
        <f t="shared" si="186"/>
        <v>7512.0146962366998</v>
      </c>
      <c r="H331" s="6">
        <f t="shared" si="186"/>
        <v>7671.8348638419002</v>
      </c>
      <c r="I331" s="6">
        <f t="shared" si="186"/>
        <v>7842.0766648295994</v>
      </c>
      <c r="J331" s="6">
        <f t="shared" si="186"/>
        <v>8020.2361210149002</v>
      </c>
      <c r="K331" s="6">
        <f t="shared" si="186"/>
        <v>8204.6045253175998</v>
      </c>
      <c r="L331" s="6">
        <f t="shared" si="186"/>
        <v>8393.9523072259999</v>
      </c>
      <c r="M331" s="6">
        <f t="shared" si="186"/>
        <v>8588.5031670218013</v>
      </c>
      <c r="N331" s="6">
        <f t="shared" si="186"/>
        <v>8786.4244895428001</v>
      </c>
      <c r="O331" s="6">
        <f t="shared" si="186"/>
        <v>8987.5623814971004</v>
      </c>
      <c r="P331" s="6">
        <f t="shared" si="186"/>
        <v>9191.604396672501</v>
      </c>
      <c r="Q331" s="6">
        <f t="shared" si="186"/>
        <v>9398.2017993923</v>
      </c>
      <c r="R331" s="6">
        <f t="shared" si="186"/>
        <v>9606.9920375990987</v>
      </c>
      <c r="S331" s="6">
        <f t="shared" si="186"/>
        <v>9817.5584230491004</v>
      </c>
      <c r="T331" s="6">
        <f t="shared" si="186"/>
        <v>10029.509914173501</v>
      </c>
      <c r="U331" s="6">
        <f t="shared" si="186"/>
        <v>10242.481945826899</v>
      </c>
      <c r="V331" s="6">
        <f t="shared" si="186"/>
        <v>10456.1376863152</v>
      </c>
      <c r="W331" s="6">
        <f t="shared" si="186"/>
        <v>10668.5386171348</v>
      </c>
      <c r="X331" s="6">
        <f t="shared" si="186"/>
        <v>10881.1583997496</v>
      </c>
      <c r="Y331" s="6">
        <f t="shared" si="186"/>
        <v>11093.802515726002</v>
      </c>
      <c r="Z331" s="6">
        <f t="shared" si="186"/>
        <v>11306.339026751</v>
      </c>
      <c r="AA331" s="6">
        <f t="shared" si="186"/>
        <v>11518.663014325</v>
      </c>
      <c r="AB331" s="6">
        <f t="shared" si="186"/>
        <v>11725.894526144999</v>
      </c>
      <c r="AC331" s="6">
        <f t="shared" si="186"/>
        <v>11930.828074445999</v>
      </c>
      <c r="AD331" s="6">
        <f t="shared" si="186"/>
        <v>12133.630303538999</v>
      </c>
      <c r="AE331" s="6">
        <f t="shared" si="186"/>
        <v>12334.576466518</v>
      </c>
      <c r="AF331" s="6">
        <f t="shared" si="186"/>
        <v>12533.981139845999</v>
      </c>
      <c r="AG331" s="6">
        <f t="shared" si="186"/>
        <v>12732.160653791001</v>
      </c>
      <c r="AH331" s="6">
        <f t="shared" si="186"/>
        <v>12929.428270323</v>
      </c>
      <c r="AI331" s="6">
        <f t="shared" si="186"/>
        <v>13126.064558153999</v>
      </c>
      <c r="AJ331" s="6">
        <f t="shared" si="186"/>
        <v>13322.32173725</v>
      </c>
      <c r="AK331" s="6">
        <f t="shared" si="186"/>
        <v>13518.431813069001</v>
      </c>
      <c r="AL331" s="6">
        <f t="shared" si="186"/>
        <v>13714.612860956</v>
      </c>
      <c r="AM331" s="6">
        <f t="shared" ref="AM331:BC331" si="187">AM308+AM322+AM315</f>
        <v>13910.033138983001</v>
      </c>
      <c r="AN331" s="6">
        <f t="shared" si="187"/>
        <v>14105.012113888999</v>
      </c>
      <c r="AO331" s="6">
        <f t="shared" si="187"/>
        <v>14299.829431814</v>
      </c>
      <c r="AP331" s="6">
        <f t="shared" si="187"/>
        <v>14494.777483971</v>
      </c>
      <c r="AQ331" s="6">
        <f t="shared" si="187"/>
        <v>14690.161691956999</v>
      </c>
      <c r="AR331" s="6">
        <f t="shared" si="187"/>
        <v>14886.307899239</v>
      </c>
      <c r="AS331" s="6">
        <f t="shared" si="187"/>
        <v>15083.510190032001</v>
      </c>
      <c r="AT331" s="6">
        <f t="shared" si="187"/>
        <v>15282.027323226001</v>
      </c>
      <c r="AU331" s="6">
        <f t="shared" si="187"/>
        <v>15482.086513524</v>
      </c>
      <c r="AV331" s="6">
        <f t="shared" si="187"/>
        <v>15683.886771535999</v>
      </c>
      <c r="AW331" s="6">
        <f t="shared" si="187"/>
        <v>15887.789581884999</v>
      </c>
      <c r="AX331" s="6">
        <f t="shared" si="187"/>
        <v>16093.970354075</v>
      </c>
      <c r="AY331" s="6">
        <f t="shared" si="187"/>
        <v>16302.553496334</v>
      </c>
      <c r="AZ331" s="6">
        <f t="shared" si="187"/>
        <v>16513.641432715001</v>
      </c>
      <c r="BA331" s="6">
        <f t="shared" si="187"/>
        <v>16727.327088634</v>
      </c>
      <c r="BB331" s="6">
        <f t="shared" si="187"/>
        <v>18182.57675584</v>
      </c>
      <c r="BC331" s="6">
        <f t="shared" si="187"/>
        <v>18445.878013850001</v>
      </c>
      <c r="BD331" s="6">
        <f t="shared" ref="BD331:BF331" si="188">BD308+BD322+BD315</f>
        <v>18712.095528523001</v>
      </c>
      <c r="BE331" s="6">
        <f t="shared" si="188"/>
        <v>18981.344316728002</v>
      </c>
      <c r="BF331" s="6">
        <f t="shared" si="188"/>
        <v>19253.748624161999</v>
      </c>
    </row>
    <row r="332" spans="1:58" x14ac:dyDescent="0.35">
      <c r="B332" t="s">
        <v>97</v>
      </c>
      <c r="C332" s="6">
        <f t="shared" ref="C332:AL332" si="189">C309+C323+C316</f>
        <v>8263.1971436354015</v>
      </c>
      <c r="D332" s="6">
        <f t="shared" si="189"/>
        <v>8195.3051616981993</v>
      </c>
      <c r="E332" s="6">
        <f t="shared" si="189"/>
        <v>8178.8381792371001</v>
      </c>
      <c r="F332" s="6">
        <f t="shared" si="189"/>
        <v>8198.9462874256005</v>
      </c>
      <c r="G332" s="6">
        <f t="shared" si="189"/>
        <v>8245.7443551288998</v>
      </c>
      <c r="H332" s="6">
        <f t="shared" si="189"/>
        <v>8312.7732065113996</v>
      </c>
      <c r="I332" s="6">
        <f t="shared" si="189"/>
        <v>8394.6467227280991</v>
      </c>
      <c r="J332" s="6">
        <f t="shared" si="189"/>
        <v>8488.419294757301</v>
      </c>
      <c r="K332" s="6">
        <f t="shared" si="189"/>
        <v>8591.9600049658002</v>
      </c>
      <c r="L332" s="6">
        <f t="shared" si="189"/>
        <v>8703.6415205107005</v>
      </c>
      <c r="M332" s="6">
        <f t="shared" si="189"/>
        <v>8823.2506407350993</v>
      </c>
      <c r="N332" s="6">
        <f t="shared" si="189"/>
        <v>8948.6709282177999</v>
      </c>
      <c r="O332" s="6">
        <f t="shared" si="189"/>
        <v>9079.3876809880003</v>
      </c>
      <c r="P332" s="6">
        <f t="shared" si="189"/>
        <v>9214.7605217240998</v>
      </c>
      <c r="Q332" s="6">
        <f t="shared" si="189"/>
        <v>9354.1412832049991</v>
      </c>
      <c r="R332" s="6">
        <f t="shared" si="189"/>
        <v>9496.8958120251991</v>
      </c>
      <c r="S332" s="6">
        <f t="shared" si="189"/>
        <v>9642.3660274255999</v>
      </c>
      <c r="T332" s="6">
        <f t="shared" si="189"/>
        <v>9789.9421295205993</v>
      </c>
      <c r="U332" s="6">
        <f t="shared" si="189"/>
        <v>9939.061254317101</v>
      </c>
      <c r="V332" s="6">
        <f t="shared" si="189"/>
        <v>10089.206371317701</v>
      </c>
      <c r="W332" s="6">
        <f t="shared" si="189"/>
        <v>10238.422988796199</v>
      </c>
      <c r="X332" s="6">
        <f t="shared" si="189"/>
        <v>10387.8852152161</v>
      </c>
      <c r="Y332" s="6">
        <f t="shared" si="189"/>
        <v>10537.2556286007</v>
      </c>
      <c r="Z332" s="6">
        <f t="shared" si="189"/>
        <v>10686.2650265135</v>
      </c>
      <c r="AA332" s="6">
        <f t="shared" si="189"/>
        <v>10834.679164784</v>
      </c>
      <c r="AB332" s="6">
        <f t="shared" si="189"/>
        <v>10978.013773164001</v>
      </c>
      <c r="AC332" s="6">
        <f t="shared" si="189"/>
        <v>11118.680027199001</v>
      </c>
      <c r="AD332" s="6">
        <f t="shared" si="189"/>
        <v>11256.736548154</v>
      </c>
      <c r="AE332" s="6">
        <f t="shared" si="189"/>
        <v>11392.340589154999</v>
      </c>
      <c r="AF332" s="6">
        <f t="shared" si="189"/>
        <v>11525.684895202001</v>
      </c>
      <c r="AG332" s="6">
        <f t="shared" si="189"/>
        <v>11656.963926840001</v>
      </c>
      <c r="AH332" s="6">
        <f t="shared" si="189"/>
        <v>11786.369205089</v>
      </c>
      <c r="AI332" s="6">
        <f t="shared" si="189"/>
        <v>11914.063210098</v>
      </c>
      <c r="AJ332" s="6">
        <f t="shared" si="189"/>
        <v>12040.182865319999</v>
      </c>
      <c r="AK332" s="6">
        <f t="shared" si="189"/>
        <v>12164.846651578999</v>
      </c>
      <c r="AL332" s="6">
        <f t="shared" si="189"/>
        <v>12288.159874904</v>
      </c>
      <c r="AM332" s="6">
        <f t="shared" ref="AM332:BC332" si="190">AM309+AM323+AM316</f>
        <v>12409.333395648</v>
      </c>
      <c r="AN332" s="6">
        <f t="shared" si="190"/>
        <v>12528.569127597</v>
      </c>
      <c r="AO332" s="6">
        <f t="shared" si="190"/>
        <v>12646.032557424</v>
      </c>
      <c r="AP332" s="6">
        <f t="shared" si="190"/>
        <v>12761.896552949</v>
      </c>
      <c r="AQ332" s="6">
        <f t="shared" si="190"/>
        <v>12876.341218439</v>
      </c>
      <c r="AR332" s="6">
        <f t="shared" si="190"/>
        <v>12989.560126204999</v>
      </c>
      <c r="AS332" s="6">
        <f t="shared" si="190"/>
        <v>13101.716862128</v>
      </c>
      <c r="AT332" s="6">
        <f t="shared" si="190"/>
        <v>13212.942252774001</v>
      </c>
      <c r="AU332" s="6">
        <f t="shared" si="190"/>
        <v>13323.337880042</v>
      </c>
      <c r="AV332" s="6">
        <f t="shared" si="190"/>
        <v>13432.979284973999</v>
      </c>
      <c r="AW332" s="6">
        <f t="shared" si="190"/>
        <v>13542.070615717001</v>
      </c>
      <c r="AX332" s="6">
        <f t="shared" si="190"/>
        <v>13650.661030447001</v>
      </c>
      <c r="AY332" s="6">
        <f t="shared" si="190"/>
        <v>13758.754912444001</v>
      </c>
      <c r="AZ332" s="6">
        <f t="shared" si="190"/>
        <v>13866.336000014002</v>
      </c>
      <c r="BA332" s="6">
        <f t="shared" si="190"/>
        <v>13973.378130329</v>
      </c>
      <c r="BB332" s="6">
        <f t="shared" si="190"/>
        <v>15021.876346300001</v>
      </c>
      <c r="BC332" s="6">
        <f t="shared" si="190"/>
        <v>15156.629626152</v>
      </c>
      <c r="BD332" s="6">
        <f t="shared" ref="BD332:BF332" si="191">BD309+BD323+BD316</f>
        <v>15290.513371906</v>
      </c>
      <c r="BE332" s="6">
        <f t="shared" si="191"/>
        <v>15423.524856576001</v>
      </c>
      <c r="BF332" s="6">
        <f t="shared" si="191"/>
        <v>15555.666014259001</v>
      </c>
    </row>
    <row r="333" spans="1:58" x14ac:dyDescent="0.35">
      <c r="B333" t="s">
        <v>98</v>
      </c>
      <c r="C333" s="6">
        <f t="shared" ref="C333:AL333" si="192">C310+C324+C317</f>
        <v>6787.4105911386005</v>
      </c>
      <c r="D333" s="6">
        <f t="shared" si="192"/>
        <v>6656.9958132744996</v>
      </c>
      <c r="E333" s="6">
        <f t="shared" si="192"/>
        <v>6568.000221882</v>
      </c>
      <c r="F333" s="6">
        <f t="shared" si="192"/>
        <v>6509.4921889950001</v>
      </c>
      <c r="G333" s="6">
        <f t="shared" si="192"/>
        <v>6474.0705819995001</v>
      </c>
      <c r="H333" s="6">
        <f t="shared" si="192"/>
        <v>6456.7725694906003</v>
      </c>
      <c r="I333" s="6">
        <f t="shared" si="192"/>
        <v>6453.4390714936007</v>
      </c>
      <c r="J333" s="6">
        <f t="shared" si="192"/>
        <v>6461.6399904</v>
      </c>
      <c r="K333" s="6">
        <f t="shared" si="192"/>
        <v>6479.5466584643</v>
      </c>
      <c r="L333" s="6">
        <f t="shared" si="192"/>
        <v>6505.7110979662002</v>
      </c>
      <c r="M333" s="6">
        <f t="shared" si="192"/>
        <v>6539.679465321</v>
      </c>
      <c r="N333" s="6">
        <f t="shared" si="192"/>
        <v>6579.7306885692005</v>
      </c>
      <c r="O333" s="6">
        <f t="shared" si="192"/>
        <v>6625.2483225016995</v>
      </c>
      <c r="P333" s="6">
        <f t="shared" si="192"/>
        <v>6675.5492041319994</v>
      </c>
      <c r="Q333" s="6">
        <f t="shared" si="192"/>
        <v>6729.9651794535002</v>
      </c>
      <c r="R333" s="6">
        <f t="shared" si="192"/>
        <v>6787.8581389386</v>
      </c>
      <c r="S333" s="6">
        <f t="shared" si="192"/>
        <v>6848.5940570536004</v>
      </c>
      <c r="T333" s="6">
        <f t="shared" si="192"/>
        <v>6911.589907435</v>
      </c>
      <c r="U333" s="6">
        <f t="shared" si="192"/>
        <v>6976.3111595617002</v>
      </c>
      <c r="V333" s="6">
        <f t="shared" si="192"/>
        <v>7042.2693621685003</v>
      </c>
      <c r="W333" s="6">
        <f t="shared" si="192"/>
        <v>7108.0478112313003</v>
      </c>
      <c r="X333" s="6">
        <f t="shared" si="192"/>
        <v>7174.3011656602994</v>
      </c>
      <c r="Y333" s="6">
        <f t="shared" si="192"/>
        <v>7240.6980495748994</v>
      </c>
      <c r="Z333" s="6">
        <f t="shared" si="192"/>
        <v>7306.9610992905</v>
      </c>
      <c r="AA333" s="6">
        <f t="shared" si="192"/>
        <v>7372.8444908347001</v>
      </c>
      <c r="AB333" s="6">
        <f t="shared" si="192"/>
        <v>7435.3746663283</v>
      </c>
      <c r="AC333" s="6">
        <f t="shared" si="192"/>
        <v>7496.0498505150008</v>
      </c>
      <c r="AD333" s="6">
        <f t="shared" si="192"/>
        <v>7554.850112393</v>
      </c>
      <c r="AE333" s="6">
        <f t="shared" si="192"/>
        <v>7611.8215620446999</v>
      </c>
      <c r="AF333" s="6">
        <f t="shared" si="192"/>
        <v>7667.0348769185994</v>
      </c>
      <c r="AG333" s="6">
        <f t="shared" si="192"/>
        <v>7720.5634225781005</v>
      </c>
      <c r="AH333" s="6">
        <f t="shared" si="192"/>
        <v>7772.4800284669009</v>
      </c>
      <c r="AI333" s="6">
        <f t="shared" si="192"/>
        <v>7822.8403586574996</v>
      </c>
      <c r="AJ333" s="6">
        <f t="shared" si="192"/>
        <v>7871.6850492342001</v>
      </c>
      <c r="AK333" s="6">
        <f t="shared" si="192"/>
        <v>7919.0441013635</v>
      </c>
      <c r="AL333" s="6">
        <f t="shared" si="192"/>
        <v>7964.9401987804004</v>
      </c>
      <c r="AM333" s="6">
        <f t="shared" ref="AM333:BC333" si="193">AM310+AM324+AM317</f>
        <v>8008.8473770644996</v>
      </c>
      <c r="AN333" s="6">
        <f t="shared" si="193"/>
        <v>8050.8570671998004</v>
      </c>
      <c r="AO333" s="6">
        <f t="shared" si="193"/>
        <v>8091.0383070655007</v>
      </c>
      <c r="AP333" s="6">
        <f t="shared" si="193"/>
        <v>8129.4640833933991</v>
      </c>
      <c r="AQ333" s="6">
        <f t="shared" si="193"/>
        <v>8166.2112114685997</v>
      </c>
      <c r="AR333" s="6">
        <f t="shared" si="193"/>
        <v>8201.3641005473</v>
      </c>
      <c r="AS333" s="6">
        <f t="shared" si="193"/>
        <v>8234.9887544252015</v>
      </c>
      <c r="AT333" s="6">
        <f t="shared" si="193"/>
        <v>8267.1312601963</v>
      </c>
      <c r="AU333" s="6">
        <f t="shared" si="193"/>
        <v>8297.8202524384997</v>
      </c>
      <c r="AV333" s="6">
        <f t="shared" si="193"/>
        <v>8327.0690796768995</v>
      </c>
      <c r="AW333" s="6">
        <f t="shared" si="193"/>
        <v>8354.9665876138006</v>
      </c>
      <c r="AX333" s="6">
        <f t="shared" si="193"/>
        <v>8381.5104464447995</v>
      </c>
      <c r="AY333" s="6">
        <f t="shared" si="193"/>
        <v>8406.6722639069994</v>
      </c>
      <c r="AZ333" s="6">
        <f t="shared" si="193"/>
        <v>8430.4121744559998</v>
      </c>
      <c r="BA333" s="6">
        <f t="shared" si="193"/>
        <v>8452.6855046071996</v>
      </c>
      <c r="BB333" s="6">
        <f t="shared" si="193"/>
        <v>8987.5710228750013</v>
      </c>
      <c r="BC333" s="6">
        <f t="shared" si="193"/>
        <v>9019.9497071197002</v>
      </c>
      <c r="BD333" s="6">
        <f t="shared" ref="BD333:BF333" si="194">BD310+BD324+BD317</f>
        <v>9050.4682229624996</v>
      </c>
      <c r="BE333" s="6">
        <f t="shared" si="194"/>
        <v>9079.1083501920984</v>
      </c>
      <c r="BF333" s="6">
        <f t="shared" si="194"/>
        <v>9105.8550322254996</v>
      </c>
    </row>
    <row r="334" spans="1:58" x14ac:dyDescent="0.35">
      <c r="B334" t="s">
        <v>99</v>
      </c>
      <c r="C334" s="6">
        <f t="shared" ref="C334:AL334" si="195">C311+C325+C318</f>
        <v>4165.6835237371006</v>
      </c>
      <c r="D334" s="6">
        <f t="shared" si="195"/>
        <v>4060.9987172930996</v>
      </c>
      <c r="E334" s="6">
        <f t="shared" si="195"/>
        <v>3980.0841226978996</v>
      </c>
      <c r="F334" s="6">
        <f t="shared" si="195"/>
        <v>3916.3260007451004</v>
      </c>
      <c r="G334" s="6">
        <f t="shared" si="195"/>
        <v>3865.234550919</v>
      </c>
      <c r="H334" s="6">
        <f t="shared" si="195"/>
        <v>3823.7737637604</v>
      </c>
      <c r="I334" s="6">
        <f t="shared" si="195"/>
        <v>3789.4432812240002</v>
      </c>
      <c r="J334" s="6">
        <f t="shared" si="195"/>
        <v>3760.7400805492998</v>
      </c>
      <c r="K334" s="6">
        <f t="shared" si="195"/>
        <v>3736.5314083796998</v>
      </c>
      <c r="L334" s="6">
        <f t="shared" si="195"/>
        <v>3715.9224879775002</v>
      </c>
      <c r="M334" s="6">
        <f t="shared" si="195"/>
        <v>3698.558562141</v>
      </c>
      <c r="N334" s="6">
        <f t="shared" si="195"/>
        <v>3683.4605510420001</v>
      </c>
      <c r="O334" s="6">
        <f t="shared" si="195"/>
        <v>3670.2130006392999</v>
      </c>
      <c r="P334" s="6">
        <f t="shared" si="195"/>
        <v>3658.3768016685999</v>
      </c>
      <c r="Q334" s="6">
        <f t="shared" si="195"/>
        <v>3647.536861132</v>
      </c>
      <c r="R334" s="6">
        <f t="shared" si="195"/>
        <v>3637.3122462459</v>
      </c>
      <c r="S334" s="6">
        <f t="shared" si="195"/>
        <v>3627.3442466443998</v>
      </c>
      <c r="T334" s="6">
        <f t="shared" si="195"/>
        <v>3617.3169962462998</v>
      </c>
      <c r="U334" s="6">
        <f t="shared" si="195"/>
        <v>3606.9541626471005</v>
      </c>
      <c r="V334" s="6">
        <f t="shared" si="195"/>
        <v>3596.0154470417001</v>
      </c>
      <c r="W334" s="6">
        <f t="shared" si="195"/>
        <v>3583.8724319261</v>
      </c>
      <c r="X334" s="6">
        <f t="shared" si="195"/>
        <v>3570.8183097824999</v>
      </c>
      <c r="Y334" s="6">
        <f t="shared" si="195"/>
        <v>3556.7166700448997</v>
      </c>
      <c r="Z334" s="6">
        <f t="shared" si="195"/>
        <v>3541.4608803319998</v>
      </c>
      <c r="AA334" s="6">
        <f t="shared" si="195"/>
        <v>3524.9639363480001</v>
      </c>
      <c r="AB334" s="6">
        <f t="shared" si="195"/>
        <v>3506.0586985038999</v>
      </c>
      <c r="AC334" s="6">
        <f t="shared" si="195"/>
        <v>3485.4094232221996</v>
      </c>
      <c r="AD334" s="6">
        <f t="shared" si="195"/>
        <v>3463.0603656632002</v>
      </c>
      <c r="AE334" s="6">
        <f t="shared" si="195"/>
        <v>3439.0790480424998</v>
      </c>
      <c r="AF334" s="6">
        <f t="shared" si="195"/>
        <v>3413.5391494350997</v>
      </c>
      <c r="AG334" s="6">
        <f t="shared" si="195"/>
        <v>3386.5123409567</v>
      </c>
      <c r="AH334" s="6">
        <f t="shared" si="195"/>
        <v>3358.0674254324003</v>
      </c>
      <c r="AI334" s="6">
        <f t="shared" si="195"/>
        <v>3328.2647224165999</v>
      </c>
      <c r="AJ334" s="6">
        <f t="shared" si="195"/>
        <v>3297.1573088851001</v>
      </c>
      <c r="AK334" s="6">
        <f t="shared" si="195"/>
        <v>3264.7931100994997</v>
      </c>
      <c r="AL334" s="6">
        <f t="shared" si="195"/>
        <v>3231.2165584264003</v>
      </c>
      <c r="AM334" s="6">
        <f t="shared" ref="AM334:BC334" si="196">AM311+AM325+AM318</f>
        <v>3196.2943279709998</v>
      </c>
      <c r="AN334" s="6">
        <f t="shared" si="196"/>
        <v>3160.1032120358004</v>
      </c>
      <c r="AO334" s="6">
        <f t="shared" si="196"/>
        <v>3122.7110912273001</v>
      </c>
      <c r="AP334" s="6">
        <f t="shared" si="196"/>
        <v>3084.185124096</v>
      </c>
      <c r="AQ334" s="6">
        <f t="shared" si="196"/>
        <v>3044.591970036</v>
      </c>
      <c r="AR334" s="6">
        <f t="shared" si="196"/>
        <v>3003.9993439226</v>
      </c>
      <c r="AS334" s="6">
        <f t="shared" si="196"/>
        <v>2962.4687853942</v>
      </c>
      <c r="AT334" s="6">
        <f t="shared" si="196"/>
        <v>2920.0556945675003</v>
      </c>
      <c r="AU334" s="6">
        <f t="shared" si="196"/>
        <v>2876.8106479579001</v>
      </c>
      <c r="AV334" s="6">
        <f t="shared" si="196"/>
        <v>2832.780535378</v>
      </c>
      <c r="AW334" s="6">
        <f t="shared" si="196"/>
        <v>2788.0326133436001</v>
      </c>
      <c r="AX334" s="6">
        <f t="shared" si="196"/>
        <v>2742.6103859832006</v>
      </c>
      <c r="AY334" s="6">
        <f t="shared" si="196"/>
        <v>2696.5513662480998</v>
      </c>
      <c r="AZ334" s="6">
        <f t="shared" si="196"/>
        <v>2649.8914377849001</v>
      </c>
      <c r="BA334" s="6">
        <f t="shared" si="196"/>
        <v>2602.6670444936003</v>
      </c>
      <c r="BB334" s="6">
        <f t="shared" si="196"/>
        <v>2627.3217814909003</v>
      </c>
      <c r="BC334" s="6">
        <f t="shared" si="196"/>
        <v>2577.8758599247999</v>
      </c>
      <c r="BD334" s="6">
        <f t="shared" ref="BD334:BF334" si="197">BD311+BD325+BD318</f>
        <v>2527.7977910374002</v>
      </c>
      <c r="BE334" s="6">
        <f t="shared" si="197"/>
        <v>2477.1409967202999</v>
      </c>
      <c r="BF334" s="6">
        <f t="shared" si="197"/>
        <v>2425.9593885319996</v>
      </c>
    </row>
    <row r="335" spans="1:58" x14ac:dyDescent="0.35">
      <c r="B335" t="s">
        <v>100</v>
      </c>
      <c r="C335" s="6">
        <f t="shared" ref="C335:AL335" si="198">C312+C326+C319</f>
        <v>2507.3524895615005</v>
      </c>
      <c r="D335" s="6">
        <f t="shared" si="198"/>
        <v>2446.6946960987998</v>
      </c>
      <c r="E335" s="6">
        <f t="shared" si="198"/>
        <v>2399.4387836694996</v>
      </c>
      <c r="F335" s="6">
        <f t="shared" si="198"/>
        <v>2361.3603554939</v>
      </c>
      <c r="G335" s="6">
        <f t="shared" si="198"/>
        <v>2329.6289887056</v>
      </c>
      <c r="H335" s="6">
        <f t="shared" si="198"/>
        <v>2302.3596834277996</v>
      </c>
      <c r="I335" s="6">
        <f t="shared" si="198"/>
        <v>2278.0404037733997</v>
      </c>
      <c r="J335" s="6">
        <f t="shared" si="198"/>
        <v>2255.7880788060002</v>
      </c>
      <c r="K335" s="6">
        <f t="shared" si="198"/>
        <v>2234.9614788967006</v>
      </c>
      <c r="L335" s="6">
        <f t="shared" si="198"/>
        <v>2215.0744910158</v>
      </c>
      <c r="M335" s="6">
        <f t="shared" si="198"/>
        <v>2195.9623633544002</v>
      </c>
      <c r="N335" s="6">
        <f t="shared" si="198"/>
        <v>2177.1112742508999</v>
      </c>
      <c r="O335" s="6">
        <f t="shared" si="198"/>
        <v>2158.3258481225998</v>
      </c>
      <c r="P335" s="6">
        <f t="shared" si="198"/>
        <v>2139.3993524687999</v>
      </c>
      <c r="Q335" s="6">
        <f t="shared" si="198"/>
        <v>2120.1438696048003</v>
      </c>
      <c r="R335" s="6">
        <f t="shared" si="198"/>
        <v>2100.3970987547</v>
      </c>
      <c r="S335" s="6">
        <f t="shared" si="198"/>
        <v>2080.0159046235999</v>
      </c>
      <c r="T335" s="6">
        <f t="shared" si="198"/>
        <v>2058.8862645602999</v>
      </c>
      <c r="U335" s="6">
        <f t="shared" si="198"/>
        <v>2036.9202118543999</v>
      </c>
      <c r="V335" s="6">
        <f t="shared" si="198"/>
        <v>2014.0526423737001</v>
      </c>
      <c r="W335" s="6">
        <f t="shared" si="198"/>
        <v>1990.0311592701999</v>
      </c>
      <c r="X335" s="6">
        <f t="shared" si="198"/>
        <v>1965.0654688542002</v>
      </c>
      <c r="Y335" s="6">
        <f t="shared" si="198"/>
        <v>1939.1497028115</v>
      </c>
      <c r="Z335" s="6">
        <f t="shared" si="198"/>
        <v>1912.2926914604</v>
      </c>
      <c r="AA335" s="6">
        <f t="shared" si="198"/>
        <v>1884.5127573466002</v>
      </c>
      <c r="AB335" s="6">
        <f t="shared" si="198"/>
        <v>1855.3353748538</v>
      </c>
      <c r="AC335" s="6">
        <f t="shared" si="198"/>
        <v>1825.1398474969001</v>
      </c>
      <c r="AD335" s="6">
        <f t="shared" si="198"/>
        <v>1794.0127599938</v>
      </c>
      <c r="AE335" s="6">
        <f t="shared" si="198"/>
        <v>1762.0469823011999</v>
      </c>
      <c r="AF335" s="6">
        <f t="shared" si="198"/>
        <v>1729.3338554969</v>
      </c>
      <c r="AG335" s="6">
        <f t="shared" si="198"/>
        <v>1695.9599010375</v>
      </c>
      <c r="AH335" s="6">
        <f t="shared" si="198"/>
        <v>1662.0067894421998</v>
      </c>
      <c r="AI335" s="6">
        <f t="shared" si="198"/>
        <v>1627.5493427027</v>
      </c>
      <c r="AJ335" s="6">
        <f t="shared" si="198"/>
        <v>1592.6563962677999</v>
      </c>
      <c r="AK335" s="6">
        <f t="shared" si="198"/>
        <v>1557.3920043879</v>
      </c>
      <c r="AL335" s="6">
        <f t="shared" si="198"/>
        <v>1521.8164187514999</v>
      </c>
      <c r="AM335" s="6">
        <f t="shared" ref="AM335:BC335" si="199">AM312+AM326+AM319</f>
        <v>1485.9207164362001</v>
      </c>
      <c r="AN335" s="6">
        <f t="shared" si="199"/>
        <v>1449.7768662288001</v>
      </c>
      <c r="AO335" s="6">
        <f t="shared" si="199"/>
        <v>1413.4508038147999</v>
      </c>
      <c r="AP335" s="6">
        <f t="shared" si="199"/>
        <v>1377.0055202043</v>
      </c>
      <c r="AQ335" s="6">
        <f t="shared" si="199"/>
        <v>1340.5013286888</v>
      </c>
      <c r="AR335" s="6">
        <f t="shared" si="199"/>
        <v>1303.9966227678999</v>
      </c>
      <c r="AS335" s="6">
        <f t="shared" si="199"/>
        <v>1267.5455632425999</v>
      </c>
      <c r="AT335" s="6">
        <f t="shared" si="199"/>
        <v>1231.1982854741</v>
      </c>
      <c r="AU335" s="6">
        <f t="shared" si="199"/>
        <v>1195.0015451996999</v>
      </c>
      <c r="AV335" s="6">
        <f t="shared" si="199"/>
        <v>1158.9992558795</v>
      </c>
      <c r="AW335" s="6">
        <f t="shared" si="199"/>
        <v>1123.2400297336001</v>
      </c>
      <c r="AX335" s="6">
        <f t="shared" si="199"/>
        <v>1087.7633327384999</v>
      </c>
      <c r="AY335" s="6">
        <f t="shared" si="199"/>
        <v>1052.6052095655</v>
      </c>
      <c r="AZ335" s="6">
        <f t="shared" si="199"/>
        <v>1017.7997541847</v>
      </c>
      <c r="BA335" s="6">
        <f t="shared" si="199"/>
        <v>983.37986503039997</v>
      </c>
      <c r="BB335" s="6">
        <f t="shared" si="199"/>
        <v>956.35591805230001</v>
      </c>
      <c r="BC335" s="6">
        <f t="shared" si="199"/>
        <v>922.14041754819993</v>
      </c>
      <c r="BD335" s="6">
        <f t="shared" ref="BD335:BF335" si="200">BD312+BD326+BD319</f>
        <v>888.3924872020001</v>
      </c>
      <c r="BE335" s="6">
        <f t="shared" si="200"/>
        <v>855.14612888479996</v>
      </c>
      <c r="BF335" s="6">
        <f t="shared" si="200"/>
        <v>822.4332865097</v>
      </c>
    </row>
    <row r="336" spans="1:58" x14ac:dyDescent="0.35">
      <c r="B336" t="s">
        <v>101</v>
      </c>
      <c r="C336" s="6">
        <f t="shared" ref="C336:AL336" si="201">C313+C327+C320</f>
        <v>1245.466605953</v>
      </c>
      <c r="D336" s="6">
        <f t="shared" si="201"/>
        <v>1212.6314685032</v>
      </c>
      <c r="E336" s="6">
        <f t="shared" si="201"/>
        <v>1185.0029924378</v>
      </c>
      <c r="F336" s="6">
        <f t="shared" si="201"/>
        <v>1160.2754979521001</v>
      </c>
      <c r="G336" s="6">
        <f t="shared" si="201"/>
        <v>1136.9884101844</v>
      </c>
      <c r="H336" s="6">
        <f t="shared" si="201"/>
        <v>1114.2408206427999</v>
      </c>
      <c r="I336" s="6">
        <f t="shared" si="201"/>
        <v>1091.3938783040001</v>
      </c>
      <c r="J336" s="6">
        <f t="shared" si="201"/>
        <v>1068.1434883555999</v>
      </c>
      <c r="K336" s="6">
        <f t="shared" si="201"/>
        <v>1044.3267893769003</v>
      </c>
      <c r="L336" s="6">
        <f t="shared" si="201"/>
        <v>1019.8688948075001</v>
      </c>
      <c r="M336" s="6">
        <f t="shared" si="201"/>
        <v>994.83189752970009</v>
      </c>
      <c r="N336" s="6">
        <f t="shared" si="201"/>
        <v>969.15685940670005</v>
      </c>
      <c r="O336" s="6">
        <f t="shared" si="201"/>
        <v>942.89694829309997</v>
      </c>
      <c r="P336" s="6">
        <f t="shared" si="201"/>
        <v>916.10120588900008</v>
      </c>
      <c r="Q336" s="6">
        <f t="shared" si="201"/>
        <v>888.82775474280004</v>
      </c>
      <c r="R336" s="6">
        <f t="shared" si="201"/>
        <v>861.14585161069999</v>
      </c>
      <c r="S336" s="6">
        <f t="shared" si="201"/>
        <v>833.13238477729999</v>
      </c>
      <c r="T336" s="6">
        <f t="shared" si="201"/>
        <v>804.87234993519996</v>
      </c>
      <c r="U336" s="6">
        <f t="shared" si="201"/>
        <v>776.45562097269999</v>
      </c>
      <c r="V336" s="6">
        <f t="shared" si="201"/>
        <v>747.97400502699998</v>
      </c>
      <c r="W336" s="6">
        <f t="shared" si="201"/>
        <v>719.47355795249996</v>
      </c>
      <c r="X336" s="6">
        <f t="shared" si="201"/>
        <v>691.09933932879994</v>
      </c>
      <c r="Y336" s="6">
        <f t="shared" si="201"/>
        <v>662.93761837190004</v>
      </c>
      <c r="Z336" s="6">
        <f t="shared" si="201"/>
        <v>635.06964048980012</v>
      </c>
      <c r="AA336" s="6">
        <f t="shared" si="201"/>
        <v>607.57054758550009</v>
      </c>
      <c r="AB336" s="6">
        <f t="shared" si="201"/>
        <v>580.42562443500003</v>
      </c>
      <c r="AC336" s="6">
        <f t="shared" si="201"/>
        <v>553.76500613529993</v>
      </c>
      <c r="AD336" s="6">
        <f t="shared" si="201"/>
        <v>527.65615934629989</v>
      </c>
      <c r="AE336" s="6">
        <f t="shared" si="201"/>
        <v>502.15783814810004</v>
      </c>
      <c r="AF336" s="6">
        <f t="shared" si="201"/>
        <v>477.31954728660003</v>
      </c>
      <c r="AG336" s="6">
        <f t="shared" si="201"/>
        <v>453.18194935640003</v>
      </c>
      <c r="AH336" s="6">
        <f t="shared" si="201"/>
        <v>429.77771477390002</v>
      </c>
      <c r="AI336" s="6">
        <f t="shared" si="201"/>
        <v>407.13206915889998</v>
      </c>
      <c r="AJ336" s="6">
        <f t="shared" si="201"/>
        <v>385.2636297139</v>
      </c>
      <c r="AK336" s="6">
        <f t="shared" si="201"/>
        <v>364.18521539609998</v>
      </c>
      <c r="AL336" s="6">
        <f t="shared" si="201"/>
        <v>343.90455112220002</v>
      </c>
      <c r="AM336" s="6">
        <f t="shared" ref="AM336:BC336" si="202">AM313+AM327+AM320</f>
        <v>324.41931567239999</v>
      </c>
      <c r="AN336" s="6">
        <f t="shared" si="202"/>
        <v>305.73126728470004</v>
      </c>
      <c r="AO336" s="6">
        <f t="shared" si="202"/>
        <v>287.83792317869995</v>
      </c>
      <c r="AP336" s="6">
        <f t="shared" si="202"/>
        <v>270.73322936739999</v>
      </c>
      <c r="AQ336" s="6">
        <f t="shared" si="202"/>
        <v>254.40800750219998</v>
      </c>
      <c r="AR336" s="6">
        <f t="shared" si="202"/>
        <v>238.85040499080003</v>
      </c>
      <c r="AS336" s="6">
        <f t="shared" si="202"/>
        <v>224.04610954380001</v>
      </c>
      <c r="AT336" s="6">
        <f t="shared" si="202"/>
        <v>209.97869366739999</v>
      </c>
      <c r="AU336" s="6">
        <f t="shared" si="202"/>
        <v>196.62995659250001</v>
      </c>
      <c r="AV336" s="6">
        <f t="shared" si="202"/>
        <v>183.98022561940002</v>
      </c>
      <c r="AW336" s="6">
        <f t="shared" si="202"/>
        <v>172.00891133849998</v>
      </c>
      <c r="AX336" s="6">
        <f t="shared" si="202"/>
        <v>160.69411501880001</v>
      </c>
      <c r="AY336" s="6">
        <f t="shared" si="202"/>
        <v>150.0131029433</v>
      </c>
      <c r="AZ336" s="6">
        <f t="shared" si="202"/>
        <v>139.9425656194</v>
      </c>
      <c r="BA336" s="6">
        <f t="shared" si="202"/>
        <v>130.45881997409998</v>
      </c>
      <c r="BB336" s="6">
        <f t="shared" si="202"/>
        <v>117.32260427600001</v>
      </c>
      <c r="BC336" s="6">
        <f t="shared" si="202"/>
        <v>109.1460997242</v>
      </c>
      <c r="BD336" s="6">
        <f t="shared" ref="BD336:BF336" si="203">BD313+BD327+BD320</f>
        <v>101.48036503279999</v>
      </c>
      <c r="BE336" s="6">
        <f t="shared" si="203"/>
        <v>94.301090705199996</v>
      </c>
      <c r="BF336" s="6">
        <f t="shared" si="203"/>
        <v>87.58423832790001</v>
      </c>
    </row>
    <row r="337" spans="1:58" x14ac:dyDescent="0.35">
      <c r="B337" t="s">
        <v>102</v>
      </c>
      <c r="C337" s="6">
        <f t="shared" ref="C337:AL337" si="204">C314+C328+C321</f>
        <v>2242.8616504070001</v>
      </c>
      <c r="D337" s="6">
        <f t="shared" si="204"/>
        <v>2187.1029397478001</v>
      </c>
      <c r="E337" s="6">
        <f t="shared" si="204"/>
        <v>2138.2413446746</v>
      </c>
      <c r="F337" s="6">
        <f t="shared" si="204"/>
        <v>2091.7361463885004</v>
      </c>
      <c r="G337" s="6">
        <f t="shared" si="204"/>
        <v>2044.9332769629</v>
      </c>
      <c r="H337" s="6">
        <f t="shared" si="204"/>
        <v>1996.40005152</v>
      </c>
      <c r="I337" s="6">
        <f t="shared" si="204"/>
        <v>1945.3145307459999</v>
      </c>
      <c r="J337" s="6">
        <f t="shared" si="204"/>
        <v>1891.5123180774001</v>
      </c>
      <c r="K337" s="6">
        <f t="shared" si="204"/>
        <v>1835.1058537890999</v>
      </c>
      <c r="L337" s="6">
        <f t="shared" si="204"/>
        <v>1776.3633411400001</v>
      </c>
      <c r="M337" s="6">
        <f t="shared" si="204"/>
        <v>1715.7562740755</v>
      </c>
      <c r="N337" s="6">
        <f t="shared" si="204"/>
        <v>1653.5603519729</v>
      </c>
      <c r="O337" s="6">
        <f t="shared" si="204"/>
        <v>1590.1839844198</v>
      </c>
      <c r="P337" s="6">
        <f t="shared" si="204"/>
        <v>1526.0023956906</v>
      </c>
      <c r="Q337" s="6">
        <f t="shared" si="204"/>
        <v>1461.3784197965001</v>
      </c>
      <c r="R337" s="6">
        <f t="shared" si="204"/>
        <v>1396.6642018338</v>
      </c>
      <c r="S337" s="6">
        <f t="shared" si="204"/>
        <v>1332.1946626729</v>
      </c>
      <c r="T337" s="6">
        <f t="shared" si="204"/>
        <v>1268.2856894300999</v>
      </c>
      <c r="U337" s="6">
        <f t="shared" si="204"/>
        <v>1205.2287702225001</v>
      </c>
      <c r="V337" s="6">
        <f t="shared" si="204"/>
        <v>1143.2870530347</v>
      </c>
      <c r="W337" s="6">
        <f t="shared" si="204"/>
        <v>1082.6508032125</v>
      </c>
      <c r="X337" s="6">
        <f t="shared" si="204"/>
        <v>1023.5764768284999</v>
      </c>
      <c r="Y337" s="6">
        <f t="shared" si="204"/>
        <v>966.23396869329997</v>
      </c>
      <c r="Z337" s="6">
        <f t="shared" si="204"/>
        <v>910.76236853569992</v>
      </c>
      <c r="AA337" s="6">
        <f t="shared" si="204"/>
        <v>857.271555885</v>
      </c>
      <c r="AB337" s="6">
        <f t="shared" si="204"/>
        <v>805.78314343759996</v>
      </c>
      <c r="AC337" s="6">
        <f t="shared" si="204"/>
        <v>756.41141384370007</v>
      </c>
      <c r="AD337" s="6">
        <f t="shared" si="204"/>
        <v>709.20243488329993</v>
      </c>
      <c r="AE337" s="6">
        <f t="shared" si="204"/>
        <v>664.17910833600013</v>
      </c>
      <c r="AF337" s="6">
        <f t="shared" si="204"/>
        <v>621.34362292769993</v>
      </c>
      <c r="AG337" s="6">
        <f t="shared" si="204"/>
        <v>580.68041203029998</v>
      </c>
      <c r="AH337" s="6">
        <f t="shared" si="204"/>
        <v>542.15909447219997</v>
      </c>
      <c r="AI337" s="6">
        <f t="shared" si="204"/>
        <v>505.73694153179997</v>
      </c>
      <c r="AJ337" s="6">
        <f t="shared" si="204"/>
        <v>471.36122889749998</v>
      </c>
      <c r="AK337" s="6">
        <f t="shared" si="204"/>
        <v>438.97131518430001</v>
      </c>
      <c r="AL337" s="6">
        <f t="shared" si="204"/>
        <v>408.50042831699994</v>
      </c>
      <c r="AM337" s="6">
        <f t="shared" ref="AM337:BC337" si="205">AM314+AM328+AM321</f>
        <v>379.87495688680002</v>
      </c>
      <c r="AN337" s="6">
        <f t="shared" si="205"/>
        <v>353.02154969910004</v>
      </c>
      <c r="AO337" s="6">
        <f t="shared" si="205"/>
        <v>327.86417622010003</v>
      </c>
      <c r="AP337" s="6">
        <f t="shared" si="205"/>
        <v>304.3252404909</v>
      </c>
      <c r="AQ337" s="6">
        <f t="shared" si="205"/>
        <v>282.3264857442</v>
      </c>
      <c r="AR337" s="6">
        <f t="shared" si="205"/>
        <v>261.7897748346</v>
      </c>
      <c r="AS337" s="6">
        <f t="shared" si="205"/>
        <v>242.63768374509999</v>
      </c>
      <c r="AT337" s="6">
        <f t="shared" si="205"/>
        <v>224.7940387578</v>
      </c>
      <c r="AU337" s="6">
        <f t="shared" si="205"/>
        <v>208.18436570419999</v>
      </c>
      <c r="AV337" s="6">
        <f t="shared" si="205"/>
        <v>192.73624932550001</v>
      </c>
      <c r="AW337" s="6">
        <f t="shared" si="205"/>
        <v>178.37967649269999</v>
      </c>
      <c r="AX337" s="6">
        <f t="shared" si="205"/>
        <v>165.04711008490003</v>
      </c>
      <c r="AY337" s="6">
        <f t="shared" si="205"/>
        <v>152.6737140843</v>
      </c>
      <c r="AZ337" s="6">
        <f t="shared" si="205"/>
        <v>141.19748124729998</v>
      </c>
      <c r="BA337" s="6">
        <f t="shared" si="205"/>
        <v>130.55930749149999</v>
      </c>
      <c r="BB337" s="6">
        <f t="shared" si="205"/>
        <v>115.76718007650001</v>
      </c>
      <c r="BC337" s="6">
        <f t="shared" si="205"/>
        <v>106.9852440657</v>
      </c>
      <c r="BD337" s="6">
        <f t="shared" ref="BD337:BF337" si="206">BD314+BD328+BD321</f>
        <v>98.859860768900006</v>
      </c>
      <c r="BE337" s="6">
        <f t="shared" si="206"/>
        <v>91.344481884600015</v>
      </c>
      <c r="BF337" s="6">
        <f t="shared" si="206"/>
        <v>84.3953800476</v>
      </c>
    </row>
    <row r="339" spans="1:58" x14ac:dyDescent="0.35">
      <c r="A339" s="12" t="s">
        <v>90</v>
      </c>
      <c r="B339" s="6" t="str">
        <f>[1]Hybrid!A19</f>
        <v>auto_ca_cfut_0</v>
      </c>
      <c r="C339" s="6">
        <f>[1]Hybrid!B19</f>
        <v>7095.7005250000002</v>
      </c>
      <c r="D339" s="6">
        <f>[1]Hybrid!C19</f>
        <v>7145.1881139999996</v>
      </c>
      <c r="E339" s="6">
        <f>[1]Hybrid!D19</f>
        <v>7246.0534660000003</v>
      </c>
      <c r="F339" s="6">
        <f>[1]Hybrid!E19</f>
        <v>7381.6108949999998</v>
      </c>
      <c r="G339" s="6">
        <f>[1]Hybrid!F19</f>
        <v>7540.7730149999998</v>
      </c>
      <c r="H339" s="6">
        <f>[1]Hybrid!G19</f>
        <v>7716.3454810000003</v>
      </c>
      <c r="I339" s="6">
        <f>[1]Hybrid!H19</f>
        <v>7902.5358150000002</v>
      </c>
      <c r="J339" s="6">
        <f>[1]Hybrid!I19</f>
        <v>8096.314335</v>
      </c>
      <c r="K339" s="6">
        <f>[1]Hybrid!J19</f>
        <v>8295.6681740000004</v>
      </c>
      <c r="L339" s="6">
        <f>[1]Hybrid!K19</f>
        <v>8499.2177140000003</v>
      </c>
      <c r="M339" s="6">
        <f>[1]Hybrid!L19</f>
        <v>8708.0686860000005</v>
      </c>
      <c r="N339" s="6">
        <f>[1]Hybrid!M19</f>
        <v>8919.2943759999998</v>
      </c>
      <c r="O339" s="6">
        <f>[1]Hybrid!N19</f>
        <v>9132.2456760000005</v>
      </c>
      <c r="P339" s="6">
        <f>[1]Hybrid!O19</f>
        <v>9346.3567210000001</v>
      </c>
      <c r="Q339" s="6">
        <f>[1]Hybrid!P19</f>
        <v>9561.1642680000004</v>
      </c>
      <c r="R339" s="6">
        <f>[1]Hybrid!Q19</f>
        <v>9776.3003790000002</v>
      </c>
      <c r="S339" s="6">
        <f>[1]Hybrid!R19</f>
        <v>9991.4774649999999</v>
      </c>
      <c r="T339" s="6">
        <f>[1]Hybrid!S19</f>
        <v>10206.472970000001</v>
      </c>
      <c r="U339" s="6">
        <f>[1]Hybrid!T19</f>
        <v>10421.116620000001</v>
      </c>
      <c r="V339" s="6">
        <f>[1]Hybrid!U19</f>
        <v>10635.28109</v>
      </c>
      <c r="W339" s="6">
        <f>[1]Hybrid!V19</f>
        <v>10847.227699999999</v>
      </c>
      <c r="X339" s="6">
        <f>[1]Hybrid!W19</f>
        <v>11058.634669999999</v>
      </c>
      <c r="Y339" s="6">
        <f>[1]Hybrid!X19</f>
        <v>11269.50849</v>
      </c>
      <c r="Z339" s="6">
        <f>[1]Hybrid!Y19</f>
        <v>11479.89775</v>
      </c>
      <c r="AA339" s="6">
        <f>[1]Hybrid!Z19</f>
        <v>11689.85656</v>
      </c>
      <c r="AB339" s="6">
        <f>[1]Hybrid!AA19</f>
        <v>11894.61527</v>
      </c>
      <c r="AC339" s="6">
        <f>[1]Hybrid!AB19</f>
        <v>12097.035309999999</v>
      </c>
      <c r="AD339" s="6">
        <f>[1]Hybrid!AC19</f>
        <v>12297.38128</v>
      </c>
      <c r="AE339" s="6">
        <f>[1]Hybrid!AD19</f>
        <v>12496.02024</v>
      </c>
      <c r="AF339" s="6">
        <f>[1]Hybrid!AE19</f>
        <v>12693.3424</v>
      </c>
      <c r="AG339" s="6">
        <f>[1]Hybrid!AF19</f>
        <v>12889.7217</v>
      </c>
      <c r="AH339" s="6">
        <f>[1]Hybrid!AG19</f>
        <v>13085.498310000001</v>
      </c>
      <c r="AI339" s="6">
        <f>[1]Hybrid!AH19</f>
        <v>13280.974399999999</v>
      </c>
      <c r="AJ339" s="6">
        <f>[1]Hybrid!AI19</f>
        <v>13476.416939999999</v>
      </c>
      <c r="AK339" s="6">
        <f>[1]Hybrid!AJ19</f>
        <v>13672.06379</v>
      </c>
      <c r="AL339" s="6">
        <f>[1]Hybrid!AK19</f>
        <v>13868.130010000001</v>
      </c>
      <c r="AM339" s="6">
        <f>[1]Hybrid!AL19</f>
        <v>14063.63243</v>
      </c>
      <c r="AN339" s="6">
        <f>[1]Hybrid!AM19</f>
        <v>14258.81358</v>
      </c>
      <c r="AO339" s="6">
        <f>[1]Hybrid!AN19</f>
        <v>14453.93002</v>
      </c>
      <c r="AP339" s="6">
        <f>[1]Hybrid!AO19</f>
        <v>14649.262930000001</v>
      </c>
      <c r="AQ339" s="6">
        <f>[1]Hybrid!AP19</f>
        <v>14845.10396</v>
      </c>
      <c r="AR339" s="6">
        <f>[1]Hybrid!AQ19</f>
        <v>15041.738069999999</v>
      </c>
      <c r="AS339" s="6">
        <f>[1]Hybrid!AR19</f>
        <v>15239.4306</v>
      </c>
      <c r="AT339" s="6">
        <f>[1]Hybrid!AS19</f>
        <v>15438.41994</v>
      </c>
      <c r="AU339" s="6">
        <f>[1]Hybrid!AT19</f>
        <v>15638.9151</v>
      </c>
      <c r="AV339" s="6">
        <f>[1]Hybrid!AU19</f>
        <v>15841.096820000001</v>
      </c>
      <c r="AW339" s="6">
        <f>[1]Hybrid!AV19</f>
        <v>16045.22767</v>
      </c>
      <c r="AX339" s="6">
        <f>[1]Hybrid!AW19</f>
        <v>16251.436159999999</v>
      </c>
      <c r="AY339" s="6">
        <f>[1]Hybrid!AX19</f>
        <v>16459.83065</v>
      </c>
      <c r="AZ339" s="6">
        <f>[1]Hybrid!AY19</f>
        <v>16670.50014</v>
      </c>
      <c r="BA339" s="6">
        <f>[1]Hybrid!AZ19</f>
        <v>16883.517739999999</v>
      </c>
      <c r="BB339" s="6">
        <f>[1]Hybrid!BA19</f>
        <v>18012.62011</v>
      </c>
      <c r="BC339" s="6">
        <f>[1]Hybrid!BB19</f>
        <v>18282.360379999998</v>
      </c>
      <c r="BD339" s="6">
        <f>[1]Hybrid!BC19</f>
        <v>18556.231739999999</v>
      </c>
      <c r="BE339" s="6">
        <f>[1]Hybrid!BD19</f>
        <v>18834.476409999999</v>
      </c>
      <c r="BF339" s="6">
        <f>[1]Hybrid!BE19</f>
        <v>19117.355759999999</v>
      </c>
    </row>
    <row r="340" spans="1:58" x14ac:dyDescent="0.35">
      <c r="A340" t="s">
        <v>38</v>
      </c>
      <c r="B340" s="6" t="str">
        <f>[1]Hybrid!A21</f>
        <v>auto_cb_cfut_0</v>
      </c>
      <c r="C340" s="6">
        <f>[1]Hybrid!B21</f>
        <v>8251.256421</v>
      </c>
      <c r="D340" s="6">
        <f>[1]Hybrid!C21</f>
        <v>8186.1344760000002</v>
      </c>
      <c r="E340" s="6">
        <f>[1]Hybrid!D21</f>
        <v>8177.9674539999996</v>
      </c>
      <c r="F340" s="6">
        <f>[1]Hybrid!E21</f>
        <v>8209.798949</v>
      </c>
      <c r="G340" s="6">
        <f>[1]Hybrid!F21</f>
        <v>8270.2092530000009</v>
      </c>
      <c r="H340" s="6">
        <f>[1]Hybrid!G21</f>
        <v>8351.6250650000002</v>
      </c>
      <c r="I340" s="6">
        <f>[1]Hybrid!H21</f>
        <v>8447.9102910000001</v>
      </c>
      <c r="J340" s="6">
        <f>[1]Hybrid!I21</f>
        <v>8555.6340240000009</v>
      </c>
      <c r="K340" s="6">
        <f>[1]Hybrid!J21</f>
        <v>8672.3901740000001</v>
      </c>
      <c r="L340" s="6">
        <f>[1]Hybrid!K21</f>
        <v>8796.4214159999992</v>
      </c>
      <c r="M340" s="6">
        <f>[1]Hybrid!L21</f>
        <v>8928.3437560000002</v>
      </c>
      <c r="N340" s="6">
        <f>[1]Hybrid!M21</f>
        <v>9065.0210960000004</v>
      </c>
      <c r="O340" s="6">
        <f>[1]Hybrid!N21</f>
        <v>9205.4946600000003</v>
      </c>
      <c r="P340" s="6">
        <f>[1]Hybrid!O21</f>
        <v>9348.914863</v>
      </c>
      <c r="Q340" s="6">
        <f>[1]Hybrid!P21</f>
        <v>9494.5557960000006</v>
      </c>
      <c r="R340" s="6">
        <f>[1]Hybrid!Q21</f>
        <v>9641.8051699999996</v>
      </c>
      <c r="S340" s="6">
        <f>[1]Hybrid!R21</f>
        <v>9790.147669</v>
      </c>
      <c r="T340" s="6">
        <f>[1]Hybrid!S21</f>
        <v>9939.1483810000009</v>
      </c>
      <c r="U340" s="6">
        <f>[1]Hybrid!T21</f>
        <v>10088.43888</v>
      </c>
      <c r="V340" s="6">
        <f>[1]Hybrid!U21</f>
        <v>10237.70664</v>
      </c>
      <c r="W340" s="6">
        <f>[1]Hybrid!V21</f>
        <v>10385.19296</v>
      </c>
      <c r="X340" s="6">
        <f>[1]Hybrid!W21</f>
        <v>10532.261329999999</v>
      </c>
      <c r="Y340" s="6">
        <f>[1]Hybrid!X21</f>
        <v>10678.761189999999</v>
      </c>
      <c r="Z340" s="6">
        <f>[1]Hybrid!Y21</f>
        <v>10824.58869</v>
      </c>
      <c r="AA340" s="6">
        <f>[1]Hybrid!Z21</f>
        <v>10969.65295</v>
      </c>
      <c r="AB340" s="6">
        <f>[1]Hybrid!AA21</f>
        <v>11109.57706</v>
      </c>
      <c r="AC340" s="6">
        <f>[1]Hybrid!AB21</f>
        <v>11246.82293</v>
      </c>
      <c r="AD340" s="6">
        <f>[1]Hybrid!AC21</f>
        <v>11381.53184</v>
      </c>
      <c r="AE340" s="6">
        <f>[1]Hybrid!AD21</f>
        <v>11513.936960000001</v>
      </c>
      <c r="AF340" s="6">
        <f>[1]Hybrid!AE21</f>
        <v>11644.29176</v>
      </c>
      <c r="AG340" s="6">
        <f>[1]Hybrid!AF21</f>
        <v>11772.83489</v>
      </c>
      <c r="AH340" s="6">
        <f>[1]Hybrid!AG21</f>
        <v>11899.77476</v>
      </c>
      <c r="AI340" s="6">
        <f>[1]Hybrid!AH21</f>
        <v>12025.285809999999</v>
      </c>
      <c r="AJ340" s="6">
        <f>[1]Hybrid!AI21</f>
        <v>12149.511109999999</v>
      </c>
      <c r="AK340" s="6">
        <f>[1]Hybrid!AJ21</f>
        <v>12272.56768</v>
      </c>
      <c r="AL340" s="6">
        <f>[1]Hybrid!AK21</f>
        <v>12394.55207</v>
      </c>
      <c r="AM340" s="6">
        <f>[1]Hybrid!AL21</f>
        <v>12514.54242</v>
      </c>
      <c r="AN340" s="6">
        <f>[1]Hybrid!AM21</f>
        <v>12632.670630000001</v>
      </c>
      <c r="AO340" s="6">
        <f>[1]Hybrid!AN21</f>
        <v>12749.080190000001</v>
      </c>
      <c r="AP340" s="6">
        <f>[1]Hybrid!AO21</f>
        <v>12863.93367</v>
      </c>
      <c r="AQ340" s="6">
        <f>[1]Hybrid!AP21</f>
        <v>12977.399820000001</v>
      </c>
      <c r="AR340" s="6">
        <f>[1]Hybrid!AQ21</f>
        <v>13089.638779999999</v>
      </c>
      <c r="AS340" s="6">
        <f>[1]Hybrid!AR21</f>
        <v>13200.7912</v>
      </c>
      <c r="AT340" s="6">
        <f>[1]Hybrid!AS21</f>
        <v>13310.97235</v>
      </c>
      <c r="AU340" s="6">
        <f>[1]Hybrid!AT21</f>
        <v>13420.27039</v>
      </c>
      <c r="AV340" s="6">
        <f>[1]Hybrid!AU21</f>
        <v>13528.747579999999</v>
      </c>
      <c r="AW340" s="6">
        <f>[1]Hybrid!AV21</f>
        <v>13636.529339999999</v>
      </c>
      <c r="AX340" s="6">
        <f>[1]Hybrid!AW21</f>
        <v>13743.62917</v>
      </c>
      <c r="AY340" s="6">
        <f>[1]Hybrid!AX21</f>
        <v>13850.042090000001</v>
      </c>
      <c r="AZ340" s="6">
        <f>[1]Hybrid!AY21</f>
        <v>13955.74568</v>
      </c>
      <c r="BA340" s="6">
        <f>[1]Hybrid!AZ21</f>
        <v>14060.70319</v>
      </c>
      <c r="BB340" s="6">
        <f>[1]Hybrid!BA21</f>
        <v>14897.27658</v>
      </c>
      <c r="BC340" s="6">
        <f>[1]Hybrid!BB21</f>
        <v>15039.48724</v>
      </c>
      <c r="BD340" s="6">
        <f>[1]Hybrid!BC21</f>
        <v>15181.8681</v>
      </c>
      <c r="BE340" s="6">
        <f>[1]Hybrid!BD21</f>
        <v>15324.50747</v>
      </c>
      <c r="BF340" s="6">
        <f>[1]Hybrid!BE21</f>
        <v>15467.50431</v>
      </c>
    </row>
    <row r="341" spans="1:58" x14ac:dyDescent="0.35">
      <c r="B341" s="6" t="str">
        <f>[1]Hybrid!A23</f>
        <v>auto_cc_cfut_0</v>
      </c>
      <c r="C341" s="6">
        <f>[1]Hybrid!B23</f>
        <v>6777.6024520000001</v>
      </c>
      <c r="D341" s="6">
        <f>[1]Hybrid!C23</f>
        <v>6649.1114459999999</v>
      </c>
      <c r="E341" s="6">
        <f>[1]Hybrid!D23</f>
        <v>6565.7578860000003</v>
      </c>
      <c r="F341" s="6">
        <f>[1]Hybrid!E23</f>
        <v>6515.1295120000004</v>
      </c>
      <c r="G341" s="6">
        <f>[1]Hybrid!F23</f>
        <v>6488.7621479999998</v>
      </c>
      <c r="H341" s="6">
        <f>[1]Hybrid!G23</f>
        <v>6480.9323489999997</v>
      </c>
      <c r="I341" s="6">
        <f>[1]Hybrid!H23</f>
        <v>6486.9770259999996</v>
      </c>
      <c r="J341" s="6">
        <f>[1]Hybrid!I23</f>
        <v>6504.1443799999997</v>
      </c>
      <c r="K341" s="6">
        <f>[1]Hybrid!J23</f>
        <v>6530.4276440000003</v>
      </c>
      <c r="L341" s="6">
        <f>[1]Hybrid!K23</f>
        <v>6564.2992770000001</v>
      </c>
      <c r="M341" s="6">
        <f>[1]Hybrid!L23</f>
        <v>6605.8686859999998</v>
      </c>
      <c r="N341" s="6">
        <f>[1]Hybrid!M23</f>
        <v>6652.7305329999999</v>
      </c>
      <c r="O341" s="6">
        <f>[1]Hybrid!N23</f>
        <v>6703.9825760000003</v>
      </c>
      <c r="P341" s="6">
        <f>[1]Hybrid!O23</f>
        <v>6758.8198849999999</v>
      </c>
      <c r="Q341" s="6">
        <f>[1]Hybrid!P23</f>
        <v>6816.5419819999997</v>
      </c>
      <c r="R341" s="6">
        <f>[1]Hybrid!Q23</f>
        <v>6876.5437400000001</v>
      </c>
      <c r="S341" s="6">
        <f>[1]Hybrid!R23</f>
        <v>6938.3022259999998</v>
      </c>
      <c r="T341" s="6">
        <f>[1]Hybrid!S23</f>
        <v>7001.3638840000003</v>
      </c>
      <c r="U341" s="6">
        <f>[1]Hybrid!T23</f>
        <v>7065.3336909999998</v>
      </c>
      <c r="V341" s="6">
        <f>[1]Hybrid!U23</f>
        <v>7129.8666780000003</v>
      </c>
      <c r="W341" s="6">
        <f>[1]Hybrid!V23</f>
        <v>7193.6837830000004</v>
      </c>
      <c r="X341" s="6">
        <f>[1]Hybrid!W23</f>
        <v>7257.5660749999997</v>
      </c>
      <c r="Y341" s="6">
        <f>[1]Hybrid!X23</f>
        <v>7321.3073169999998</v>
      </c>
      <c r="Z341" s="6">
        <f>[1]Hybrid!Y23</f>
        <v>7384.7393069999998</v>
      </c>
      <c r="AA341" s="6">
        <f>[1]Hybrid!Z23</f>
        <v>7447.7093590000004</v>
      </c>
      <c r="AB341" s="6">
        <f>[1]Hybrid!AA23</f>
        <v>7507.3186640000004</v>
      </c>
      <c r="AC341" s="6">
        <f>[1]Hybrid!AB23</f>
        <v>7565.0922330000003</v>
      </c>
      <c r="AD341" s="6">
        <f>[1]Hybrid!AC23</f>
        <v>7621.0602120000003</v>
      </c>
      <c r="AE341" s="6">
        <f>[1]Hybrid!AD23</f>
        <v>7675.3137589999997</v>
      </c>
      <c r="AF341" s="6">
        <f>[1]Hybrid!AE23</f>
        <v>7727.9584430000004</v>
      </c>
      <c r="AG341" s="6">
        <f>[1]Hybrid!AF23</f>
        <v>7779.0916399999996</v>
      </c>
      <c r="AH341" s="6">
        <f>[1]Hybrid!AG23</f>
        <v>7828.792751</v>
      </c>
      <c r="AI341" s="6">
        <f>[1]Hybrid!AH23</f>
        <v>7877.1208900000001</v>
      </c>
      <c r="AJ341" s="6">
        <f>[1]Hybrid!AI23</f>
        <v>7924.1165979999996</v>
      </c>
      <c r="AK341" s="6">
        <f>[1]Hybrid!AJ23</f>
        <v>7969.8052250000001</v>
      </c>
      <c r="AL341" s="6">
        <f>[1]Hybrid!AK23</f>
        <v>8014.2005319999998</v>
      </c>
      <c r="AM341" s="6">
        <f>[1]Hybrid!AL23</f>
        <v>8056.6930320000001</v>
      </c>
      <c r="AN341" s="6">
        <f>[1]Hybrid!AM23</f>
        <v>8097.3287339999997</v>
      </c>
      <c r="AO341" s="6">
        <f>[1]Hybrid!AN23</f>
        <v>8136.1621290000003</v>
      </c>
      <c r="AP341" s="6">
        <f>[1]Hybrid!AO23</f>
        <v>8173.2598939999998</v>
      </c>
      <c r="AQ341" s="6">
        <f>[1]Hybrid!AP23</f>
        <v>8208.6924849999996</v>
      </c>
      <c r="AR341" s="6">
        <f>[1]Hybrid!AQ23</f>
        <v>8242.5249899999999</v>
      </c>
      <c r="AS341" s="6">
        <f>[1]Hybrid!AR23</f>
        <v>8274.8106179999995</v>
      </c>
      <c r="AT341" s="6">
        <f>[1]Hybrid!AS23</f>
        <v>8305.5873279999996</v>
      </c>
      <c r="AU341" s="6">
        <f>[1]Hybrid!AT23</f>
        <v>8334.8770349999995</v>
      </c>
      <c r="AV341" s="6">
        <f>[1]Hybrid!AU23</f>
        <v>8362.6865560000006</v>
      </c>
      <c r="AW341" s="6">
        <f>[1]Hybrid!AV23</f>
        <v>8389.0597710000002</v>
      </c>
      <c r="AX341" s="6">
        <f>[1]Hybrid!AW23</f>
        <v>8413.975101</v>
      </c>
      <c r="AY341" s="6">
        <f>[1]Hybrid!AX23</f>
        <v>8437.4009509999996</v>
      </c>
      <c r="AZ341" s="6">
        <f>[1]Hybrid!AY23</f>
        <v>8459.2966190000006</v>
      </c>
      <c r="BA341" s="6">
        <f>[1]Hybrid!AZ23</f>
        <v>8479.614345</v>
      </c>
      <c r="BB341" s="6">
        <f>[1]Hybrid!BA23</f>
        <v>8921.7440729999998</v>
      </c>
      <c r="BC341" s="6">
        <f>[1]Hybrid!BB23</f>
        <v>8959.6840950000005</v>
      </c>
      <c r="BD341" s="6">
        <f>[1]Hybrid!BC23</f>
        <v>8996.3812340000004</v>
      </c>
      <c r="BE341" s="6">
        <f>[1]Hybrid!BD23</f>
        <v>9031.8619600000002</v>
      </c>
      <c r="BF341" s="6">
        <f>[1]Hybrid!BE23</f>
        <v>9066.1583840000003</v>
      </c>
    </row>
    <row r="342" spans="1:58" x14ac:dyDescent="0.35">
      <c r="B342" s="6" t="str">
        <f>[1]Hybrid!A25</f>
        <v>auto_cd_cfut_0</v>
      </c>
      <c r="C342" s="6">
        <f>[1]Hybrid!B25</f>
        <v>4159.6639080000004</v>
      </c>
      <c r="D342" s="6">
        <f>[1]Hybrid!C25</f>
        <v>4055.9300109999999</v>
      </c>
      <c r="E342" s="6">
        <f>[1]Hybrid!D25</f>
        <v>3977.7671679999999</v>
      </c>
      <c r="F342" s="6">
        <f>[1]Hybrid!E25</f>
        <v>3917.693303</v>
      </c>
      <c r="G342" s="6">
        <f>[1]Hybrid!F25</f>
        <v>3870.6369599999998</v>
      </c>
      <c r="H342" s="6">
        <f>[1]Hybrid!G25</f>
        <v>3833.1758840000002</v>
      </c>
      <c r="I342" s="6">
        <f>[1]Hybrid!H25</f>
        <v>3802.5753909999999</v>
      </c>
      <c r="J342" s="6">
        <f>[1]Hybrid!I25</f>
        <v>3777.1954820000001</v>
      </c>
      <c r="K342" s="6">
        <f>[1]Hybrid!J25</f>
        <v>3755.8401429999999</v>
      </c>
      <c r="L342" s="6">
        <f>[1]Hybrid!K25</f>
        <v>3737.6000060000001</v>
      </c>
      <c r="M342" s="6">
        <f>[1]Hybrid!L25</f>
        <v>3722.4116779999999</v>
      </c>
      <c r="N342" s="6">
        <f>[1]Hybrid!M25</f>
        <v>3708.972143</v>
      </c>
      <c r="O342" s="6">
        <f>[1]Hybrid!N25</f>
        <v>3696.760166</v>
      </c>
      <c r="P342" s="6">
        <f>[1]Hybrid!O25</f>
        <v>3685.322416</v>
      </c>
      <c r="Q342" s="6">
        <f>[1]Hybrid!P25</f>
        <v>3674.2734359999999</v>
      </c>
      <c r="R342" s="6">
        <f>[1]Hybrid!Q25</f>
        <v>3663.288211</v>
      </c>
      <c r="S342" s="6">
        <f>[1]Hybrid!R25</f>
        <v>3652.0934739999998</v>
      </c>
      <c r="T342" s="6">
        <f>[1]Hybrid!S25</f>
        <v>3640.459703</v>
      </c>
      <c r="U342" s="6">
        <f>[1]Hybrid!T25</f>
        <v>3628.1943799999999</v>
      </c>
      <c r="V342" s="6">
        <f>[1]Hybrid!U25</f>
        <v>3615.1365740000001</v>
      </c>
      <c r="W342" s="6">
        <f>[1]Hybrid!V25</f>
        <v>3600.7336100000002</v>
      </c>
      <c r="X342" s="6">
        <f>[1]Hybrid!W25</f>
        <v>3585.3355430000001</v>
      </c>
      <c r="Y342" s="6">
        <f>[1]Hybrid!X25</f>
        <v>3568.8628899999999</v>
      </c>
      <c r="Z342" s="6">
        <f>[1]Hybrid!Y25</f>
        <v>3551.2553910000001</v>
      </c>
      <c r="AA342" s="6">
        <f>[1]Hybrid!Z25</f>
        <v>3532.4625339999998</v>
      </c>
      <c r="AB342" s="6">
        <f>[1]Hybrid!AA25</f>
        <v>3511.3548949999999</v>
      </c>
      <c r="AC342" s="6">
        <f>[1]Hybrid!AB25</f>
        <v>3488.5944610000001</v>
      </c>
      <c r="AD342" s="6">
        <f>[1]Hybrid!AC25</f>
        <v>3464.238006</v>
      </c>
      <c r="AE342" s="6">
        <f>[1]Hybrid!AD25</f>
        <v>3438.3627379999998</v>
      </c>
      <c r="AF342" s="6">
        <f>[1]Hybrid!AE25</f>
        <v>3411.0476800000001</v>
      </c>
      <c r="AG342" s="6">
        <f>[1]Hybrid!AF25</f>
        <v>3382.3655359999998</v>
      </c>
      <c r="AH342" s="6">
        <f>[1]Hybrid!AG25</f>
        <v>3352.3797669999999</v>
      </c>
      <c r="AI342" s="6">
        <f>[1]Hybrid!AH25</f>
        <v>3321.144495</v>
      </c>
      <c r="AJ342" s="6">
        <f>[1]Hybrid!AI25</f>
        <v>3288.7058320000001</v>
      </c>
      <c r="AK342" s="6">
        <f>[1]Hybrid!AJ25</f>
        <v>3255.103732</v>
      </c>
      <c r="AL342" s="6">
        <f>[1]Hybrid!AK25</f>
        <v>3220.3738330000001</v>
      </c>
      <c r="AM342" s="6">
        <f>[1]Hybrid!AL25</f>
        <v>3184.352695</v>
      </c>
      <c r="AN342" s="6">
        <f>[1]Hybrid!AM25</f>
        <v>3147.0984330000001</v>
      </c>
      <c r="AO342" s="6">
        <f>[1]Hybrid!AN25</f>
        <v>3108.672286</v>
      </c>
      <c r="AP342" s="6">
        <f>[1]Hybrid!AO25</f>
        <v>3069.1387829999999</v>
      </c>
      <c r="AQ342" s="6">
        <f>[1]Hybrid!AP25</f>
        <v>3028.5626670000001</v>
      </c>
      <c r="AR342" s="6">
        <f>[1]Hybrid!AQ25</f>
        <v>2987.0061369999999</v>
      </c>
      <c r="AS342" s="6">
        <f>[1]Hybrid!AR25</f>
        <v>2944.527223</v>
      </c>
      <c r="AT342" s="6">
        <f>[1]Hybrid!AS25</f>
        <v>2901.179255</v>
      </c>
      <c r="AU342" s="6">
        <f>[1]Hybrid!AT25</f>
        <v>2857.011113</v>
      </c>
      <c r="AV342" s="6">
        <f>[1]Hybrid!AU25</f>
        <v>2812.0679540000001</v>
      </c>
      <c r="AW342" s="6">
        <f>[1]Hybrid!AV25</f>
        <v>2766.4048560000001</v>
      </c>
      <c r="AX342" s="6">
        <f>[1]Hybrid!AW25</f>
        <v>2720.0603270000001</v>
      </c>
      <c r="AY342" s="6">
        <f>[1]Hybrid!AX25</f>
        <v>2673.0715919999998</v>
      </c>
      <c r="AZ342" s="6">
        <f>[1]Hybrid!AY25</f>
        <v>2625.4751569999999</v>
      </c>
      <c r="BA342" s="6">
        <f>[1]Hybrid!AZ25</f>
        <v>2577.3075490000001</v>
      </c>
      <c r="BB342" s="6">
        <f>[1]Hybrid!BA25</f>
        <v>2596.5519389999999</v>
      </c>
      <c r="BC342" s="6">
        <f>[1]Hybrid!BB25</f>
        <v>2548.3801870000002</v>
      </c>
      <c r="BD342" s="6">
        <f>[1]Hybrid!BC25</f>
        <v>2499.6340030000001</v>
      </c>
      <c r="BE342" s="6">
        <f>[1]Hybrid!BD25</f>
        <v>2450.3657029999999</v>
      </c>
      <c r="BF342" s="6">
        <f>[1]Hybrid!BE25</f>
        <v>2400.6280200000001</v>
      </c>
    </row>
    <row r="343" spans="1:58" x14ac:dyDescent="0.35">
      <c r="B343" s="6" t="str">
        <f>[1]Hybrid!A27</f>
        <v>auto_ce_cfut_0</v>
      </c>
      <c r="C343" s="6">
        <f>[1]Hybrid!B27</f>
        <v>2503.7292430000002</v>
      </c>
      <c r="D343" s="6">
        <f>[1]Hybrid!C27</f>
        <v>2443.575566</v>
      </c>
      <c r="E343" s="6">
        <f>[1]Hybrid!D27</f>
        <v>2397.7906779999998</v>
      </c>
      <c r="F343" s="6">
        <f>[1]Hybrid!E27</f>
        <v>2361.5943010000001</v>
      </c>
      <c r="G343" s="6">
        <f>[1]Hybrid!F27</f>
        <v>2331.807464</v>
      </c>
      <c r="H343" s="6">
        <f>[1]Hybrid!G27</f>
        <v>2306.33178</v>
      </c>
      <c r="I343" s="6">
        <f>[1]Hybrid!H27</f>
        <v>2283.539949</v>
      </c>
      <c r="J343" s="6">
        <f>[1]Hybrid!I27</f>
        <v>2262.4909189999998</v>
      </c>
      <c r="K343" s="6">
        <f>[1]Hybrid!J27</f>
        <v>2242.5270810000002</v>
      </c>
      <c r="L343" s="6">
        <f>[1]Hybrid!K27</f>
        <v>2223.1721659999998</v>
      </c>
      <c r="M343" s="6">
        <f>[1]Hybrid!L27</f>
        <v>2204.4341850000001</v>
      </c>
      <c r="N343" s="6">
        <f>[1]Hybrid!M27</f>
        <v>2185.631183</v>
      </c>
      <c r="O343" s="6">
        <f>[1]Hybrid!N27</f>
        <v>2166.5305119999998</v>
      </c>
      <c r="P343" s="6">
        <f>[1]Hybrid!O27</f>
        <v>2146.9429209999998</v>
      </c>
      <c r="Q343" s="6">
        <f>[1]Hybrid!P27</f>
        <v>2126.720691</v>
      </c>
      <c r="R343" s="6">
        <f>[1]Hybrid!Q27</f>
        <v>2105.752054</v>
      </c>
      <c r="S343" s="6">
        <f>[1]Hybrid!R27</f>
        <v>2083.9553289999999</v>
      </c>
      <c r="T343" s="6">
        <f>[1]Hybrid!S27</f>
        <v>2061.2737139999999</v>
      </c>
      <c r="U343" s="6">
        <f>[1]Hybrid!T27</f>
        <v>2037.670938</v>
      </c>
      <c r="V343" s="6">
        <f>[1]Hybrid!U27</f>
        <v>2013.127757</v>
      </c>
      <c r="W343" s="6">
        <f>[1]Hybrid!V27</f>
        <v>1987.434747</v>
      </c>
      <c r="X343" s="6">
        <f>[1]Hybrid!W27</f>
        <v>1960.828469</v>
      </c>
      <c r="Y343" s="6">
        <f>[1]Hybrid!X27</f>
        <v>1933.3301280000001</v>
      </c>
      <c r="Z343" s="6">
        <f>[1]Hybrid!Y27</f>
        <v>1904.968777</v>
      </c>
      <c r="AA343" s="6">
        <f>[1]Hybrid!Z27</f>
        <v>1875.776867</v>
      </c>
      <c r="AB343" s="6">
        <f>[1]Hybrid!AA27</f>
        <v>1845.2980910000001</v>
      </c>
      <c r="AC343" s="6">
        <f>[1]Hybrid!AB27</f>
        <v>1813.902844</v>
      </c>
      <c r="AD343" s="6">
        <f>[1]Hybrid!AC27</f>
        <v>1781.6781599999999</v>
      </c>
      <c r="AE343" s="6">
        <f>[1]Hybrid!AD27</f>
        <v>1748.716011</v>
      </c>
      <c r="AF343" s="6">
        <f>[1]Hybrid!AE27</f>
        <v>1715.1050250000001</v>
      </c>
      <c r="AG343" s="6">
        <f>[1]Hybrid!AF27</f>
        <v>1680.9273439999999</v>
      </c>
      <c r="AH343" s="6">
        <f>[1]Hybrid!AG27</f>
        <v>1646.257861</v>
      </c>
      <c r="AI343" s="6">
        <f>[1]Hybrid!AH27</f>
        <v>1611.1646410000001</v>
      </c>
      <c r="AJ343" s="6">
        <f>[1]Hybrid!AI27</f>
        <v>1575.7099029999999</v>
      </c>
      <c r="AK343" s="6">
        <f>[1]Hybrid!AJ27</f>
        <v>1539.951135</v>
      </c>
      <c r="AL343" s="6">
        <f>[1]Hybrid!AK27</f>
        <v>1503.9421600000001</v>
      </c>
      <c r="AM343" s="6">
        <f>[1]Hybrid!AL27</f>
        <v>1467.6606859999999</v>
      </c>
      <c r="AN343" s="6">
        <f>[1]Hybrid!AM27</f>
        <v>1431.1695070000001</v>
      </c>
      <c r="AO343" s="6">
        <f>[1]Hybrid!AN27</f>
        <v>1394.5307359999999</v>
      </c>
      <c r="AP343" s="6">
        <f>[1]Hybrid!AO27</f>
        <v>1357.805564</v>
      </c>
      <c r="AQ343" s="6">
        <f>[1]Hybrid!AP27</f>
        <v>1321.0530369999999</v>
      </c>
      <c r="AR343" s="6">
        <f>[1]Hybrid!AQ27</f>
        <v>1284.3291260000001</v>
      </c>
      <c r="AS343" s="6">
        <f>[1]Hybrid!AR27</f>
        <v>1247.6863069999999</v>
      </c>
      <c r="AT343" s="6">
        <f>[1]Hybrid!AS27</f>
        <v>1211.1735490000001</v>
      </c>
      <c r="AU343" s="6">
        <f>[1]Hybrid!AT27</f>
        <v>1174.836564</v>
      </c>
      <c r="AV343" s="6">
        <f>[1]Hybrid!AU27</f>
        <v>1138.7181869999999</v>
      </c>
      <c r="AW343" s="6">
        <f>[1]Hybrid!AV27</f>
        <v>1102.8626280000001</v>
      </c>
      <c r="AX343" s="6">
        <f>[1]Hybrid!AW27</f>
        <v>1067.3073179999999</v>
      </c>
      <c r="AY343" s="6">
        <f>[1]Hybrid!AX27</f>
        <v>1032.0878640000001</v>
      </c>
      <c r="AZ343" s="6">
        <f>[1]Hybrid!AY27</f>
        <v>997.23826759999997</v>
      </c>
      <c r="BA343" s="6">
        <f>[1]Hybrid!AZ27</f>
        <v>962.7911603</v>
      </c>
      <c r="BB343" s="6">
        <f>[1]Hybrid!BA27</f>
        <v>945.27267259999996</v>
      </c>
      <c r="BC343" s="6">
        <f>[1]Hybrid!BB27</f>
        <v>911.68588090000003</v>
      </c>
      <c r="BD343" s="6">
        <f>[1]Hybrid!BC27</f>
        <v>878.5668349</v>
      </c>
      <c r="BE343" s="6">
        <f>[1]Hybrid!BD27</f>
        <v>845.94794160000004</v>
      </c>
      <c r="BF343" s="6">
        <f>[1]Hybrid!BE27</f>
        <v>813.85963189999995</v>
      </c>
    </row>
    <row r="344" spans="1:58" x14ac:dyDescent="0.35">
      <c r="B344" s="6" t="str">
        <f>[1]Hybrid!A29</f>
        <v>auto_cf_cfut_0</v>
      </c>
      <c r="C344" s="6">
        <f>[1]Hybrid!B29</f>
        <v>1243.6668460000001</v>
      </c>
      <c r="D344" s="6">
        <f>[1]Hybrid!C29</f>
        <v>1210.948854</v>
      </c>
      <c r="E344" s="6">
        <f>[1]Hybrid!D29</f>
        <v>1183.6825679999999</v>
      </c>
      <c r="F344" s="6">
        <f>[1]Hybrid!E29</f>
        <v>1159.2756890000001</v>
      </c>
      <c r="G344" s="6">
        <f>[1]Hybrid!F29</f>
        <v>1136.132953</v>
      </c>
      <c r="H344" s="6">
        <f>[1]Hybrid!G29</f>
        <v>1113.3056999999999</v>
      </c>
      <c r="I344" s="6">
        <f>[1]Hybrid!H29</f>
        <v>1090.158009</v>
      </c>
      <c r="J344" s="6">
        <f>[1]Hybrid!I29</f>
        <v>1066.408351</v>
      </c>
      <c r="K344" s="6">
        <f>[1]Hybrid!J29</f>
        <v>1041.927115</v>
      </c>
      <c r="L344" s="6">
        <f>[1]Hybrid!K29</f>
        <v>1016.676509</v>
      </c>
      <c r="M344" s="6">
        <f>[1]Hybrid!L29</f>
        <v>990.79836620000003</v>
      </c>
      <c r="N344" s="6">
        <f>[1]Hybrid!M29</f>
        <v>964.19775730000003</v>
      </c>
      <c r="O344" s="6">
        <f>[1]Hybrid!N29</f>
        <v>936.94409010000004</v>
      </c>
      <c r="P344" s="6">
        <f>[1]Hybrid!O29</f>
        <v>909.12150550000001</v>
      </c>
      <c r="Q344" s="6">
        <f>[1]Hybrid!P29</f>
        <v>880.82501990000003</v>
      </c>
      <c r="R344" s="6">
        <f>[1]Hybrid!Q29</f>
        <v>852.15627129999996</v>
      </c>
      <c r="S344" s="6">
        <f>[1]Hybrid!R29</f>
        <v>823.21993559999999</v>
      </c>
      <c r="T344" s="6">
        <f>[1]Hybrid!S29</f>
        <v>794.12089979999996</v>
      </c>
      <c r="U344" s="6">
        <f>[1]Hybrid!T29</f>
        <v>764.96208820000004</v>
      </c>
      <c r="V344" s="6">
        <f>[1]Hybrid!U29</f>
        <v>735.84282480000002</v>
      </c>
      <c r="W344" s="6">
        <f>[1]Hybrid!V29</f>
        <v>706.81445069999995</v>
      </c>
      <c r="X344" s="6">
        <f>[1]Hybrid!W29</f>
        <v>678.0182006</v>
      </c>
      <c r="Y344" s="6">
        <f>[1]Hybrid!X29</f>
        <v>649.53709939999999</v>
      </c>
      <c r="Z344" s="6">
        <f>[1]Hybrid!Y29</f>
        <v>621.44689930000004</v>
      </c>
      <c r="AA344" s="6">
        <f>[1]Hybrid!Z29</f>
        <v>593.81567740000003</v>
      </c>
      <c r="AB344" s="6">
        <f>[1]Hybrid!AA29</f>
        <v>566.62496899999996</v>
      </c>
      <c r="AC344" s="6">
        <f>[1]Hybrid!AB29</f>
        <v>539.99172169999997</v>
      </c>
      <c r="AD344" s="6">
        <f>[1]Hybrid!AC29</f>
        <v>513.97431979999999</v>
      </c>
      <c r="AE344" s="6">
        <f>[1]Hybrid!AD29</f>
        <v>488.62300370000003</v>
      </c>
      <c r="AF344" s="6">
        <f>[1]Hybrid!AE29</f>
        <v>463.97932969999999</v>
      </c>
      <c r="AG344" s="6">
        <f>[1]Hybrid!AF29</f>
        <v>440.07660199999998</v>
      </c>
      <c r="AH344" s="6">
        <f>[1]Hybrid!AG29</f>
        <v>416.9406204</v>
      </c>
      <c r="AI344" s="6">
        <f>[1]Hybrid!AH29</f>
        <v>394.59050439999999</v>
      </c>
      <c r="AJ344" s="6">
        <f>[1]Hybrid!AI29</f>
        <v>373.03949490000002</v>
      </c>
      <c r="AK344" s="6">
        <f>[1]Hybrid!AJ29</f>
        <v>352.29568490000003</v>
      </c>
      <c r="AL344" s="6">
        <f>[1]Hybrid!AK29</f>
        <v>332.36266280000001</v>
      </c>
      <c r="AM344" s="6">
        <f>[1]Hybrid!AL29</f>
        <v>313.23410330000002</v>
      </c>
      <c r="AN344" s="6">
        <f>[1]Hybrid!AM29</f>
        <v>294.90834949999999</v>
      </c>
      <c r="AO344" s="6">
        <f>[1]Hybrid!AN29</f>
        <v>277.38045099999999</v>
      </c>
      <c r="AP344" s="6">
        <f>[1]Hybrid!AO29</f>
        <v>260.64240389999998</v>
      </c>
      <c r="AQ344" s="6">
        <f>[1]Hybrid!AP29</f>
        <v>244.68337030000001</v>
      </c>
      <c r="AR344" s="6">
        <f>[1]Hybrid!AQ29</f>
        <v>229.4899503</v>
      </c>
      <c r="AS344" s="6">
        <f>[1]Hybrid!AR29</f>
        <v>215.04648950000001</v>
      </c>
      <c r="AT344" s="6">
        <f>[1]Hybrid!AS29</f>
        <v>201.33539329999999</v>
      </c>
      <c r="AU344" s="6">
        <f>[1]Hybrid!AT29</f>
        <v>188.3374311</v>
      </c>
      <c r="AV344" s="6">
        <f>[1]Hybrid!AU29</f>
        <v>176.03201910000001</v>
      </c>
      <c r="AW344" s="6">
        <f>[1]Hybrid!AV29</f>
        <v>164.3976232</v>
      </c>
      <c r="AX344" s="6">
        <f>[1]Hybrid!AW29</f>
        <v>153.41163599999999</v>
      </c>
      <c r="AY344" s="6">
        <f>[1]Hybrid!AX29</f>
        <v>143.0508002</v>
      </c>
      <c r="AZ344" s="6">
        <f>[1]Hybrid!AY29</f>
        <v>133.29139459999999</v>
      </c>
      <c r="BA344" s="6">
        <f>[1]Hybrid!AZ29</f>
        <v>124.10940069999999</v>
      </c>
      <c r="BB344" s="6">
        <f>[1]Hybrid!BA29</f>
        <v>114.9074565</v>
      </c>
      <c r="BC344" s="6">
        <f>[1]Hybrid!BB29</f>
        <v>106.8293941</v>
      </c>
      <c r="BD344" s="6">
        <f>[1]Hybrid!BC29</f>
        <v>99.257369080000004</v>
      </c>
      <c r="BE344" s="6">
        <f>[1]Hybrid!BD29</f>
        <v>92.167277819999995</v>
      </c>
      <c r="BF344" s="6">
        <f>[1]Hybrid!BE29</f>
        <v>85.535296729999999</v>
      </c>
    </row>
    <row r="345" spans="1:58" x14ac:dyDescent="0.35">
      <c r="B345" s="6" t="str">
        <f>[1]Hybrid!A31</f>
        <v>auto_cg_cfut_0</v>
      </c>
      <c r="C345" s="6">
        <f>[1]Hybrid!B31</f>
        <v>2239.620606</v>
      </c>
      <c r="D345" s="6">
        <f>[1]Hybrid!C31</f>
        <v>2183.8728540000002</v>
      </c>
      <c r="E345" s="6">
        <f>[1]Hybrid!D31</f>
        <v>2135.1571199999998</v>
      </c>
      <c r="F345" s="6">
        <f>[1]Hybrid!E31</f>
        <v>2088.404943</v>
      </c>
      <c r="G345" s="6">
        <f>[1]Hybrid!F31</f>
        <v>2040.797626</v>
      </c>
      <c r="H345" s="6">
        <f>[1]Hybrid!G31</f>
        <v>1990.9240380000001</v>
      </c>
      <c r="I345" s="6">
        <f>[1]Hybrid!H31</f>
        <v>1938.0713989999999</v>
      </c>
      <c r="J345" s="6">
        <f>[1]Hybrid!I31</f>
        <v>1882.198705</v>
      </c>
      <c r="K345" s="6">
        <f>[1]Hybrid!J31</f>
        <v>1823.539166</v>
      </c>
      <c r="L345" s="6">
        <f>[1]Hybrid!K31</f>
        <v>1762.469163</v>
      </c>
      <c r="M345" s="6">
        <f>[1]Hybrid!L31</f>
        <v>1699.6019490000001</v>
      </c>
      <c r="N345" s="6">
        <f>[1]Hybrid!M31</f>
        <v>1635.1895850000001</v>
      </c>
      <c r="O345" s="6">
        <f>[1]Hybrid!N31</f>
        <v>1569.6906120000001</v>
      </c>
      <c r="P345" s="6">
        <f>[1]Hybrid!O31</f>
        <v>1503.5491179999999</v>
      </c>
      <c r="Q345" s="6">
        <f>[1]Hybrid!P31</f>
        <v>1437.186508</v>
      </c>
      <c r="R345" s="6">
        <f>[1]Hybrid!Q31</f>
        <v>1370.994647</v>
      </c>
      <c r="S345" s="6">
        <f>[1]Hybrid!R31</f>
        <v>1305.3313820000001</v>
      </c>
      <c r="T345" s="6">
        <f>[1]Hybrid!S31</f>
        <v>1240.518071</v>
      </c>
      <c r="U345" s="6">
        <f>[1]Hybrid!T31</f>
        <v>1176.8386350000001</v>
      </c>
      <c r="V345" s="6">
        <f>[1]Hybrid!U31</f>
        <v>1114.5397370000001</v>
      </c>
      <c r="W345" s="6">
        <f>[1]Hybrid!V31</f>
        <v>1053.7927090000001</v>
      </c>
      <c r="X345" s="6">
        <f>[1]Hybrid!W31</f>
        <v>994.82360229999995</v>
      </c>
      <c r="Y345" s="6">
        <f>[1]Hybrid!X31</f>
        <v>937.77531269999997</v>
      </c>
      <c r="Z345" s="6">
        <f>[1]Hybrid!Y31</f>
        <v>882.75963869999998</v>
      </c>
      <c r="AA345" s="6">
        <f>[1]Hybrid!Z31</f>
        <v>829.85993480000002</v>
      </c>
      <c r="AB345" s="6">
        <f>[1]Hybrid!AA31</f>
        <v>779.07770359999995</v>
      </c>
      <c r="AC345" s="6">
        <f>[1]Hybrid!AB31</f>
        <v>730.4989435</v>
      </c>
      <c r="AD345" s="6">
        <f>[1]Hybrid!AC31</f>
        <v>684.14842920000001</v>
      </c>
      <c r="AE345" s="6">
        <f>[1]Hybrid!AD31</f>
        <v>640.03062939999995</v>
      </c>
      <c r="AF345" s="6">
        <f>[1]Hybrid!AE31</f>
        <v>598.13192770000001</v>
      </c>
      <c r="AG345" s="6">
        <f>[1]Hybrid!AF31</f>
        <v>558.42333510000003</v>
      </c>
      <c r="AH345" s="6">
        <f>[1]Hybrid!AG31</f>
        <v>520.86312099999998</v>
      </c>
      <c r="AI345" s="6">
        <f>[1]Hybrid!AH31</f>
        <v>485.39919930000002</v>
      </c>
      <c r="AJ345" s="6">
        <f>[1]Hybrid!AI31</f>
        <v>451.97123160000001</v>
      </c>
      <c r="AK345" s="6">
        <f>[1]Hybrid!AJ31</f>
        <v>420.51245230000001</v>
      </c>
      <c r="AL345" s="6">
        <f>[1]Hybrid!AK31</f>
        <v>390.95123640000003</v>
      </c>
      <c r="AM345" s="6">
        <f>[1]Hybrid!AL31</f>
        <v>363.21010749999999</v>
      </c>
      <c r="AN345" s="6">
        <f>[1]Hybrid!AM31</f>
        <v>337.21271389999998</v>
      </c>
      <c r="AO345" s="6">
        <f>[1]Hybrid!AN31</f>
        <v>312.8810355</v>
      </c>
      <c r="AP345" s="6">
        <f>[1]Hybrid!AO31</f>
        <v>290.13618279999997</v>
      </c>
      <c r="AQ345" s="6">
        <f>[1]Hybrid!AP31</f>
        <v>268.89910759999998</v>
      </c>
      <c r="AR345" s="6">
        <f>[1]Hybrid!AQ31</f>
        <v>249.09124639999999</v>
      </c>
      <c r="AS345" s="6">
        <f>[1]Hybrid!AR31</f>
        <v>230.63508540000001</v>
      </c>
      <c r="AT345" s="6">
        <f>[1]Hybrid!AS31</f>
        <v>213.4546406</v>
      </c>
      <c r="AU345" s="6">
        <f>[1]Hybrid!AT31</f>
        <v>197.47585419999999</v>
      </c>
      <c r="AV345" s="6">
        <f>[1]Hybrid!AU31</f>
        <v>182.62691359999999</v>
      </c>
      <c r="AW345" s="6">
        <f>[1]Hybrid!AV31</f>
        <v>168.83852909999999</v>
      </c>
      <c r="AX345" s="6">
        <f>[1]Hybrid!AW31</f>
        <v>156.0440447</v>
      </c>
      <c r="AY345" s="6">
        <f>[1]Hybrid!AX31</f>
        <v>144.17962299999999</v>
      </c>
      <c r="AZ345" s="6">
        <f>[1]Hybrid!AY31</f>
        <v>133.18433150000001</v>
      </c>
      <c r="BA345" s="6">
        <f>[1]Hybrid!AZ31</f>
        <v>123.0001898</v>
      </c>
      <c r="BB345" s="6">
        <f>[1]Hybrid!BA31</f>
        <v>112.71163730000001</v>
      </c>
      <c r="BC345" s="6">
        <f>[1]Hybrid!BB31</f>
        <v>104.0471179</v>
      </c>
      <c r="BD345" s="6">
        <f>[1]Hybrid!BC31</f>
        <v>96.034357119999996</v>
      </c>
      <c r="BE345" s="6">
        <f>[1]Hybrid!BD31</f>
        <v>88.627060349999994</v>
      </c>
      <c r="BF345" s="6">
        <f>[1]Hybrid!BE31</f>
        <v>81.781736309999999</v>
      </c>
    </row>
    <row r="346" spans="1:58" x14ac:dyDescent="0.35">
      <c r="B346" s="6" t="str">
        <f>[1]Hybrid!A33</f>
        <v>auto_ca_cele_0</v>
      </c>
      <c r="C346" s="6">
        <f>[1]Hybrid!B33</f>
        <v>9.8427898650000003</v>
      </c>
      <c r="D346" s="6">
        <f>[1]Hybrid!C33</f>
        <v>15.01203162</v>
      </c>
      <c r="E346" s="6">
        <f>[1]Hybrid!D33</f>
        <v>20.49165726</v>
      </c>
      <c r="F346" s="6">
        <f>[1]Hybrid!E33</f>
        <v>26.15742762</v>
      </c>
      <c r="G346" s="6">
        <f>[1]Hybrid!F33</f>
        <v>31.929986670000002</v>
      </c>
      <c r="H346" s="6">
        <f>[1]Hybrid!G33</f>
        <v>37.760551419999999</v>
      </c>
      <c r="I346" s="6">
        <f>[1]Hybrid!H33</f>
        <v>43.608929400000001</v>
      </c>
      <c r="J346" s="6">
        <f>[1]Hybrid!I33</f>
        <v>49.456913370000002</v>
      </c>
      <c r="K346" s="6">
        <f>[1]Hybrid!J33</f>
        <v>55.29339556</v>
      </c>
      <c r="L346" s="6">
        <f>[1]Hybrid!K33</f>
        <v>61.1115256</v>
      </c>
      <c r="M346" s="6">
        <f>[1]Hybrid!L33</f>
        <v>66.926891159999997</v>
      </c>
      <c r="N346" s="6">
        <f>[1]Hybrid!M33</f>
        <v>72.716772559999995</v>
      </c>
      <c r="O346" s="6">
        <f>[1]Hybrid!N33</f>
        <v>78.478598660000003</v>
      </c>
      <c r="P346" s="6">
        <f>[1]Hybrid!O33</f>
        <v>84.210216889999998</v>
      </c>
      <c r="Q346" s="6">
        <f>[1]Hybrid!P33</f>
        <v>89.910217770000003</v>
      </c>
      <c r="R346" s="6">
        <f>[1]Hybrid!Q33</f>
        <v>95.577975080000002</v>
      </c>
      <c r="S346" s="6">
        <f>[1]Hybrid!R33</f>
        <v>101.2135937</v>
      </c>
      <c r="T346" s="6">
        <f>[1]Hybrid!S33</f>
        <v>106.8178413</v>
      </c>
      <c r="U346" s="6">
        <f>[1]Hybrid!T33</f>
        <v>112.3920935</v>
      </c>
      <c r="V346" s="6">
        <f>[1]Hybrid!U33</f>
        <v>117.9383028</v>
      </c>
      <c r="W346" s="6">
        <f>[1]Hybrid!V33</f>
        <v>123.4427728</v>
      </c>
      <c r="X346" s="6">
        <f>[1]Hybrid!W33</f>
        <v>128.92505259999999</v>
      </c>
      <c r="Y346" s="6">
        <f>[1]Hybrid!X33</f>
        <v>134.38933900000001</v>
      </c>
      <c r="Z346" s="6">
        <f>[1]Hybrid!Y33</f>
        <v>139.84059920000001</v>
      </c>
      <c r="AA346" s="6">
        <f>[1]Hybrid!Z33</f>
        <v>145.28422689999999</v>
      </c>
      <c r="AB346" s="6">
        <f>[1]Hybrid!AA33</f>
        <v>150.67747639999999</v>
      </c>
      <c r="AC346" s="6">
        <f>[1]Hybrid!AB33</f>
        <v>156.05270920000001</v>
      </c>
      <c r="AD346" s="6">
        <f>[1]Hybrid!AC33</f>
        <v>161.41811910000001</v>
      </c>
      <c r="AE346" s="6">
        <f>[1]Hybrid!AD33</f>
        <v>166.783704</v>
      </c>
      <c r="AF346" s="6">
        <f>[1]Hybrid!AE33</f>
        <v>172.16050720000001</v>
      </c>
      <c r="AG346" s="6">
        <f>[1]Hybrid!AF33</f>
        <v>177.5602366</v>
      </c>
      <c r="AH346" s="6">
        <f>[1]Hybrid!AG33</f>
        <v>182.99509080000001</v>
      </c>
      <c r="AI346" s="6">
        <f>[1]Hybrid!AH33</f>
        <v>188.47771499999999</v>
      </c>
      <c r="AJ346" s="6">
        <f>[1]Hybrid!AI33</f>
        <v>194.0212338</v>
      </c>
      <c r="AK346" s="6">
        <f>[1]Hybrid!AJ33</f>
        <v>199.6393271</v>
      </c>
      <c r="AL346" s="6">
        <f>[1]Hybrid!AK33</f>
        <v>205.3463261</v>
      </c>
      <c r="AM346" s="6">
        <f>[1]Hybrid!AL33</f>
        <v>211.14433099999999</v>
      </c>
      <c r="AN346" s="6">
        <f>[1]Hybrid!AM33</f>
        <v>217.04915629999999</v>
      </c>
      <c r="AO346" s="6">
        <f>[1]Hybrid!AN33</f>
        <v>223.07795970000001</v>
      </c>
      <c r="AP346" s="6">
        <f>[1]Hybrid!AO33</f>
        <v>229.2494902</v>
      </c>
      <c r="AQ346" s="6">
        <f>[1]Hybrid!AP33</f>
        <v>235.58406629999999</v>
      </c>
      <c r="AR346" s="6">
        <f>[1]Hybrid!AQ33</f>
        <v>242.10351349999999</v>
      </c>
      <c r="AS346" s="6">
        <f>[1]Hybrid!AR33</f>
        <v>248.831143</v>
      </c>
      <c r="AT346" s="6">
        <f>[1]Hybrid!AS33</f>
        <v>255.7917923</v>
      </c>
      <c r="AU346" s="6">
        <f>[1]Hybrid!AT33</f>
        <v>263.01192650000002</v>
      </c>
      <c r="AV346" s="6">
        <f>[1]Hybrid!AU33</f>
        <v>270.51979210000002</v>
      </c>
      <c r="AW346" s="6">
        <f>[1]Hybrid!AV33</f>
        <v>278.34700370000002</v>
      </c>
      <c r="AX346" s="6">
        <f>[1]Hybrid!AW33</f>
        <v>286.52603620000002</v>
      </c>
      <c r="AY346" s="6">
        <f>[1]Hybrid!AX33</f>
        <v>295.09179310000002</v>
      </c>
      <c r="AZ346" s="6">
        <f>[1]Hybrid!AY33</f>
        <v>304.08183409999998</v>
      </c>
      <c r="BA346" s="6">
        <f>[1]Hybrid!AZ33</f>
        <v>313.53664809999998</v>
      </c>
      <c r="BB346" s="6">
        <f>[1]Hybrid!BA33</f>
        <v>124.0450032</v>
      </c>
      <c r="BC346" s="6">
        <f>[1]Hybrid!BB33</f>
        <v>114.81711970000001</v>
      </c>
      <c r="BD346" s="6">
        <f>[1]Hybrid!BC33</f>
        <v>104.3082737</v>
      </c>
      <c r="BE346" s="6">
        <f>[1]Hybrid!BD33</f>
        <v>92.398095470000001</v>
      </c>
      <c r="BF346" s="6">
        <f>[1]Hybrid!BE33</f>
        <v>78.954133470000002</v>
      </c>
    </row>
    <row r="347" spans="1:58" x14ac:dyDescent="0.35">
      <c r="B347" s="6" t="str">
        <f>[1]Hybrid!A35</f>
        <v>auto_cb_cele_0</v>
      </c>
      <c r="C347" s="6">
        <f>[1]Hybrid!B35</f>
        <v>11.44571741</v>
      </c>
      <c r="D347" s="6">
        <f>[1]Hybrid!C35</f>
        <v>16.32296813</v>
      </c>
      <c r="E347" s="6">
        <f>[1]Hybrid!D35</f>
        <v>21.49182411</v>
      </c>
      <c r="F347" s="6">
        <f>[1]Hybrid!E35</f>
        <v>26.830588330000001</v>
      </c>
      <c r="G347" s="6">
        <f>[1]Hybrid!F35</f>
        <v>32.261549100000003</v>
      </c>
      <c r="H347" s="6">
        <f>[1]Hybrid!G35</f>
        <v>37.736755369999997</v>
      </c>
      <c r="I347" s="6">
        <f>[1]Hybrid!H35</f>
        <v>43.216769329999998</v>
      </c>
      <c r="J347" s="6">
        <f>[1]Hybrid!I35</f>
        <v>48.683247969999996</v>
      </c>
      <c r="K347" s="6">
        <f>[1]Hybrid!J35</f>
        <v>54.124671749999997</v>
      </c>
      <c r="L347" s="6">
        <f>[1]Hybrid!K35</f>
        <v>59.533606200000001</v>
      </c>
      <c r="M347" s="6">
        <f>[1]Hybrid!L35</f>
        <v>64.92375432</v>
      </c>
      <c r="N347" s="6">
        <f>[1]Hybrid!M35</f>
        <v>70.272755559999993</v>
      </c>
      <c r="O347" s="6">
        <f>[1]Hybrid!N35</f>
        <v>75.577303000000001</v>
      </c>
      <c r="P347" s="6">
        <f>[1]Hybrid!O35</f>
        <v>80.834538039999998</v>
      </c>
      <c r="Q347" s="6">
        <f>[1]Hybrid!P35</f>
        <v>86.042349520000002</v>
      </c>
      <c r="R347" s="6">
        <f>[1]Hybrid!Q35</f>
        <v>91.199403700000005</v>
      </c>
      <c r="S347" s="6">
        <f>[1]Hybrid!R35</f>
        <v>96.305088830000003</v>
      </c>
      <c r="T347" s="6">
        <f>[1]Hybrid!S35</f>
        <v>101.3594453</v>
      </c>
      <c r="U347" s="6">
        <f>[1]Hybrid!T35</f>
        <v>106.36310880000001</v>
      </c>
      <c r="V347" s="6">
        <f>[1]Hybrid!U35</f>
        <v>111.31727410000001</v>
      </c>
      <c r="W347" s="6">
        <f>[1]Hybrid!V35</f>
        <v>116.2088789</v>
      </c>
      <c r="X347" s="6">
        <f>[1]Hybrid!W35</f>
        <v>121.05532359999999</v>
      </c>
      <c r="Y347" s="6">
        <f>[1]Hybrid!X35</f>
        <v>125.8599194</v>
      </c>
      <c r="Z347" s="6">
        <f>[1]Hybrid!Y35</f>
        <v>130.6266603</v>
      </c>
      <c r="AA347" s="6">
        <f>[1]Hybrid!Z35</f>
        <v>135.35990219999999</v>
      </c>
      <c r="AB347" s="6">
        <f>[1]Hybrid!AA35</f>
        <v>140.02076260000001</v>
      </c>
      <c r="AC347" s="6">
        <f>[1]Hybrid!AB35</f>
        <v>144.6381452</v>
      </c>
      <c r="AD347" s="6">
        <f>[1]Hybrid!AC35</f>
        <v>149.21911009999999</v>
      </c>
      <c r="AE347" s="6">
        <f>[1]Hybrid!AD35</f>
        <v>153.77226469999999</v>
      </c>
      <c r="AF347" s="6">
        <f>[1]Hybrid!AE35</f>
        <v>158.30706190000001</v>
      </c>
      <c r="AG347" s="6">
        <f>[1]Hybrid!AF35</f>
        <v>162.83344550000001</v>
      </c>
      <c r="AH347" s="6">
        <f>[1]Hybrid!AG35</f>
        <v>167.36168359999999</v>
      </c>
      <c r="AI347" s="6">
        <f>[1]Hybrid!AH35</f>
        <v>171.90231610000001</v>
      </c>
      <c r="AJ347" s="6">
        <f>[1]Hybrid!AI35</f>
        <v>176.46617029999999</v>
      </c>
      <c r="AK347" s="6">
        <f>[1]Hybrid!AJ35</f>
        <v>181.06441340000001</v>
      </c>
      <c r="AL347" s="6">
        <f>[1]Hybrid!AK35</f>
        <v>185.7086214</v>
      </c>
      <c r="AM347" s="6">
        <f>[1]Hybrid!AL35</f>
        <v>190.39964599999999</v>
      </c>
      <c r="AN347" s="6">
        <f>[1]Hybrid!AM35</f>
        <v>195.15013099999999</v>
      </c>
      <c r="AO347" s="6">
        <f>[1]Hybrid!AN35</f>
        <v>199.9737001</v>
      </c>
      <c r="AP347" s="6">
        <f>[1]Hybrid!AO35</f>
        <v>204.88513470000001</v>
      </c>
      <c r="AQ347" s="6">
        <f>[1]Hybrid!AP35</f>
        <v>209.9003203</v>
      </c>
      <c r="AR347" s="6">
        <f>[1]Hybrid!AQ35</f>
        <v>215.0361604</v>
      </c>
      <c r="AS347" s="6">
        <f>[1]Hybrid!AR35</f>
        <v>220.31052579999999</v>
      </c>
      <c r="AT347" s="6">
        <f>[1]Hybrid!AS35</f>
        <v>225.74225419999999</v>
      </c>
      <c r="AU347" s="6">
        <f>[1]Hybrid!AT35</f>
        <v>231.3511986</v>
      </c>
      <c r="AV347" s="6">
        <f>[1]Hybrid!AU35</f>
        <v>237.15831460000001</v>
      </c>
      <c r="AW347" s="6">
        <f>[1]Hybrid!AV35</f>
        <v>243.18693339999999</v>
      </c>
      <c r="AX347" s="6">
        <f>[1]Hybrid!AW35</f>
        <v>249.4606134</v>
      </c>
      <c r="AY347" s="6">
        <f>[1]Hybrid!AX35</f>
        <v>256.0043976</v>
      </c>
      <c r="AZ347" s="6">
        <f>[1]Hybrid!AY35</f>
        <v>262.8449387</v>
      </c>
      <c r="BA347" s="6">
        <f>[1]Hybrid!AZ35</f>
        <v>270.01065210000002</v>
      </c>
      <c r="BB347" s="6">
        <f>[1]Hybrid!BA35</f>
        <v>97.441447859999997</v>
      </c>
      <c r="BC347" s="6">
        <f>[1]Hybrid!BB35</f>
        <v>88.643995919999995</v>
      </c>
      <c r="BD347" s="6">
        <f>[1]Hybrid!BC35</f>
        <v>78.802633589999999</v>
      </c>
      <c r="BE347" s="6">
        <f>[1]Hybrid!BD35</f>
        <v>67.831831030000004</v>
      </c>
      <c r="BF347" s="6">
        <f>[1]Hybrid!BE35</f>
        <v>55.638347830000001</v>
      </c>
    </row>
    <row r="348" spans="1:58" x14ac:dyDescent="0.35">
      <c r="B348" s="6" t="str">
        <f>[1]Hybrid!A37</f>
        <v>auto_cc_cele_0</v>
      </c>
      <c r="C348" s="6">
        <f>[1]Hybrid!B37</f>
        <v>9.4015406210000005</v>
      </c>
      <c r="D348" s="6">
        <f>[1]Hybrid!C37</f>
        <v>12.714482869999999</v>
      </c>
      <c r="E348" s="6">
        <f>[1]Hybrid!D37</f>
        <v>16.22505838</v>
      </c>
      <c r="F348" s="6">
        <f>[1]Hybrid!E37</f>
        <v>19.84738428</v>
      </c>
      <c r="G348" s="6">
        <f>[1]Hybrid!F37</f>
        <v>23.526649379999999</v>
      </c>
      <c r="H348" s="6">
        <f>[1]Hybrid!G37</f>
        <v>27.228931660000001</v>
      </c>
      <c r="I348" s="6">
        <f>[1]Hybrid!H37</f>
        <v>30.926391720000002</v>
      </c>
      <c r="J348" s="6">
        <f>[1]Hybrid!I37</f>
        <v>34.605790599999999</v>
      </c>
      <c r="K348" s="6">
        <f>[1]Hybrid!J37</f>
        <v>38.258624660000002</v>
      </c>
      <c r="L348" s="6">
        <f>[1]Hybrid!K37</f>
        <v>41.879223099999997</v>
      </c>
      <c r="M348" s="6">
        <f>[1]Hybrid!L37</f>
        <v>45.476279779999999</v>
      </c>
      <c r="N348" s="6">
        <f>[1]Hybrid!M37</f>
        <v>49.034016250000001</v>
      </c>
      <c r="O348" s="6">
        <f>[1]Hybrid!N37</f>
        <v>52.54965266</v>
      </c>
      <c r="P348" s="6">
        <f>[1]Hybrid!O37</f>
        <v>56.020757150000001</v>
      </c>
      <c r="Q348" s="6">
        <f>[1]Hybrid!P37</f>
        <v>59.445444299999998</v>
      </c>
      <c r="R348" s="6">
        <f>[1]Hybrid!Q37</f>
        <v>62.822389999999999</v>
      </c>
      <c r="S348" s="6">
        <f>[1]Hybrid!R37</f>
        <v>66.15078939</v>
      </c>
      <c r="T348" s="6">
        <f>[1]Hybrid!S37</f>
        <v>69.430305590000003</v>
      </c>
      <c r="U348" s="6">
        <f>[1]Hybrid!T37</f>
        <v>72.661027189999999</v>
      </c>
      <c r="V348" s="6">
        <f>[1]Hybrid!U37</f>
        <v>75.843439079999996</v>
      </c>
      <c r="W348" s="6">
        <f>[1]Hybrid!V37</f>
        <v>78.968666600000006</v>
      </c>
      <c r="X348" s="6">
        <f>[1]Hybrid!W37</f>
        <v>82.047966779999996</v>
      </c>
      <c r="Y348" s="6">
        <f>[1]Hybrid!X37</f>
        <v>85.083278989999997</v>
      </c>
      <c r="Z348" s="6">
        <f>[1]Hybrid!Y37</f>
        <v>88.07698345</v>
      </c>
      <c r="AA348" s="6">
        <f>[1]Hybrid!Z37</f>
        <v>91.031686759999999</v>
      </c>
      <c r="AB348" s="6">
        <f>[1]Hybrid!AA37</f>
        <v>93.922000760000003</v>
      </c>
      <c r="AC348" s="6">
        <f>[1]Hybrid!AB37</f>
        <v>96.766647500000005</v>
      </c>
      <c r="AD348" s="6">
        <f>[1]Hybrid!AC37</f>
        <v>99.570117170000003</v>
      </c>
      <c r="AE348" s="6">
        <f>[1]Hybrid!AD37</f>
        <v>102.3378568</v>
      </c>
      <c r="AF348" s="6">
        <f>[1]Hybrid!AE37</f>
        <v>105.07580299999999</v>
      </c>
      <c r="AG348" s="6">
        <f>[1]Hybrid!AF37</f>
        <v>107.7901454</v>
      </c>
      <c r="AH348" s="6">
        <f>[1]Hybrid!AG37</f>
        <v>110.4872122</v>
      </c>
      <c r="AI348" s="6">
        <f>[1]Hybrid!AH37</f>
        <v>113.17342960000001</v>
      </c>
      <c r="AJ348" s="6">
        <f>[1]Hybrid!AI37</f>
        <v>115.855324</v>
      </c>
      <c r="AK348" s="6">
        <f>[1]Hybrid!AJ37</f>
        <v>118.539547</v>
      </c>
      <c r="AL348" s="6">
        <f>[1]Hybrid!AK37</f>
        <v>121.2329119</v>
      </c>
      <c r="AM348" s="6">
        <f>[1]Hybrid!AL37</f>
        <v>123.93546139999999</v>
      </c>
      <c r="AN348" s="6">
        <f>[1]Hybrid!AM37</f>
        <v>126.65454889999999</v>
      </c>
      <c r="AO348" s="6">
        <f>[1]Hybrid!AN37</f>
        <v>129.39803019999999</v>
      </c>
      <c r="AP348" s="6">
        <f>[1]Hybrid!AO37</f>
        <v>132.174353</v>
      </c>
      <c r="AQ348" s="6">
        <f>[1]Hybrid!AP37</f>
        <v>134.99250420000001</v>
      </c>
      <c r="AR348" s="6">
        <f>[1]Hybrid!AQ37</f>
        <v>137.86193929999999</v>
      </c>
      <c r="AS348" s="6">
        <f>[1]Hybrid!AR37</f>
        <v>140.79253320000001</v>
      </c>
      <c r="AT348" s="6">
        <f>[1]Hybrid!AS37</f>
        <v>143.79456289999999</v>
      </c>
      <c r="AU348" s="6">
        <f>[1]Hybrid!AT37</f>
        <v>146.87871699999999</v>
      </c>
      <c r="AV348" s="6">
        <f>[1]Hybrid!AU37</f>
        <v>150.05612830000001</v>
      </c>
      <c r="AW348" s="6">
        <f>[1]Hybrid!AV37</f>
        <v>153.33911079999999</v>
      </c>
      <c r="AX348" s="6">
        <f>[1]Hybrid!AW37</f>
        <v>156.7398426</v>
      </c>
      <c r="AY348" s="6">
        <f>[1]Hybrid!AX37</f>
        <v>160.2710969</v>
      </c>
      <c r="AZ348" s="6">
        <f>[1]Hybrid!AY37</f>
        <v>163.9462858</v>
      </c>
      <c r="BA348" s="6">
        <f>[1]Hybrid!AZ37</f>
        <v>167.77951719999999</v>
      </c>
      <c r="BB348" s="6">
        <f>[1]Hybrid!BA37</f>
        <v>55.764968279999998</v>
      </c>
      <c r="BC348" s="6">
        <f>[1]Hybrid!BB37</f>
        <v>49.894204240000001</v>
      </c>
      <c r="BD348" s="6">
        <f>[1]Hybrid!BC37</f>
        <v>43.422705530000002</v>
      </c>
      <c r="BE348" s="6">
        <f>[1]Hybrid!BD37</f>
        <v>36.308326579999999</v>
      </c>
      <c r="BF348" s="6">
        <f>[1]Hybrid!BE37</f>
        <v>28.50554975</v>
      </c>
    </row>
    <row r="349" spans="1:58" x14ac:dyDescent="0.35">
      <c r="B349" s="6" t="str">
        <f>[1]Hybrid!A39</f>
        <v>auto_cd_cele_0</v>
      </c>
      <c r="C349" s="6">
        <f>[1]Hybrid!B39</f>
        <v>5.770071272</v>
      </c>
      <c r="D349" s="6">
        <f>[1]Hybrid!C39</f>
        <v>7.5724919310000001</v>
      </c>
      <c r="E349" s="6">
        <f>[1]Hybrid!D39</f>
        <v>9.4657032920000006</v>
      </c>
      <c r="F349" s="6">
        <f>[1]Hybrid!E39</f>
        <v>11.396266389999999</v>
      </c>
      <c r="G349" s="6">
        <f>[1]Hybrid!F39</f>
        <v>13.32976824</v>
      </c>
      <c r="H349" s="6">
        <f>[1]Hybrid!G39</f>
        <v>15.24461316</v>
      </c>
      <c r="I349" s="6">
        <f>[1]Hybrid!H39</f>
        <v>17.12371869</v>
      </c>
      <c r="J349" s="6">
        <f>[1]Hybrid!I39</f>
        <v>18.958629500000001</v>
      </c>
      <c r="K349" s="6">
        <f>[1]Hybrid!J39</f>
        <v>20.743983790000001</v>
      </c>
      <c r="L349" s="6">
        <f>[1]Hybrid!K39</f>
        <v>22.476309010000001</v>
      </c>
      <c r="M349" s="6">
        <f>[1]Hybrid!L39</f>
        <v>24.15945846</v>
      </c>
      <c r="N349" s="6">
        <f>[1]Hybrid!M39</f>
        <v>25.785429789999998</v>
      </c>
      <c r="O349" s="6">
        <f>[1]Hybrid!N39</f>
        <v>27.352873930000001</v>
      </c>
      <c r="P349" s="6">
        <f>[1]Hybrid!O39</f>
        <v>28.86074898</v>
      </c>
      <c r="Q349" s="6">
        <f>[1]Hybrid!P39</f>
        <v>30.30837154</v>
      </c>
      <c r="R349" s="6">
        <f>[1]Hybrid!Q39</f>
        <v>31.695390039999999</v>
      </c>
      <c r="S349" s="6">
        <f>[1]Hybrid!R39</f>
        <v>33.021738990000003</v>
      </c>
      <c r="T349" s="6">
        <f>[1]Hybrid!S39</f>
        <v>34.287593870000002</v>
      </c>
      <c r="U349" s="6">
        <f>[1]Hybrid!T39</f>
        <v>35.493332860000002</v>
      </c>
      <c r="V349" s="6">
        <f>[1]Hybrid!U39</f>
        <v>36.639506910000001</v>
      </c>
      <c r="W349" s="6">
        <f>[1]Hybrid!V39</f>
        <v>37.722811239999999</v>
      </c>
      <c r="X349" s="6">
        <f>[1]Hybrid!W39</f>
        <v>38.748314700000002</v>
      </c>
      <c r="Y349" s="6">
        <f>[1]Hybrid!X39</f>
        <v>39.717090200000001</v>
      </c>
      <c r="Z349" s="6">
        <f>[1]Hybrid!Y39</f>
        <v>40.6303251</v>
      </c>
      <c r="AA349" s="6">
        <f>[1]Hybrid!Z39</f>
        <v>41.489236130000002</v>
      </c>
      <c r="AB349" s="6">
        <f>[1]Hybrid!AA39</f>
        <v>42.28453279</v>
      </c>
      <c r="AC349" s="6">
        <f>[1]Hybrid!AB39</f>
        <v>43.023770349999999</v>
      </c>
      <c r="AD349" s="6">
        <f>[1]Hybrid!AC39</f>
        <v>43.708911749999999</v>
      </c>
      <c r="AE349" s="6">
        <f>[1]Hybrid!AD39</f>
        <v>44.34212497</v>
      </c>
      <c r="AF349" s="6">
        <f>[1]Hybrid!AE39</f>
        <v>44.925604300000003</v>
      </c>
      <c r="AG349" s="6">
        <f>[1]Hybrid!AF39</f>
        <v>45.461486909999998</v>
      </c>
      <c r="AH349" s="6">
        <f>[1]Hybrid!AG39</f>
        <v>45.951816999999998</v>
      </c>
      <c r="AI349" s="6">
        <f>[1]Hybrid!AH39</f>
        <v>46.398536679999999</v>
      </c>
      <c r="AJ349" s="6">
        <f>[1]Hybrid!AI39</f>
        <v>46.80349124</v>
      </c>
      <c r="AK349" s="6">
        <f>[1]Hybrid!AJ39</f>
        <v>47.168440910000001</v>
      </c>
      <c r="AL349" s="6">
        <f>[1]Hybrid!AK39</f>
        <v>47.495074500000001</v>
      </c>
      <c r="AM349" s="6">
        <f>[1]Hybrid!AL39</f>
        <v>47.783018769999998</v>
      </c>
      <c r="AN349" s="6">
        <f>[1]Hybrid!AM39</f>
        <v>48.034025569999997</v>
      </c>
      <c r="AO349" s="6">
        <f>[1]Hybrid!AN39</f>
        <v>48.249866390000001</v>
      </c>
      <c r="AP349" s="6">
        <f>[1]Hybrid!AO39</f>
        <v>48.43233738</v>
      </c>
      <c r="AQ349" s="6">
        <f>[1]Hybrid!AP39</f>
        <v>48.583229539999998</v>
      </c>
      <c r="AR349" s="6">
        <f>[1]Hybrid!AQ39</f>
        <v>48.704299630000001</v>
      </c>
      <c r="AS349" s="6">
        <f>[1]Hybrid!AR39</f>
        <v>48.79725071</v>
      </c>
      <c r="AT349" s="6">
        <f>[1]Hybrid!AS39</f>
        <v>48.863722709999998</v>
      </c>
      <c r="AU349" s="6">
        <f>[1]Hybrid!AT39</f>
        <v>48.905290579999999</v>
      </c>
      <c r="AV349" s="6">
        <f>[1]Hybrid!AU39</f>
        <v>48.923467530000003</v>
      </c>
      <c r="AW349" s="6">
        <f>[1]Hybrid!AV39</f>
        <v>48.919854669999999</v>
      </c>
      <c r="AX349" s="6">
        <f>[1]Hybrid!AW39</f>
        <v>48.895847770000003</v>
      </c>
      <c r="AY349" s="6">
        <f>[1]Hybrid!AX39</f>
        <v>48.852796120000001</v>
      </c>
      <c r="AZ349" s="6">
        <f>[1]Hybrid!AY39</f>
        <v>48.79200565</v>
      </c>
      <c r="BA349" s="6">
        <f>[1]Hybrid!AZ39</f>
        <v>48.714743949999999</v>
      </c>
      <c r="BB349" s="6">
        <f>[1]Hybrid!BA39</f>
        <v>35.485589879999999</v>
      </c>
      <c r="BC349" s="6">
        <f>[1]Hybrid!BB39</f>
        <v>34.573697099999997</v>
      </c>
      <c r="BD349" s="6">
        <f>[1]Hybrid!BC39</f>
        <v>33.613691600000003</v>
      </c>
      <c r="BE349" s="6">
        <f>[1]Hybrid!BD39</f>
        <v>32.606383600000001</v>
      </c>
      <c r="BF349" s="6">
        <f>[1]Hybrid!BE39</f>
        <v>31.552621970000001</v>
      </c>
    </row>
    <row r="350" spans="1:58" x14ac:dyDescent="0.35">
      <c r="B350" s="6" t="str">
        <f>[1]Hybrid!A41</f>
        <v>auto_ce_cele_0</v>
      </c>
      <c r="C350" s="6">
        <f>[1]Hybrid!B41</f>
        <v>3.4730440960000002</v>
      </c>
      <c r="D350" s="6">
        <f>[1]Hybrid!C41</f>
        <v>4.5791175500000003</v>
      </c>
      <c r="E350" s="6">
        <f>[1]Hybrid!D41</f>
        <v>5.7313470689999999</v>
      </c>
      <c r="F350" s="6">
        <f>[1]Hybrid!E41</f>
        <v>6.8947231420000001</v>
      </c>
      <c r="G350" s="6">
        <f>[1]Hybrid!F41</f>
        <v>8.0469703730000006</v>
      </c>
      <c r="H350" s="6">
        <f>[1]Hybrid!G41</f>
        <v>9.1742723510000008</v>
      </c>
      <c r="I350" s="6">
        <f>[1]Hybrid!H41</f>
        <v>10.266017039999999</v>
      </c>
      <c r="J350" s="6">
        <f>[1]Hybrid!I41</f>
        <v>11.31702945</v>
      </c>
      <c r="K350" s="6">
        <f>[1]Hybrid!J41</f>
        <v>12.3241573</v>
      </c>
      <c r="L350" s="6">
        <f>[1]Hybrid!K41</f>
        <v>13.28549269</v>
      </c>
      <c r="M350" s="6">
        <f>[1]Hybrid!L41</f>
        <v>14.20334871</v>
      </c>
      <c r="N350" s="6">
        <f>[1]Hybrid!M41</f>
        <v>15.07343668</v>
      </c>
      <c r="O350" s="6">
        <f>[1]Hybrid!N41</f>
        <v>15.895333040000001</v>
      </c>
      <c r="P350" s="6">
        <f>[1]Hybrid!O41</f>
        <v>16.668865749999998</v>
      </c>
      <c r="Q350" s="6">
        <f>[1]Hybrid!P41</f>
        <v>17.39412819</v>
      </c>
      <c r="R350" s="6">
        <f>[1]Hybrid!Q41</f>
        <v>18.07145143</v>
      </c>
      <c r="S350" s="6">
        <f>[1]Hybrid!R41</f>
        <v>18.70136857</v>
      </c>
      <c r="T350" s="6">
        <f>[1]Hybrid!S41</f>
        <v>19.284581450000001</v>
      </c>
      <c r="U350" s="6">
        <f>[1]Hybrid!T41</f>
        <v>19.821932199999999</v>
      </c>
      <c r="V350" s="6">
        <f>[1]Hybrid!U41</f>
        <v>20.314379859999999</v>
      </c>
      <c r="W350" s="6">
        <f>[1]Hybrid!V41</f>
        <v>20.761014169999999</v>
      </c>
      <c r="X350" s="6">
        <f>[1]Hybrid!W41</f>
        <v>21.165106649999998</v>
      </c>
      <c r="Y350" s="6">
        <f>[1]Hybrid!X41</f>
        <v>21.527926799999999</v>
      </c>
      <c r="Z350" s="6">
        <f>[1]Hybrid!Y41</f>
        <v>21.850796630000001</v>
      </c>
      <c r="AA350" s="6">
        <f>[1]Hybrid!Z41</f>
        <v>22.135048149999999</v>
      </c>
      <c r="AB350" s="6">
        <f>[1]Hybrid!AA41</f>
        <v>22.37721325</v>
      </c>
      <c r="AC350" s="6">
        <f>[1]Hybrid!AB41</f>
        <v>22.581676569999999</v>
      </c>
      <c r="AD350" s="6">
        <f>[1]Hybrid!AC41</f>
        <v>22.750188680000001</v>
      </c>
      <c r="AE350" s="6">
        <f>[1]Hybrid!AD41</f>
        <v>22.884556679999999</v>
      </c>
      <c r="AF350" s="6">
        <f>[1]Hybrid!AE41</f>
        <v>22.98656034</v>
      </c>
      <c r="AG350" s="6">
        <f>[1]Hybrid!AF41</f>
        <v>23.05791589</v>
      </c>
      <c r="AH350" s="6">
        <f>[1]Hybrid!AG41</f>
        <v>23.100262489999999</v>
      </c>
      <c r="AI350" s="6">
        <f>[1]Hybrid!AH41</f>
        <v>23.115160419999999</v>
      </c>
      <c r="AJ350" s="6">
        <f>[1]Hybrid!AI41</f>
        <v>23.104095439999998</v>
      </c>
      <c r="AK350" s="6">
        <f>[1]Hybrid!AJ41</f>
        <v>23.068485840000001</v>
      </c>
      <c r="AL350" s="6">
        <f>[1]Hybrid!AK41</f>
        <v>23.009689819999998</v>
      </c>
      <c r="AM350" s="6">
        <f>[1]Hybrid!AL41</f>
        <v>22.928250030000001</v>
      </c>
      <c r="AN350" s="6">
        <f>[1]Hybrid!AM41</f>
        <v>22.825527770000001</v>
      </c>
      <c r="AO350" s="6">
        <f>[1]Hybrid!AN41</f>
        <v>22.702862199999998</v>
      </c>
      <c r="AP350" s="6">
        <f>[1]Hybrid!AO41</f>
        <v>22.561568609999998</v>
      </c>
      <c r="AQ350" s="6">
        <f>[1]Hybrid!AP41</f>
        <v>22.402925440000001</v>
      </c>
      <c r="AR350" s="6">
        <f>[1]Hybrid!AQ41</f>
        <v>22.228163609999999</v>
      </c>
      <c r="AS350" s="6">
        <f>[1]Hybrid!AR41</f>
        <v>22.038460300000001</v>
      </c>
      <c r="AT350" s="6">
        <f>[1]Hybrid!AS41</f>
        <v>21.83493696</v>
      </c>
      <c r="AU350" s="6">
        <f>[1]Hybrid!AT41</f>
        <v>21.61866006</v>
      </c>
      <c r="AV350" s="6">
        <f>[1]Hybrid!AU41</f>
        <v>21.39064355</v>
      </c>
      <c r="AW350" s="6">
        <f>[1]Hybrid!AV41</f>
        <v>21.15189711</v>
      </c>
      <c r="AX350" s="6">
        <f>[1]Hybrid!AW41</f>
        <v>20.903332859999999</v>
      </c>
      <c r="AY350" s="6">
        <f>[1]Hybrid!AX41</f>
        <v>20.645818980000001</v>
      </c>
      <c r="AZ350" s="6">
        <f>[1]Hybrid!AY41</f>
        <v>20.380181889999999</v>
      </c>
      <c r="BA350" s="6">
        <f>[1]Hybrid!AZ41</f>
        <v>20.107208700000001</v>
      </c>
      <c r="BB350" s="6">
        <f>[1]Hybrid!BA41</f>
        <v>14.46660228</v>
      </c>
      <c r="BC350" s="6">
        <f>[1]Hybrid!BB41</f>
        <v>13.96919132</v>
      </c>
      <c r="BD350" s="6">
        <f>[1]Hybrid!BC41</f>
        <v>13.465731549999999</v>
      </c>
      <c r="BE350" s="6">
        <f>[1]Hybrid!BD41</f>
        <v>12.95742368</v>
      </c>
      <c r="BF350" s="6">
        <f>[1]Hybrid!BE41</f>
        <v>12.44545143</v>
      </c>
    </row>
    <row r="351" spans="1:58" x14ac:dyDescent="0.35">
      <c r="B351" s="6" t="str">
        <f>[1]Hybrid!A43</f>
        <v>auto_cf_cele_0</v>
      </c>
      <c r="C351" s="6">
        <f>[1]Hybrid!B43</f>
        <v>1.7251505170000001</v>
      </c>
      <c r="D351" s="6">
        <f>[1]Hybrid!C43</f>
        <v>2.2482442979999999</v>
      </c>
      <c r="E351" s="6">
        <f>[1]Hybrid!D43</f>
        <v>2.777499857</v>
      </c>
      <c r="F351" s="6">
        <f>[1]Hybrid!E43</f>
        <v>3.2928145089999998</v>
      </c>
      <c r="G351" s="6">
        <f>[1]Hybrid!F43</f>
        <v>3.78221455</v>
      </c>
      <c r="H351" s="6">
        <f>[1]Hybrid!G43</f>
        <v>4.2389795939999999</v>
      </c>
      <c r="I351" s="6">
        <f>[1]Hybrid!H43</f>
        <v>4.6588005819999996</v>
      </c>
      <c r="J351" s="6">
        <f>[1]Hybrid!I43</f>
        <v>5.0403092620000001</v>
      </c>
      <c r="K351" s="6">
        <f>[1]Hybrid!J43</f>
        <v>5.3833593569999998</v>
      </c>
      <c r="L351" s="6">
        <f>[1]Hybrid!K43</f>
        <v>5.6885469410000002</v>
      </c>
      <c r="M351" s="6">
        <f>[1]Hybrid!L43</f>
        <v>5.9580836469999996</v>
      </c>
      <c r="N351" s="6">
        <f>[1]Hybrid!M43</f>
        <v>6.1919811439999997</v>
      </c>
      <c r="O351" s="6">
        <f>[1]Hybrid!N43</f>
        <v>6.391714007</v>
      </c>
      <c r="P351" s="6">
        <f>[1]Hybrid!O43</f>
        <v>6.5588898090000001</v>
      </c>
      <c r="Q351" s="6">
        <f>[1]Hybrid!P43</f>
        <v>6.695220226</v>
      </c>
      <c r="R351" s="6">
        <f>[1]Hybrid!Q43</f>
        <v>6.8024854819999998</v>
      </c>
      <c r="S351" s="6">
        <f>[1]Hybrid!R43</f>
        <v>6.8825028000000001</v>
      </c>
      <c r="T351" s="6">
        <f>[1]Hybrid!S43</f>
        <v>6.9371003629999999</v>
      </c>
      <c r="U351" s="6">
        <f>[1]Hybrid!T43</f>
        <v>6.9680962309999996</v>
      </c>
      <c r="V351" s="6">
        <f>[1]Hybrid!U43</f>
        <v>6.9772814710000004</v>
      </c>
      <c r="W351" s="6">
        <f>[1]Hybrid!V43</f>
        <v>6.965996606</v>
      </c>
      <c r="X351" s="6">
        <f>[1]Hybrid!W43</f>
        <v>6.9364223379999999</v>
      </c>
      <c r="Y351" s="6">
        <f>[1]Hybrid!X43</f>
        <v>6.8902084730000004</v>
      </c>
      <c r="Z351" s="6">
        <f>[1]Hybrid!Y43</f>
        <v>6.8289334620000002</v>
      </c>
      <c r="AA351" s="6">
        <f>[1]Hybrid!Z43</f>
        <v>6.754097443</v>
      </c>
      <c r="AB351" s="6">
        <f>[1]Hybrid!AA43</f>
        <v>6.666361781</v>
      </c>
      <c r="AC351" s="6">
        <f>[1]Hybrid!AB43</f>
        <v>6.5676461899999996</v>
      </c>
      <c r="AD351" s="6">
        <f>[1]Hybrid!AC43</f>
        <v>6.4593235130000002</v>
      </c>
      <c r="AE351" s="6">
        <f>[1]Hybrid!AD43</f>
        <v>6.3426796100000002</v>
      </c>
      <c r="AF351" s="6">
        <f>[1]Hybrid!AE43</f>
        <v>6.2189050229999996</v>
      </c>
      <c r="AG351" s="6">
        <f>[1]Hybrid!AF43</f>
        <v>6.0890960639999996</v>
      </c>
      <c r="AH351" s="6">
        <f>[1]Hybrid!AG43</f>
        <v>5.954259328</v>
      </c>
      <c r="AI351" s="6">
        <f>[1]Hybrid!AH43</f>
        <v>5.8153174249999999</v>
      </c>
      <c r="AJ351" s="6">
        <f>[1]Hybrid!AI43</f>
        <v>5.6731149629999997</v>
      </c>
      <c r="AK351" s="6">
        <f>[1]Hybrid!AJ43</f>
        <v>5.5284243069999999</v>
      </c>
      <c r="AL351" s="6">
        <f>[1]Hybrid!AK43</f>
        <v>5.381950872</v>
      </c>
      <c r="AM351" s="6">
        <f>[1]Hybrid!AL43</f>
        <v>5.2342779569999998</v>
      </c>
      <c r="AN351" s="6">
        <f>[1]Hybrid!AM43</f>
        <v>5.0860097819999996</v>
      </c>
      <c r="AO351" s="6">
        <f>[1]Hybrid!AN43</f>
        <v>4.9376954480000004</v>
      </c>
      <c r="AP351" s="6">
        <f>[1]Hybrid!AO43</f>
        <v>4.7898310310000003</v>
      </c>
      <c r="AQ351" s="6">
        <f>[1]Hybrid!AP43</f>
        <v>4.642861506</v>
      </c>
      <c r="AR351" s="6">
        <f>[1]Hybrid!AQ43</f>
        <v>4.497183251</v>
      </c>
      <c r="AS351" s="6">
        <f>[1]Hybrid!AR43</f>
        <v>4.3531469969999996</v>
      </c>
      <c r="AT351" s="6">
        <f>[1]Hybrid!AS43</f>
        <v>4.211060968</v>
      </c>
      <c r="AU351" s="6">
        <f>[1]Hybrid!AT43</f>
        <v>4.0711940340000004</v>
      </c>
      <c r="AV351" s="6">
        <f>[1]Hybrid!AU43</f>
        <v>3.9337787610000001</v>
      </c>
      <c r="AW351" s="6">
        <f>[1]Hybrid!AV43</f>
        <v>3.7990159010000002</v>
      </c>
      <c r="AX351" s="6">
        <f>[1]Hybrid!AW43</f>
        <v>3.6670733179999999</v>
      </c>
      <c r="AY351" s="6">
        <f>[1]Hybrid!AX43</f>
        <v>3.5380907540000002</v>
      </c>
      <c r="AZ351" s="6">
        <f>[1]Hybrid!AY43</f>
        <v>3.4121822009999998</v>
      </c>
      <c r="BA351" s="6">
        <f>[1]Hybrid!AZ43</f>
        <v>3.289438122</v>
      </c>
      <c r="BB351" s="6">
        <f>[1]Hybrid!BA43</f>
        <v>2.9073723610000002</v>
      </c>
      <c r="BC351" s="6">
        <f>[1]Hybrid!BB43</f>
        <v>2.7952765500000001</v>
      </c>
      <c r="BD351" s="6">
        <f>[1]Hybrid!BC43</f>
        <v>2.686812464</v>
      </c>
      <c r="BE351" s="6">
        <f>[1]Hybrid!BD43</f>
        <v>2.581966531</v>
      </c>
      <c r="BF351" s="6">
        <f>[1]Hybrid!BE43</f>
        <v>2.480710094</v>
      </c>
    </row>
    <row r="352" spans="1:58" x14ac:dyDescent="0.35">
      <c r="B352" s="6" t="str">
        <f>[1]Hybrid!A45</f>
        <v>auto_cg_cele_0</v>
      </c>
      <c r="C352" s="6">
        <f>[1]Hybrid!B45</f>
        <v>3.1066862139999998</v>
      </c>
      <c r="D352" s="6">
        <f>[1]Hybrid!C45</f>
        <v>4.078034626</v>
      </c>
      <c r="E352" s="6">
        <f>[1]Hybrid!D45</f>
        <v>5.0359357490000001</v>
      </c>
      <c r="F352" s="6">
        <f>[1]Hybrid!E45</f>
        <v>5.9395011020000004</v>
      </c>
      <c r="G352" s="6">
        <f>[1]Hybrid!F45</f>
        <v>6.7665365470000003</v>
      </c>
      <c r="H352" s="6">
        <f>[1]Hybrid!G45</f>
        <v>7.5065763690000002</v>
      </c>
      <c r="I352" s="6">
        <f>[1]Hybrid!H45</f>
        <v>8.154864517</v>
      </c>
      <c r="J352" s="6">
        <f>[1]Hybrid!I45</f>
        <v>8.7124313079999993</v>
      </c>
      <c r="K352" s="6">
        <f>[1]Hybrid!J45</f>
        <v>9.1827119509999999</v>
      </c>
      <c r="L352" s="6">
        <f>[1]Hybrid!K45</f>
        <v>9.5704729129999997</v>
      </c>
      <c r="M352" s="6">
        <f>[1]Hybrid!L45</f>
        <v>9.8827749469999997</v>
      </c>
      <c r="N352" s="6">
        <f>[1]Hybrid!M45</f>
        <v>10.12347113</v>
      </c>
      <c r="O352" s="6">
        <f>[1]Hybrid!N45</f>
        <v>10.298388340000001</v>
      </c>
      <c r="P352" s="6">
        <f>[1]Hybrid!O45</f>
        <v>10.413340850000001</v>
      </c>
      <c r="Q352" s="6">
        <f>[1]Hybrid!P45</f>
        <v>10.4740447</v>
      </c>
      <c r="R352" s="6">
        <f>[1]Hybrid!Q45</f>
        <v>10.48603994</v>
      </c>
      <c r="S352" s="6">
        <f>[1]Hybrid!R45</f>
        <v>10.45463224</v>
      </c>
      <c r="T352" s="6">
        <f>[1]Hybrid!S45</f>
        <v>10.384852220000001</v>
      </c>
      <c r="U352" s="6">
        <f>[1]Hybrid!T45</f>
        <v>10.281428719999999</v>
      </c>
      <c r="V352" s="6">
        <f>[1]Hybrid!U45</f>
        <v>10.148773200000001</v>
      </c>
      <c r="W352" s="6">
        <f>[1]Hybrid!V45</f>
        <v>9.9905993619999993</v>
      </c>
      <c r="X352" s="6">
        <f>[1]Hybrid!W45</f>
        <v>9.8111346239999992</v>
      </c>
      <c r="Y352" s="6">
        <f>[1]Hybrid!X45</f>
        <v>9.6138252719999997</v>
      </c>
      <c r="Z352" s="6">
        <f>[1]Hybrid!Y45</f>
        <v>9.4017994050000002</v>
      </c>
      <c r="AA352" s="6">
        <f>[1]Hybrid!Z45</f>
        <v>9.1778804550000004</v>
      </c>
      <c r="AB352" s="6">
        <f>[1]Hybrid!AA45</f>
        <v>8.9440600559999996</v>
      </c>
      <c r="AC352" s="6">
        <f>[1]Hybrid!AB45</f>
        <v>8.7030757740000002</v>
      </c>
      <c r="AD352" s="6">
        <f>[1]Hybrid!AC45</f>
        <v>8.4570401470000007</v>
      </c>
      <c r="AE352" s="6">
        <f>[1]Hybrid!AD45</f>
        <v>8.2078124050000003</v>
      </c>
      <c r="AF352" s="6">
        <f>[1]Hybrid!AE45</f>
        <v>7.9570135979999996</v>
      </c>
      <c r="AG352" s="6">
        <f>[1]Hybrid!AF45</f>
        <v>7.7060478129999996</v>
      </c>
      <c r="AH352" s="6">
        <f>[1]Hybrid!AG45</f>
        <v>7.4561239749999997</v>
      </c>
      <c r="AI352" s="6">
        <f>[1]Hybrid!AH45</f>
        <v>7.2082765389999999</v>
      </c>
      <c r="AJ352" s="6">
        <f>[1]Hybrid!AI45</f>
        <v>6.9633845269999997</v>
      </c>
      <c r="AK352" s="6">
        <f>[1]Hybrid!AJ45</f>
        <v>6.7221887799999998</v>
      </c>
      <c r="AL352" s="6">
        <f>[1]Hybrid!AK45</f>
        <v>6.4853074570000002</v>
      </c>
      <c r="AM352" s="6">
        <f>[1]Hybrid!AL45</f>
        <v>6.2532261409999998</v>
      </c>
      <c r="AN352" s="6">
        <f>[1]Hybrid!AM45</f>
        <v>6.0263686109999997</v>
      </c>
      <c r="AO352" s="6">
        <f>[1]Hybrid!AN45</f>
        <v>5.8050715129999997</v>
      </c>
      <c r="AP352" s="6">
        <f>[1]Hybrid!AO45</f>
        <v>5.5895939309999996</v>
      </c>
      <c r="AQ352" s="6">
        <f>[1]Hybrid!AP45</f>
        <v>5.3801263239999999</v>
      </c>
      <c r="AR352" s="6">
        <f>[1]Hybrid!AQ45</f>
        <v>5.1767990099999999</v>
      </c>
      <c r="AS352" s="6">
        <f>[1]Hybrid!AR45</f>
        <v>4.979690078</v>
      </c>
      <c r="AT352" s="6">
        <f>[1]Hybrid!AS45</f>
        <v>4.78883261</v>
      </c>
      <c r="AU352" s="6">
        <f>[1]Hybrid!AT45</f>
        <v>4.604221205</v>
      </c>
      <c r="AV352" s="6">
        <f>[1]Hybrid!AU45</f>
        <v>4.4258177989999998</v>
      </c>
      <c r="AW352" s="6">
        <f>[1]Hybrid!AV45</f>
        <v>4.2535571770000002</v>
      </c>
      <c r="AX352" s="6">
        <f>[1]Hybrid!AW45</f>
        <v>4.087350721</v>
      </c>
      <c r="AY352" s="6">
        <f>[1]Hybrid!AX45</f>
        <v>3.9270909889999999</v>
      </c>
      <c r="AZ352" s="6">
        <f>[1]Hybrid!AY45</f>
        <v>3.7726552670000002</v>
      </c>
      <c r="BA352" s="6">
        <f>[1]Hybrid!AZ45</f>
        <v>3.62390868</v>
      </c>
      <c r="BB352" s="6">
        <f>[1]Hybrid!BA45</f>
        <v>3.2957326619999998</v>
      </c>
      <c r="BC352" s="6">
        <f>[1]Hybrid!BB45</f>
        <v>3.16432365</v>
      </c>
      <c r="BD352" s="6">
        <f>[1]Hybrid!BC45</f>
        <v>3.0380470530000001</v>
      </c>
      <c r="BE352" s="6">
        <f>[1]Hybrid!BD45</f>
        <v>2.9167280400000002</v>
      </c>
      <c r="BF352" s="6">
        <f>[1]Hybrid!BE45</f>
        <v>2.8001923290000001</v>
      </c>
    </row>
    <row r="353" spans="1:58" x14ac:dyDescent="0.35">
      <c r="B353" s="6" t="str">
        <f>[1]Hybrid!A47</f>
        <v>auto_ca_cgas_0</v>
      </c>
      <c r="C353" s="6">
        <f>[1]Hybrid!B47</f>
        <v>0.42568169729999999</v>
      </c>
      <c r="D353" s="6">
        <f>[1]Hybrid!C47</f>
        <v>0.44962451019999999</v>
      </c>
      <c r="E353" s="6">
        <f>[1]Hybrid!D47</f>
        <v>0.47671073530000002</v>
      </c>
      <c r="F353" s="6">
        <f>[1]Hybrid!E47</f>
        <v>0.50567802669999995</v>
      </c>
      <c r="G353" s="6">
        <f>[1]Hybrid!F47</f>
        <v>0.53570416629999995</v>
      </c>
      <c r="H353" s="6">
        <f>[1]Hybrid!G47</f>
        <v>0.566272895</v>
      </c>
      <c r="I353" s="6">
        <f>[1]Hybrid!H47</f>
        <v>0.59697095710000003</v>
      </c>
      <c r="J353" s="6">
        <f>[1]Hybrid!I47</f>
        <v>0.62760516040000003</v>
      </c>
      <c r="K353" s="6">
        <f>[1]Hybrid!J47</f>
        <v>0.65806000340000004</v>
      </c>
      <c r="L353" s="6">
        <f>[1]Hybrid!K47</f>
        <v>0.68826724319999999</v>
      </c>
      <c r="M353" s="6">
        <f>[1]Hybrid!L47</f>
        <v>0.7183626796</v>
      </c>
      <c r="N353" s="6">
        <f>[1]Hybrid!M47</f>
        <v>0.74814208370000002</v>
      </c>
      <c r="O353" s="6">
        <f>[1]Hybrid!N47</f>
        <v>0.77758620099999998</v>
      </c>
      <c r="P353" s="6">
        <f>[1]Hybrid!O47</f>
        <v>0.80667972980000002</v>
      </c>
      <c r="Q353" s="6">
        <f>[1]Hybrid!P47</f>
        <v>0.83541324640000003</v>
      </c>
      <c r="R353" s="6">
        <f>[1]Hybrid!Q47</f>
        <v>0.8637828944</v>
      </c>
      <c r="S353" s="6">
        <f>[1]Hybrid!R47</f>
        <v>0.89178940309999999</v>
      </c>
      <c r="T353" s="6">
        <f>[1]Hybrid!S47</f>
        <v>0.91943703929999998</v>
      </c>
      <c r="U353" s="6">
        <f>[1]Hybrid!T47</f>
        <v>0.94673274119999995</v>
      </c>
      <c r="V353" s="6">
        <f>[1]Hybrid!U47</f>
        <v>0.97368550659999997</v>
      </c>
      <c r="W353" s="6">
        <f>[1]Hybrid!V47</f>
        <v>1.000167568</v>
      </c>
      <c r="X353" s="6">
        <f>[1]Hybrid!W47</f>
        <v>1.026334834</v>
      </c>
      <c r="Y353" s="6">
        <f>[1]Hybrid!X47</f>
        <v>1.052203996</v>
      </c>
      <c r="Z353" s="6">
        <f>[1]Hybrid!Y47</f>
        <v>1.077794283</v>
      </c>
      <c r="AA353" s="6">
        <f>[1]Hybrid!Z47</f>
        <v>1.1031245009999999</v>
      </c>
      <c r="AB353" s="6">
        <f>[1]Hybrid!AA47</f>
        <v>1.127807389</v>
      </c>
      <c r="AC353" s="6">
        <f>[1]Hybrid!AB47</f>
        <v>1.1520897969999999</v>
      </c>
      <c r="AD353" s="6">
        <f>[1]Hybrid!AC47</f>
        <v>1.1760036970000001</v>
      </c>
      <c r="AE353" s="6">
        <f>[1]Hybrid!AD47</f>
        <v>1.1995893950000001</v>
      </c>
      <c r="AF353" s="6">
        <f>[1]Hybrid!AE47</f>
        <v>1.222889028</v>
      </c>
      <c r="AG353" s="6">
        <f>[1]Hybrid!AF47</f>
        <v>1.2459432800000001</v>
      </c>
      <c r="AH353" s="6">
        <f>[1]Hybrid!AG47</f>
        <v>1.268789902</v>
      </c>
      <c r="AI353" s="6">
        <f>[1]Hybrid!AH47</f>
        <v>1.2914633149999999</v>
      </c>
      <c r="AJ353" s="6">
        <f>[1]Hybrid!AI47</f>
        <v>1.313994809</v>
      </c>
      <c r="AK353" s="6">
        <f>[1]Hybrid!AJ47</f>
        <v>1.3364130169999999</v>
      </c>
      <c r="AL353" s="6">
        <f>[1]Hybrid!AK47</f>
        <v>1.358744422</v>
      </c>
      <c r="AM353" s="6">
        <f>[1]Hybrid!AL47</f>
        <v>1.3809145949999999</v>
      </c>
      <c r="AN353" s="6">
        <f>[1]Hybrid!AM47</f>
        <v>1.4029503029999999</v>
      </c>
      <c r="AO353" s="6">
        <f>[1]Hybrid!AN47</f>
        <v>1.4248794010000001</v>
      </c>
      <c r="AP353" s="6">
        <f>[1]Hybrid!AO47</f>
        <v>1.446731752</v>
      </c>
      <c r="AQ353" s="6">
        <f>[1]Hybrid!AP47</f>
        <v>1.468538071</v>
      </c>
      <c r="AR353" s="6">
        <f>[1]Hybrid!AQ47</f>
        <v>1.4903284960000001</v>
      </c>
      <c r="AS353" s="6">
        <f>[1]Hybrid!AR47</f>
        <v>1.5121314969999999</v>
      </c>
      <c r="AT353" s="6">
        <f>[1]Hybrid!AS47</f>
        <v>1.5339732340000001</v>
      </c>
      <c r="AU353" s="6">
        <f>[1]Hybrid!AT47</f>
        <v>1.5558773260000001</v>
      </c>
      <c r="AV353" s="6">
        <f>[1]Hybrid!AU47</f>
        <v>1.577864903</v>
      </c>
      <c r="AW353" s="6">
        <f>[1]Hybrid!AV47</f>
        <v>1.599963832</v>
      </c>
      <c r="AX353" s="6">
        <f>[1]Hybrid!AW47</f>
        <v>1.6221906939999999</v>
      </c>
      <c r="AY353" s="6">
        <f>[1]Hybrid!AX47</f>
        <v>1.644560179</v>
      </c>
      <c r="AZ353" s="6">
        <f>[1]Hybrid!AY47</f>
        <v>1.6670851419999999</v>
      </c>
      <c r="BA353" s="6">
        <f>[1]Hybrid!AZ47</f>
        <v>1.689776881</v>
      </c>
      <c r="BB353" s="6">
        <f>[1]Hybrid!BA47</f>
        <v>1.797599926</v>
      </c>
      <c r="BC353" s="6">
        <f>[1]Hybrid!BB47</f>
        <v>1.825674359</v>
      </c>
      <c r="BD353" s="6">
        <f>[1]Hybrid!BC47</f>
        <v>1.8541047100000001</v>
      </c>
      <c r="BE353" s="6">
        <f>[1]Hybrid!BD47</f>
        <v>1.8829160920000001</v>
      </c>
      <c r="BF353" s="6">
        <f>[1]Hybrid!BE47</f>
        <v>1.9121352410000001</v>
      </c>
    </row>
    <row r="354" spans="1:58" x14ac:dyDescent="0.35">
      <c r="B354" s="6" t="str">
        <f>[1]Hybrid!A49</f>
        <v>auto_cb_cgas_0</v>
      </c>
      <c r="C354" s="6">
        <f>[1]Hybrid!B49</f>
        <v>0.49500522540000003</v>
      </c>
      <c r="D354" s="6">
        <f>[1]Hybrid!C49</f>
        <v>0.51254167399999995</v>
      </c>
      <c r="E354" s="6">
        <f>[1]Hybrid!D49</f>
        <v>0.53334117869999997</v>
      </c>
      <c r="F354" s="6">
        <f>[1]Hybrid!E49</f>
        <v>0.55614763499999997</v>
      </c>
      <c r="G354" s="6">
        <f>[1]Hybrid!F49</f>
        <v>0.58013773059999996</v>
      </c>
      <c r="H354" s="6">
        <f>[1]Hybrid!G49</f>
        <v>0.60478809069999995</v>
      </c>
      <c r="I354" s="6">
        <f>[1]Hybrid!H49</f>
        <v>0.62967927940000001</v>
      </c>
      <c r="J354" s="6">
        <f>[1]Hybrid!I49</f>
        <v>0.65460522480000005</v>
      </c>
      <c r="K354" s="6">
        <f>[1]Hybrid!J49</f>
        <v>0.6794363994</v>
      </c>
      <c r="L354" s="6">
        <f>[1]Hybrid!K49</f>
        <v>0.70409014400000003</v>
      </c>
      <c r="M354" s="6">
        <f>[1]Hybrid!L49</f>
        <v>0.72867686259999997</v>
      </c>
      <c r="N354" s="6">
        <f>[1]Hybrid!M49</f>
        <v>0.75298886819999999</v>
      </c>
      <c r="O354" s="6">
        <f>[1]Hybrid!N49</f>
        <v>0.77699386989999997</v>
      </c>
      <c r="P354" s="6">
        <f>[1]Hybrid!O49</f>
        <v>0.80066450010000001</v>
      </c>
      <c r="Q354" s="6">
        <f>[1]Hybrid!P49</f>
        <v>0.82397993709999995</v>
      </c>
      <c r="R354" s="6">
        <f>[1]Hybrid!Q49</f>
        <v>0.84692546040000005</v>
      </c>
      <c r="S354" s="6">
        <f>[1]Hybrid!R49</f>
        <v>0.86949141299999999</v>
      </c>
      <c r="T354" s="6">
        <f>[1]Hybrid!S49</f>
        <v>0.89167212730000001</v>
      </c>
      <c r="U354" s="6">
        <f>[1]Hybrid!T49</f>
        <v>0.91346503229999998</v>
      </c>
      <c r="V354" s="6">
        <f>[1]Hybrid!U49</f>
        <v>0.93487000490000005</v>
      </c>
      <c r="W354" s="6">
        <f>[1]Hybrid!V49</f>
        <v>0.95576339160000001</v>
      </c>
      <c r="X354" s="6">
        <f>[1]Hybrid!W49</f>
        <v>0.97628006879999996</v>
      </c>
      <c r="Y354" s="6">
        <f>[1]Hybrid!X49</f>
        <v>0.99642819930000004</v>
      </c>
      <c r="Z354" s="6">
        <f>[1]Hybrid!Y49</f>
        <v>1.0162183760000001</v>
      </c>
      <c r="AA354" s="6">
        <f>[1]Hybrid!Z49</f>
        <v>1.0356609400000001</v>
      </c>
      <c r="AB354" s="6">
        <f>[1]Hybrid!AA49</f>
        <v>1.0544049179999999</v>
      </c>
      <c r="AC354" s="6">
        <f>[1]Hybrid!AB49</f>
        <v>1.072667195</v>
      </c>
      <c r="AD354" s="6">
        <f>[1]Hybrid!AC49</f>
        <v>1.0904722360000001</v>
      </c>
      <c r="AE354" s="6">
        <f>[1]Hybrid!AD49</f>
        <v>1.1078516199999999</v>
      </c>
      <c r="AF354" s="6">
        <f>[1]Hybrid!AE49</f>
        <v>1.1248381860000001</v>
      </c>
      <c r="AG354" s="6">
        <f>[1]Hybrid!AF49</f>
        <v>1.141463127</v>
      </c>
      <c r="AH354" s="6">
        <f>[1]Hybrid!AG49</f>
        <v>1.157754709</v>
      </c>
      <c r="AI354" s="6">
        <f>[1]Hybrid!AH49</f>
        <v>1.173737941</v>
      </c>
      <c r="AJ354" s="6">
        <f>[1]Hybrid!AI49</f>
        <v>1.1894347729999999</v>
      </c>
      <c r="AK354" s="6">
        <f>[1]Hybrid!AJ49</f>
        <v>1.204864529</v>
      </c>
      <c r="AL354" s="6">
        <f>[1]Hybrid!AK49</f>
        <v>1.220044372</v>
      </c>
      <c r="AM354" s="6">
        <f>[1]Hybrid!AL49</f>
        <v>1.2349054660000001</v>
      </c>
      <c r="AN354" s="6">
        <f>[1]Hybrid!AM49</f>
        <v>1.2494657769999999</v>
      </c>
      <c r="AO354" s="6">
        <f>[1]Hybrid!AN49</f>
        <v>1.2637439829999999</v>
      </c>
      <c r="AP354" s="6">
        <f>[1]Hybrid!AO49</f>
        <v>1.277760139</v>
      </c>
      <c r="AQ354" s="6">
        <f>[1]Hybrid!AP49</f>
        <v>1.291534626</v>
      </c>
      <c r="AR354" s="6">
        <f>[1]Hybrid!AQ49</f>
        <v>1.305086931</v>
      </c>
      <c r="AS354" s="6">
        <f>[1]Hybrid!AR49</f>
        <v>1.318434734</v>
      </c>
      <c r="AT354" s="6">
        <f>[1]Hybrid!AS49</f>
        <v>1.3315933959999999</v>
      </c>
      <c r="AU354" s="6">
        <f>[1]Hybrid!AT49</f>
        <v>1.344575796</v>
      </c>
      <c r="AV354" s="6">
        <f>[1]Hybrid!AU49</f>
        <v>1.357392406</v>
      </c>
      <c r="AW354" s="6">
        <f>[1]Hybrid!AV49</f>
        <v>1.3700587580000001</v>
      </c>
      <c r="AX354" s="6">
        <f>[1]Hybrid!AW49</f>
        <v>1.382580833</v>
      </c>
      <c r="AY354" s="6">
        <f>[1]Hybrid!AX49</f>
        <v>1.3949627689999999</v>
      </c>
      <c r="AZ354" s="6">
        <f>[1]Hybrid!AY49</f>
        <v>1.407206951</v>
      </c>
      <c r="BA354" s="6">
        <f>[1]Hybrid!AZ49</f>
        <v>1.419314263</v>
      </c>
      <c r="BB354" s="6">
        <f>[1]Hybrid!BA49</f>
        <v>1.49953493</v>
      </c>
      <c r="BC354" s="6">
        <f>[1]Hybrid!BB49</f>
        <v>1.515156978</v>
      </c>
      <c r="BD354" s="6">
        <f>[1]Hybrid!BC49</f>
        <v>1.5307466949999999</v>
      </c>
      <c r="BE354" s="6">
        <f>[1]Hybrid!BD49</f>
        <v>1.5463146320000001</v>
      </c>
      <c r="BF354" s="6">
        <f>[1]Hybrid!BE49</f>
        <v>1.561872156</v>
      </c>
    </row>
    <row r="355" spans="1:58" x14ac:dyDescent="0.35">
      <c r="B355" s="6" t="str">
        <f>[1]Hybrid!A51</f>
        <v>auto_cc_cgas_0</v>
      </c>
      <c r="C355" s="6">
        <f>[1]Hybrid!B51</f>
        <v>0.40659851759999999</v>
      </c>
      <c r="D355" s="6">
        <f>[1]Hybrid!C51</f>
        <v>0.41470220229999999</v>
      </c>
      <c r="E355" s="6">
        <f>[1]Hybrid!D51</f>
        <v>0.42525139719999999</v>
      </c>
      <c r="F355" s="6">
        <f>[1]Hybrid!E51</f>
        <v>0.43734559220000002</v>
      </c>
      <c r="G355" s="6">
        <f>[1]Hybrid!F51</f>
        <v>0.45039109240000003</v>
      </c>
      <c r="H355" s="6">
        <f>[1]Hybrid!G51</f>
        <v>0.464006223</v>
      </c>
      <c r="I355" s="6">
        <f>[1]Hybrid!H51</f>
        <v>0.4778848268</v>
      </c>
      <c r="J355" s="6">
        <f>[1]Hybrid!I51</f>
        <v>0.49186996389999998</v>
      </c>
      <c r="K355" s="6">
        <f>[1]Hybrid!J51</f>
        <v>0.50585910369999998</v>
      </c>
      <c r="L355" s="6">
        <f>[1]Hybrid!K51</f>
        <v>0.51978326399999997</v>
      </c>
      <c r="M355" s="6">
        <f>[1]Hybrid!L51</f>
        <v>0.53370530869999999</v>
      </c>
      <c r="N355" s="6">
        <f>[1]Hybrid!M51</f>
        <v>0.54747362200000005</v>
      </c>
      <c r="O355" s="6">
        <f>[1]Hybrid!N51</f>
        <v>0.56105661480000002</v>
      </c>
      <c r="P355" s="6">
        <f>[1]Hybrid!O51</f>
        <v>0.57442694900000002</v>
      </c>
      <c r="Q355" s="6">
        <f>[1]Hybrid!P51</f>
        <v>0.58756250769999996</v>
      </c>
      <c r="R355" s="6">
        <f>[1]Hybrid!Q51</f>
        <v>0.60044598719999998</v>
      </c>
      <c r="S355" s="6">
        <f>[1]Hybrid!R51</f>
        <v>0.61306411449999998</v>
      </c>
      <c r="T355" s="6">
        <f>[1]Hybrid!S51</f>
        <v>0.62540685549999997</v>
      </c>
      <c r="U355" s="6">
        <f>[1]Hybrid!T51</f>
        <v>0.63746675549999998</v>
      </c>
      <c r="V355" s="6">
        <f>[1]Hybrid!U51</f>
        <v>0.64923844819999998</v>
      </c>
      <c r="W355" s="6">
        <f>[1]Hybrid!V51</f>
        <v>0.66063617330000002</v>
      </c>
      <c r="X355" s="6">
        <f>[1]Hybrid!W51</f>
        <v>0.67174424180000003</v>
      </c>
      <c r="Y355" s="6">
        <f>[1]Hybrid!X51</f>
        <v>0.6825638571</v>
      </c>
      <c r="Z355" s="6">
        <f>[1]Hybrid!Y51</f>
        <v>0.69309799480000001</v>
      </c>
      <c r="AA355" s="6">
        <f>[1]Hybrid!Z51</f>
        <v>0.70334964789999999</v>
      </c>
      <c r="AB355" s="6">
        <f>[1]Hybrid!AA51</f>
        <v>0.71308992000000004</v>
      </c>
      <c r="AC355" s="6">
        <f>[1]Hybrid!AB51</f>
        <v>0.7224569179</v>
      </c>
      <c r="AD355" s="6">
        <f>[1]Hybrid!AC51</f>
        <v>0.73146450240000005</v>
      </c>
      <c r="AE355" s="6">
        <f>[1]Hybrid!AD51</f>
        <v>0.74013099019999995</v>
      </c>
      <c r="AF355" s="6">
        <f>[1]Hybrid!AE51</f>
        <v>0.74847536039999996</v>
      </c>
      <c r="AG355" s="6">
        <f>[1]Hybrid!AF51</f>
        <v>0.75651540740000001</v>
      </c>
      <c r="AH355" s="6">
        <f>[1]Hybrid!AG51</f>
        <v>0.76426694019999997</v>
      </c>
      <c r="AI355" s="6">
        <f>[1]Hybrid!AH51</f>
        <v>0.77174359429999995</v>
      </c>
      <c r="AJ355" s="6">
        <f>[1]Hybrid!AI51</f>
        <v>0.77895697939999997</v>
      </c>
      <c r="AK355" s="6">
        <f>[1]Hybrid!AJ51</f>
        <v>0.78591696830000002</v>
      </c>
      <c r="AL355" s="6">
        <f>[1]Hybrid!AK51</f>
        <v>0.79263200889999996</v>
      </c>
      <c r="AM355" s="6">
        <f>[1]Hybrid!AL51</f>
        <v>0.7990577512</v>
      </c>
      <c r="AN355" s="6">
        <f>[1]Hybrid!AM51</f>
        <v>0.80520370159999999</v>
      </c>
      <c r="AO355" s="6">
        <f>[1]Hybrid!AN51</f>
        <v>0.81107978530000002</v>
      </c>
      <c r="AP355" s="6">
        <f>[1]Hybrid!AO51</f>
        <v>0.81669668760000003</v>
      </c>
      <c r="AQ355" s="6">
        <f>[1]Hybrid!AP51</f>
        <v>0.8220651792</v>
      </c>
      <c r="AR355" s="6">
        <f>[1]Hybrid!AQ51</f>
        <v>0.82719536709999997</v>
      </c>
      <c r="AS355" s="6">
        <f>[1]Hybrid!AR51</f>
        <v>0.83209615439999995</v>
      </c>
      <c r="AT355" s="6">
        <f>[1]Hybrid!AS51</f>
        <v>0.83677495440000005</v>
      </c>
      <c r="AU355" s="6">
        <f>[1]Hybrid!AT51</f>
        <v>0.84123761750000003</v>
      </c>
      <c r="AV355" s="6">
        <f>[1]Hybrid!AU51</f>
        <v>0.84548850310000001</v>
      </c>
      <c r="AW355" s="6">
        <f>[1]Hybrid!AV51</f>
        <v>0.84953485650000005</v>
      </c>
      <c r="AX355" s="6">
        <f>[1]Hybrid!AW51</f>
        <v>0.85337825779999998</v>
      </c>
      <c r="AY355" s="6">
        <f>[1]Hybrid!AX51</f>
        <v>0.85701920580000002</v>
      </c>
      <c r="AZ355" s="6">
        <f>[1]Hybrid!AY51</f>
        <v>0.86045719639999996</v>
      </c>
      <c r="BA355" s="6">
        <f>[1]Hybrid!AZ51</f>
        <v>0.86369089809999999</v>
      </c>
      <c r="BB355" s="6">
        <f>[1]Hybrid!BA51</f>
        <v>0.90626562889999995</v>
      </c>
      <c r="BC355" s="6">
        <f>[1]Hybrid!BB51</f>
        <v>0.91114016870000003</v>
      </c>
      <c r="BD355" s="6">
        <f>[1]Hybrid!BC51</f>
        <v>0.91585367900000003</v>
      </c>
      <c r="BE355" s="6">
        <f>[1]Hybrid!BD51</f>
        <v>0.92041032209999996</v>
      </c>
      <c r="BF355" s="6">
        <f>[1]Hybrid!BE51</f>
        <v>0.92481464719999995</v>
      </c>
    </row>
    <row r="356" spans="1:58" x14ac:dyDescent="0.35">
      <c r="B356" s="6" t="str">
        <f>[1]Hybrid!A53</f>
        <v>auto_cd_cgas_0</v>
      </c>
      <c r="C356" s="6">
        <f>[1]Hybrid!B53</f>
        <v>0.2495444651</v>
      </c>
      <c r="D356" s="6">
        <f>[1]Hybrid!C53</f>
        <v>0.25242828470000001</v>
      </c>
      <c r="E356" s="6">
        <f>[1]Hybrid!D53</f>
        <v>0.25660192170000001</v>
      </c>
      <c r="F356" s="6">
        <f>[1]Hybrid!E53</f>
        <v>0.26152336469999998</v>
      </c>
      <c r="G356" s="6">
        <f>[1]Hybrid!F53</f>
        <v>0.26683808040000001</v>
      </c>
      <c r="H356" s="6">
        <f>[1]Hybrid!G53</f>
        <v>0.27231908830000001</v>
      </c>
      <c r="I356" s="6">
        <f>[1]Hybrid!H53</f>
        <v>0.2777889838</v>
      </c>
      <c r="J356" s="6">
        <f>[1]Hybrid!I53</f>
        <v>0.2831555368</v>
      </c>
      <c r="K356" s="6">
        <f>[1]Hybrid!J53</f>
        <v>0.28835885900000002</v>
      </c>
      <c r="L356" s="6">
        <f>[1]Hybrid!K53</f>
        <v>0.29335906750000001</v>
      </c>
      <c r="M356" s="6">
        <f>[1]Hybrid!L53</f>
        <v>0.29818389769999998</v>
      </c>
      <c r="N356" s="6">
        <f>[1]Hybrid!M53</f>
        <v>0.30275479529999999</v>
      </c>
      <c r="O356" s="6">
        <f>[1]Hybrid!N53</f>
        <v>0.30705527490000001</v>
      </c>
      <c r="P356" s="6">
        <f>[1]Hybrid!O53</f>
        <v>0.31107217840000001</v>
      </c>
      <c r="Q356" s="6">
        <f>[1]Hybrid!P53</f>
        <v>0.31479590839999999</v>
      </c>
      <c r="R356" s="6">
        <f>[1]Hybrid!Q53</f>
        <v>0.31822002519999998</v>
      </c>
      <c r="S356" s="6">
        <f>[1]Hybrid!R53</f>
        <v>0.32134071390000002</v>
      </c>
      <c r="T356" s="6">
        <f>[1]Hybrid!S53</f>
        <v>0.32415628670000002</v>
      </c>
      <c r="U356" s="6">
        <f>[1]Hybrid!T53</f>
        <v>0.3266667694</v>
      </c>
      <c r="V356" s="6">
        <f>[1]Hybrid!U53</f>
        <v>0.32887358119999999</v>
      </c>
      <c r="W356" s="6">
        <f>[1]Hybrid!V53</f>
        <v>0.3307440895</v>
      </c>
      <c r="X356" s="6">
        <f>[1]Hybrid!W53</f>
        <v>0.3323199275</v>
      </c>
      <c r="Y356" s="6">
        <f>[1]Hybrid!X53</f>
        <v>0.33360632880000002</v>
      </c>
      <c r="Z356" s="6">
        <f>[1]Hybrid!Y53</f>
        <v>0.33460929519999999</v>
      </c>
      <c r="AA356" s="6">
        <f>[1]Hybrid!Z53</f>
        <v>0.33533487839999998</v>
      </c>
      <c r="AB356" s="6">
        <f>[1]Hybrid!AA53</f>
        <v>0.33569778119999999</v>
      </c>
      <c r="AC356" s="6">
        <f>[1]Hybrid!AB53</f>
        <v>0.33576115179999999</v>
      </c>
      <c r="AD356" s="6">
        <f>[1]Hybrid!AC53</f>
        <v>0.3355376746</v>
      </c>
      <c r="AE356" s="6">
        <f>[1]Hybrid!AD53</f>
        <v>0.33504132959999999</v>
      </c>
      <c r="AF356" s="6">
        <f>[1]Hybrid!AE53</f>
        <v>0.3342858802</v>
      </c>
      <c r="AG356" s="6">
        <f>[1]Hybrid!AF53</f>
        <v>0.33328421520000001</v>
      </c>
      <c r="AH356" s="6">
        <f>[1]Hybrid!AG53</f>
        <v>0.33204811670000001</v>
      </c>
      <c r="AI356" s="6">
        <f>[1]Hybrid!AH53</f>
        <v>0.33058826070000003</v>
      </c>
      <c r="AJ356" s="6">
        <f>[1]Hybrid!AI53</f>
        <v>0.32891433710000001</v>
      </c>
      <c r="AK356" s="6">
        <f>[1]Hybrid!AJ53</f>
        <v>0.32703521410000003</v>
      </c>
      <c r="AL356" s="6">
        <f>[1]Hybrid!AK53</f>
        <v>0.32495910420000002</v>
      </c>
      <c r="AM356" s="6">
        <f>[1]Hybrid!AL53</f>
        <v>0.32267721500000002</v>
      </c>
      <c r="AN356" s="6">
        <f>[1]Hybrid!AM53</f>
        <v>0.32019884830000001</v>
      </c>
      <c r="AO356" s="6">
        <f>[1]Hybrid!AN53</f>
        <v>0.31753336650000002</v>
      </c>
      <c r="AP356" s="6">
        <f>[1]Hybrid!AO53</f>
        <v>0.31469022400000002</v>
      </c>
      <c r="AQ356" s="6">
        <f>[1]Hybrid!AP53</f>
        <v>0.31167872400000002</v>
      </c>
      <c r="AR356" s="6">
        <f>[1]Hybrid!AQ53</f>
        <v>0.30850779789999999</v>
      </c>
      <c r="AS356" s="6">
        <f>[1]Hybrid!AR53</f>
        <v>0.305185875</v>
      </c>
      <c r="AT356" s="6">
        <f>[1]Hybrid!AS53</f>
        <v>0.30172084269999999</v>
      </c>
      <c r="AU356" s="6">
        <f>[1]Hybrid!AT53</f>
        <v>0.29812007010000002</v>
      </c>
      <c r="AV356" s="6">
        <f>[1]Hybrid!AU53</f>
        <v>0.2943904725</v>
      </c>
      <c r="AW356" s="6">
        <f>[1]Hybrid!AV53</f>
        <v>0.2905396616</v>
      </c>
      <c r="AX356" s="6">
        <f>[1]Hybrid!AW53</f>
        <v>0.28657374140000003</v>
      </c>
      <c r="AY356" s="6">
        <f>[1]Hybrid!AX53</f>
        <v>0.28249857880000001</v>
      </c>
      <c r="AZ356" s="6">
        <f>[1]Hybrid!AY53</f>
        <v>0.27831985640000001</v>
      </c>
      <c r="BA356" s="6">
        <f>[1]Hybrid!AZ53</f>
        <v>0.27404314239999999</v>
      </c>
      <c r="BB356" s="6">
        <f>[1]Hybrid!BA53</f>
        <v>0.27612346450000003</v>
      </c>
      <c r="BC356" s="6">
        <f>[1]Hybrid!BB53</f>
        <v>0.2717945819</v>
      </c>
      <c r="BD356" s="6">
        <f>[1]Hybrid!BC53</f>
        <v>0.26737305779999998</v>
      </c>
      <c r="BE356" s="6">
        <f>[1]Hybrid!BD53</f>
        <v>0.26286532150000003</v>
      </c>
      <c r="BF356" s="6">
        <f>[1]Hybrid!BE53</f>
        <v>0.25827777819999997</v>
      </c>
    </row>
    <row r="357" spans="1:58" x14ac:dyDescent="0.35">
      <c r="B357" s="6" t="str">
        <f>[1]Hybrid!A55</f>
        <v>auto_ce_cgas_0</v>
      </c>
      <c r="C357" s="6">
        <f>[1]Hybrid!B55</f>
        <v>0.15020246549999999</v>
      </c>
      <c r="D357" s="6">
        <f>[1]Hybrid!C55</f>
        <v>0.1521301739</v>
      </c>
      <c r="E357" s="6">
        <f>[1]Hybrid!D55</f>
        <v>0.15475126280000001</v>
      </c>
      <c r="F357" s="6">
        <f>[1]Hybrid!E55</f>
        <v>0.15771474069999999</v>
      </c>
      <c r="G357" s="6">
        <f>[1]Hybrid!F55</f>
        <v>0.16079482749999999</v>
      </c>
      <c r="H357" s="6">
        <f>[1]Hybrid!G55</f>
        <v>0.16384985220000001</v>
      </c>
      <c r="I357" s="6">
        <f>[1]Hybrid!H55</f>
        <v>0.16677285550000001</v>
      </c>
      <c r="J357" s="6">
        <f>[1]Hybrid!I55</f>
        <v>0.1695105767</v>
      </c>
      <c r="K357" s="6">
        <f>[1]Hybrid!J55</f>
        <v>0.17203074360000001</v>
      </c>
      <c r="L357" s="6">
        <f>[1]Hybrid!K55</f>
        <v>0.1743140363</v>
      </c>
      <c r="M357" s="6">
        <f>[1]Hybrid!L55</f>
        <v>0.17637991350000001</v>
      </c>
      <c r="N357" s="6">
        <f>[1]Hybrid!M55</f>
        <v>0.1781887053</v>
      </c>
      <c r="O357" s="6">
        <f>[1]Hybrid!N55</f>
        <v>0.17973650960000001</v>
      </c>
      <c r="P357" s="6">
        <f>[1]Hybrid!O55</f>
        <v>0.18102179260000001</v>
      </c>
      <c r="Q357" s="6">
        <f>[1]Hybrid!P55</f>
        <v>0.18204536860000001</v>
      </c>
      <c r="R357" s="6">
        <f>[1]Hybrid!Q55</f>
        <v>0.1828100554</v>
      </c>
      <c r="S357" s="6">
        <f>[1]Hybrid!R55</f>
        <v>0.1833202917</v>
      </c>
      <c r="T357" s="6">
        <f>[1]Hybrid!S55</f>
        <v>0.18358179450000001</v>
      </c>
      <c r="U357" s="6">
        <f>[1]Hybrid!T55</f>
        <v>0.1836012776</v>
      </c>
      <c r="V357" s="6">
        <f>[1]Hybrid!U55</f>
        <v>0.18338622769999999</v>
      </c>
      <c r="W357" s="6">
        <f>[1]Hybrid!V55</f>
        <v>0.18292756139999999</v>
      </c>
      <c r="X357" s="6">
        <f>[1]Hybrid!W55</f>
        <v>0.1822528608</v>
      </c>
      <c r="Y357" s="6">
        <f>[1]Hybrid!X55</f>
        <v>0.18137143889999999</v>
      </c>
      <c r="Z357" s="6">
        <f>[1]Hybrid!Y55</f>
        <v>0.18029282429999999</v>
      </c>
      <c r="AA357" s="6">
        <f>[1]Hybrid!Z55</f>
        <v>0.1790264255</v>
      </c>
      <c r="AB357" s="6">
        <f>[1]Hybrid!AA55</f>
        <v>0.17754021440000001</v>
      </c>
      <c r="AC357" s="6">
        <f>[1]Hybrid!AB55</f>
        <v>0.17587063289999999</v>
      </c>
      <c r="AD357" s="6">
        <f>[1]Hybrid!AC55</f>
        <v>0.17403046210000001</v>
      </c>
      <c r="AE357" s="6">
        <f>[1]Hybrid!AD55</f>
        <v>0.17203266750000001</v>
      </c>
      <c r="AF357" s="6">
        <f>[1]Hybrid!AE55</f>
        <v>0.16988972499999999</v>
      </c>
      <c r="AG357" s="6">
        <f>[1]Hybrid!AF55</f>
        <v>0.16761336530000001</v>
      </c>
      <c r="AH357" s="6">
        <f>[1]Hybrid!AG55</f>
        <v>0.1652145136</v>
      </c>
      <c r="AI357" s="6">
        <f>[1]Hybrid!AH55</f>
        <v>0.1627033289</v>
      </c>
      <c r="AJ357" s="6">
        <f>[1]Hybrid!AI55</f>
        <v>0.1600892884</v>
      </c>
      <c r="AK357" s="6">
        <f>[1]Hybrid!AJ55</f>
        <v>0.15738128700000001</v>
      </c>
      <c r="AL357" s="6">
        <f>[1]Hybrid!AK55</f>
        <v>0.15458773100000001</v>
      </c>
      <c r="AM357" s="6">
        <f>[1]Hybrid!AL55</f>
        <v>0.15171045920000001</v>
      </c>
      <c r="AN357" s="6">
        <f>[1]Hybrid!AM55</f>
        <v>0.1487581976</v>
      </c>
      <c r="AO357" s="6">
        <f>[1]Hybrid!AN55</f>
        <v>0.14573948010000001</v>
      </c>
      <c r="AP357" s="6">
        <f>[1]Hybrid!AO55</f>
        <v>0.1426626362</v>
      </c>
      <c r="AQ357" s="6">
        <f>[1]Hybrid!AP55</f>
        <v>0.13953569430000001</v>
      </c>
      <c r="AR357" s="6">
        <f>[1]Hybrid!AQ55</f>
        <v>0.13636630890000001</v>
      </c>
      <c r="AS357" s="6">
        <f>[1]Hybrid!AR55</f>
        <v>0.13316172840000001</v>
      </c>
      <c r="AT357" s="6">
        <f>[1]Hybrid!AS55</f>
        <v>0.1299287965</v>
      </c>
      <c r="AU357" s="6">
        <f>[1]Hybrid!AT55</f>
        <v>0.12667397590000001</v>
      </c>
      <c r="AV357" s="6">
        <f>[1]Hybrid!AU55</f>
        <v>0.1234033824</v>
      </c>
      <c r="AW357" s="6">
        <f>[1]Hybrid!AV55</f>
        <v>0.120123145</v>
      </c>
      <c r="AX357" s="6">
        <f>[1]Hybrid!AW55</f>
        <v>0.1168387295</v>
      </c>
      <c r="AY357" s="6">
        <f>[1]Hybrid!AX55</f>
        <v>0.1135553514</v>
      </c>
      <c r="AZ357" s="6">
        <f>[1]Hybrid!AY55</f>
        <v>0.110277998</v>
      </c>
      <c r="BA357" s="6">
        <f>[1]Hybrid!AZ55</f>
        <v>0.1070114523</v>
      </c>
      <c r="BB357" s="6">
        <f>[1]Hybrid!BA55</f>
        <v>0.1053358968</v>
      </c>
      <c r="BC357" s="6">
        <f>[1]Hybrid!BB55</f>
        <v>0.1021107666</v>
      </c>
      <c r="BD357" s="6">
        <f>[1]Hybrid!BC55</f>
        <v>9.8906918499999996E-2</v>
      </c>
      <c r="BE357" s="6">
        <f>[1]Hybrid!BD55</f>
        <v>9.5728802700000004E-2</v>
      </c>
      <c r="BF357" s="6">
        <f>[1]Hybrid!BE55</f>
        <v>9.2580637699999996E-2</v>
      </c>
    </row>
    <row r="358" spans="1:58" x14ac:dyDescent="0.35">
      <c r="B358" s="6" t="str">
        <f>[1]Hybrid!A57</f>
        <v>auto_cf_cgas_0</v>
      </c>
      <c r="C358" s="6">
        <f>[1]Hybrid!B57</f>
        <v>7.4609436000000001E-2</v>
      </c>
      <c r="D358" s="6">
        <f>[1]Hybrid!C57</f>
        <v>7.5328545900000002E-2</v>
      </c>
      <c r="E358" s="6">
        <f>[1]Hybrid!D57</f>
        <v>7.6246810400000004E-2</v>
      </c>
      <c r="F358" s="6">
        <f>[1]Hybrid!E57</f>
        <v>7.7169642799999993E-2</v>
      </c>
      <c r="G358" s="6">
        <f>[1]Hybrid!F57</f>
        <v>7.7981432399999995E-2</v>
      </c>
      <c r="H358" s="6">
        <f>[1]Hybrid!G57</f>
        <v>7.86176861E-2</v>
      </c>
      <c r="I358" s="6">
        <f>[1]Hybrid!H57</f>
        <v>7.9038013200000007E-2</v>
      </c>
      <c r="J358" s="6">
        <f>[1]Hybrid!I57</f>
        <v>7.9230162500000006E-2</v>
      </c>
      <c r="K358" s="6">
        <f>[1]Hybrid!J57</f>
        <v>7.9193570899999996E-2</v>
      </c>
      <c r="L358" s="6">
        <f>[1]Hybrid!K57</f>
        <v>7.8934576699999995E-2</v>
      </c>
      <c r="M358" s="6">
        <f>[1]Hybrid!L57</f>
        <v>7.8473965800000003E-2</v>
      </c>
      <c r="N358" s="6">
        <f>[1]Hybrid!M57</f>
        <v>7.7812261300000005E-2</v>
      </c>
      <c r="O358" s="6">
        <f>[1]Hybrid!N57</f>
        <v>7.6963139299999997E-2</v>
      </c>
      <c r="P358" s="6">
        <f>[1]Hybrid!O57</f>
        <v>7.5941112500000005E-2</v>
      </c>
      <c r="Q358" s="6">
        <f>[1]Hybrid!P57</f>
        <v>7.4761250400000007E-2</v>
      </c>
      <c r="R358" s="6">
        <f>[1]Hybrid!Q57</f>
        <v>7.3438858100000004E-2</v>
      </c>
      <c r="S358" s="6">
        <f>[1]Hybrid!R57</f>
        <v>7.1989204000000001E-2</v>
      </c>
      <c r="T358" s="6">
        <f>[1]Hybrid!S57</f>
        <v>7.0427304100000004E-2</v>
      </c>
      <c r="U358" s="6">
        <f>[1]Hybrid!T57</f>
        <v>6.8767756799999996E-2</v>
      </c>
      <c r="V358" s="6">
        <f>[1]Hybrid!U57</f>
        <v>6.7024618600000002E-2</v>
      </c>
      <c r="W358" s="6">
        <f>[1]Hybrid!V57</f>
        <v>6.5207685799999998E-2</v>
      </c>
      <c r="X358" s="6">
        <f>[1]Hybrid!W57</f>
        <v>6.3334029900000005E-2</v>
      </c>
      <c r="Y358" s="6">
        <f>[1]Hybrid!X57</f>
        <v>6.14156888E-2</v>
      </c>
      <c r="Z358" s="6">
        <f>[1]Hybrid!Y57</f>
        <v>5.9463879599999998E-2</v>
      </c>
      <c r="AA358" s="6">
        <f>[1]Hybrid!Z57</f>
        <v>5.7488969000000001E-2</v>
      </c>
      <c r="AB358" s="6">
        <f>[1]Hybrid!AA57</f>
        <v>5.5493850400000003E-2</v>
      </c>
      <c r="AC358" s="6">
        <f>[1]Hybrid!AB57</f>
        <v>5.3492491599999997E-2</v>
      </c>
      <c r="AD358" s="6">
        <f>[1]Hybrid!AC57</f>
        <v>5.1493832000000003E-2</v>
      </c>
      <c r="AE358" s="6">
        <f>[1]Hybrid!AD57</f>
        <v>4.9505950200000003E-2</v>
      </c>
      <c r="AF358" s="6">
        <f>[1]Hybrid!AE57</f>
        <v>4.7536018200000002E-2</v>
      </c>
      <c r="AG358" s="6">
        <f>[1]Hybrid!AF57</f>
        <v>4.5590338799999998E-2</v>
      </c>
      <c r="AH358" s="6">
        <f>[1]Hybrid!AG57</f>
        <v>4.3674407700000001E-2</v>
      </c>
      <c r="AI358" s="6">
        <f>[1]Hybrid!AH57</f>
        <v>4.1792984700000001E-2</v>
      </c>
      <c r="AJ358" s="6">
        <f>[1]Hybrid!AI57</f>
        <v>3.9950163400000002E-2</v>
      </c>
      <c r="AK358" s="6">
        <f>[1]Hybrid!AJ57</f>
        <v>3.8149435299999999E-2</v>
      </c>
      <c r="AL358" s="6">
        <f>[1]Hybrid!AK57</f>
        <v>3.6393748599999998E-2</v>
      </c>
      <c r="AM358" s="6">
        <f>[1]Hybrid!AL57</f>
        <v>3.4685057499999998E-2</v>
      </c>
      <c r="AN358" s="6">
        <f>[1]Hybrid!AM57</f>
        <v>3.3025544900000002E-2</v>
      </c>
      <c r="AO358" s="6">
        <f>[1]Hybrid!AN57</f>
        <v>3.1416970099999997E-2</v>
      </c>
      <c r="AP358" s="6">
        <f>[1]Hybrid!AO57</f>
        <v>2.9860693099999999E-2</v>
      </c>
      <c r="AQ358" s="6">
        <f>[1]Hybrid!AP57</f>
        <v>2.8357698800000001E-2</v>
      </c>
      <c r="AR358" s="6">
        <f>[1]Hybrid!AQ57</f>
        <v>2.69086243E-2</v>
      </c>
      <c r="AS358" s="6">
        <f>[1]Hybrid!AR57</f>
        <v>2.55137899E-2</v>
      </c>
      <c r="AT358" s="6">
        <f>[1]Hybrid!AS57</f>
        <v>2.41732305E-2</v>
      </c>
      <c r="AU358" s="6">
        <f>[1]Hybrid!AT57</f>
        <v>2.2886726600000001E-2</v>
      </c>
      <c r="AV358" s="6">
        <f>[1]Hybrid!AU57</f>
        <v>2.1653832599999999E-2</v>
      </c>
      <c r="AW358" s="6">
        <f>[1]Hybrid!AV57</f>
        <v>2.0473916599999999E-2</v>
      </c>
      <c r="AX358" s="6">
        <f>[1]Hybrid!AW57</f>
        <v>1.9346155300000001E-2</v>
      </c>
      <c r="AY358" s="6">
        <f>[1]Hybrid!AX57</f>
        <v>1.8269574199999999E-2</v>
      </c>
      <c r="AZ358" s="6">
        <f>[1]Hybrid!AY57</f>
        <v>1.7243068899999998E-2</v>
      </c>
      <c r="BA358" s="6">
        <f>[1]Hybrid!AZ57</f>
        <v>1.6265423899999999E-2</v>
      </c>
      <c r="BB358" s="6">
        <f>[1]Hybrid!BA57</f>
        <v>1.52630786E-2</v>
      </c>
      <c r="BC358" s="6">
        <f>[1]Hybrid!BB57</f>
        <v>1.43817345E-2</v>
      </c>
      <c r="BD358" s="6">
        <f>[1]Hybrid!BC57</f>
        <v>1.35451741E-2</v>
      </c>
      <c r="BE358" s="6">
        <f>[1]Hybrid!BD57</f>
        <v>1.2751882000000001E-2</v>
      </c>
      <c r="BF358" s="6">
        <f>[1]Hybrid!BE57</f>
        <v>1.20003032E-2</v>
      </c>
    </row>
    <row r="359" spans="1:58" x14ac:dyDescent="0.35">
      <c r="B359" s="6" t="str">
        <f>[1]Hybrid!A59</f>
        <v>auto_cg_cgas_0</v>
      </c>
      <c r="C359" s="6">
        <f>[1]Hybrid!B59</f>
        <v>0.13435819299999999</v>
      </c>
      <c r="D359" s="6">
        <f>[1]Hybrid!C59</f>
        <v>0.13591961969999999</v>
      </c>
      <c r="E359" s="6">
        <f>[1]Hybrid!D59</f>
        <v>0.13760975519999999</v>
      </c>
      <c r="F359" s="6">
        <f>[1]Hybrid!E59</f>
        <v>0.1390407229</v>
      </c>
      <c r="G359" s="6">
        <f>[1]Hybrid!F59</f>
        <v>0.14000475649999999</v>
      </c>
      <c r="H359" s="6">
        <f>[1]Hybrid!G59</f>
        <v>0.1404068983</v>
      </c>
      <c r="I359" s="6">
        <f>[1]Hybrid!H59</f>
        <v>0.1402075686</v>
      </c>
      <c r="J359" s="6">
        <f>[1]Hybrid!I59</f>
        <v>0.1394214382</v>
      </c>
      <c r="K359" s="6">
        <f>[1]Hybrid!J59</f>
        <v>0.13808502959999999</v>
      </c>
      <c r="L359" s="6">
        <f>[1]Hybrid!K59</f>
        <v>0.1362461355</v>
      </c>
      <c r="M359" s="6">
        <f>[1]Hybrid!L59</f>
        <v>0.1339719221</v>
      </c>
      <c r="N359" s="6">
        <f>[1]Hybrid!M59</f>
        <v>0.13129902290000001</v>
      </c>
      <c r="O359" s="6">
        <f>[1]Hybrid!N59</f>
        <v>0.12828077630000001</v>
      </c>
      <c r="P359" s="6">
        <f>[1]Hybrid!O59</f>
        <v>0.1249689707</v>
      </c>
      <c r="Q359" s="6">
        <f>[1]Hybrid!P59</f>
        <v>0.1214131556</v>
      </c>
      <c r="R359" s="6">
        <f>[1]Hybrid!Q59</f>
        <v>0.1176600569</v>
      </c>
      <c r="S359" s="6">
        <f>[1]Hybrid!R59</f>
        <v>0.1137531842</v>
      </c>
      <c r="T359" s="6">
        <f>[1]Hybrid!S59</f>
        <v>0.1097326018</v>
      </c>
      <c r="U359" s="6">
        <f>[1]Hybrid!T59</f>
        <v>0.105634826</v>
      </c>
      <c r="V359" s="6">
        <f>[1]Hybrid!U59</f>
        <v>0.101492817</v>
      </c>
      <c r="W359" s="6">
        <f>[1]Hybrid!V59</f>
        <v>9.7332758500000005E-2</v>
      </c>
      <c r="X359" s="6">
        <f>[1]Hybrid!W59</f>
        <v>9.3184915500000007E-2</v>
      </c>
      <c r="Y359" s="6">
        <f>[1]Hybrid!X59</f>
        <v>8.9072153000000001E-2</v>
      </c>
      <c r="Z359" s="6">
        <f>[1]Hybrid!Y59</f>
        <v>8.50142287E-2</v>
      </c>
      <c r="AA359" s="6">
        <f>[1]Hybrid!Z59</f>
        <v>8.1028006799999996E-2</v>
      </c>
      <c r="AB359" s="6">
        <f>[1]Hybrid!AA59</f>
        <v>7.7122966000000001E-2</v>
      </c>
      <c r="AC359" s="6">
        <f>[1]Hybrid!AB59</f>
        <v>7.3315100899999999E-2</v>
      </c>
      <c r="AD359" s="6">
        <f>[1]Hybrid!AC59</f>
        <v>6.9614825399999997E-2</v>
      </c>
      <c r="AE359" s="6">
        <f>[1]Hybrid!AD59</f>
        <v>6.60303582E-2</v>
      </c>
      <c r="AF359" s="6">
        <f>[1]Hybrid!AE59</f>
        <v>6.2567914700000005E-2</v>
      </c>
      <c r="AG359" s="6">
        <f>[1]Hybrid!AF59</f>
        <v>5.9231940900000002E-2</v>
      </c>
      <c r="AH359" s="6">
        <f>[1]Hybrid!AG59</f>
        <v>5.60253452E-2</v>
      </c>
      <c r="AI359" s="6">
        <f>[1]Hybrid!AH59</f>
        <v>5.2949711400000002E-2</v>
      </c>
      <c r="AJ359" s="6">
        <f>[1]Hybrid!AI59</f>
        <v>5.0005490600000001E-2</v>
      </c>
      <c r="AK359" s="6">
        <f>[1]Hybrid!AJ59</f>
        <v>4.7192170899999997E-2</v>
      </c>
      <c r="AL359" s="6">
        <f>[1]Hybrid!AK59</f>
        <v>4.4508428000000003E-2</v>
      </c>
      <c r="AM359" s="6">
        <f>[1]Hybrid!AL59</f>
        <v>4.1952060499999999E-2</v>
      </c>
      <c r="AN359" s="6">
        <f>[1]Hybrid!AM59</f>
        <v>3.9520592299999997E-2</v>
      </c>
      <c r="AO359" s="6">
        <f>[1]Hybrid!AN59</f>
        <v>3.7211063000000003E-2</v>
      </c>
      <c r="AP359" s="6">
        <f>[1]Hybrid!AO59</f>
        <v>3.5020113999999998E-2</v>
      </c>
      <c r="AQ359" s="6">
        <f>[1]Hybrid!AP59</f>
        <v>3.2944067399999999E-2</v>
      </c>
      <c r="AR359" s="6">
        <f>[1]Hybrid!AQ59</f>
        <v>3.0978999100000001E-2</v>
      </c>
      <c r="AS359" s="6">
        <f>[1]Hybrid!AR59</f>
        <v>2.9120805100000001E-2</v>
      </c>
      <c r="AT359" s="6">
        <f>[1]Hybrid!AS59</f>
        <v>2.7365259400000001E-2</v>
      </c>
      <c r="AU359" s="6">
        <f>[1]Hybrid!AT59</f>
        <v>2.57080651E-2</v>
      </c>
      <c r="AV359" s="6">
        <f>[1]Hybrid!AU59</f>
        <v>2.41448984E-2</v>
      </c>
      <c r="AW359" s="6">
        <f>[1]Hybrid!AV59</f>
        <v>2.2671448399999999E-2</v>
      </c>
      <c r="AX359" s="6">
        <f>[1]Hybrid!AW59</f>
        <v>2.12834415E-2</v>
      </c>
      <c r="AY359" s="6">
        <f>[1]Hybrid!AX59</f>
        <v>1.9976672500000001E-2</v>
      </c>
      <c r="AZ359" s="6">
        <f>[1]Hybrid!AY59</f>
        <v>1.8747025600000002E-2</v>
      </c>
      <c r="BA359" s="6">
        <f>[1]Hybrid!AZ59</f>
        <v>1.7590491900000001E-2</v>
      </c>
      <c r="BB359" s="6">
        <f>[1]Hybrid!BA59</f>
        <v>1.6384401199999999E-2</v>
      </c>
      <c r="BC359" s="6">
        <f>[1]Hybrid!BB59</f>
        <v>1.53693497E-2</v>
      </c>
      <c r="BD359" s="6">
        <f>[1]Hybrid!BC59</f>
        <v>1.44158467E-2</v>
      </c>
      <c r="BE359" s="6">
        <f>[1]Hybrid!BD59</f>
        <v>1.35204174E-2</v>
      </c>
      <c r="BF359" s="6">
        <f>[1]Hybrid!BE59</f>
        <v>1.26797366E-2</v>
      </c>
    </row>
    <row r="361" spans="1:58" x14ac:dyDescent="0.35">
      <c r="A361" s="12" t="s">
        <v>90</v>
      </c>
      <c r="B361" t="s">
        <v>56</v>
      </c>
      <c r="C361" s="2">
        <v>42005</v>
      </c>
      <c r="D361" s="2">
        <v>42370</v>
      </c>
      <c r="E361" s="2">
        <v>42736</v>
      </c>
      <c r="F361" s="2">
        <v>43101</v>
      </c>
      <c r="G361" s="2">
        <v>43466</v>
      </c>
      <c r="H361" s="2">
        <v>43831</v>
      </c>
      <c r="I361" s="2">
        <v>44197</v>
      </c>
      <c r="J361" s="2">
        <v>44562</v>
      </c>
      <c r="K361" s="2">
        <v>44927</v>
      </c>
      <c r="L361" s="2">
        <v>45292</v>
      </c>
      <c r="M361" s="2">
        <v>45658</v>
      </c>
      <c r="N361" s="2">
        <v>46023</v>
      </c>
      <c r="O361" s="2">
        <v>46388</v>
      </c>
      <c r="P361" s="2">
        <v>46753</v>
      </c>
      <c r="Q361" s="2">
        <v>47119</v>
      </c>
      <c r="R361" s="2">
        <v>47484</v>
      </c>
      <c r="S361" s="2">
        <v>47849</v>
      </c>
      <c r="T361" s="2">
        <v>48214</v>
      </c>
      <c r="U361" s="2">
        <v>48580</v>
      </c>
      <c r="V361" s="2">
        <v>48945</v>
      </c>
      <c r="W361" s="2">
        <v>49310</v>
      </c>
      <c r="X361" s="2">
        <v>49675</v>
      </c>
      <c r="Y361" s="2">
        <v>50041</v>
      </c>
      <c r="Z361" s="2">
        <v>50406</v>
      </c>
      <c r="AA361" s="2">
        <v>50771</v>
      </c>
      <c r="AB361" s="2">
        <v>51136</v>
      </c>
      <c r="AC361" s="2">
        <v>51502</v>
      </c>
      <c r="AD361" s="2">
        <v>51867</v>
      </c>
      <c r="AE361" s="2">
        <v>52232</v>
      </c>
      <c r="AF361" s="2">
        <v>52597</v>
      </c>
      <c r="AG361" s="2">
        <v>52963</v>
      </c>
      <c r="AH361" s="2">
        <v>53328</v>
      </c>
      <c r="AI361" s="2">
        <v>53693</v>
      </c>
      <c r="AJ361" s="2">
        <v>54058</v>
      </c>
      <c r="AK361" s="2">
        <v>54424</v>
      </c>
      <c r="AL361" s="2">
        <v>54789</v>
      </c>
      <c r="AM361" s="2">
        <v>54790</v>
      </c>
      <c r="AN361" s="2">
        <v>54791</v>
      </c>
      <c r="AO361" s="2">
        <v>54792</v>
      </c>
      <c r="AP361" s="2">
        <v>54793</v>
      </c>
      <c r="AQ361" s="2">
        <v>54794</v>
      </c>
      <c r="AR361" s="2">
        <v>54795</v>
      </c>
      <c r="AS361" s="2">
        <v>54796</v>
      </c>
      <c r="AT361" s="2">
        <v>54797</v>
      </c>
      <c r="AU361" s="2">
        <v>54798</v>
      </c>
      <c r="AV361" s="2">
        <v>54799</v>
      </c>
      <c r="AW361" s="2">
        <v>54800</v>
      </c>
      <c r="AX361" s="2">
        <v>54801</v>
      </c>
      <c r="AY361" s="2">
        <v>54802</v>
      </c>
      <c r="AZ361" s="2">
        <v>54803</v>
      </c>
      <c r="BA361" s="2">
        <v>54804</v>
      </c>
      <c r="BB361" s="2">
        <v>54805</v>
      </c>
      <c r="BC361" s="2">
        <v>54806</v>
      </c>
      <c r="BD361" s="2">
        <v>54807</v>
      </c>
      <c r="BE361" s="2">
        <v>54808</v>
      </c>
      <c r="BF361" s="2">
        <v>54809</v>
      </c>
    </row>
    <row r="362" spans="1:58" x14ac:dyDescent="0.35">
      <c r="A362" t="s">
        <v>38</v>
      </c>
      <c r="B362" t="s">
        <v>96</v>
      </c>
      <c r="C362" s="6">
        <f>C339+C346+C353</f>
        <v>7105.9689965623002</v>
      </c>
      <c r="D362" s="6">
        <f t="shared" ref="D362:AL362" si="207">D339+D346+D353</f>
        <v>7160.6497701301996</v>
      </c>
      <c r="E362" s="6">
        <f t="shared" si="207"/>
        <v>7267.0218339952999</v>
      </c>
      <c r="F362" s="6">
        <f t="shared" si="207"/>
        <v>7408.2740006466993</v>
      </c>
      <c r="G362" s="6">
        <f t="shared" si="207"/>
        <v>7573.2387058363001</v>
      </c>
      <c r="H362" s="6">
        <f t="shared" si="207"/>
        <v>7754.6723053150008</v>
      </c>
      <c r="I362" s="6">
        <f t="shared" si="207"/>
        <v>7946.7417153571005</v>
      </c>
      <c r="J362" s="6">
        <f t="shared" si="207"/>
        <v>8146.3988535303997</v>
      </c>
      <c r="K362" s="6">
        <f t="shared" si="207"/>
        <v>8351.6196295633999</v>
      </c>
      <c r="L362" s="6">
        <f t="shared" si="207"/>
        <v>8561.0175068432</v>
      </c>
      <c r="M362" s="6">
        <f t="shared" si="207"/>
        <v>8775.7139398395993</v>
      </c>
      <c r="N362" s="6">
        <f t="shared" si="207"/>
        <v>8992.7592906436985</v>
      </c>
      <c r="O362" s="6">
        <f t="shared" si="207"/>
        <v>9211.5018608610008</v>
      </c>
      <c r="P362" s="6">
        <f t="shared" si="207"/>
        <v>9431.3736176197999</v>
      </c>
      <c r="Q362" s="6">
        <f t="shared" si="207"/>
        <v>9651.9098990164002</v>
      </c>
      <c r="R362" s="6">
        <f t="shared" si="207"/>
        <v>9872.7421369743988</v>
      </c>
      <c r="S362" s="6">
        <f t="shared" si="207"/>
        <v>10093.5828481031</v>
      </c>
      <c r="T362" s="6">
        <f t="shared" si="207"/>
        <v>10314.210248339301</v>
      </c>
      <c r="U362" s="6">
        <f t="shared" si="207"/>
        <v>10534.455446241202</v>
      </c>
      <c r="V362" s="6">
        <f t="shared" si="207"/>
        <v>10754.1930783066</v>
      </c>
      <c r="W362" s="6">
        <f t="shared" si="207"/>
        <v>10971.670640367998</v>
      </c>
      <c r="X362" s="6">
        <f t="shared" si="207"/>
        <v>11188.586057433999</v>
      </c>
      <c r="Y362" s="6">
        <f t="shared" si="207"/>
        <v>11404.950032995999</v>
      </c>
      <c r="Z362" s="6">
        <f t="shared" si="207"/>
        <v>11620.816143483</v>
      </c>
      <c r="AA362" s="6">
        <f t="shared" si="207"/>
        <v>11836.243911400999</v>
      </c>
      <c r="AB362" s="6">
        <f t="shared" si="207"/>
        <v>12046.420553789001</v>
      </c>
      <c r="AC362" s="6">
        <f t="shared" si="207"/>
        <v>12254.240108996999</v>
      </c>
      <c r="AD362" s="6">
        <f t="shared" si="207"/>
        <v>12459.975402797001</v>
      </c>
      <c r="AE362" s="6">
        <f t="shared" si="207"/>
        <v>12664.003533395</v>
      </c>
      <c r="AF362" s="6">
        <f t="shared" si="207"/>
        <v>12866.725796228</v>
      </c>
      <c r="AG362" s="6">
        <f t="shared" si="207"/>
        <v>13068.527879880001</v>
      </c>
      <c r="AH362" s="6">
        <f t="shared" si="207"/>
        <v>13269.762190702</v>
      </c>
      <c r="AI362" s="6">
        <f t="shared" si="207"/>
        <v>13470.743578314999</v>
      </c>
      <c r="AJ362" s="6">
        <f t="shared" si="207"/>
        <v>13671.752168608999</v>
      </c>
      <c r="AK362" s="6">
        <f t="shared" si="207"/>
        <v>13873.039530116999</v>
      </c>
      <c r="AL362" s="6">
        <f t="shared" si="207"/>
        <v>14074.835080522</v>
      </c>
      <c r="AM362" s="6">
        <f t="shared" ref="AM362:BC362" si="208">AM339+AM346+AM353</f>
        <v>14276.157675594999</v>
      </c>
      <c r="AN362" s="6">
        <f t="shared" si="208"/>
        <v>14477.265686602999</v>
      </c>
      <c r="AO362" s="6">
        <f t="shared" si="208"/>
        <v>14678.432859101</v>
      </c>
      <c r="AP362" s="6">
        <f t="shared" si="208"/>
        <v>14879.959151952</v>
      </c>
      <c r="AQ362" s="6">
        <f t="shared" si="208"/>
        <v>15082.156564371</v>
      </c>
      <c r="AR362" s="6">
        <f t="shared" si="208"/>
        <v>15285.331911996</v>
      </c>
      <c r="AS362" s="6">
        <f t="shared" si="208"/>
        <v>15489.773874496999</v>
      </c>
      <c r="AT362" s="6">
        <f t="shared" si="208"/>
        <v>15695.745705534</v>
      </c>
      <c r="AU362" s="6">
        <f t="shared" si="208"/>
        <v>15903.482903826</v>
      </c>
      <c r="AV362" s="6">
        <f t="shared" si="208"/>
        <v>16113.194477003</v>
      </c>
      <c r="AW362" s="6">
        <f t="shared" si="208"/>
        <v>16325.174637532002</v>
      </c>
      <c r="AX362" s="6">
        <f t="shared" si="208"/>
        <v>16539.584386893999</v>
      </c>
      <c r="AY362" s="6">
        <f t="shared" si="208"/>
        <v>16756.567003279</v>
      </c>
      <c r="AZ362" s="6">
        <f t="shared" si="208"/>
        <v>16976.249059242</v>
      </c>
      <c r="BA362" s="6">
        <f t="shared" si="208"/>
        <v>17198.744164980999</v>
      </c>
      <c r="BB362" s="6">
        <f t="shared" si="208"/>
        <v>18138.462713126002</v>
      </c>
      <c r="BC362" s="6">
        <f t="shared" si="208"/>
        <v>18399.003174058998</v>
      </c>
      <c r="BD362" s="6">
        <f t="shared" ref="BD362:BF362" si="209">BD339+BD346+BD353</f>
        <v>18662.39411841</v>
      </c>
      <c r="BE362" s="6">
        <f t="shared" si="209"/>
        <v>18928.757421561997</v>
      </c>
      <c r="BF362" s="6">
        <f t="shared" si="209"/>
        <v>19198.222028710999</v>
      </c>
    </row>
    <row r="363" spans="1:58" x14ac:dyDescent="0.35">
      <c r="B363" t="s">
        <v>97</v>
      </c>
      <c r="C363" s="6">
        <f t="shared" ref="C363:AL363" si="210">C340+C347+C354</f>
        <v>8263.1971436354015</v>
      </c>
      <c r="D363" s="6">
        <f t="shared" si="210"/>
        <v>8202.9699858040003</v>
      </c>
      <c r="E363" s="6">
        <f t="shared" si="210"/>
        <v>8199.9926192886996</v>
      </c>
      <c r="F363" s="6">
        <f t="shared" si="210"/>
        <v>8237.1856849649994</v>
      </c>
      <c r="G363" s="6">
        <f t="shared" si="210"/>
        <v>8303.0509398306003</v>
      </c>
      <c r="H363" s="6">
        <f t="shared" si="210"/>
        <v>8389.9666084607015</v>
      </c>
      <c r="I363" s="6">
        <f t="shared" si="210"/>
        <v>8491.7567396094</v>
      </c>
      <c r="J363" s="6">
        <f t="shared" si="210"/>
        <v>8604.971877194801</v>
      </c>
      <c r="K363" s="6">
        <f t="shared" si="210"/>
        <v>8727.1942821493994</v>
      </c>
      <c r="L363" s="6">
        <f t="shared" si="210"/>
        <v>8856.6591123439994</v>
      </c>
      <c r="M363" s="6">
        <f t="shared" si="210"/>
        <v>8993.9961871825999</v>
      </c>
      <c r="N363" s="6">
        <f t="shared" si="210"/>
        <v>9136.0468404282001</v>
      </c>
      <c r="O363" s="6">
        <f t="shared" si="210"/>
        <v>9281.8489568699006</v>
      </c>
      <c r="P363" s="6">
        <f t="shared" si="210"/>
        <v>9430.5500655401011</v>
      </c>
      <c r="Q363" s="6">
        <f t="shared" si="210"/>
        <v>9581.4221254571003</v>
      </c>
      <c r="R363" s="6">
        <f t="shared" si="210"/>
        <v>9733.8514991604006</v>
      </c>
      <c r="S363" s="6">
        <f t="shared" si="210"/>
        <v>9887.3222492429995</v>
      </c>
      <c r="T363" s="6">
        <f t="shared" si="210"/>
        <v>10041.399498427301</v>
      </c>
      <c r="U363" s="6">
        <f t="shared" si="210"/>
        <v>10195.715453832299</v>
      </c>
      <c r="V363" s="6">
        <f t="shared" si="210"/>
        <v>10349.9587841049</v>
      </c>
      <c r="W363" s="6">
        <f t="shared" si="210"/>
        <v>10502.3576022916</v>
      </c>
      <c r="X363" s="6">
        <f t="shared" si="210"/>
        <v>10654.292933668799</v>
      </c>
      <c r="Y363" s="6">
        <f t="shared" si="210"/>
        <v>10805.617537599299</v>
      </c>
      <c r="Z363" s="6">
        <f t="shared" si="210"/>
        <v>10956.231568676001</v>
      </c>
      <c r="AA363" s="6">
        <f t="shared" si="210"/>
        <v>11106.04851314</v>
      </c>
      <c r="AB363" s="6">
        <f t="shared" si="210"/>
        <v>11250.652227518</v>
      </c>
      <c r="AC363" s="6">
        <f t="shared" si="210"/>
        <v>11392.533742395</v>
      </c>
      <c r="AD363" s="6">
        <f t="shared" si="210"/>
        <v>11531.841422336</v>
      </c>
      <c r="AE363" s="6">
        <f t="shared" si="210"/>
        <v>11668.81707632</v>
      </c>
      <c r="AF363" s="6">
        <f t="shared" si="210"/>
        <v>11803.723660086</v>
      </c>
      <c r="AG363" s="6">
        <f t="shared" si="210"/>
        <v>11936.809798627</v>
      </c>
      <c r="AH363" s="6">
        <f t="shared" si="210"/>
        <v>12068.294198309</v>
      </c>
      <c r="AI363" s="6">
        <f t="shared" si="210"/>
        <v>12198.361864041</v>
      </c>
      <c r="AJ363" s="6">
        <f t="shared" si="210"/>
        <v>12327.166715072999</v>
      </c>
      <c r="AK363" s="6">
        <f t="shared" si="210"/>
        <v>12454.836957928999</v>
      </c>
      <c r="AL363" s="6">
        <f t="shared" si="210"/>
        <v>12581.480735771998</v>
      </c>
      <c r="AM363" s="6">
        <f t="shared" ref="AM363:BC363" si="211">AM340+AM347+AM354</f>
        <v>12706.176971466</v>
      </c>
      <c r="AN363" s="6">
        <f t="shared" si="211"/>
        <v>12829.070226777001</v>
      </c>
      <c r="AO363" s="6">
        <f t="shared" si="211"/>
        <v>12950.317634083</v>
      </c>
      <c r="AP363" s="6">
        <f t="shared" si="211"/>
        <v>13070.096564839001</v>
      </c>
      <c r="AQ363" s="6">
        <f t="shared" si="211"/>
        <v>13188.591674926</v>
      </c>
      <c r="AR363" s="6">
        <f t="shared" si="211"/>
        <v>13305.980027330999</v>
      </c>
      <c r="AS363" s="6">
        <f t="shared" si="211"/>
        <v>13422.420160533999</v>
      </c>
      <c r="AT363" s="6">
        <f t="shared" si="211"/>
        <v>13538.046197596001</v>
      </c>
      <c r="AU363" s="6">
        <f t="shared" si="211"/>
        <v>13652.966164395999</v>
      </c>
      <c r="AV363" s="6">
        <f t="shared" si="211"/>
        <v>13767.263287005999</v>
      </c>
      <c r="AW363" s="6">
        <f t="shared" si="211"/>
        <v>13881.086332158</v>
      </c>
      <c r="AX363" s="6">
        <f t="shared" si="211"/>
        <v>13994.472364233001</v>
      </c>
      <c r="AY363" s="6">
        <f t="shared" si="211"/>
        <v>14107.441450369</v>
      </c>
      <c r="AZ363" s="6">
        <f t="shared" si="211"/>
        <v>14219.997825651</v>
      </c>
      <c r="BA363" s="6">
        <f t="shared" si="211"/>
        <v>14332.133156362999</v>
      </c>
      <c r="BB363" s="6">
        <f t="shared" si="211"/>
        <v>14996.21756279</v>
      </c>
      <c r="BC363" s="6">
        <f t="shared" si="211"/>
        <v>15129.646392897999</v>
      </c>
      <c r="BD363" s="6">
        <f t="shared" ref="BD363:BF363" si="212">BD340+BD347+BD354</f>
        <v>15262.201480284999</v>
      </c>
      <c r="BE363" s="6">
        <f t="shared" si="212"/>
        <v>15393.885615662</v>
      </c>
      <c r="BF363" s="6">
        <f t="shared" si="212"/>
        <v>15524.704529986</v>
      </c>
    </row>
    <row r="364" spans="1:58" x14ac:dyDescent="0.35">
      <c r="B364" t="s">
        <v>98</v>
      </c>
      <c r="C364" s="6">
        <f t="shared" ref="C364:AL364" si="213">C341+C348+C355</f>
        <v>6787.4105911386005</v>
      </c>
      <c r="D364" s="6">
        <f t="shared" si="213"/>
        <v>6662.2406310722999</v>
      </c>
      <c r="E364" s="6">
        <f t="shared" si="213"/>
        <v>6582.4081957771996</v>
      </c>
      <c r="F364" s="6">
        <f t="shared" si="213"/>
        <v>6535.4142418722004</v>
      </c>
      <c r="G364" s="6">
        <f t="shared" si="213"/>
        <v>6512.7391884724002</v>
      </c>
      <c r="H364" s="6">
        <f t="shared" si="213"/>
        <v>6508.6252868829997</v>
      </c>
      <c r="I364" s="6">
        <f t="shared" si="213"/>
        <v>6518.3813025467989</v>
      </c>
      <c r="J364" s="6">
        <f t="shared" si="213"/>
        <v>6539.2420405638995</v>
      </c>
      <c r="K364" s="6">
        <f t="shared" si="213"/>
        <v>6569.1921277637002</v>
      </c>
      <c r="L364" s="6">
        <f t="shared" si="213"/>
        <v>6606.6982833639995</v>
      </c>
      <c r="M364" s="6">
        <f t="shared" si="213"/>
        <v>6651.8786710886998</v>
      </c>
      <c r="N364" s="6">
        <f t="shared" si="213"/>
        <v>6702.3120228719999</v>
      </c>
      <c r="O364" s="6">
        <f t="shared" si="213"/>
        <v>6757.0932852748001</v>
      </c>
      <c r="P364" s="6">
        <f t="shared" si="213"/>
        <v>6815.4150690989991</v>
      </c>
      <c r="Q364" s="6">
        <f t="shared" si="213"/>
        <v>6876.5749888076998</v>
      </c>
      <c r="R364" s="6">
        <f t="shared" si="213"/>
        <v>6939.9665759872005</v>
      </c>
      <c r="S364" s="6">
        <f t="shared" si="213"/>
        <v>7005.0660795044996</v>
      </c>
      <c r="T364" s="6">
        <f t="shared" si="213"/>
        <v>7071.4195964455002</v>
      </c>
      <c r="U364" s="6">
        <f t="shared" si="213"/>
        <v>7138.6321849454998</v>
      </c>
      <c r="V364" s="6">
        <f t="shared" si="213"/>
        <v>7206.3593555282005</v>
      </c>
      <c r="W364" s="6">
        <f t="shared" si="213"/>
        <v>7273.3130857733004</v>
      </c>
      <c r="X364" s="6">
        <f t="shared" si="213"/>
        <v>7340.2857860218</v>
      </c>
      <c r="Y364" s="6">
        <f t="shared" si="213"/>
        <v>7407.0731598470993</v>
      </c>
      <c r="Z364" s="6">
        <f t="shared" si="213"/>
        <v>7473.5093884447997</v>
      </c>
      <c r="AA364" s="6">
        <f t="shared" si="213"/>
        <v>7539.4443954079006</v>
      </c>
      <c r="AB364" s="6">
        <f t="shared" si="213"/>
        <v>7601.9537546800002</v>
      </c>
      <c r="AC364" s="6">
        <f t="shared" si="213"/>
        <v>7662.5813374178997</v>
      </c>
      <c r="AD364" s="6">
        <f t="shared" si="213"/>
        <v>7721.3617936724004</v>
      </c>
      <c r="AE364" s="6">
        <f t="shared" si="213"/>
        <v>7778.3917467901992</v>
      </c>
      <c r="AF364" s="6">
        <f t="shared" si="213"/>
        <v>7833.7827213604005</v>
      </c>
      <c r="AG364" s="6">
        <f t="shared" si="213"/>
        <v>7887.6383008073999</v>
      </c>
      <c r="AH364" s="6">
        <f t="shared" si="213"/>
        <v>7940.0442301401999</v>
      </c>
      <c r="AI364" s="6">
        <f t="shared" si="213"/>
        <v>7991.0660631943001</v>
      </c>
      <c r="AJ364" s="6">
        <f t="shared" si="213"/>
        <v>8040.7508789794001</v>
      </c>
      <c r="AK364" s="6">
        <f t="shared" si="213"/>
        <v>8089.1306889683001</v>
      </c>
      <c r="AL364" s="6">
        <f t="shared" si="213"/>
        <v>8136.2260759088995</v>
      </c>
      <c r="AM364" s="6">
        <f t="shared" ref="AM364:BC364" si="214">AM341+AM348+AM355</f>
        <v>8181.4275511512005</v>
      </c>
      <c r="AN364" s="6">
        <f t="shared" si="214"/>
        <v>8224.7884866015993</v>
      </c>
      <c r="AO364" s="6">
        <f t="shared" si="214"/>
        <v>8266.3712389853008</v>
      </c>
      <c r="AP364" s="6">
        <f t="shared" si="214"/>
        <v>8306.2509436875989</v>
      </c>
      <c r="AQ364" s="6">
        <f t="shared" si="214"/>
        <v>8344.507054379199</v>
      </c>
      <c r="AR364" s="6">
        <f t="shared" si="214"/>
        <v>8381.2141246670999</v>
      </c>
      <c r="AS364" s="6">
        <f t="shared" si="214"/>
        <v>8416.4352473543986</v>
      </c>
      <c r="AT364" s="6">
        <f t="shared" si="214"/>
        <v>8450.2186658543997</v>
      </c>
      <c r="AU364" s="6">
        <f t="shared" si="214"/>
        <v>8482.5969896174993</v>
      </c>
      <c r="AV364" s="6">
        <f t="shared" si="214"/>
        <v>8513.5881728031018</v>
      </c>
      <c r="AW364" s="6">
        <f t="shared" si="214"/>
        <v>8543.2484166564991</v>
      </c>
      <c r="AX364" s="6">
        <f t="shared" si="214"/>
        <v>8571.5683218577997</v>
      </c>
      <c r="AY364" s="6">
        <f t="shared" si="214"/>
        <v>8598.5290671057992</v>
      </c>
      <c r="AZ364" s="6">
        <f t="shared" si="214"/>
        <v>8624.1033619964019</v>
      </c>
      <c r="BA364" s="6">
        <f t="shared" si="214"/>
        <v>8648.2575530981012</v>
      </c>
      <c r="BB364" s="6">
        <f t="shared" si="214"/>
        <v>8978.4153069089007</v>
      </c>
      <c r="BC364" s="6">
        <f t="shared" si="214"/>
        <v>9010.4894394087005</v>
      </c>
      <c r="BD364" s="6">
        <f t="shared" ref="BD364:BF364" si="215">BD341+BD348+BD355</f>
        <v>9040.7197932090003</v>
      </c>
      <c r="BE364" s="6">
        <f t="shared" si="215"/>
        <v>9069.0906969020998</v>
      </c>
      <c r="BF364" s="6">
        <f t="shared" si="215"/>
        <v>9095.5887483972001</v>
      </c>
    </row>
    <row r="365" spans="1:58" x14ac:dyDescent="0.35">
      <c r="B365" t="s">
        <v>99</v>
      </c>
      <c r="C365" s="6">
        <f t="shared" ref="C365:AL365" si="216">C342+C349+C356</f>
        <v>4165.6835237371006</v>
      </c>
      <c r="D365" s="6">
        <f t="shared" si="216"/>
        <v>4063.7549312156998</v>
      </c>
      <c r="E365" s="6">
        <f t="shared" si="216"/>
        <v>3987.4894732137</v>
      </c>
      <c r="F365" s="6">
        <f t="shared" si="216"/>
        <v>3929.3510927547004</v>
      </c>
      <c r="G365" s="6">
        <f t="shared" si="216"/>
        <v>3884.2335663203994</v>
      </c>
      <c r="H365" s="6">
        <f t="shared" si="216"/>
        <v>3848.6928162483</v>
      </c>
      <c r="I365" s="6">
        <f t="shared" si="216"/>
        <v>3819.9768986737995</v>
      </c>
      <c r="J365" s="6">
        <f t="shared" si="216"/>
        <v>3796.4372670368002</v>
      </c>
      <c r="K365" s="6">
        <f t="shared" si="216"/>
        <v>3776.8724856489998</v>
      </c>
      <c r="L365" s="6">
        <f t="shared" si="216"/>
        <v>3760.3696740775003</v>
      </c>
      <c r="M365" s="6">
        <f t="shared" si="216"/>
        <v>3746.8693203577</v>
      </c>
      <c r="N365" s="6">
        <f t="shared" si="216"/>
        <v>3735.0603275853</v>
      </c>
      <c r="O365" s="6">
        <f t="shared" si="216"/>
        <v>3724.4200952049</v>
      </c>
      <c r="P365" s="6">
        <f t="shared" si="216"/>
        <v>3714.4942371584002</v>
      </c>
      <c r="Q365" s="6">
        <f t="shared" si="216"/>
        <v>3704.8966034483997</v>
      </c>
      <c r="R365" s="6">
        <f t="shared" si="216"/>
        <v>3695.3018210651999</v>
      </c>
      <c r="S365" s="6">
        <f t="shared" si="216"/>
        <v>3685.4365537038998</v>
      </c>
      <c r="T365" s="6">
        <f t="shared" si="216"/>
        <v>3675.0714531567</v>
      </c>
      <c r="U365" s="6">
        <f t="shared" si="216"/>
        <v>3664.0143796294001</v>
      </c>
      <c r="V365" s="6">
        <f t="shared" si="216"/>
        <v>3652.1049544911998</v>
      </c>
      <c r="W365" s="6">
        <f t="shared" si="216"/>
        <v>3638.7871653295001</v>
      </c>
      <c r="X365" s="6">
        <f t="shared" si="216"/>
        <v>3624.4161776275</v>
      </c>
      <c r="Y365" s="6">
        <f t="shared" si="216"/>
        <v>3608.9135865287999</v>
      </c>
      <c r="Z365" s="6">
        <f t="shared" si="216"/>
        <v>3592.2203253952002</v>
      </c>
      <c r="AA365" s="6">
        <f t="shared" si="216"/>
        <v>3574.2871050083995</v>
      </c>
      <c r="AB365" s="6">
        <f t="shared" si="216"/>
        <v>3553.9751255711999</v>
      </c>
      <c r="AC365" s="6">
        <f t="shared" si="216"/>
        <v>3531.9539925018003</v>
      </c>
      <c r="AD365" s="6">
        <f t="shared" si="216"/>
        <v>3508.2824554245999</v>
      </c>
      <c r="AE365" s="6">
        <f t="shared" si="216"/>
        <v>3483.0399042995996</v>
      </c>
      <c r="AF365" s="6">
        <f t="shared" si="216"/>
        <v>3456.3075701801999</v>
      </c>
      <c r="AG365" s="6">
        <f t="shared" si="216"/>
        <v>3428.1603071251998</v>
      </c>
      <c r="AH365" s="6">
        <f t="shared" si="216"/>
        <v>3398.6636321167002</v>
      </c>
      <c r="AI365" s="6">
        <f t="shared" si="216"/>
        <v>3367.8736199406999</v>
      </c>
      <c r="AJ365" s="6">
        <f t="shared" si="216"/>
        <v>3335.8382375770998</v>
      </c>
      <c r="AK365" s="6">
        <f t="shared" si="216"/>
        <v>3302.5992081240997</v>
      </c>
      <c r="AL365" s="6">
        <f t="shared" si="216"/>
        <v>3268.1938666042001</v>
      </c>
      <c r="AM365" s="6">
        <f t="shared" ref="AM365:BC365" si="217">AM342+AM349+AM356</f>
        <v>3232.4583909850003</v>
      </c>
      <c r="AN365" s="6">
        <f t="shared" si="217"/>
        <v>3195.4526574183001</v>
      </c>
      <c r="AO365" s="6">
        <f t="shared" si="217"/>
        <v>3157.2396857565</v>
      </c>
      <c r="AP365" s="6">
        <f t="shared" si="217"/>
        <v>3117.8858106039997</v>
      </c>
      <c r="AQ365" s="6">
        <f t="shared" si="217"/>
        <v>3077.4575752640003</v>
      </c>
      <c r="AR365" s="6">
        <f t="shared" si="217"/>
        <v>3036.0189444278999</v>
      </c>
      <c r="AS365" s="6">
        <f t="shared" si="217"/>
        <v>2993.6296595849999</v>
      </c>
      <c r="AT365" s="6">
        <f t="shared" si="217"/>
        <v>2950.3446985526998</v>
      </c>
      <c r="AU365" s="6">
        <f t="shared" si="217"/>
        <v>2906.2145236501001</v>
      </c>
      <c r="AV365" s="6">
        <f t="shared" si="217"/>
        <v>2861.2858120024998</v>
      </c>
      <c r="AW365" s="6">
        <f t="shared" si="217"/>
        <v>2815.6152503316002</v>
      </c>
      <c r="AX365" s="6">
        <f t="shared" si="217"/>
        <v>2769.2427485113999</v>
      </c>
      <c r="AY365" s="6">
        <f t="shared" si="217"/>
        <v>2722.2068866988002</v>
      </c>
      <c r="AZ365" s="6">
        <f t="shared" si="217"/>
        <v>2674.5454825063998</v>
      </c>
      <c r="BA365" s="6">
        <f t="shared" si="217"/>
        <v>2626.2963360924</v>
      </c>
      <c r="BB365" s="6">
        <f t="shared" si="217"/>
        <v>2632.3136523445</v>
      </c>
      <c r="BC365" s="6">
        <f t="shared" si="217"/>
        <v>2583.2256786819003</v>
      </c>
      <c r="BD365" s="6">
        <f t="shared" ref="BD365:BF365" si="218">BD342+BD349+BD356</f>
        <v>2533.5150676578</v>
      </c>
      <c r="BE365" s="6">
        <f t="shared" si="218"/>
        <v>2483.2349519214999</v>
      </c>
      <c r="BF365" s="6">
        <f t="shared" si="218"/>
        <v>2432.4389197482001</v>
      </c>
    </row>
    <row r="366" spans="1:58" x14ac:dyDescent="0.35">
      <c r="B366" t="s">
        <v>100</v>
      </c>
      <c r="C366" s="6">
        <f t="shared" ref="C366:AL366" si="219">C343+C350+C357</f>
        <v>2507.3524895615005</v>
      </c>
      <c r="D366" s="6">
        <f t="shared" si="219"/>
        <v>2448.3068137238997</v>
      </c>
      <c r="E366" s="6">
        <f t="shared" si="219"/>
        <v>2403.6767763317998</v>
      </c>
      <c r="F366" s="6">
        <f t="shared" si="219"/>
        <v>2368.6467388827004</v>
      </c>
      <c r="G366" s="6">
        <f t="shared" si="219"/>
        <v>2340.0152292005</v>
      </c>
      <c r="H366" s="6">
        <f t="shared" si="219"/>
        <v>2315.6699022032003</v>
      </c>
      <c r="I366" s="6">
        <f t="shared" si="219"/>
        <v>2293.9727388954998</v>
      </c>
      <c r="J366" s="6">
        <f t="shared" si="219"/>
        <v>2273.9774590266998</v>
      </c>
      <c r="K366" s="6">
        <f t="shared" si="219"/>
        <v>2255.0232690436001</v>
      </c>
      <c r="L366" s="6">
        <f t="shared" si="219"/>
        <v>2236.6319727262999</v>
      </c>
      <c r="M366" s="6">
        <f t="shared" si="219"/>
        <v>2218.8139136235</v>
      </c>
      <c r="N366" s="6">
        <f t="shared" si="219"/>
        <v>2200.8828083853</v>
      </c>
      <c r="O366" s="6">
        <f t="shared" si="219"/>
        <v>2182.6055815495997</v>
      </c>
      <c r="P366" s="6">
        <f t="shared" si="219"/>
        <v>2163.7928085425997</v>
      </c>
      <c r="Q366" s="6">
        <f t="shared" si="219"/>
        <v>2144.2968645586002</v>
      </c>
      <c r="R366" s="6">
        <f t="shared" si="219"/>
        <v>2124.0063154853997</v>
      </c>
      <c r="S366" s="6">
        <f t="shared" si="219"/>
        <v>2102.8400178616998</v>
      </c>
      <c r="T366" s="6">
        <f t="shared" si="219"/>
        <v>2080.7418772444998</v>
      </c>
      <c r="U366" s="6">
        <f t="shared" si="219"/>
        <v>2057.6764714776</v>
      </c>
      <c r="V366" s="6">
        <f t="shared" si="219"/>
        <v>2033.6255230877</v>
      </c>
      <c r="W366" s="6">
        <f t="shared" si="219"/>
        <v>2008.3786887314</v>
      </c>
      <c r="X366" s="6">
        <f t="shared" si="219"/>
        <v>1982.1758285108001</v>
      </c>
      <c r="Y366" s="6">
        <f t="shared" si="219"/>
        <v>1955.0394262389</v>
      </c>
      <c r="Z366" s="6">
        <f t="shared" si="219"/>
        <v>1926.9998664543002</v>
      </c>
      <c r="AA366" s="6">
        <f t="shared" si="219"/>
        <v>1898.0909415755002</v>
      </c>
      <c r="AB366" s="6">
        <f t="shared" si="219"/>
        <v>1867.8528444644003</v>
      </c>
      <c r="AC366" s="6">
        <f t="shared" si="219"/>
        <v>1836.6603912028997</v>
      </c>
      <c r="AD366" s="6">
        <f t="shared" si="219"/>
        <v>1804.6023791421001</v>
      </c>
      <c r="AE366" s="6">
        <f t="shared" si="219"/>
        <v>1771.7726003475</v>
      </c>
      <c r="AF366" s="6">
        <f t="shared" si="219"/>
        <v>1738.2614750650002</v>
      </c>
      <c r="AG366" s="6">
        <f t="shared" si="219"/>
        <v>1704.1528732552999</v>
      </c>
      <c r="AH366" s="6">
        <f t="shared" si="219"/>
        <v>1669.5233380036</v>
      </c>
      <c r="AI366" s="6">
        <f t="shared" si="219"/>
        <v>1634.4425047489001</v>
      </c>
      <c r="AJ366" s="6">
        <f t="shared" si="219"/>
        <v>1598.9740877284</v>
      </c>
      <c r="AK366" s="6">
        <f t="shared" si="219"/>
        <v>1563.1770021269999</v>
      </c>
      <c r="AL366" s="6">
        <f t="shared" si="219"/>
        <v>1527.106437551</v>
      </c>
      <c r="AM366" s="6">
        <f t="shared" ref="AM366:BC366" si="220">AM343+AM350+AM357</f>
        <v>1490.7406464892001</v>
      </c>
      <c r="AN366" s="6">
        <f t="shared" si="220"/>
        <v>1454.1437929676001</v>
      </c>
      <c r="AO366" s="6">
        <f t="shared" si="220"/>
        <v>1417.3793376801</v>
      </c>
      <c r="AP366" s="6">
        <f t="shared" si="220"/>
        <v>1380.5097952461999</v>
      </c>
      <c r="AQ366" s="6">
        <f t="shared" si="220"/>
        <v>1343.5954981343</v>
      </c>
      <c r="AR366" s="6">
        <f t="shared" si="220"/>
        <v>1306.6936559189</v>
      </c>
      <c r="AS366" s="6">
        <f t="shared" si="220"/>
        <v>1269.8579290283999</v>
      </c>
      <c r="AT366" s="6">
        <f t="shared" si="220"/>
        <v>1233.1384147565002</v>
      </c>
      <c r="AU366" s="6">
        <f t="shared" si="220"/>
        <v>1196.5818980358999</v>
      </c>
      <c r="AV366" s="6">
        <f t="shared" si="220"/>
        <v>1160.2322339324</v>
      </c>
      <c r="AW366" s="6">
        <f t="shared" si="220"/>
        <v>1124.134648255</v>
      </c>
      <c r="AX366" s="6">
        <f t="shared" si="220"/>
        <v>1088.3274895894999</v>
      </c>
      <c r="AY366" s="6">
        <f t="shared" si="220"/>
        <v>1052.8472383314001</v>
      </c>
      <c r="AZ366" s="6">
        <f t="shared" si="220"/>
        <v>1017.728727488</v>
      </c>
      <c r="BA366" s="6">
        <f t="shared" si="220"/>
        <v>983.00538045229996</v>
      </c>
      <c r="BB366" s="6">
        <f t="shared" si="220"/>
        <v>959.84461077679998</v>
      </c>
      <c r="BC366" s="6">
        <f t="shared" si="220"/>
        <v>925.75718298660013</v>
      </c>
      <c r="BD366" s="6">
        <f t="shared" ref="BD366:BF366" si="221">BD343+BD350+BD357</f>
        <v>892.1314733685</v>
      </c>
      <c r="BE366" s="6">
        <f t="shared" si="221"/>
        <v>859.00109408270009</v>
      </c>
      <c r="BF366" s="6">
        <f t="shared" si="221"/>
        <v>826.39766396770005</v>
      </c>
    </row>
    <row r="367" spans="1:58" x14ac:dyDescent="0.35">
      <c r="B367" t="s">
        <v>101</v>
      </c>
      <c r="C367" s="6">
        <f t="shared" ref="C367:AL367" si="222">C344+C351+C358</f>
        <v>1245.466605953</v>
      </c>
      <c r="D367" s="6">
        <f t="shared" si="222"/>
        <v>1213.2724268438999</v>
      </c>
      <c r="E367" s="6">
        <f t="shared" si="222"/>
        <v>1186.5363146674001</v>
      </c>
      <c r="F367" s="6">
        <f t="shared" si="222"/>
        <v>1162.6456731518001</v>
      </c>
      <c r="G367" s="6">
        <f t="shared" si="222"/>
        <v>1139.9931489824</v>
      </c>
      <c r="H367" s="6">
        <f t="shared" si="222"/>
        <v>1117.6232972800999</v>
      </c>
      <c r="I367" s="6">
        <f t="shared" si="222"/>
        <v>1094.8958475951999</v>
      </c>
      <c r="J367" s="6">
        <f t="shared" si="222"/>
        <v>1071.5278904244999</v>
      </c>
      <c r="K367" s="6">
        <f t="shared" si="222"/>
        <v>1047.3896679279001</v>
      </c>
      <c r="L367" s="6">
        <f t="shared" si="222"/>
        <v>1022.4439905177001</v>
      </c>
      <c r="M367" s="6">
        <f t="shared" si="222"/>
        <v>996.83492381279996</v>
      </c>
      <c r="N367" s="6">
        <f t="shared" si="222"/>
        <v>970.46755070530003</v>
      </c>
      <c r="O367" s="6">
        <f t="shared" si="222"/>
        <v>943.41276724630006</v>
      </c>
      <c r="P367" s="6">
        <f t="shared" si="222"/>
        <v>915.75633642150001</v>
      </c>
      <c r="Q367" s="6">
        <f t="shared" si="222"/>
        <v>887.59500137639998</v>
      </c>
      <c r="R367" s="6">
        <f t="shared" si="222"/>
        <v>859.03219564009987</v>
      </c>
      <c r="S367" s="6">
        <f t="shared" si="222"/>
        <v>830.17442760400002</v>
      </c>
      <c r="T367" s="6">
        <f t="shared" si="222"/>
        <v>801.12842746709998</v>
      </c>
      <c r="U367" s="6">
        <f t="shared" si="222"/>
        <v>771.9989521878</v>
      </c>
      <c r="V367" s="6">
        <f t="shared" si="222"/>
        <v>742.88713088960003</v>
      </c>
      <c r="W367" s="6">
        <f t="shared" si="222"/>
        <v>713.84565499179996</v>
      </c>
      <c r="X367" s="6">
        <f t="shared" si="222"/>
        <v>685.01795696790009</v>
      </c>
      <c r="Y367" s="6">
        <f t="shared" si="222"/>
        <v>656.48872356180004</v>
      </c>
      <c r="Z367" s="6">
        <f t="shared" si="222"/>
        <v>628.33529664160005</v>
      </c>
      <c r="AA367" s="6">
        <f t="shared" si="222"/>
        <v>600.62726381200002</v>
      </c>
      <c r="AB367" s="6">
        <f t="shared" si="222"/>
        <v>573.34682463139995</v>
      </c>
      <c r="AC367" s="6">
        <f t="shared" si="222"/>
        <v>546.61286038159994</v>
      </c>
      <c r="AD367" s="6">
        <f t="shared" si="222"/>
        <v>520.48513714499995</v>
      </c>
      <c r="AE367" s="6">
        <f t="shared" si="222"/>
        <v>495.01518926020003</v>
      </c>
      <c r="AF367" s="6">
        <f t="shared" si="222"/>
        <v>470.24577074119998</v>
      </c>
      <c r="AG367" s="6">
        <f t="shared" si="222"/>
        <v>446.21128840279999</v>
      </c>
      <c r="AH367" s="6">
        <f t="shared" si="222"/>
        <v>422.93855413569997</v>
      </c>
      <c r="AI367" s="6">
        <f t="shared" si="222"/>
        <v>400.44761480969999</v>
      </c>
      <c r="AJ367" s="6">
        <f t="shared" si="222"/>
        <v>378.75256002640003</v>
      </c>
      <c r="AK367" s="6">
        <f t="shared" si="222"/>
        <v>357.86225864230005</v>
      </c>
      <c r="AL367" s="6">
        <f t="shared" si="222"/>
        <v>337.78100742060002</v>
      </c>
      <c r="AM367" s="6">
        <f t="shared" ref="AM367:BC367" si="223">AM344+AM351+AM358</f>
        <v>318.50306631450002</v>
      </c>
      <c r="AN367" s="6">
        <f t="shared" si="223"/>
        <v>300.0273848269</v>
      </c>
      <c r="AO367" s="6">
        <f t="shared" si="223"/>
        <v>282.34956341809999</v>
      </c>
      <c r="AP367" s="6">
        <f t="shared" si="223"/>
        <v>265.46209562409996</v>
      </c>
      <c r="AQ367" s="6">
        <f t="shared" si="223"/>
        <v>249.3545895048</v>
      </c>
      <c r="AR367" s="6">
        <f t="shared" si="223"/>
        <v>234.01404217530001</v>
      </c>
      <c r="AS367" s="6">
        <f t="shared" si="223"/>
        <v>219.42515028690002</v>
      </c>
      <c r="AT367" s="6">
        <f t="shared" si="223"/>
        <v>205.57062749849999</v>
      </c>
      <c r="AU367" s="6">
        <f t="shared" si="223"/>
        <v>192.43151186060001</v>
      </c>
      <c r="AV367" s="6">
        <f t="shared" si="223"/>
        <v>179.98745169360004</v>
      </c>
      <c r="AW367" s="6">
        <f t="shared" si="223"/>
        <v>168.21711301759998</v>
      </c>
      <c r="AX367" s="6">
        <f t="shared" si="223"/>
        <v>157.09805547330001</v>
      </c>
      <c r="AY367" s="6">
        <f t="shared" si="223"/>
        <v>146.60716052819998</v>
      </c>
      <c r="AZ367" s="6">
        <f t="shared" si="223"/>
        <v>136.7208198699</v>
      </c>
      <c r="BA367" s="6">
        <f t="shared" si="223"/>
        <v>127.41510424589998</v>
      </c>
      <c r="BB367" s="6">
        <f t="shared" si="223"/>
        <v>117.8300919396</v>
      </c>
      <c r="BC367" s="6">
        <f t="shared" si="223"/>
        <v>109.6390523845</v>
      </c>
      <c r="BD367" s="6">
        <f t="shared" ref="BD367:BF367" si="224">BD344+BD351+BD358</f>
        <v>101.95772671810001</v>
      </c>
      <c r="BE367" s="6">
        <f t="shared" si="224"/>
        <v>94.761996233000005</v>
      </c>
      <c r="BF367" s="6">
        <f t="shared" si="224"/>
        <v>88.028007127199999</v>
      </c>
    </row>
    <row r="368" spans="1:58" x14ac:dyDescent="0.35">
      <c r="B368" t="s">
        <v>102</v>
      </c>
      <c r="C368" s="6">
        <f t="shared" ref="C368:AL368" si="225">C345+C352+C359</f>
        <v>2242.8616504070001</v>
      </c>
      <c r="D368" s="6">
        <f t="shared" si="225"/>
        <v>2188.0868082457</v>
      </c>
      <c r="E368" s="6">
        <f t="shared" si="225"/>
        <v>2140.3306655042002</v>
      </c>
      <c r="F368" s="6">
        <f t="shared" si="225"/>
        <v>2094.4834848249002</v>
      </c>
      <c r="G368" s="6">
        <f t="shared" si="225"/>
        <v>2047.7041673035001</v>
      </c>
      <c r="H368" s="6">
        <f t="shared" si="225"/>
        <v>1998.5710212673</v>
      </c>
      <c r="I368" s="6">
        <f t="shared" si="225"/>
        <v>1946.3664710856001</v>
      </c>
      <c r="J368" s="6">
        <f t="shared" si="225"/>
        <v>1891.0505577462002</v>
      </c>
      <c r="K368" s="6">
        <f t="shared" si="225"/>
        <v>1832.8599629806001</v>
      </c>
      <c r="L368" s="6">
        <f t="shared" si="225"/>
        <v>1772.1758820484999</v>
      </c>
      <c r="M368" s="6">
        <f t="shared" si="225"/>
        <v>1709.6186958691001</v>
      </c>
      <c r="N368" s="6">
        <f t="shared" si="225"/>
        <v>1645.4443551529002</v>
      </c>
      <c r="O368" s="6">
        <f t="shared" si="225"/>
        <v>1580.1172811163001</v>
      </c>
      <c r="P368" s="6">
        <f t="shared" si="225"/>
        <v>1514.0874278206998</v>
      </c>
      <c r="Q368" s="6">
        <f t="shared" si="225"/>
        <v>1447.7819658556</v>
      </c>
      <c r="R368" s="6">
        <f t="shared" si="225"/>
        <v>1381.5983469968999</v>
      </c>
      <c r="S368" s="6">
        <f t="shared" si="225"/>
        <v>1315.8997674242</v>
      </c>
      <c r="T368" s="6">
        <f t="shared" si="225"/>
        <v>1251.0126558218001</v>
      </c>
      <c r="U368" s="6">
        <f t="shared" si="225"/>
        <v>1187.2256985459999</v>
      </c>
      <c r="V368" s="6">
        <f t="shared" si="225"/>
        <v>1124.7900030170001</v>
      </c>
      <c r="W368" s="6">
        <f t="shared" si="225"/>
        <v>1063.8806411205001</v>
      </c>
      <c r="X368" s="6">
        <f t="shared" si="225"/>
        <v>1004.7279218395</v>
      </c>
      <c r="Y368" s="6">
        <f t="shared" si="225"/>
        <v>947.47821012499992</v>
      </c>
      <c r="Z368" s="6">
        <f t="shared" si="225"/>
        <v>892.24645233369995</v>
      </c>
      <c r="AA368" s="6">
        <f t="shared" si="225"/>
        <v>839.11884326180007</v>
      </c>
      <c r="AB368" s="6">
        <f t="shared" si="225"/>
        <v>788.09888662200001</v>
      </c>
      <c r="AC368" s="6">
        <f t="shared" si="225"/>
        <v>739.27533437490001</v>
      </c>
      <c r="AD368" s="6">
        <f t="shared" si="225"/>
        <v>692.67508417240003</v>
      </c>
      <c r="AE368" s="6">
        <f t="shared" si="225"/>
        <v>648.30447216319999</v>
      </c>
      <c r="AF368" s="6">
        <f t="shared" si="225"/>
        <v>606.15150921270003</v>
      </c>
      <c r="AG368" s="6">
        <f t="shared" si="225"/>
        <v>566.18861485390005</v>
      </c>
      <c r="AH368" s="6">
        <f t="shared" si="225"/>
        <v>528.3752703202</v>
      </c>
      <c r="AI368" s="6">
        <f t="shared" si="225"/>
        <v>492.66042555040002</v>
      </c>
      <c r="AJ368" s="6">
        <f t="shared" si="225"/>
        <v>458.9846216176</v>
      </c>
      <c r="AK368" s="6">
        <f t="shared" si="225"/>
        <v>427.28183325090004</v>
      </c>
      <c r="AL368" s="6">
        <f t="shared" si="225"/>
        <v>397.48105228499998</v>
      </c>
      <c r="AM368" s="6">
        <f t="shared" ref="AM368:BC368" si="226">AM345+AM352+AM359</f>
        <v>369.50528570150004</v>
      </c>
      <c r="AN368" s="6">
        <f t="shared" si="226"/>
        <v>343.27860310329999</v>
      </c>
      <c r="AO368" s="6">
        <f t="shared" si="226"/>
        <v>318.72331807599994</v>
      </c>
      <c r="AP368" s="6">
        <f t="shared" si="226"/>
        <v>295.76079684500002</v>
      </c>
      <c r="AQ368" s="6">
        <f t="shared" si="226"/>
        <v>274.31217799140001</v>
      </c>
      <c r="AR368" s="6">
        <f t="shared" si="226"/>
        <v>254.29902440909999</v>
      </c>
      <c r="AS368" s="6">
        <f t="shared" si="226"/>
        <v>235.64389628310002</v>
      </c>
      <c r="AT368" s="6">
        <f t="shared" si="226"/>
        <v>218.27083846939999</v>
      </c>
      <c r="AU368" s="6">
        <f t="shared" si="226"/>
        <v>202.10578347009996</v>
      </c>
      <c r="AV368" s="6">
        <f t="shared" si="226"/>
        <v>187.07687629739999</v>
      </c>
      <c r="AW368" s="6">
        <f t="shared" si="226"/>
        <v>173.11475772539998</v>
      </c>
      <c r="AX368" s="6">
        <f t="shared" si="226"/>
        <v>160.15267886250001</v>
      </c>
      <c r="AY368" s="6">
        <f t="shared" si="226"/>
        <v>148.12669066149999</v>
      </c>
      <c r="AZ368" s="6">
        <f t="shared" si="226"/>
        <v>136.97573379260001</v>
      </c>
      <c r="BA368" s="6">
        <f t="shared" si="226"/>
        <v>126.6416889719</v>
      </c>
      <c r="BB368" s="6">
        <f t="shared" si="226"/>
        <v>116.02375436320001</v>
      </c>
      <c r="BC368" s="6">
        <f t="shared" si="226"/>
        <v>107.2268108997</v>
      </c>
      <c r="BD368" s="6">
        <f t="shared" ref="BD368:BF368" si="227">BD345+BD352+BD359</f>
        <v>99.086820019699999</v>
      </c>
      <c r="BE368" s="6">
        <f t="shared" si="227"/>
        <v>91.557308807399991</v>
      </c>
      <c r="BF368" s="6">
        <f t="shared" si="227"/>
        <v>84.594608375600004</v>
      </c>
    </row>
    <row r="370" spans="1:58" x14ac:dyDescent="0.35">
      <c r="A370" s="12" t="s">
        <v>91</v>
      </c>
      <c r="C370" s="2">
        <v>42005</v>
      </c>
      <c r="D370" s="2">
        <v>42370</v>
      </c>
      <c r="E370" s="2">
        <v>42736</v>
      </c>
      <c r="F370" s="2">
        <v>43101</v>
      </c>
      <c r="G370" s="2">
        <v>43466</v>
      </c>
      <c r="H370" s="2">
        <v>43831</v>
      </c>
      <c r="I370" s="2">
        <v>44197</v>
      </c>
      <c r="J370" s="2">
        <v>44562</v>
      </c>
      <c r="K370" s="2">
        <v>44927</v>
      </c>
      <c r="L370" s="2">
        <v>45292</v>
      </c>
      <c r="M370" s="2">
        <v>45658</v>
      </c>
      <c r="N370" s="2">
        <v>46023</v>
      </c>
      <c r="O370" s="2">
        <v>46388</v>
      </c>
      <c r="P370" s="2">
        <v>46753</v>
      </c>
      <c r="Q370" s="2">
        <v>47119</v>
      </c>
      <c r="R370" s="2">
        <v>47484</v>
      </c>
      <c r="S370" s="2">
        <v>47849</v>
      </c>
      <c r="T370" s="2">
        <v>48214</v>
      </c>
      <c r="U370" s="2">
        <v>48580</v>
      </c>
      <c r="V370" s="2">
        <v>48945</v>
      </c>
      <c r="W370" s="2">
        <v>49310</v>
      </c>
      <c r="X370" s="2">
        <v>49675</v>
      </c>
      <c r="Y370" s="2">
        <v>50041</v>
      </c>
      <c r="Z370" s="2">
        <v>50406</v>
      </c>
      <c r="AA370" s="2">
        <v>50771</v>
      </c>
      <c r="AB370" s="2">
        <v>51136</v>
      </c>
      <c r="AC370" s="2">
        <v>51502</v>
      </c>
      <c r="AD370" s="2">
        <v>51867</v>
      </c>
      <c r="AE370" s="2">
        <v>52232</v>
      </c>
      <c r="AF370" s="2">
        <v>52597</v>
      </c>
      <c r="AG370" s="2">
        <v>52963</v>
      </c>
      <c r="AH370" s="2">
        <v>53328</v>
      </c>
      <c r="AI370" s="2">
        <v>53693</v>
      </c>
      <c r="AJ370" s="2">
        <v>54058</v>
      </c>
      <c r="AK370" s="2">
        <v>54424</v>
      </c>
      <c r="AL370" s="2">
        <v>54789</v>
      </c>
      <c r="AM370" s="2">
        <v>54790</v>
      </c>
      <c r="AN370" s="2">
        <v>54791</v>
      </c>
      <c r="AO370" s="2">
        <v>54792</v>
      </c>
      <c r="AP370" s="2">
        <v>54793</v>
      </c>
      <c r="AQ370" s="2">
        <v>54794</v>
      </c>
      <c r="AR370" s="2">
        <v>54795</v>
      </c>
      <c r="AS370" s="2">
        <v>54796</v>
      </c>
      <c r="AT370" s="2">
        <v>54797</v>
      </c>
      <c r="AU370" s="2">
        <v>54798</v>
      </c>
      <c r="AV370" s="2">
        <v>54799</v>
      </c>
      <c r="AW370" s="2">
        <v>54800</v>
      </c>
      <c r="AX370" s="2">
        <v>54801</v>
      </c>
      <c r="AY370" s="2">
        <v>54802</v>
      </c>
      <c r="AZ370" s="2">
        <v>54803</v>
      </c>
      <c r="BA370" s="2">
        <v>54804</v>
      </c>
      <c r="BB370" s="2">
        <v>54805</v>
      </c>
      <c r="BC370" s="2">
        <v>54806</v>
      </c>
      <c r="BD370" s="2">
        <v>54807</v>
      </c>
      <c r="BE370" s="2">
        <v>54808</v>
      </c>
      <c r="BF370" s="2">
        <v>54809</v>
      </c>
    </row>
    <row r="371" spans="1:58" x14ac:dyDescent="0.35">
      <c r="A371" t="s">
        <v>39</v>
      </c>
      <c r="B371" t="s">
        <v>57</v>
      </c>
      <c r="C371" s="6">
        <f>[1]Results!F104</f>
        <v>3.476542051</v>
      </c>
      <c r="D371" s="6">
        <f>[1]Results!G104</f>
        <v>7.3083479860000002</v>
      </c>
      <c r="E371" s="6">
        <f>[1]Results!H104</f>
        <v>11.69398988</v>
      </c>
      <c r="F371" s="6">
        <f>[1]Results!I104</f>
        <v>16.054838010000001</v>
      </c>
      <c r="G371" s="6">
        <f>[1]Results!J104</f>
        <v>20.167467899999998</v>
      </c>
      <c r="H371" s="6">
        <f>[1]Results!K104</f>
        <v>23.93813334</v>
      </c>
      <c r="I371" s="6">
        <f>[1]Results!L104</f>
        <v>27.306177219999999</v>
      </c>
      <c r="J371" s="6">
        <f>[1]Results!M104</f>
        <v>30.30209747</v>
      </c>
      <c r="K371" s="6">
        <f>[1]Results!N104</f>
        <v>32.972587529999998</v>
      </c>
      <c r="L371" s="6">
        <f>[1]Results!O104</f>
        <v>35.394965460000002</v>
      </c>
      <c r="M371" s="6">
        <f>[1]Results!P104</f>
        <v>37.707182199999998</v>
      </c>
      <c r="N371" s="6">
        <f>[1]Results!Q104</f>
        <v>39.92956951</v>
      </c>
      <c r="O371" s="6">
        <f>[1]Results!R104</f>
        <v>42.161707679999999</v>
      </c>
      <c r="P371" s="6">
        <f>[1]Results!S104</f>
        <v>44.432471339999999</v>
      </c>
      <c r="Q371" s="6">
        <f>[1]Results!T104</f>
        <v>46.759322259999998</v>
      </c>
      <c r="R371" s="6">
        <f>[1]Results!U104</f>
        <v>49.154886329999997</v>
      </c>
      <c r="S371" s="6">
        <f>[1]Results!V104</f>
        <v>51.632163769999998</v>
      </c>
      <c r="T371" s="6">
        <f>[1]Results!W104</f>
        <v>54.206123779999999</v>
      </c>
      <c r="U371" s="6">
        <f>[1]Results!X104</f>
        <v>56.88310808</v>
      </c>
      <c r="V371" s="6">
        <f>[1]Results!Y104</f>
        <v>59.661748170000003</v>
      </c>
      <c r="W371" s="6">
        <f>[1]Results!Z104</f>
        <v>62.512237810000002</v>
      </c>
      <c r="X371" s="6">
        <f>[1]Results!AA104</f>
        <v>65.483628460000006</v>
      </c>
      <c r="Y371" s="6">
        <f>[1]Results!AB104</f>
        <v>68.541606020000003</v>
      </c>
      <c r="Z371" s="6">
        <f>[1]Results!AC104</f>
        <v>71.676588649999999</v>
      </c>
      <c r="AA371" s="6">
        <f>[1]Results!AD104</f>
        <v>74.878971640000003</v>
      </c>
      <c r="AB371" s="6">
        <f>[1]Results!AE104</f>
        <v>78.071465079999996</v>
      </c>
      <c r="AC371" s="6">
        <f>[1]Results!AF104</f>
        <v>81.364229190000003</v>
      </c>
      <c r="AD371" s="6">
        <f>[1]Results!AG104</f>
        <v>84.715981670000005</v>
      </c>
      <c r="AE371" s="6">
        <f>[1]Results!AH104</f>
        <v>88.122206809999994</v>
      </c>
      <c r="AF371" s="6">
        <f>[1]Results!AI104</f>
        <v>91.577880769999993</v>
      </c>
      <c r="AG371" s="6">
        <f>[1]Results!AJ104</f>
        <v>95.07792938</v>
      </c>
      <c r="AH371" s="6">
        <f>[1]Results!AK104</f>
        <v>98.617256600000005</v>
      </c>
      <c r="AI371" s="6">
        <f>[1]Results!AL104</f>
        <v>102.1906987</v>
      </c>
      <c r="AJ371" s="6">
        <f>[1]Results!AM104</f>
        <v>105.7938147</v>
      </c>
      <c r="AK371" s="6">
        <f>[1]Results!AN104</f>
        <v>109.42304059999999</v>
      </c>
      <c r="AL371" s="6">
        <f>[1]Results!AO104</f>
        <v>113.075885</v>
      </c>
      <c r="AM371" s="6">
        <f>[1]Results!AP104</f>
        <v>116.73428079999999</v>
      </c>
      <c r="AN371" s="6">
        <f>[1]Results!AQ104</f>
        <v>120.4084982</v>
      </c>
      <c r="AO371" s="6">
        <f>[1]Results!AR104</f>
        <v>124.0958177</v>
      </c>
      <c r="AP371" s="6">
        <f>[1]Results!AS104</f>
        <v>127.79630450000001</v>
      </c>
      <c r="AQ371" s="6">
        <f>[1]Results!AT104</f>
        <v>131.5118938</v>
      </c>
      <c r="AR371" s="6">
        <f>[1]Results!AU104</f>
        <v>135.2450958</v>
      </c>
      <c r="AS371" s="6">
        <f>[1]Results!AV104</f>
        <v>138.99784550000001</v>
      </c>
      <c r="AT371" s="6">
        <f>[1]Results!AW104</f>
        <v>142.77187230000001</v>
      </c>
      <c r="AU371" s="6">
        <f>[1]Results!AX104</f>
        <v>146.56869219999999</v>
      </c>
      <c r="AV371" s="6">
        <f>[1]Results!AY104</f>
        <v>150.3895291</v>
      </c>
      <c r="AW371" s="6">
        <f>[1]Results!AZ104</f>
        <v>154.23579000000001</v>
      </c>
      <c r="AX371" s="6">
        <f>[1]Results!BA104</f>
        <v>158.1042669</v>
      </c>
      <c r="AY371" s="6">
        <f>[1]Results!BB104</f>
        <v>161.99334260000001</v>
      </c>
      <c r="AZ371" s="6">
        <f>[1]Results!BC104</f>
        <v>165.9022665</v>
      </c>
      <c r="BA371" s="6">
        <f>[1]Results!BD104</f>
        <v>169.8309568</v>
      </c>
      <c r="BB371" s="6">
        <f>[1]Results!BE104</f>
        <v>22.97561808</v>
      </c>
      <c r="BC371" s="6">
        <f>[1]Results!BF104</f>
        <v>23.049233709999999</v>
      </c>
      <c r="BD371" s="6">
        <f>[1]Results!BG104</f>
        <v>23.122476450000001</v>
      </c>
      <c r="BE371" s="6">
        <f>[1]Results!BH104</f>
        <v>23.195350779999998</v>
      </c>
      <c r="BF371" s="6">
        <f>[1]Results!BI104</f>
        <v>23.267860880000001</v>
      </c>
    </row>
    <row r="372" spans="1:58" x14ac:dyDescent="0.35">
      <c r="B372" t="s">
        <v>58</v>
      </c>
      <c r="C372" s="6">
        <f>[1]Results!F105</f>
        <v>68.80476281</v>
      </c>
      <c r="D372" s="6">
        <f>[1]Results!G105</f>
        <v>75.357180209999996</v>
      </c>
      <c r="E372" s="6">
        <f>[1]Results!H105</f>
        <v>81.353434210000003</v>
      </c>
      <c r="F372" s="6">
        <f>[1]Results!I105</f>
        <v>86.798856420000007</v>
      </c>
      <c r="G372" s="6">
        <f>[1]Results!J105</f>
        <v>92.05280784</v>
      </c>
      <c r="H372" s="6">
        <f>[1]Results!K105</f>
        <v>97.324361069999995</v>
      </c>
      <c r="I372" s="6">
        <f>[1]Results!L105</f>
        <v>102.12284150000001</v>
      </c>
      <c r="J372" s="6">
        <f>[1]Results!M105</f>
        <v>107.1585851</v>
      </c>
      <c r="K372" s="6">
        <f>[1]Results!N105</f>
        <v>112.4933079</v>
      </c>
      <c r="L372" s="6">
        <f>[1]Results!O105</f>
        <v>118.16119190000001</v>
      </c>
      <c r="M372" s="6">
        <f>[1]Results!P105</f>
        <v>125.1820584</v>
      </c>
      <c r="N372" s="6">
        <f>[1]Results!Q105</f>
        <v>131.3881342</v>
      </c>
      <c r="O372" s="6">
        <f>[1]Results!R105</f>
        <v>137.6927542</v>
      </c>
      <c r="P372" s="6">
        <f>[1]Results!S105</f>
        <v>143.9872915</v>
      </c>
      <c r="Q372" s="6">
        <f>[1]Results!T105</f>
        <v>150.1851064</v>
      </c>
      <c r="R372" s="6">
        <f>[1]Results!U105</f>
        <v>156.22405689999999</v>
      </c>
      <c r="S372" s="6">
        <f>[1]Results!V105</f>
        <v>162.06229980000001</v>
      </c>
      <c r="T372" s="6">
        <f>[1]Results!W105</f>
        <v>167.67435889999999</v>
      </c>
      <c r="U372" s="6">
        <f>[1]Results!X105</f>
        <v>173.05803539999999</v>
      </c>
      <c r="V372" s="6">
        <f>[1]Results!Y105</f>
        <v>178.22952889999999</v>
      </c>
      <c r="W372" s="6">
        <f>[1]Results!Z105</f>
        <v>182.52583300000001</v>
      </c>
      <c r="X372" s="6">
        <f>[1]Results!AA105</f>
        <v>187.344311</v>
      </c>
      <c r="Y372" s="6">
        <f>[1]Results!AB105</f>
        <v>192.025947</v>
      </c>
      <c r="Z372" s="6">
        <f>[1]Results!AC105</f>
        <v>196.59443669999999</v>
      </c>
      <c r="AA372" s="6">
        <f>[1]Results!AD105</f>
        <v>201.06995570000001</v>
      </c>
      <c r="AB372" s="6">
        <f>[1]Results!AE105</f>
        <v>203.5914325</v>
      </c>
      <c r="AC372" s="6">
        <f>[1]Results!AF105</f>
        <v>207.03220659999999</v>
      </c>
      <c r="AD372" s="6">
        <f>[1]Results!AG105</f>
        <v>210.40704819999999</v>
      </c>
      <c r="AE372" s="6">
        <f>[1]Results!AH105</f>
        <v>213.72347210000001</v>
      </c>
      <c r="AF372" s="6">
        <f>[1]Results!AI105</f>
        <v>216.9881403</v>
      </c>
      <c r="AG372" s="6">
        <f>[1]Results!AJ105</f>
        <v>220.20688290000001</v>
      </c>
      <c r="AH372" s="6">
        <f>[1]Results!AK105</f>
        <v>223.38487520000001</v>
      </c>
      <c r="AI372" s="6">
        <f>[1]Results!AL105</f>
        <v>226.52681620000001</v>
      </c>
      <c r="AJ372" s="6">
        <f>[1]Results!AM105</f>
        <v>229.6366361</v>
      </c>
      <c r="AK372" s="6">
        <f>[1]Results!AN105</f>
        <v>232.7174875</v>
      </c>
      <c r="AL372" s="6">
        <f>[1]Results!AO105</f>
        <v>235.77172820000001</v>
      </c>
      <c r="AM372" s="6">
        <f>[1]Results!AP105</f>
        <v>238.40131510000001</v>
      </c>
      <c r="AN372" s="6">
        <f>[1]Results!AQ105</f>
        <v>241.00847970000001</v>
      </c>
      <c r="AO372" s="6">
        <f>[1]Results!AR105</f>
        <v>243.59538749999999</v>
      </c>
      <c r="AP372" s="6">
        <f>[1]Results!AS105</f>
        <v>246.1627383</v>
      </c>
      <c r="AQ372" s="6">
        <f>[1]Results!AT105</f>
        <v>248.7101538</v>
      </c>
      <c r="AR372" s="6">
        <f>[1]Results!AU105</f>
        <v>251.2368184</v>
      </c>
      <c r="AS372" s="6">
        <f>[1]Results!AV105</f>
        <v>253.74208519999999</v>
      </c>
      <c r="AT372" s="6">
        <f>[1]Results!AW105</f>
        <v>256.22538209999999</v>
      </c>
      <c r="AU372" s="6">
        <f>[1]Results!AX105</f>
        <v>258.68624440000002</v>
      </c>
      <c r="AV372" s="6">
        <f>[1]Results!AY105</f>
        <v>261.1243642</v>
      </c>
      <c r="AW372" s="6">
        <f>[1]Results!AZ105</f>
        <v>263.57218899999998</v>
      </c>
      <c r="AX372" s="6">
        <f>[1]Results!BA105</f>
        <v>265.99867799999998</v>
      </c>
      <c r="AY372" s="6">
        <f>[1]Results!BB105</f>
        <v>268.40487389999998</v>
      </c>
      <c r="AZ372" s="6">
        <f>[1]Results!BC105</f>
        <v>270.79146889999998</v>
      </c>
      <c r="BA372" s="6">
        <f>[1]Results!BD105</f>
        <v>273.15885909999997</v>
      </c>
      <c r="BB372" s="6">
        <f>[1]Results!BE105</f>
        <v>476.70896579999999</v>
      </c>
      <c r="BC372" s="6">
        <f>[1]Results!BF105</f>
        <v>481.95657119999998</v>
      </c>
      <c r="BD372" s="6">
        <f>[1]Results!BG105</f>
        <v>487.1573343</v>
      </c>
      <c r="BE372" s="6">
        <f>[1]Results!BH105</f>
        <v>492.3115464</v>
      </c>
      <c r="BF372" s="6">
        <f>[1]Results!BI105</f>
        <v>497.41941509999998</v>
      </c>
    </row>
    <row r="373" spans="1:58" x14ac:dyDescent="0.35">
      <c r="B373" t="s">
        <v>59</v>
      </c>
      <c r="C373" s="6">
        <f>[1]Results!F106</f>
        <v>408.28039699999999</v>
      </c>
      <c r="D373" s="6">
        <f>[1]Results!G106</f>
        <v>422.31086060000001</v>
      </c>
      <c r="E373" s="6">
        <f>[1]Results!H106</f>
        <v>436.0091051</v>
      </c>
      <c r="F373" s="6">
        <f>[1]Results!I106</f>
        <v>448.69288010000002</v>
      </c>
      <c r="G373" s="6">
        <f>[1]Results!J106</f>
        <v>461.0001742</v>
      </c>
      <c r="H373" s="6">
        <f>[1]Results!K106</f>
        <v>473.29973940000002</v>
      </c>
      <c r="I373" s="6">
        <f>[1]Results!L106</f>
        <v>484.06532370000002</v>
      </c>
      <c r="J373" s="6">
        <f>[1]Results!M106</f>
        <v>495.17519529999998</v>
      </c>
      <c r="K373" s="6">
        <f>[1]Results!N106</f>
        <v>506.70073480000002</v>
      </c>
      <c r="L373" s="6">
        <f>[1]Results!O106</f>
        <v>518.65512200000001</v>
      </c>
      <c r="M373" s="6">
        <f>[1]Results!P106</f>
        <v>533.89367589999995</v>
      </c>
      <c r="N373" s="6">
        <f>[1]Results!Q106</f>
        <v>546.45662289999996</v>
      </c>
      <c r="O373" s="6">
        <f>[1]Results!R106</f>
        <v>559.09061099999997</v>
      </c>
      <c r="P373" s="6">
        <f>[1]Results!S106</f>
        <v>571.6644086</v>
      </c>
      <c r="Q373" s="6">
        <f>[1]Results!T106</f>
        <v>584.0801573</v>
      </c>
      <c r="R373" s="6">
        <f>[1]Results!U106</f>
        <v>596.27191579999999</v>
      </c>
      <c r="S373" s="6">
        <f>[1]Results!V106</f>
        <v>608.19734800000003</v>
      </c>
      <c r="T373" s="6">
        <f>[1]Results!W106</f>
        <v>619.83084129999997</v>
      </c>
      <c r="U373" s="6">
        <f>[1]Results!X106</f>
        <v>631.17254100000002</v>
      </c>
      <c r="V373" s="6">
        <f>[1]Results!Y106</f>
        <v>642.24320639999996</v>
      </c>
      <c r="W373" s="6">
        <f>[1]Results!Z106</f>
        <v>651.1434084</v>
      </c>
      <c r="X373" s="6">
        <f>[1]Results!AA106</f>
        <v>661.75623889999997</v>
      </c>
      <c r="Y373" s="6">
        <f>[1]Results!AB106</f>
        <v>672.19072129999995</v>
      </c>
      <c r="Z373" s="6">
        <f>[1]Results!AC106</f>
        <v>682.47620949999998</v>
      </c>
      <c r="AA373" s="6">
        <f>[1]Results!AD106</f>
        <v>692.63797850000003</v>
      </c>
      <c r="AB373" s="6">
        <f>[1]Results!AE106</f>
        <v>697.42866930000002</v>
      </c>
      <c r="AC373" s="6">
        <f>[1]Results!AF106</f>
        <v>704.90206450000005</v>
      </c>
      <c r="AD373" s="6">
        <f>[1]Results!AG106</f>
        <v>712.28041680000001</v>
      </c>
      <c r="AE373" s="6">
        <f>[1]Results!AH106</f>
        <v>719.57391640000003</v>
      </c>
      <c r="AF373" s="6">
        <f>[1]Results!AI106</f>
        <v>726.79149770000004</v>
      </c>
      <c r="AG373" s="6">
        <f>[1]Results!AJ106</f>
        <v>733.9409326</v>
      </c>
      <c r="AH373" s="6">
        <f>[1]Results!AK106</f>
        <v>741.02913439999998</v>
      </c>
      <c r="AI373" s="6">
        <f>[1]Results!AL106</f>
        <v>748.06245839999997</v>
      </c>
      <c r="AJ373" s="6">
        <f>[1]Results!AM106</f>
        <v>755.0462655</v>
      </c>
      <c r="AK373" s="6">
        <f>[1]Results!AN106</f>
        <v>761.98490839999999</v>
      </c>
      <c r="AL373" s="6">
        <f>[1]Results!AO106</f>
        <v>768.88173380000001</v>
      </c>
      <c r="AM373" s="6">
        <f>[1]Results!AP106</f>
        <v>774.61624019999999</v>
      </c>
      <c r="AN373" s="6">
        <f>[1]Results!AQ106</f>
        <v>780.31348549999996</v>
      </c>
      <c r="AO373" s="6">
        <f>[1]Results!AR106</f>
        <v>785.97701410000002</v>
      </c>
      <c r="AP373" s="6">
        <f>[1]Results!AS106</f>
        <v>791.60823979999998</v>
      </c>
      <c r="AQ373" s="6">
        <f>[1]Results!AT106</f>
        <v>797.20700439999996</v>
      </c>
      <c r="AR373" s="6">
        <f>[1]Results!AU106</f>
        <v>802.77250790000005</v>
      </c>
      <c r="AS373" s="6">
        <f>[1]Results!AV106</f>
        <v>808.30417169999998</v>
      </c>
      <c r="AT373" s="6">
        <f>[1]Results!AW106</f>
        <v>813.80148750000001</v>
      </c>
      <c r="AU373" s="6">
        <f>[1]Results!AX106</f>
        <v>819.26406180000004</v>
      </c>
      <c r="AV373" s="6">
        <f>[1]Results!AY106</f>
        <v>824.69169069999998</v>
      </c>
      <c r="AW373" s="6">
        <f>[1]Results!AZ106</f>
        <v>830.17542879999996</v>
      </c>
      <c r="AX373" s="6">
        <f>[1]Results!BA106</f>
        <v>835.62674440000001</v>
      </c>
      <c r="AY373" s="6">
        <f>[1]Results!BB106</f>
        <v>841.04725380000002</v>
      </c>
      <c r="AZ373" s="6">
        <f>[1]Results!BC106</f>
        <v>846.43804490000002</v>
      </c>
      <c r="BA373" s="6">
        <f>[1]Results!BD106</f>
        <v>851.79976769999996</v>
      </c>
      <c r="BB373" s="6">
        <f>[1]Results!BE106</f>
        <v>1081.1689630000001</v>
      </c>
      <c r="BC373" s="6">
        <f>[1]Results!BF106</f>
        <v>1090.184426</v>
      </c>
      <c r="BD373" s="6">
        <f>[1]Results!BG106</f>
        <v>1099.142771</v>
      </c>
      <c r="BE373" s="6">
        <f>[1]Results!BH106</f>
        <v>1108.044478</v>
      </c>
      <c r="BF373" s="6">
        <f>[1]Results!BI106</f>
        <v>1116.890073</v>
      </c>
    </row>
    <row r="374" spans="1:58" x14ac:dyDescent="0.35">
      <c r="B374" t="s">
        <v>60</v>
      </c>
      <c r="C374" s="6">
        <f>[1]Results!F107</f>
        <v>954.38155940000001</v>
      </c>
      <c r="D374" s="6">
        <f>[1]Results!G107</f>
        <v>950.94516650000003</v>
      </c>
      <c r="E374" s="6">
        <f>[1]Results!H107</f>
        <v>949.24728719999996</v>
      </c>
      <c r="F374" s="6">
        <f>[1]Results!I107</f>
        <v>948.11981119999996</v>
      </c>
      <c r="G374" s="6">
        <f>[1]Results!J107</f>
        <v>947.01600259999998</v>
      </c>
      <c r="H374" s="6">
        <f>[1]Results!K107</f>
        <v>945.7175168</v>
      </c>
      <c r="I374" s="6">
        <f>[1]Results!L107</f>
        <v>944.14372530000003</v>
      </c>
      <c r="J374" s="6">
        <f>[1]Results!M107</f>
        <v>942.25216550000005</v>
      </c>
      <c r="K374" s="6">
        <f>[1]Results!N107</f>
        <v>939.98991690000003</v>
      </c>
      <c r="L374" s="6">
        <f>[1]Results!O107</f>
        <v>937.28878669999995</v>
      </c>
      <c r="M374" s="6">
        <f>[1]Results!P107</f>
        <v>934.12480689999995</v>
      </c>
      <c r="N374" s="6">
        <f>[1]Results!Q107</f>
        <v>930.59330039999998</v>
      </c>
      <c r="O374" s="6">
        <f>[1]Results!R107</f>
        <v>926.86181150000004</v>
      </c>
      <c r="P374" s="6">
        <f>[1]Results!S107</f>
        <v>923.09717130000001</v>
      </c>
      <c r="Q374" s="6">
        <f>[1]Results!T107</f>
        <v>919.4367628</v>
      </c>
      <c r="R374" s="6">
        <f>[1]Results!U107</f>
        <v>915.97979050000004</v>
      </c>
      <c r="S374" s="6">
        <f>[1]Results!V107</f>
        <v>912.79103850000001</v>
      </c>
      <c r="T374" s="6">
        <f>[1]Results!W107</f>
        <v>909.90645670000004</v>
      </c>
      <c r="U374" s="6">
        <f>[1]Results!X107</f>
        <v>907.32520480000005</v>
      </c>
      <c r="V374" s="6">
        <f>[1]Results!Y107</f>
        <v>905.01821459999996</v>
      </c>
      <c r="W374" s="6">
        <f>[1]Results!Z107</f>
        <v>902.94394060000002</v>
      </c>
      <c r="X374" s="6">
        <f>[1]Results!AA107</f>
        <v>901.05926929999998</v>
      </c>
      <c r="Y374" s="6">
        <f>[1]Results!AB107</f>
        <v>899.32423170000004</v>
      </c>
      <c r="Z374" s="6">
        <f>[1]Results!AC107</f>
        <v>897.70441570000003</v>
      </c>
      <c r="AA374" s="6">
        <f>[1]Results!AD107</f>
        <v>896.17222860000004</v>
      </c>
      <c r="AB374" s="6">
        <f>[1]Results!AE107</f>
        <v>894.70755970000005</v>
      </c>
      <c r="AC374" s="6">
        <f>[1]Results!AF107</f>
        <v>893.29592609999997</v>
      </c>
      <c r="AD374" s="6">
        <f>[1]Results!AG107</f>
        <v>891.92608900000005</v>
      </c>
      <c r="AE374" s="6">
        <f>[1]Results!AH107</f>
        <v>890.58887849999996</v>
      </c>
      <c r="AF374" s="6">
        <f>[1]Results!AI107</f>
        <v>889.27718960000004</v>
      </c>
      <c r="AG374" s="6">
        <f>[1]Results!AJ107</f>
        <v>887.98548459999995</v>
      </c>
      <c r="AH374" s="6">
        <f>[1]Results!AK107</f>
        <v>886.70919460000005</v>
      </c>
      <c r="AI374" s="6">
        <f>[1]Results!AL107</f>
        <v>885.4442047</v>
      </c>
      <c r="AJ374" s="6">
        <f>[1]Results!AM107</f>
        <v>884.18740430000003</v>
      </c>
      <c r="AK374" s="6">
        <f>[1]Results!AN107</f>
        <v>882.93660629999999</v>
      </c>
      <c r="AL374" s="6">
        <f>[1]Results!AO107</f>
        <v>881.69040589999997</v>
      </c>
      <c r="AM374" s="6">
        <f>[1]Results!AP107</f>
        <v>880.44648040000004</v>
      </c>
      <c r="AN374" s="6">
        <f>[1]Results!AQ107</f>
        <v>879.19903799999997</v>
      </c>
      <c r="AO374" s="6">
        <f>[1]Results!AR107</f>
        <v>877.94490989999997</v>
      </c>
      <c r="AP374" s="6">
        <f>[1]Results!AS107</f>
        <v>876.68378299999995</v>
      </c>
      <c r="AQ374" s="6">
        <f>[1]Results!AT107</f>
        <v>875.41712819999998</v>
      </c>
      <c r="AR374" s="6">
        <f>[1]Results!AU107</f>
        <v>874.14687579999998</v>
      </c>
      <c r="AS374" s="6">
        <f>[1]Results!AV107</f>
        <v>872.8743498</v>
      </c>
      <c r="AT374" s="6">
        <f>[1]Results!AW107</f>
        <v>871.60089140000002</v>
      </c>
      <c r="AU374" s="6">
        <f>[1]Results!AX107</f>
        <v>870.32787280000002</v>
      </c>
      <c r="AV374" s="6">
        <f>[1]Results!AY107</f>
        <v>869.05658770000002</v>
      </c>
      <c r="AW374" s="6">
        <f>[1]Results!AZ107</f>
        <v>867.78730570000005</v>
      </c>
      <c r="AX374" s="6">
        <f>[1]Results!BA107</f>
        <v>866.51797939999994</v>
      </c>
      <c r="AY374" s="6">
        <f>[1]Results!BB107</f>
        <v>865.24743109999997</v>
      </c>
      <c r="AZ374" s="6">
        <f>[1]Results!BC107</f>
        <v>863.97576230000004</v>
      </c>
      <c r="BA374" s="6">
        <f>[1]Results!BD107</f>
        <v>862.70391770000003</v>
      </c>
      <c r="BB374" s="6">
        <f>[1]Results!BE107</f>
        <v>524.96822689999999</v>
      </c>
      <c r="BC374" s="6">
        <f>[1]Results!BF107</f>
        <v>519.65419159999999</v>
      </c>
      <c r="BD374" s="6">
        <f>[1]Results!BG107</f>
        <v>514.41976720000002</v>
      </c>
      <c r="BE374" s="6">
        <f>[1]Results!BH107</f>
        <v>509.26440919999999</v>
      </c>
      <c r="BF374" s="6">
        <f>[1]Results!BI107</f>
        <v>504.18760109999999</v>
      </c>
    </row>
    <row r="375" spans="1:58" x14ac:dyDescent="0.35">
      <c r="B375" t="s">
        <v>61</v>
      </c>
      <c r="C375" s="6">
        <f>[1]Results!F108</f>
        <v>878.79999729999997</v>
      </c>
      <c r="D375" s="6">
        <f>[1]Results!G108</f>
        <v>868.13340430000005</v>
      </c>
      <c r="E375" s="6">
        <f>[1]Results!H108</f>
        <v>858.55679650000002</v>
      </c>
      <c r="F375" s="6">
        <f>[1]Results!I108</f>
        <v>850.00747190000004</v>
      </c>
      <c r="G375" s="6">
        <f>[1]Results!J108</f>
        <v>842.25256430000002</v>
      </c>
      <c r="H375" s="6">
        <f>[1]Results!K108</f>
        <v>835.02485149999995</v>
      </c>
      <c r="I375" s="6">
        <f>[1]Results!L108</f>
        <v>828.08298000000002</v>
      </c>
      <c r="J375" s="6">
        <f>[1]Results!M108</f>
        <v>821.23776580000003</v>
      </c>
      <c r="K375" s="6">
        <f>[1]Results!N108</f>
        <v>814.3673129</v>
      </c>
      <c r="L375" s="6">
        <f>[1]Results!O108</f>
        <v>807.41979939999999</v>
      </c>
      <c r="M375" s="6">
        <f>[1]Results!P108</f>
        <v>800.40225450000003</v>
      </c>
      <c r="N375" s="6">
        <f>[1]Results!Q108</f>
        <v>793.3586775</v>
      </c>
      <c r="O375" s="6">
        <f>[1]Results!R108</f>
        <v>786.34256979999998</v>
      </c>
      <c r="P375" s="6">
        <f>[1]Results!S108</f>
        <v>779.39951329999997</v>
      </c>
      <c r="Q375" s="6">
        <f>[1]Results!T108</f>
        <v>772.56036370000004</v>
      </c>
      <c r="R375" s="6">
        <f>[1]Results!U108</f>
        <v>765.84245009999995</v>
      </c>
      <c r="S375" s="6">
        <f>[1]Results!V108</f>
        <v>759.25309960000004</v>
      </c>
      <c r="T375" s="6">
        <f>[1]Results!W108</f>
        <v>752.79323469999997</v>
      </c>
      <c r="U375" s="6">
        <f>[1]Results!X108</f>
        <v>746.45995649999998</v>
      </c>
      <c r="V375" s="6">
        <f>[1]Results!Y108</f>
        <v>740.24709010000004</v>
      </c>
      <c r="W375" s="6">
        <f>[1]Results!Z108</f>
        <v>734.1460098</v>
      </c>
      <c r="X375" s="6">
        <f>[1]Results!AA108</f>
        <v>728.14660100000003</v>
      </c>
      <c r="Y375" s="6">
        <f>[1]Results!AB108</f>
        <v>722.23943780000002</v>
      </c>
      <c r="Z375" s="6">
        <f>[1]Results!AC108</f>
        <v>716.41529860000003</v>
      </c>
      <c r="AA375" s="6">
        <f>[1]Results!AD108</f>
        <v>710.66573830000004</v>
      </c>
      <c r="AB375" s="6">
        <f>[1]Results!AE108</f>
        <v>704.98283130000004</v>
      </c>
      <c r="AC375" s="6">
        <f>[1]Results!AF108</f>
        <v>699.35860830000001</v>
      </c>
      <c r="AD375" s="6">
        <f>[1]Results!AG108</f>
        <v>693.78841439999997</v>
      </c>
      <c r="AE375" s="6">
        <f>[1]Results!AH108</f>
        <v>688.26809809999997</v>
      </c>
      <c r="AF375" s="6">
        <f>[1]Results!AI108</f>
        <v>682.79408100000001</v>
      </c>
      <c r="AG375" s="6">
        <f>[1]Results!AJ108</f>
        <v>677.36330420000002</v>
      </c>
      <c r="AH375" s="6">
        <f>[1]Results!AK108</f>
        <v>671.97332659999995</v>
      </c>
      <c r="AI375" s="6">
        <f>[1]Results!AL108</f>
        <v>666.62241849999998</v>
      </c>
      <c r="AJ375" s="6">
        <f>[1]Results!AM108</f>
        <v>661.30896040000005</v>
      </c>
      <c r="AK375" s="6">
        <f>[1]Results!AN108</f>
        <v>656.03139550000003</v>
      </c>
      <c r="AL375" s="6">
        <f>[1]Results!AO108</f>
        <v>650.78817909999998</v>
      </c>
      <c r="AM375" s="6">
        <f>[1]Results!AP108</f>
        <v>645.57897049999997</v>
      </c>
      <c r="AN375" s="6">
        <f>[1]Results!AQ108</f>
        <v>640.40621759999999</v>
      </c>
      <c r="AO375" s="6">
        <f>[1]Results!AR108</f>
        <v>635.27046700000005</v>
      </c>
      <c r="AP375" s="6">
        <f>[1]Results!AS108</f>
        <v>630.17023289999997</v>
      </c>
      <c r="AQ375" s="6">
        <f>[1]Results!AT108</f>
        <v>625.10303839999995</v>
      </c>
      <c r="AR375" s="6">
        <f>[1]Results!AU108</f>
        <v>620.06645719999995</v>
      </c>
      <c r="AS375" s="6">
        <f>[1]Results!AV108</f>
        <v>615.05885009999997</v>
      </c>
      <c r="AT375" s="6">
        <f>[1]Results!AW108</f>
        <v>610.07860730000004</v>
      </c>
      <c r="AU375" s="6">
        <f>[1]Results!AX108</f>
        <v>605.12406569999996</v>
      </c>
      <c r="AV375" s="6">
        <f>[1]Results!AY108</f>
        <v>600.19357079999997</v>
      </c>
      <c r="AW375" s="6">
        <f>[1]Results!AZ108</f>
        <v>595.28636940000001</v>
      </c>
      <c r="AX375" s="6">
        <f>[1]Results!BA108</f>
        <v>590.40390349999996</v>
      </c>
      <c r="AY375" s="6">
        <f>[1]Results!BB108</f>
        <v>585.54659460000005</v>
      </c>
      <c r="AZ375" s="6">
        <f>[1]Results!BC108</f>
        <v>580.71358380000004</v>
      </c>
      <c r="BA375" s="6">
        <f>[1]Results!BD108</f>
        <v>575.90322660000004</v>
      </c>
      <c r="BB375" s="6">
        <f>[1]Results!BE108</f>
        <v>630.2942673</v>
      </c>
      <c r="BC375" s="6">
        <f>[1]Results!BF108</f>
        <v>626.75182099999995</v>
      </c>
      <c r="BD375" s="6">
        <f>[1]Results!BG108</f>
        <v>623.22951149999994</v>
      </c>
      <c r="BE375" s="6">
        <f>[1]Results!BH108</f>
        <v>619.72726850000004</v>
      </c>
      <c r="BF375" s="6">
        <f>[1]Results!BI108</f>
        <v>616.24502619999998</v>
      </c>
    </row>
    <row r="376" spans="1:58" x14ac:dyDescent="0.35">
      <c r="B376" t="s">
        <v>62</v>
      </c>
      <c r="C376" s="6">
        <f>[1]Results!F109</f>
        <v>139.85209269999999</v>
      </c>
      <c r="D376" s="6">
        <f>[1]Results!G109</f>
        <v>137.94715199999999</v>
      </c>
      <c r="E376" s="6">
        <f>[1]Results!H109</f>
        <v>136.06709459999999</v>
      </c>
      <c r="F376" s="6">
        <f>[1]Results!I109</f>
        <v>134.22007840000001</v>
      </c>
      <c r="G376" s="6">
        <f>[1]Results!J109</f>
        <v>132.41198170000001</v>
      </c>
      <c r="H376" s="6">
        <f>[1]Results!K109</f>
        <v>130.64468020000001</v>
      </c>
      <c r="I376" s="6">
        <f>[1]Results!L109</f>
        <v>128.9165405</v>
      </c>
      <c r="J376" s="6">
        <f>[1]Results!M109</f>
        <v>127.2238299</v>
      </c>
      <c r="K376" s="6">
        <f>[1]Results!N109</f>
        <v>125.5621498</v>
      </c>
      <c r="L376" s="6">
        <f>[1]Results!O109</f>
        <v>123.92737219999999</v>
      </c>
      <c r="M376" s="6">
        <f>[1]Results!P109</f>
        <v>122.3160587</v>
      </c>
      <c r="N376" s="6">
        <f>[1]Results!Q109</f>
        <v>120.7256697</v>
      </c>
      <c r="O376" s="6">
        <f>[1]Results!R109</f>
        <v>119.1545792</v>
      </c>
      <c r="P376" s="6">
        <f>[1]Results!S109</f>
        <v>117.60165480000001</v>
      </c>
      <c r="Q376" s="6">
        <f>[1]Results!T109</f>
        <v>116.0659727</v>
      </c>
      <c r="R376" s="6">
        <f>[1]Results!U109</f>
        <v>114.5467223</v>
      </c>
      <c r="S376" s="6">
        <f>[1]Results!V109</f>
        <v>113.0432227</v>
      </c>
      <c r="T376" s="6">
        <f>[1]Results!W109</f>
        <v>111.5549568</v>
      </c>
      <c r="U376" s="6">
        <f>[1]Results!X109</f>
        <v>110.0815964</v>
      </c>
      <c r="V376" s="6">
        <f>[1]Results!Y109</f>
        <v>108.62300310000001</v>
      </c>
      <c r="W376" s="6">
        <f>[1]Results!Z109</f>
        <v>107.17917439999999</v>
      </c>
      <c r="X376" s="6">
        <f>[1]Results!AA109</f>
        <v>105.75022559999999</v>
      </c>
      <c r="Y376" s="6">
        <f>[1]Results!AB109</f>
        <v>104.33642070000001</v>
      </c>
      <c r="Z376" s="6">
        <f>[1]Results!AC109</f>
        <v>102.9381018</v>
      </c>
      <c r="AA376" s="6">
        <f>[1]Results!AD109</f>
        <v>101.5556349</v>
      </c>
      <c r="AB376" s="6">
        <f>[1]Results!AE109</f>
        <v>100.18929799999999</v>
      </c>
      <c r="AC376" s="6">
        <f>[1]Results!AF109</f>
        <v>98.839266719999998</v>
      </c>
      <c r="AD376" s="6">
        <f>[1]Results!AG109</f>
        <v>97.505756640000001</v>
      </c>
      <c r="AE376" s="6">
        <f>[1]Results!AH109</f>
        <v>96.188993830000001</v>
      </c>
      <c r="AF376" s="6">
        <f>[1]Results!AI109</f>
        <v>94.889181480000005</v>
      </c>
      <c r="AG376" s="6">
        <f>[1]Results!AJ109</f>
        <v>93.606479649999997</v>
      </c>
      <c r="AH376" s="6">
        <f>[1]Results!AK109</f>
        <v>92.340996809999993</v>
      </c>
      <c r="AI376" s="6">
        <f>[1]Results!AL109</f>
        <v>91.092778190000004</v>
      </c>
      <c r="AJ376" s="6">
        <f>[1]Results!AM109</f>
        <v>89.861795000000001</v>
      </c>
      <c r="AK376" s="6">
        <f>[1]Results!AN109</f>
        <v>88.647941660000001</v>
      </c>
      <c r="AL376" s="6">
        <f>[1]Results!AO109</f>
        <v>87.451044780000004</v>
      </c>
      <c r="AM376" s="6">
        <f>[1]Results!AP109</f>
        <v>86.270866789999999</v>
      </c>
      <c r="AN376" s="6">
        <f>[1]Results!AQ109</f>
        <v>85.107128459999998</v>
      </c>
      <c r="AO376" s="6">
        <f>[1]Results!AR109</f>
        <v>83.959534000000005</v>
      </c>
      <c r="AP376" s="6">
        <f>[1]Results!AS109</f>
        <v>82.827772370000005</v>
      </c>
      <c r="AQ376" s="6">
        <f>[1]Results!AT109</f>
        <v>81.711517409999999</v>
      </c>
      <c r="AR376" s="6">
        <f>[1]Results!AU109</f>
        <v>80.61043445</v>
      </c>
      <c r="AS376" s="6">
        <f>[1]Results!AV109</f>
        <v>79.524191720000005</v>
      </c>
      <c r="AT376" s="6">
        <f>[1]Results!AW109</f>
        <v>78.452467609999999</v>
      </c>
      <c r="AU376" s="6">
        <f>[1]Results!AX109</f>
        <v>77.394952689999997</v>
      </c>
      <c r="AV376" s="6">
        <f>[1]Results!AY109</f>
        <v>76.351350350000004</v>
      </c>
      <c r="AW376" s="6">
        <f>[1]Results!AZ109</f>
        <v>75.32138046</v>
      </c>
      <c r="AX376" s="6">
        <f>[1]Results!BA109</f>
        <v>74.304787509999997</v>
      </c>
      <c r="AY376" s="6">
        <f>[1]Results!BB109</f>
        <v>73.30133567</v>
      </c>
      <c r="AZ376" s="6">
        <f>[1]Results!BC109</f>
        <v>72.310800080000007</v>
      </c>
      <c r="BA376" s="6">
        <f>[1]Results!BD109</f>
        <v>71.332962030000004</v>
      </c>
      <c r="BB376" s="6">
        <f>[1]Results!BE109</f>
        <v>73.136080030000002</v>
      </c>
      <c r="BC376" s="6">
        <f>[1]Results!BF109</f>
        <v>72.266466910000005</v>
      </c>
      <c r="BD376" s="6">
        <f>[1]Results!BG109</f>
        <v>71.408305409999997</v>
      </c>
      <c r="BE376" s="6">
        <f>[1]Results!BH109</f>
        <v>70.561469470000006</v>
      </c>
      <c r="BF376" s="6">
        <f>[1]Results!BI109</f>
        <v>69.725838089999996</v>
      </c>
    </row>
    <row r="377" spans="1:58" x14ac:dyDescent="0.35">
      <c r="B377" t="s">
        <v>63</v>
      </c>
      <c r="C377" s="6">
        <f>[1]Results!F110</f>
        <v>3.874567114</v>
      </c>
      <c r="D377" s="6">
        <f>[1]Results!G110</f>
        <v>3.724261925</v>
      </c>
      <c r="E377" s="6">
        <f>[1]Results!H110</f>
        <v>3.5803993040000002</v>
      </c>
      <c r="F377" s="6">
        <f>[1]Results!I110</f>
        <v>3.4430488239999999</v>
      </c>
      <c r="G377" s="6">
        <f>[1]Results!J110</f>
        <v>3.3122149699999999</v>
      </c>
      <c r="H377" s="6">
        <f>[1]Results!K110</f>
        <v>3.1877176970000001</v>
      </c>
      <c r="I377" s="6">
        <f>[1]Results!L110</f>
        <v>3.0692014950000002</v>
      </c>
      <c r="J377" s="6">
        <f>[1]Results!M110</f>
        <v>2.9562096530000002</v>
      </c>
      <c r="K377" s="6">
        <f>[1]Results!N110</f>
        <v>2.8482675949999998</v>
      </c>
      <c r="L377" s="6">
        <f>[1]Results!O110</f>
        <v>2.7449381800000001</v>
      </c>
      <c r="M377" s="6">
        <f>[1]Results!P110</f>
        <v>2.6458450330000001</v>
      </c>
      <c r="N377" s="6">
        <f>[1]Results!Q110</f>
        <v>2.5506831110000001</v>
      </c>
      <c r="O377" s="6">
        <f>[1]Results!R110</f>
        <v>2.4592189850000001</v>
      </c>
      <c r="P377" s="6">
        <f>[1]Results!S110</f>
        <v>2.3712577339999998</v>
      </c>
      <c r="Q377" s="6">
        <f>[1]Results!T110</f>
        <v>2.2866231259999998</v>
      </c>
      <c r="R377" s="6">
        <f>[1]Results!U110</f>
        <v>2.205152016</v>
      </c>
      <c r="S377" s="6">
        <f>[1]Results!V110</f>
        <v>2.1266959760000002</v>
      </c>
      <c r="T377" s="6">
        <f>[1]Results!W110</f>
        <v>2.0511228469999998</v>
      </c>
      <c r="U377" s="6">
        <f>[1]Results!X110</f>
        <v>1.9783149630000001</v>
      </c>
      <c r="V377" s="6">
        <f>[1]Results!Y110</f>
        <v>1.9081678950000001</v>
      </c>
      <c r="W377" s="6">
        <f>[1]Results!Z110</f>
        <v>1.840586904</v>
      </c>
      <c r="X377" s="6">
        <f>[1]Results!AA110</f>
        <v>1.7754855469999999</v>
      </c>
      <c r="Y377" s="6">
        <f>[1]Results!AB110</f>
        <v>1.7127869689999999</v>
      </c>
      <c r="Z377" s="6">
        <f>[1]Results!AC110</f>
        <v>1.6524201119999999</v>
      </c>
      <c r="AA377" s="6">
        <f>[1]Results!AD110</f>
        <v>1.5943168830000001</v>
      </c>
      <c r="AB377" s="6">
        <f>[1]Results!AE110</f>
        <v>1.53840669</v>
      </c>
      <c r="AC377" s="6">
        <f>[1]Results!AF110</f>
        <v>1.484615756</v>
      </c>
      <c r="AD377" s="6">
        <f>[1]Results!AG110</f>
        <v>1.432873632</v>
      </c>
      <c r="AE377" s="6">
        <f>[1]Results!AH110</f>
        <v>1.3831130110000001</v>
      </c>
      <c r="AF377" s="6">
        <f>[1]Results!AI110</f>
        <v>1.33526842</v>
      </c>
      <c r="AG377" s="6">
        <f>[1]Results!AJ110</f>
        <v>1.289275282</v>
      </c>
      <c r="AH377" s="6">
        <f>[1]Results!AK110</f>
        <v>1.2450694200000001</v>
      </c>
      <c r="AI377" s="6">
        <f>[1]Results!AL110</f>
        <v>1.202586527</v>
      </c>
      <c r="AJ377" s="6">
        <f>[1]Results!AM110</f>
        <v>1.1617622590000001</v>
      </c>
      <c r="AK377" s="6">
        <f>[1]Results!AN110</f>
        <v>1.122532356</v>
      </c>
      <c r="AL377" s="6">
        <f>[1]Results!AO110</f>
        <v>1.084832993</v>
      </c>
      <c r="AM377" s="6">
        <f>[1]Results!AP110</f>
        <v>1.0486000980000001</v>
      </c>
      <c r="AN377" s="6">
        <f>[1]Results!AQ110</f>
        <v>1.0137691609999999</v>
      </c>
      <c r="AO377" s="6">
        <f>[1]Results!AR110</f>
        <v>0.98027879709999999</v>
      </c>
      <c r="AP377" s="6">
        <f>[1]Results!AS110</f>
        <v>0.94807091730000004</v>
      </c>
      <c r="AQ377" s="6">
        <f>[1]Results!AT110</f>
        <v>0.91709016889999995</v>
      </c>
      <c r="AR377" s="6">
        <f>[1]Results!AU110</f>
        <v>0.88728349309999999</v>
      </c>
      <c r="AS377" s="6">
        <f>[1]Results!AV110</f>
        <v>0.85859997290000001</v>
      </c>
      <c r="AT377" s="6">
        <f>[1]Results!AW110</f>
        <v>0.83099120230000001</v>
      </c>
      <c r="AU377" s="6">
        <f>[1]Results!AX110</f>
        <v>0.80441122430000001</v>
      </c>
      <c r="AV377" s="6">
        <f>[1]Results!AY110</f>
        <v>0.77881637999999997</v>
      </c>
      <c r="AW377" s="6">
        <f>[1]Results!AZ110</f>
        <v>0.75416496190000004</v>
      </c>
      <c r="AX377" s="6">
        <f>[1]Results!BA110</f>
        <v>0.7304169277</v>
      </c>
      <c r="AY377" s="6">
        <f>[1]Results!BB110</f>
        <v>0.70753477799999998</v>
      </c>
      <c r="AZ377" s="6">
        <f>[1]Results!BC110</f>
        <v>0.68548328930000002</v>
      </c>
      <c r="BA377" s="6">
        <f>[1]Results!BD110</f>
        <v>0.6642290904</v>
      </c>
      <c r="BB377" s="6">
        <f>[1]Results!BE110</f>
        <v>0.72578483000000005</v>
      </c>
      <c r="BC377" s="6">
        <f>[1]Results!BF110</f>
        <v>0.70667312709999996</v>
      </c>
      <c r="BD377" s="6">
        <f>[1]Results!BG110</f>
        <v>0.68819737540000003</v>
      </c>
      <c r="BE377" s="6">
        <f>[1]Results!BH110</f>
        <v>0.67033503049999998</v>
      </c>
      <c r="BF377" s="6">
        <f>[1]Results!BI110</f>
        <v>0.65306457139999996</v>
      </c>
    </row>
    <row r="379" spans="1:58" x14ac:dyDescent="0.35">
      <c r="A379" s="12" t="s">
        <v>91</v>
      </c>
      <c r="C379" s="2">
        <v>42005</v>
      </c>
      <c r="D379" s="2">
        <v>42370</v>
      </c>
      <c r="E379" s="2">
        <v>42736</v>
      </c>
      <c r="F379" s="2">
        <v>43101</v>
      </c>
      <c r="G379" s="2">
        <v>43466</v>
      </c>
      <c r="H379" s="2">
        <v>43831</v>
      </c>
      <c r="I379" s="2">
        <v>44197</v>
      </c>
      <c r="J379" s="2">
        <v>44562</v>
      </c>
      <c r="K379" s="2">
        <v>44927</v>
      </c>
      <c r="L379" s="2">
        <v>45292</v>
      </c>
      <c r="M379" s="2">
        <v>45658</v>
      </c>
      <c r="N379" s="2">
        <v>46023</v>
      </c>
      <c r="O379" s="2">
        <v>46388</v>
      </c>
      <c r="P379" s="2">
        <v>46753</v>
      </c>
      <c r="Q379" s="2">
        <v>47119</v>
      </c>
      <c r="R379" s="2">
        <v>47484</v>
      </c>
      <c r="S379" s="2">
        <v>47849</v>
      </c>
      <c r="T379" s="2">
        <v>48214</v>
      </c>
      <c r="U379" s="2">
        <v>48580</v>
      </c>
      <c r="V379" s="2">
        <v>48945</v>
      </c>
      <c r="W379" s="2">
        <v>49310</v>
      </c>
      <c r="X379" s="2">
        <v>49675</v>
      </c>
      <c r="Y379" s="2">
        <v>50041</v>
      </c>
      <c r="Z379" s="2">
        <v>50406</v>
      </c>
      <c r="AA379" s="2">
        <v>50771</v>
      </c>
      <c r="AB379" s="2">
        <v>51136</v>
      </c>
      <c r="AC379" s="2">
        <v>51502</v>
      </c>
      <c r="AD379" s="2">
        <v>51867</v>
      </c>
      <c r="AE379" s="2">
        <v>52232</v>
      </c>
      <c r="AF379" s="2">
        <v>52597</v>
      </c>
      <c r="AG379" s="2">
        <v>52963</v>
      </c>
      <c r="AH379" s="2">
        <v>53328</v>
      </c>
      <c r="AI379" s="2">
        <v>53693</v>
      </c>
      <c r="AJ379" s="2">
        <v>54058</v>
      </c>
      <c r="AK379" s="2">
        <v>54424</v>
      </c>
      <c r="AL379" s="2">
        <v>54789</v>
      </c>
      <c r="AM379" s="2">
        <v>54790</v>
      </c>
      <c r="AN379" s="2">
        <v>54791</v>
      </c>
      <c r="AO379" s="2">
        <v>54792</v>
      </c>
      <c r="AP379" s="2">
        <v>54793</v>
      </c>
      <c r="AQ379" s="2">
        <v>54794</v>
      </c>
      <c r="AR379" s="2">
        <v>54795</v>
      </c>
      <c r="AS379" s="2">
        <v>54796</v>
      </c>
      <c r="AT379" s="2">
        <v>54797</v>
      </c>
      <c r="AU379" s="2">
        <v>54798</v>
      </c>
      <c r="AV379" s="2">
        <v>54799</v>
      </c>
      <c r="AW379" s="2">
        <v>54800</v>
      </c>
      <c r="AX379" s="2">
        <v>54801</v>
      </c>
      <c r="AY379" s="2">
        <v>54802</v>
      </c>
      <c r="AZ379" s="2">
        <v>54803</v>
      </c>
      <c r="BA379" s="2">
        <v>54804</v>
      </c>
      <c r="BB379" s="2">
        <v>54805</v>
      </c>
      <c r="BC379" s="2">
        <v>54806</v>
      </c>
      <c r="BD379" s="2">
        <v>54807</v>
      </c>
      <c r="BE379" s="2">
        <v>54808</v>
      </c>
      <c r="BF379" s="2">
        <v>54809</v>
      </c>
    </row>
    <row r="380" spans="1:58" x14ac:dyDescent="0.35">
      <c r="A380" t="s">
        <v>38</v>
      </c>
      <c r="B380" t="s">
        <v>57</v>
      </c>
      <c r="C380" s="6">
        <f>[1]Results!F112</f>
        <v>3.476542051</v>
      </c>
      <c r="D380" s="6">
        <f>[1]Results!G112</f>
        <v>5.7227175470000002</v>
      </c>
      <c r="E380" s="6">
        <f>[1]Results!H112</f>
        <v>7.9150343369999998</v>
      </c>
      <c r="F380" s="6">
        <f>[1]Results!I112</f>
        <v>9.8028883990000004</v>
      </c>
      <c r="G380" s="6">
        <f>[1]Results!J112</f>
        <v>11.15595847</v>
      </c>
      <c r="H380" s="6">
        <f>[1]Results!K112</f>
        <v>16.284897399999998</v>
      </c>
      <c r="I380" s="6">
        <f>[1]Results!L112</f>
        <v>22.964128339999998</v>
      </c>
      <c r="J380" s="6">
        <f>[1]Results!M112</f>
        <v>30.052267690000001</v>
      </c>
      <c r="K380" s="6">
        <f>[1]Results!N112</f>
        <v>37.20089703</v>
      </c>
      <c r="L380" s="6">
        <f>[1]Results!O112</f>
        <v>44.335406280000001</v>
      </c>
      <c r="M380" s="6">
        <f>[1]Results!P112</f>
        <v>51.493073940000002</v>
      </c>
      <c r="N380" s="6">
        <f>[1]Results!Q112</f>
        <v>58.603533079999998</v>
      </c>
      <c r="O380" s="6">
        <f>[1]Results!R112</f>
        <v>65.708721609999998</v>
      </c>
      <c r="P380" s="6">
        <f>[1]Results!S112</f>
        <v>72.805004060000002</v>
      </c>
      <c r="Q380" s="6">
        <f>[1]Results!T112</f>
        <v>79.885951109999993</v>
      </c>
      <c r="R380" s="6">
        <f>[1]Results!U112</f>
        <v>86.944290539999997</v>
      </c>
      <c r="S380" s="6">
        <f>[1]Results!V112</f>
        <v>93.97300525</v>
      </c>
      <c r="T380" s="6">
        <f>[1]Results!W112</f>
        <v>100.96594949999999</v>
      </c>
      <c r="U380" s="6">
        <f>[1]Results!X112</f>
        <v>107.9181931</v>
      </c>
      <c r="V380" s="6">
        <f>[1]Results!Y112</f>
        <v>114.8261806</v>
      </c>
      <c r="W380" s="6">
        <f>[1]Results!Z112</f>
        <v>121.6598013</v>
      </c>
      <c r="X380" s="6">
        <f>[1]Results!AA112</f>
        <v>128.4675905</v>
      </c>
      <c r="Y380" s="6">
        <f>[1]Results!AB112</f>
        <v>135.22188199999999</v>
      </c>
      <c r="Z380" s="6">
        <f>[1]Results!AC112</f>
        <v>141.92391509999999</v>
      </c>
      <c r="AA380" s="6">
        <f>[1]Results!AD112</f>
        <v>148.57648760000001</v>
      </c>
      <c r="AB380" s="6">
        <f>[1]Results!AE112</f>
        <v>155.10655740000001</v>
      </c>
      <c r="AC380" s="6">
        <f>[1]Results!AF112</f>
        <v>161.61603640000001</v>
      </c>
      <c r="AD380" s="6">
        <f>[1]Results!AG112</f>
        <v>168.05824989999999</v>
      </c>
      <c r="AE380" s="6">
        <f>[1]Results!AH112</f>
        <v>174.42633319999999</v>
      </c>
      <c r="AF380" s="6">
        <f>[1]Results!AI112</f>
        <v>180.71551890000001</v>
      </c>
      <c r="AG380" s="6">
        <f>[1]Results!AJ112</f>
        <v>186.92350070000001</v>
      </c>
      <c r="AH380" s="6">
        <f>[1]Results!AK112</f>
        <v>193.04966809999999</v>
      </c>
      <c r="AI380" s="6">
        <f>[1]Results!AL112</f>
        <v>199.0941177</v>
      </c>
      <c r="AJ380" s="6">
        <f>[1]Results!AM112</f>
        <v>205.05679739999999</v>
      </c>
      <c r="AK380" s="6">
        <f>[1]Results!AN112</f>
        <v>210.93677199999999</v>
      </c>
      <c r="AL380" s="6">
        <f>[1]Results!AO112</f>
        <v>216.73162930000001</v>
      </c>
      <c r="AM380" s="6">
        <f>[1]Results!AP112</f>
        <v>222.42014159999999</v>
      </c>
      <c r="AN380" s="6">
        <f>[1]Results!AQ112</f>
        <v>228.00590439999999</v>
      </c>
      <c r="AO380" s="6">
        <f>[1]Results!AR112</f>
        <v>233.47195289999999</v>
      </c>
      <c r="AP380" s="6">
        <f>[1]Results!AS112</f>
        <v>238.7966553</v>
      </c>
      <c r="AQ380" s="6">
        <f>[1]Results!AT112</f>
        <v>243.95343869999999</v>
      </c>
      <c r="AR380" s="6">
        <f>[1]Results!AU112</f>
        <v>248.909536</v>
      </c>
      <c r="AS380" s="6">
        <f>[1]Results!AV112</f>
        <v>253.62351000000001</v>
      </c>
      <c r="AT380" s="6">
        <f>[1]Results!AW112</f>
        <v>258.04058409999999</v>
      </c>
      <c r="AU380" s="6">
        <f>[1]Results!AX112</f>
        <v>262.08348169999999</v>
      </c>
      <c r="AV380" s="6">
        <f>[1]Results!AY112</f>
        <v>265.63353069999999</v>
      </c>
      <c r="AW380" s="6">
        <f>[1]Results!AZ112</f>
        <v>268.48968380000002</v>
      </c>
      <c r="AX380" s="6">
        <f>[1]Results!BA112</f>
        <v>272.33609730000001</v>
      </c>
      <c r="AY380" s="6">
        <f>[1]Results!BB112</f>
        <v>276.30589149999997</v>
      </c>
      <c r="AZ380" s="6">
        <f>[1]Results!BC112</f>
        <v>280.86314579999998</v>
      </c>
      <c r="BA380" s="6">
        <f>[1]Results!BD112</f>
        <v>285.93934839999997</v>
      </c>
      <c r="BB380" s="6">
        <f>[1]Results!BE112</f>
        <v>23.02165338</v>
      </c>
      <c r="BC380" s="6">
        <f>[1]Results!BF112</f>
        <v>23.098603359999998</v>
      </c>
      <c r="BD380" s="6">
        <f>[1]Results!BG112</f>
        <v>23.175166600000001</v>
      </c>
      <c r="BE380" s="6">
        <f>[1]Results!BH112</f>
        <v>23.251348539999999</v>
      </c>
      <c r="BF380" s="6">
        <f>[1]Results!BI112</f>
        <v>23.327155260000001</v>
      </c>
    </row>
    <row r="381" spans="1:58" x14ac:dyDescent="0.35">
      <c r="B381" t="s">
        <v>58</v>
      </c>
      <c r="C381" s="6">
        <f>[1]Results!F113</f>
        <v>68.80476281</v>
      </c>
      <c r="D381" s="6">
        <f>[1]Results!G113</f>
        <v>77.184615829999998</v>
      </c>
      <c r="E381" s="6">
        <f>[1]Results!H113</f>
        <v>86.226500110000003</v>
      </c>
      <c r="F381" s="6">
        <f>[1]Results!I113</f>
        <v>95.792891119999993</v>
      </c>
      <c r="G381" s="6">
        <f>[1]Results!J113</f>
        <v>106.7444995</v>
      </c>
      <c r="H381" s="6">
        <f>[1]Results!K113</f>
        <v>114.81332070000001</v>
      </c>
      <c r="I381" s="6">
        <f>[1]Results!L113</f>
        <v>120.3170875</v>
      </c>
      <c r="J381" s="6">
        <f>[1]Results!M113</f>
        <v>124.825518</v>
      </c>
      <c r="K381" s="6">
        <f>[1]Results!N113</f>
        <v>128.83006660000001</v>
      </c>
      <c r="L381" s="6">
        <f>[1]Results!O113</f>
        <v>132.56906330000001</v>
      </c>
      <c r="M381" s="6">
        <f>[1]Results!P113</f>
        <v>137.19727230000001</v>
      </c>
      <c r="N381" s="6">
        <f>[1]Results!Q113</f>
        <v>140.70088380000001</v>
      </c>
      <c r="O381" s="6">
        <f>[1]Results!R113</f>
        <v>144.1477209</v>
      </c>
      <c r="P381" s="6">
        <f>[1]Results!S113</f>
        <v>147.55777399999999</v>
      </c>
      <c r="Q381" s="6">
        <f>[1]Results!T113</f>
        <v>150.9439399</v>
      </c>
      <c r="R381" s="6">
        <f>[1]Results!U113</f>
        <v>154.31505329999999</v>
      </c>
      <c r="S381" s="6">
        <f>[1]Results!V113</f>
        <v>157.67746199999999</v>
      </c>
      <c r="T381" s="6">
        <f>[1]Results!W113</f>
        <v>161.03584290000001</v>
      </c>
      <c r="U381" s="6">
        <f>[1]Results!X113</f>
        <v>164.39362539999999</v>
      </c>
      <c r="V381" s="6">
        <f>[1]Results!Y113</f>
        <v>167.75322790000001</v>
      </c>
      <c r="W381" s="6">
        <f>[1]Results!Z113</f>
        <v>170.42982019999999</v>
      </c>
      <c r="X381" s="6">
        <f>[1]Results!AA113</f>
        <v>173.79778930000001</v>
      </c>
      <c r="Y381" s="6">
        <f>[1]Results!AB113</f>
        <v>177.17321659999999</v>
      </c>
      <c r="Z381" s="6">
        <f>[1]Results!AC113</f>
        <v>180.555937</v>
      </c>
      <c r="AA381" s="6">
        <f>[1]Results!AD113</f>
        <v>183.9450301</v>
      </c>
      <c r="AB381" s="6">
        <f>[1]Results!AE113</f>
        <v>185.46559959999999</v>
      </c>
      <c r="AC381" s="6">
        <f>[1]Results!AF113</f>
        <v>187.98595460000001</v>
      </c>
      <c r="AD381" s="6">
        <f>[1]Results!AG113</f>
        <v>190.51668849999999</v>
      </c>
      <c r="AE381" s="6">
        <f>[1]Results!AH113</f>
        <v>193.06129300000001</v>
      </c>
      <c r="AF381" s="6">
        <f>[1]Results!AI113</f>
        <v>195.62236870000001</v>
      </c>
      <c r="AG381" s="6">
        <f>[1]Results!AJ113</f>
        <v>198.2014145</v>
      </c>
      <c r="AH381" s="6">
        <f>[1]Results!AK113</f>
        <v>200.79914450000001</v>
      </c>
      <c r="AI381" s="6">
        <f>[1]Results!AL113</f>
        <v>203.4159138</v>
      </c>
      <c r="AJ381" s="6">
        <f>[1]Results!AM113</f>
        <v>206.05210170000001</v>
      </c>
      <c r="AK381" s="6">
        <f>[1]Results!AN113</f>
        <v>208.70845120000001</v>
      </c>
      <c r="AL381" s="6">
        <f>[1]Results!AO113</f>
        <v>211.3863551</v>
      </c>
      <c r="AM381" s="6">
        <f>[1]Results!AP113</f>
        <v>213.68843680000001</v>
      </c>
      <c r="AN381" s="6">
        <f>[1]Results!AQ113</f>
        <v>216.0192194</v>
      </c>
      <c r="AO381" s="6">
        <f>[1]Results!AR113</f>
        <v>218.38682130000001</v>
      </c>
      <c r="AP381" s="6">
        <f>[1]Results!AS113</f>
        <v>220.80176309999999</v>
      </c>
      <c r="AQ381" s="6">
        <f>[1]Results!AT113</f>
        <v>223.2772463</v>
      </c>
      <c r="AR381" s="6">
        <f>[1]Results!AU113</f>
        <v>225.82999760000001</v>
      </c>
      <c r="AS381" s="6">
        <f>[1]Results!AV113</f>
        <v>228.481979</v>
      </c>
      <c r="AT381" s="6">
        <f>[1]Results!AW113</f>
        <v>231.26385579999999</v>
      </c>
      <c r="AU381" s="6">
        <f>[1]Results!AX113</f>
        <v>234.22265429999999</v>
      </c>
      <c r="AV381" s="6">
        <f>[1]Results!AY113</f>
        <v>237.4413534</v>
      </c>
      <c r="AW381" s="6">
        <f>[1]Results!AZ113</f>
        <v>241.13749419999999</v>
      </c>
      <c r="AX381" s="6">
        <f>[1]Results!BA113</f>
        <v>244.86281349999999</v>
      </c>
      <c r="AY381" s="6">
        <f>[1]Results!BB113</f>
        <v>249.31713809999999</v>
      </c>
      <c r="AZ381" s="6">
        <f>[1]Results!BC113</f>
        <v>253.3174655</v>
      </c>
      <c r="BA381" s="6">
        <f>[1]Results!BD113</f>
        <v>256.61934719999999</v>
      </c>
      <c r="BB381" s="6">
        <f>[1]Results!BE113</f>
        <v>505.70694400000002</v>
      </c>
      <c r="BC381" s="6">
        <f>[1]Results!BF113</f>
        <v>512.00260160000005</v>
      </c>
      <c r="BD381" s="6">
        <f>[1]Results!BG113</f>
        <v>518.24737849999997</v>
      </c>
      <c r="BE381" s="6">
        <f>[1]Results!BH113</f>
        <v>524.44232790000001</v>
      </c>
      <c r="BF381" s="6">
        <f>[1]Results!BI113</f>
        <v>530.58864100000005</v>
      </c>
    </row>
    <row r="382" spans="1:58" x14ac:dyDescent="0.35">
      <c r="B382" t="s">
        <v>59</v>
      </c>
      <c r="C382" s="6">
        <f>[1]Results!F114</f>
        <v>408.28039699999999</v>
      </c>
      <c r="D382" s="6">
        <f>[1]Results!G114</f>
        <v>425.47099270000001</v>
      </c>
      <c r="E382" s="6">
        <f>[1]Results!H114</f>
        <v>444.58497019999999</v>
      </c>
      <c r="F382" s="6">
        <f>[1]Results!I114</f>
        <v>464.58604109999999</v>
      </c>
      <c r="G382" s="6">
        <f>[1]Results!J114</f>
        <v>486.6693712</v>
      </c>
      <c r="H382" s="6">
        <f>[1]Results!K114</f>
        <v>503.40871429999999</v>
      </c>
      <c r="I382" s="6">
        <f>[1]Results!L114</f>
        <v>515.1470865</v>
      </c>
      <c r="J382" s="6">
        <f>[1]Results!M114</f>
        <v>525.29697420000002</v>
      </c>
      <c r="K382" s="6">
        <f>[1]Results!N114</f>
        <v>534.66990869999995</v>
      </c>
      <c r="L382" s="6">
        <f>[1]Results!O114</f>
        <v>543.64612980000004</v>
      </c>
      <c r="M382" s="6">
        <f>[1]Results!P114</f>
        <v>555.3221661</v>
      </c>
      <c r="N382" s="6">
        <f>[1]Results!Q114</f>
        <v>563.96910119999995</v>
      </c>
      <c r="O382" s="6">
        <f>[1]Results!R114</f>
        <v>572.54160530000001</v>
      </c>
      <c r="P382" s="6">
        <f>[1]Results!S114</f>
        <v>581.06932170000005</v>
      </c>
      <c r="Q382" s="6">
        <f>[1]Results!T114</f>
        <v>589.57114209999997</v>
      </c>
      <c r="R382" s="6">
        <f>[1]Results!U114</f>
        <v>598.05989390000002</v>
      </c>
      <c r="S382" s="6">
        <f>[1]Results!V114</f>
        <v>606.54474319999997</v>
      </c>
      <c r="T382" s="6">
        <f>[1]Results!W114</f>
        <v>615.03241739999999</v>
      </c>
      <c r="U382" s="6">
        <f>[1]Results!X114</f>
        <v>623.5278227</v>
      </c>
      <c r="V382" s="6">
        <f>[1]Results!Y114</f>
        <v>632.0343742</v>
      </c>
      <c r="W382" s="6">
        <f>[1]Results!Z114</f>
        <v>638.62614910000002</v>
      </c>
      <c r="X382" s="6">
        <f>[1]Results!AA114</f>
        <v>647.15849649999996</v>
      </c>
      <c r="Y382" s="6">
        <f>[1]Results!AB114</f>
        <v>655.70986110000001</v>
      </c>
      <c r="Z382" s="6">
        <f>[1]Results!AC114</f>
        <v>664.27965859999995</v>
      </c>
      <c r="AA382" s="6">
        <f>[1]Results!AD114</f>
        <v>672.86610889999997</v>
      </c>
      <c r="AB382" s="6">
        <f>[1]Results!AE114</f>
        <v>676.20394880000003</v>
      </c>
      <c r="AC382" s="6">
        <f>[1]Results!AF114</f>
        <v>682.34075099999995</v>
      </c>
      <c r="AD382" s="6">
        <f>[1]Results!AG114</f>
        <v>688.49358670000004</v>
      </c>
      <c r="AE382" s="6">
        <f>[1]Results!AH114</f>
        <v>694.66760580000005</v>
      </c>
      <c r="AF382" s="6">
        <f>[1]Results!AI114</f>
        <v>700.86654550000003</v>
      </c>
      <c r="AG382" s="6">
        <f>[1]Results!AJ114</f>
        <v>707.09244850000005</v>
      </c>
      <c r="AH382" s="6">
        <f>[1]Results!AK114</f>
        <v>713.34613649999994</v>
      </c>
      <c r="AI382" s="6">
        <f>[1]Results!AL114</f>
        <v>719.62789020000002</v>
      </c>
      <c r="AJ382" s="6">
        <f>[1]Results!AM114</f>
        <v>725.93807230000004</v>
      </c>
      <c r="AK382" s="6">
        <f>[1]Results!AN114</f>
        <v>732.27768649999996</v>
      </c>
      <c r="AL382" s="6">
        <f>[1]Results!AO114</f>
        <v>738.64885340000001</v>
      </c>
      <c r="AM382" s="6">
        <f>[1]Results!AP114</f>
        <v>743.93235470000002</v>
      </c>
      <c r="AN382" s="6">
        <f>[1]Results!AQ114</f>
        <v>749.2573089</v>
      </c>
      <c r="AO382" s="6">
        <f>[1]Results!AR114</f>
        <v>754.63727210000002</v>
      </c>
      <c r="AP382" s="6">
        <f>[1]Results!AS114</f>
        <v>760.09010750000004</v>
      </c>
      <c r="AQ382" s="6">
        <f>[1]Results!AT114</f>
        <v>765.63873939999996</v>
      </c>
      <c r="AR382" s="6">
        <f>[1]Results!AU114</f>
        <v>771.3130754</v>
      </c>
      <c r="AS382" s="6">
        <f>[1]Results!AV114</f>
        <v>777.15382239999997</v>
      </c>
      <c r="AT382" s="6">
        <f>[1]Results!AW114</f>
        <v>783.22028060000002</v>
      </c>
      <c r="AU382" s="6">
        <f>[1]Results!AX114</f>
        <v>789.60802369999999</v>
      </c>
      <c r="AV382" s="6">
        <f>[1]Results!AY114</f>
        <v>796.49658669999997</v>
      </c>
      <c r="AW382" s="6">
        <f>[1]Results!AZ114</f>
        <v>804.41516960000001</v>
      </c>
      <c r="AX382" s="6">
        <f>[1]Results!BA114</f>
        <v>811.4736054</v>
      </c>
      <c r="AY382" s="6">
        <f>[1]Results!BB114</f>
        <v>818.84461650000003</v>
      </c>
      <c r="AZ382" s="6">
        <f>[1]Results!BC114</f>
        <v>825.58280690000004</v>
      </c>
      <c r="BA382" s="6">
        <f>[1]Results!BD114</f>
        <v>831.54626169999995</v>
      </c>
      <c r="BB382" s="6">
        <f>[1]Results!BE114</f>
        <v>1097.5222470000001</v>
      </c>
      <c r="BC382" s="6">
        <f>[1]Results!BF114</f>
        <v>1106.9728580000001</v>
      </c>
      <c r="BD382" s="6">
        <f>[1]Results!BG114</f>
        <v>1116.3591220000001</v>
      </c>
      <c r="BE382" s="6">
        <f>[1]Results!BH114</f>
        <v>1125.682438</v>
      </c>
      <c r="BF382" s="6">
        <f>[1]Results!BI114</f>
        <v>1134.9443100000001</v>
      </c>
    </row>
    <row r="383" spans="1:58" x14ac:dyDescent="0.35">
      <c r="B383" t="s">
        <v>60</v>
      </c>
      <c r="C383" s="6">
        <f>[1]Results!F115</f>
        <v>954.38155940000001</v>
      </c>
      <c r="D383" s="6">
        <f>[1]Results!G115</f>
        <v>947.69777150000004</v>
      </c>
      <c r="E383" s="6">
        <f>[1]Results!H115</f>
        <v>940.93763569999999</v>
      </c>
      <c r="F383" s="6">
        <f>[1]Results!I115</f>
        <v>933.32371699999999</v>
      </c>
      <c r="G383" s="6">
        <f>[1]Results!J115</f>
        <v>923.43122440000002</v>
      </c>
      <c r="H383" s="6">
        <f>[1]Results!K115</f>
        <v>915.16062880000004</v>
      </c>
      <c r="I383" s="6">
        <f>[1]Results!L115</f>
        <v>908.60448059999999</v>
      </c>
      <c r="J383" s="6">
        <f>[1]Results!M115</f>
        <v>903.13097400000004</v>
      </c>
      <c r="K383" s="6">
        <f>[1]Results!N115</f>
        <v>898.27586350000001</v>
      </c>
      <c r="L383" s="6">
        <f>[1]Results!O115</f>
        <v>893.76580669999998</v>
      </c>
      <c r="M383" s="6">
        <f>[1]Results!P115</f>
        <v>889.45009909999999</v>
      </c>
      <c r="N383" s="6">
        <f>[1]Results!Q115</f>
        <v>885.24814170000002</v>
      </c>
      <c r="O383" s="6">
        <f>[1]Results!R115</f>
        <v>881.11617000000001</v>
      </c>
      <c r="P383" s="6">
        <f>[1]Results!S115</f>
        <v>877.03083500000002</v>
      </c>
      <c r="Q383" s="6">
        <f>[1]Results!T115</f>
        <v>872.97939050000002</v>
      </c>
      <c r="R383" s="6">
        <f>[1]Results!U115</f>
        <v>868.95471729999997</v>
      </c>
      <c r="S383" s="6">
        <f>[1]Results!V115</f>
        <v>864.95270670000002</v>
      </c>
      <c r="T383" s="6">
        <f>[1]Results!W115</f>
        <v>860.97088740000004</v>
      </c>
      <c r="U383" s="6">
        <f>[1]Results!X115</f>
        <v>857.0077053</v>
      </c>
      <c r="V383" s="6">
        <f>[1]Results!Y115</f>
        <v>853.06214590000002</v>
      </c>
      <c r="W383" s="6">
        <f>[1]Results!Z115</f>
        <v>849.13346920000004</v>
      </c>
      <c r="X383" s="6">
        <f>[1]Results!AA115</f>
        <v>845.2207899</v>
      </c>
      <c r="Y383" s="6">
        <f>[1]Results!AB115</f>
        <v>841.32393690000004</v>
      </c>
      <c r="Z383" s="6">
        <f>[1]Results!AC115</f>
        <v>837.44267170000001</v>
      </c>
      <c r="AA383" s="6">
        <f>[1]Results!AD115</f>
        <v>833.5769209</v>
      </c>
      <c r="AB383" s="6">
        <f>[1]Results!AE115</f>
        <v>829.72654179999995</v>
      </c>
      <c r="AC383" s="6">
        <f>[1]Results!AF115</f>
        <v>825.89032659999998</v>
      </c>
      <c r="AD383" s="6">
        <f>[1]Results!AG115</f>
        <v>822.06799260000003</v>
      </c>
      <c r="AE383" s="6">
        <f>[1]Results!AH115</f>
        <v>818.2588293</v>
      </c>
      <c r="AF383" s="6">
        <f>[1]Results!AI115</f>
        <v>814.46217260000003</v>
      </c>
      <c r="AG383" s="6">
        <f>[1]Results!AJ115</f>
        <v>810.67747789999999</v>
      </c>
      <c r="AH383" s="6">
        <f>[1]Results!AK115</f>
        <v>806.90432120000003</v>
      </c>
      <c r="AI383" s="6">
        <f>[1]Results!AL115</f>
        <v>803.14236170000004</v>
      </c>
      <c r="AJ383" s="6">
        <f>[1]Results!AM115</f>
        <v>799.39128579999999</v>
      </c>
      <c r="AK383" s="6">
        <f>[1]Results!AN115</f>
        <v>795.65073919999998</v>
      </c>
      <c r="AL383" s="6">
        <f>[1]Results!AO115</f>
        <v>791.92025130000002</v>
      </c>
      <c r="AM383" s="6">
        <f>[1]Results!AP115</f>
        <v>788.19906219999996</v>
      </c>
      <c r="AN383" s="6">
        <f>[1]Results!AQ115</f>
        <v>784.48567839999998</v>
      </c>
      <c r="AO383" s="6">
        <f>[1]Results!AR115</f>
        <v>780.7779673</v>
      </c>
      <c r="AP383" s="6">
        <f>[1]Results!AS115</f>
        <v>777.07276009999998</v>
      </c>
      <c r="AQ383" s="6">
        <f>[1]Results!AT115</f>
        <v>773.36544809999998</v>
      </c>
      <c r="AR383" s="6">
        <f>[1]Results!AU115</f>
        <v>769.64924080000003</v>
      </c>
      <c r="AS383" s="6">
        <f>[1]Results!AV115</f>
        <v>765.91377130000001</v>
      </c>
      <c r="AT383" s="6">
        <f>[1]Results!AW115</f>
        <v>762.14232579999998</v>
      </c>
      <c r="AU383" s="6">
        <f>[1]Results!AX115</f>
        <v>758.30587490000005</v>
      </c>
      <c r="AV383" s="6">
        <f>[1]Results!AY115</f>
        <v>754.34888249999995</v>
      </c>
      <c r="AW383" s="6">
        <f>[1]Results!AZ115</f>
        <v>750.15091470000004</v>
      </c>
      <c r="AX383" s="6">
        <f>[1]Results!BA115</f>
        <v>745.40463690000001</v>
      </c>
      <c r="AY383" s="6">
        <f>[1]Results!BB115</f>
        <v>739.19344620000004</v>
      </c>
      <c r="AZ383" s="6">
        <f>[1]Results!BC115</f>
        <v>733.29091510000001</v>
      </c>
      <c r="BA383" s="6">
        <f>[1]Results!BD115</f>
        <v>728.22388350000006</v>
      </c>
      <c r="BB383" s="6">
        <f>[1]Results!BE115</f>
        <v>484.04968780000002</v>
      </c>
      <c r="BC383" s="6">
        <f>[1]Results!BF115</f>
        <v>477.39374570000001</v>
      </c>
      <c r="BD383" s="6">
        <f>[1]Results!BG115</f>
        <v>470.83057000000002</v>
      </c>
      <c r="BE383" s="6">
        <f>[1]Results!BH115</f>
        <v>464.35802790000002</v>
      </c>
      <c r="BF383" s="6">
        <f>[1]Results!BI115</f>
        <v>457.97382290000002</v>
      </c>
    </row>
    <row r="384" spans="1:58" x14ac:dyDescent="0.35">
      <c r="B384" t="s">
        <v>61</v>
      </c>
      <c r="C384" s="6">
        <f>[1]Results!F116</f>
        <v>878.79999729999997</v>
      </c>
      <c r="D384" s="6">
        <f>[1]Results!G116</f>
        <v>867.97061580000002</v>
      </c>
      <c r="E384" s="6">
        <f>[1]Results!H116</f>
        <v>857.17684689999999</v>
      </c>
      <c r="F384" s="6">
        <f>[1]Results!I116</f>
        <v>846.13862789999996</v>
      </c>
      <c r="G384" s="6">
        <f>[1]Results!J116</f>
        <v>834.45323350000001</v>
      </c>
      <c r="H384" s="6">
        <f>[1]Results!K116</f>
        <v>825.60426370000005</v>
      </c>
      <c r="I384" s="6">
        <f>[1]Results!L116</f>
        <v>818.66441099999997</v>
      </c>
      <c r="J384" s="6">
        <f>[1]Results!M116</f>
        <v>812.81115279999995</v>
      </c>
      <c r="K384" s="6">
        <f>[1]Results!N116</f>
        <v>807.55775259999996</v>
      </c>
      <c r="L384" s="6">
        <f>[1]Results!O116</f>
        <v>802.63672680000002</v>
      </c>
      <c r="M384" s="6">
        <f>[1]Results!P116</f>
        <v>797.90480430000002</v>
      </c>
      <c r="N384" s="6">
        <f>[1]Results!Q116</f>
        <v>793.28651779999996</v>
      </c>
      <c r="O384" s="6">
        <f>[1]Results!R116</f>
        <v>788.74111819999996</v>
      </c>
      <c r="P384" s="6">
        <f>[1]Results!S116</f>
        <v>784.24689999999998</v>
      </c>
      <c r="Q384" s="6">
        <f>[1]Results!T116</f>
        <v>779.79194870000003</v>
      </c>
      <c r="R384" s="6">
        <f>[1]Results!U116</f>
        <v>775.36951669999996</v>
      </c>
      <c r="S384" s="6">
        <f>[1]Results!V116</f>
        <v>770.9756155</v>
      </c>
      <c r="T384" s="6">
        <f>[1]Results!W116</f>
        <v>766.60776820000001</v>
      </c>
      <c r="U384" s="6">
        <f>[1]Results!X116</f>
        <v>762.26436750000005</v>
      </c>
      <c r="V384" s="6">
        <f>[1]Results!Y116</f>
        <v>757.94434520000004</v>
      </c>
      <c r="W384" s="6">
        <f>[1]Results!Z116</f>
        <v>753.64688620000004</v>
      </c>
      <c r="X384" s="6">
        <f>[1]Results!AA116</f>
        <v>749.37100120000002</v>
      </c>
      <c r="Y384" s="6">
        <f>[1]Results!AB116</f>
        <v>745.11652300000003</v>
      </c>
      <c r="Z384" s="6">
        <f>[1]Results!AC116</f>
        <v>740.88332879999996</v>
      </c>
      <c r="AA384" s="6">
        <f>[1]Results!AD116</f>
        <v>736.67153980000001</v>
      </c>
      <c r="AB384" s="6">
        <f>[1]Results!AE116</f>
        <v>732.48109999999997</v>
      </c>
      <c r="AC384" s="6">
        <f>[1]Results!AF116</f>
        <v>728.31061699999998</v>
      </c>
      <c r="AD384" s="6">
        <f>[1]Results!AG116</f>
        <v>724.15960729999995</v>
      </c>
      <c r="AE384" s="6">
        <f>[1]Results!AH116</f>
        <v>720.02724260000002</v>
      </c>
      <c r="AF384" s="6">
        <f>[1]Results!AI116</f>
        <v>715.91285089999997</v>
      </c>
      <c r="AG384" s="6">
        <f>[1]Results!AJ116</f>
        <v>711.81598910000002</v>
      </c>
      <c r="AH384" s="6">
        <f>[1]Results!AK116</f>
        <v>707.73642170000005</v>
      </c>
      <c r="AI384" s="6">
        <f>[1]Results!AL116</f>
        <v>703.67404550000003</v>
      </c>
      <c r="AJ384" s="6">
        <f>[1]Results!AM116</f>
        <v>699.62879929999997</v>
      </c>
      <c r="AK384" s="6">
        <f>[1]Results!AN116</f>
        <v>695.60056729999997</v>
      </c>
      <c r="AL384" s="6">
        <f>[1]Results!AO116</f>
        <v>691.58908540000004</v>
      </c>
      <c r="AM384" s="6">
        <f>[1]Results!AP116</f>
        <v>687.59373070000004</v>
      </c>
      <c r="AN384" s="6">
        <f>[1]Results!AQ116</f>
        <v>683.61303610000004</v>
      </c>
      <c r="AO384" s="6">
        <f>[1]Results!AR116</f>
        <v>679.6448431</v>
      </c>
      <c r="AP384" s="6">
        <f>[1]Results!AS116</f>
        <v>675.68597490000002</v>
      </c>
      <c r="AQ384" s="6">
        <f>[1]Results!AT116</f>
        <v>671.73187380000002</v>
      </c>
      <c r="AR384" s="6">
        <f>[1]Results!AU116</f>
        <v>667.77582419999999</v>
      </c>
      <c r="AS384" s="6">
        <f>[1]Results!AV116</f>
        <v>663.80729570000005</v>
      </c>
      <c r="AT384" s="6">
        <f>[1]Results!AW116</f>
        <v>659.80812349999997</v>
      </c>
      <c r="AU384" s="6">
        <f>[1]Results!AX116</f>
        <v>655.74230390000002</v>
      </c>
      <c r="AV384" s="6">
        <f>[1]Results!AY116</f>
        <v>651.52180780000003</v>
      </c>
      <c r="AW384" s="6">
        <f>[1]Results!AZ116</f>
        <v>646.8457363</v>
      </c>
      <c r="AX384" s="6">
        <f>[1]Results!BA116</f>
        <v>642.55228639999996</v>
      </c>
      <c r="AY384" s="6">
        <f>[1]Results!BB116</f>
        <v>638.55257089999998</v>
      </c>
      <c r="AZ384" s="6">
        <f>[1]Results!BC116</f>
        <v>634.73751249999998</v>
      </c>
      <c r="BA384" s="6">
        <f>[1]Results!BD116</f>
        <v>631.03532910000001</v>
      </c>
      <c r="BB384" s="6">
        <f>[1]Results!BE116</f>
        <v>627.43126419999999</v>
      </c>
      <c r="BC384" s="6">
        <f>[1]Results!BF116</f>
        <v>623.80247299999996</v>
      </c>
      <c r="BD384" s="6">
        <f>[1]Results!BG116</f>
        <v>620.1914491</v>
      </c>
      <c r="BE384" s="6">
        <f>[1]Results!BH116</f>
        <v>616.59806479999997</v>
      </c>
      <c r="BF384" s="6">
        <f>[1]Results!BI116</f>
        <v>613.02212169999996</v>
      </c>
    </row>
    <row r="385" spans="1:58" x14ac:dyDescent="0.35">
      <c r="B385" t="s">
        <v>62</v>
      </c>
      <c r="C385" s="6">
        <f>[1]Results!F117</f>
        <v>139.85209269999999</v>
      </c>
      <c r="D385" s="6">
        <f>[1]Results!G117</f>
        <v>137.95542620000001</v>
      </c>
      <c r="E385" s="6">
        <f>[1]Results!H117</f>
        <v>136.0868151</v>
      </c>
      <c r="F385" s="6">
        <f>[1]Results!I117</f>
        <v>134.2500221</v>
      </c>
      <c r="G385" s="6">
        <f>[1]Results!J117</f>
        <v>132.44730100000001</v>
      </c>
      <c r="H385" s="6">
        <f>[1]Results!K117</f>
        <v>130.6786276</v>
      </c>
      <c r="I385" s="6">
        <f>[1]Results!L117</f>
        <v>128.94239920000001</v>
      </c>
      <c r="J385" s="6">
        <f>[1]Results!M117</f>
        <v>127.23581470000001</v>
      </c>
      <c r="K385" s="6">
        <f>[1]Results!N117</f>
        <v>125.5558056</v>
      </c>
      <c r="L385" s="6">
        <f>[1]Results!O117</f>
        <v>123.8997037</v>
      </c>
      <c r="M385" s="6">
        <f>[1]Results!P117</f>
        <v>122.26555</v>
      </c>
      <c r="N385" s="6">
        <f>[1]Results!Q117</f>
        <v>120.6520087</v>
      </c>
      <c r="O385" s="6">
        <f>[1]Results!R117</f>
        <v>119.0581193</v>
      </c>
      <c r="P385" s="6">
        <f>[1]Results!S117</f>
        <v>117.4832194</v>
      </c>
      <c r="Q385" s="6">
        <f>[1]Results!T117</f>
        <v>115.9268713</v>
      </c>
      <c r="R385" s="6">
        <f>[1]Results!U117</f>
        <v>114.38879660000001</v>
      </c>
      <c r="S385" s="6">
        <f>[1]Results!V117</f>
        <v>112.8688291</v>
      </c>
      <c r="T385" s="6">
        <f>[1]Results!W117</f>
        <v>111.36688289999999</v>
      </c>
      <c r="U385" s="6">
        <f>[1]Results!X117</f>
        <v>109.88293109999999</v>
      </c>
      <c r="V385" s="6">
        <f>[1]Results!Y117</f>
        <v>108.4169892</v>
      </c>
      <c r="W385" s="6">
        <f>[1]Results!Z117</f>
        <v>106.96906989999999</v>
      </c>
      <c r="X385" s="6">
        <f>[1]Results!AA117</f>
        <v>105.5391838</v>
      </c>
      <c r="Y385" s="6">
        <f>[1]Results!AB117</f>
        <v>104.1273893</v>
      </c>
      <c r="Z385" s="6">
        <f>[1]Results!AC117</f>
        <v>102.73375369999999</v>
      </c>
      <c r="AA385" s="6">
        <f>[1]Results!AD117</f>
        <v>101.35832480000001</v>
      </c>
      <c r="AB385" s="6">
        <f>[1]Results!AE117</f>
        <v>100.0010434</v>
      </c>
      <c r="AC385" s="6">
        <f>[1]Results!AF117</f>
        <v>98.661739859999997</v>
      </c>
      <c r="AD385" s="6">
        <f>[1]Results!AG117</f>
        <v>97.340268550000005</v>
      </c>
      <c r="AE385" s="6">
        <f>[1]Results!AH117</f>
        <v>96.036500689999997</v>
      </c>
      <c r="AF385" s="6">
        <f>[1]Results!AI117</f>
        <v>94.750307169999999</v>
      </c>
      <c r="AG385" s="6">
        <f>[1]Results!AJ117</f>
        <v>93.481543200000004</v>
      </c>
      <c r="AH385" s="6">
        <f>[1]Results!AK117</f>
        <v>92.230042909999995</v>
      </c>
      <c r="AI385" s="6">
        <f>[1]Results!AL117</f>
        <v>90.995615450000003</v>
      </c>
      <c r="AJ385" s="6">
        <f>[1]Results!AM117</f>
        <v>89.778041970000004</v>
      </c>
      <c r="AK385" s="6">
        <f>[1]Results!AN117</f>
        <v>88.577074830000001</v>
      </c>
      <c r="AL385" s="6">
        <f>[1]Results!AO117</f>
        <v>87.392439760000002</v>
      </c>
      <c r="AM385" s="6">
        <f>[1]Results!AP117</f>
        <v>86.223828190000006</v>
      </c>
      <c r="AN385" s="6">
        <f>[1]Results!AQ117</f>
        <v>85.070898009999993</v>
      </c>
      <c r="AO385" s="6">
        <f>[1]Results!AR117</f>
        <v>83.933300669999994</v>
      </c>
      <c r="AP385" s="6">
        <f>[1]Results!AS117</f>
        <v>82.810697259999998</v>
      </c>
      <c r="AQ385" s="6">
        <f>[1]Results!AT117</f>
        <v>81.702766580000002</v>
      </c>
      <c r="AR385" s="6">
        <f>[1]Results!AU117</f>
        <v>80.609209010000001</v>
      </c>
      <c r="AS385" s="6">
        <f>[1]Results!AV117</f>
        <v>79.529748519999998</v>
      </c>
      <c r="AT385" s="6">
        <f>[1]Results!AW117</f>
        <v>78.464131469999998</v>
      </c>
      <c r="AU385" s="6">
        <f>[1]Results!AX117</f>
        <v>77.412121069999998</v>
      </c>
      <c r="AV385" s="6">
        <f>[1]Results!AY117</f>
        <v>76.373492249999998</v>
      </c>
      <c r="AW385" s="6">
        <f>[1]Results!AZ117</f>
        <v>75.348025919999998</v>
      </c>
      <c r="AX385" s="6">
        <f>[1]Results!BA117</f>
        <v>74.335489050000007</v>
      </c>
      <c r="AY385" s="6">
        <f>[1]Results!BB117</f>
        <v>73.335748670000001</v>
      </c>
      <c r="AZ385" s="6">
        <f>[1]Results!BC117</f>
        <v>72.348674259999996</v>
      </c>
      <c r="BA385" s="6">
        <f>[1]Results!BD117</f>
        <v>71.374126559999993</v>
      </c>
      <c r="BB385" s="6">
        <f>[1]Results!BE117</f>
        <v>71.569973329999996</v>
      </c>
      <c r="BC385" s="6">
        <f>[1]Results!BF117</f>
        <v>70.642954649999993</v>
      </c>
      <c r="BD385" s="6">
        <f>[1]Results!BG117</f>
        <v>69.727825420000002</v>
      </c>
      <c r="BE385" s="6">
        <f>[1]Results!BH117</f>
        <v>68.824426950000003</v>
      </c>
      <c r="BF385" s="6">
        <f>[1]Results!BI117</f>
        <v>67.932590059999995</v>
      </c>
    </row>
    <row r="386" spans="1:58" x14ac:dyDescent="0.35">
      <c r="B386" t="s">
        <v>63</v>
      </c>
      <c r="C386" s="6">
        <f>[1]Results!F118</f>
        <v>3.874567114</v>
      </c>
      <c r="D386" s="6">
        <f>[1]Results!G118</f>
        <v>3.7242339819999999</v>
      </c>
      <c r="E386" s="6">
        <f>[1]Results!H118</f>
        <v>3.5803045760000001</v>
      </c>
      <c r="F386" s="6">
        <f>[1]Results!I118</f>
        <v>3.4427972160000002</v>
      </c>
      <c r="G386" s="6">
        <f>[1]Results!J118</f>
        <v>3.3116253869999999</v>
      </c>
      <c r="H386" s="6">
        <f>[1]Results!K118</f>
        <v>3.1865472050000001</v>
      </c>
      <c r="I386" s="6">
        <f>[1]Results!L118</f>
        <v>3.0671962060000002</v>
      </c>
      <c r="J386" s="6">
        <f>[1]Results!M118</f>
        <v>2.9531470999999998</v>
      </c>
      <c r="K386" s="6">
        <f>[1]Results!N118</f>
        <v>2.843983218</v>
      </c>
      <c r="L386" s="6">
        <f>[1]Results!O118</f>
        <v>2.7393390050000002</v>
      </c>
      <c r="M386" s="6">
        <f>[1]Results!P118</f>
        <v>2.6389157519999999</v>
      </c>
      <c r="N386" s="6">
        <f>[1]Results!Q118</f>
        <v>2.5424707350000002</v>
      </c>
      <c r="O386" s="6">
        <f>[1]Results!R118</f>
        <v>2.4497966789999999</v>
      </c>
      <c r="P386" s="6">
        <f>[1]Results!S118</f>
        <v>2.3607140210000002</v>
      </c>
      <c r="Q386" s="6">
        <f>[1]Results!T118</f>
        <v>2.2750643959999999</v>
      </c>
      <c r="R386" s="6">
        <f>[1]Results!U118</f>
        <v>2.1927053089999999</v>
      </c>
      <c r="S386" s="6">
        <f>[1]Results!V118</f>
        <v>2.113506288</v>
      </c>
      <c r="T386" s="6">
        <f>[1]Results!W118</f>
        <v>2.0373462839999998</v>
      </c>
      <c r="U386" s="6">
        <f>[1]Results!X118</f>
        <v>1.9641118689999999</v>
      </c>
      <c r="V386" s="6">
        <f>[1]Results!Y118</f>
        <v>1.893695881</v>
      </c>
      <c r="W386" s="6">
        <f>[1]Results!Z118</f>
        <v>1.8259947059999999</v>
      </c>
      <c r="X386" s="6">
        <f>[1]Results!AA118</f>
        <v>1.7609081680000001</v>
      </c>
      <c r="Y386" s="6">
        <f>[1]Results!AB118</f>
        <v>1.698342016</v>
      </c>
      <c r="Z386" s="6">
        <f>[1]Results!AC118</f>
        <v>1.638205935</v>
      </c>
      <c r="AA386" s="6">
        <f>[1]Results!AD118</f>
        <v>1.5804121010000001</v>
      </c>
      <c r="AB386" s="6">
        <f>[1]Results!AE118</f>
        <v>1.5248709760000001</v>
      </c>
      <c r="AC386" s="6">
        <f>[1]Results!AF118</f>
        <v>1.471491307</v>
      </c>
      <c r="AD386" s="6">
        <f>[1]Results!AG118</f>
        <v>1.420186401</v>
      </c>
      <c r="AE386" s="6">
        <f>[1]Results!AH118</f>
        <v>1.370873939</v>
      </c>
      <c r="AF386" s="6">
        <f>[1]Results!AI118</f>
        <v>1.323475202</v>
      </c>
      <c r="AG386" s="6">
        <f>[1]Results!AJ118</f>
        <v>1.2779144229999999</v>
      </c>
      <c r="AH386" s="6">
        <f>[1]Results!AK118</f>
        <v>1.2341184620000001</v>
      </c>
      <c r="AI386" s="6">
        <f>[1]Results!AL118</f>
        <v>1.1920164470000001</v>
      </c>
      <c r="AJ386" s="6">
        <f>[1]Results!AM118</f>
        <v>1.1515395289999999</v>
      </c>
      <c r="AK386" s="6">
        <f>[1]Results!AN118</f>
        <v>1.1126207749999999</v>
      </c>
      <c r="AL386" s="6">
        <f>[1]Results!AO118</f>
        <v>1.0751951799999999</v>
      </c>
      <c r="AM386" s="6">
        <f>[1]Results!AP118</f>
        <v>1.039199301</v>
      </c>
      <c r="AN386" s="6">
        <f>[1]Results!AQ118</f>
        <v>1.0045712040000001</v>
      </c>
      <c r="AO386" s="6">
        <f>[1]Results!AR118</f>
        <v>0.9712513612</v>
      </c>
      <c r="AP386" s="6">
        <f>[1]Results!AS118</f>
        <v>0.93918311980000002</v>
      </c>
      <c r="AQ386" s="6">
        <f>[1]Results!AT118</f>
        <v>0.90831284869999995</v>
      </c>
      <c r="AR386" s="6">
        <f>[1]Results!AU118</f>
        <v>0.87858991149999999</v>
      </c>
      <c r="AS386" s="6">
        <f>[1]Results!AV118</f>
        <v>0.8499665716</v>
      </c>
      <c r="AT386" s="6">
        <f>[1]Results!AW118</f>
        <v>0.82239779710000005</v>
      </c>
      <c r="AU386" s="6">
        <f>[1]Results!AX118</f>
        <v>0.79584096410000005</v>
      </c>
      <c r="AV386" s="6">
        <f>[1]Results!AY118</f>
        <v>0.77025562280000004</v>
      </c>
      <c r="AW386" s="6">
        <f>[1]Results!AZ118</f>
        <v>0.7456033594</v>
      </c>
      <c r="AX386" s="6">
        <f>[1]Results!BA118</f>
        <v>0.72184771569999995</v>
      </c>
      <c r="AY386" s="6">
        <f>[1]Results!BB118</f>
        <v>0.69895407170000001</v>
      </c>
      <c r="AZ386" s="6">
        <f>[1]Results!BC118</f>
        <v>0.67688946000000005</v>
      </c>
      <c r="BA386" s="6">
        <f>[1]Results!BD118</f>
        <v>0.65562223539999998</v>
      </c>
      <c r="BB386" s="6">
        <f>[1]Results!BE118</f>
        <v>0.67613615360000001</v>
      </c>
      <c r="BC386" s="6">
        <f>[1]Results!BF118</f>
        <v>0.65614706970000003</v>
      </c>
      <c r="BD386" s="6">
        <f>[1]Results!BG118</f>
        <v>0.6368516139</v>
      </c>
      <c r="BE386" s="6">
        <f>[1]Results!BH118</f>
        <v>0.61822360580000002</v>
      </c>
      <c r="BF386" s="6">
        <f>[1]Results!BI118</f>
        <v>0.6002375418</v>
      </c>
    </row>
    <row r="388" spans="1:58" x14ac:dyDescent="0.35">
      <c r="A388" s="12" t="s">
        <v>92</v>
      </c>
      <c r="B388" s="6" t="str">
        <f>[1]Emissions!A830</f>
        <v>ems_ci_co2_sagr_2</v>
      </c>
      <c r="C388" s="6">
        <f>[1]Emissions!B830</f>
        <v>14.080545669999999</v>
      </c>
      <c r="D388" s="6">
        <f>[1]Emissions!C830</f>
        <v>14.10532697</v>
      </c>
      <c r="E388" s="6">
        <f>[1]Emissions!D830</f>
        <v>14.163872749999999</v>
      </c>
      <c r="F388" s="6">
        <f>[1]Emissions!E830</f>
        <v>14.257096969999999</v>
      </c>
      <c r="G388" s="6">
        <f>[1]Emissions!F830</f>
        <v>14.384474689999999</v>
      </c>
      <c r="H388" s="6">
        <f>[1]Emissions!G830</f>
        <v>14.542894410000001</v>
      </c>
      <c r="I388" s="6">
        <f>[1]Emissions!H830</f>
        <v>14.719989780000001</v>
      </c>
      <c r="J388" s="6">
        <f>[1]Emissions!I830</f>
        <v>14.91458587</v>
      </c>
      <c r="K388" s="6">
        <f>[1]Emissions!J830</f>
        <v>15.12392341</v>
      </c>
      <c r="L388" s="6">
        <f>[1]Emissions!K830</f>
        <v>15.345283739999999</v>
      </c>
      <c r="M388" s="6">
        <f>[1]Emissions!L830</f>
        <v>15.57043107</v>
      </c>
      <c r="N388" s="6">
        <f>[1]Emissions!M830</f>
        <v>15.823832449999999</v>
      </c>
      <c r="O388" s="6">
        <f>[1]Emissions!N830</f>
        <v>16.089018979999999</v>
      </c>
      <c r="P388" s="6">
        <f>[1]Emissions!O830</f>
        <v>16.362337530000001</v>
      </c>
      <c r="Q388" s="6">
        <f>[1]Emissions!P830</f>
        <v>16.64220057</v>
      </c>
      <c r="R388" s="6">
        <f>[1]Emissions!Q830</f>
        <v>16.927419279999999</v>
      </c>
      <c r="S388" s="6">
        <f>[1]Emissions!R830</f>
        <v>17.217898009999999</v>
      </c>
      <c r="T388" s="6">
        <f>[1]Emissions!S830</f>
        <v>17.51170634</v>
      </c>
      <c r="U388" s="6">
        <f>[1]Emissions!T830</f>
        <v>17.808151290000001</v>
      </c>
      <c r="V388" s="6">
        <f>[1]Emissions!U830</f>
        <v>18.10686273</v>
      </c>
      <c r="W388" s="6">
        <f>[1]Emissions!V830</f>
        <v>18.39719303</v>
      </c>
      <c r="X388" s="6">
        <f>[1]Emissions!W830</f>
        <v>18.693756059999998</v>
      </c>
      <c r="Y388" s="6">
        <f>[1]Emissions!X830</f>
        <v>18.994050699999999</v>
      </c>
      <c r="Z388" s="6">
        <f>[1]Emissions!Y830</f>
        <v>19.29757502</v>
      </c>
      <c r="AA388" s="6">
        <f>[1]Emissions!Z830</f>
        <v>19.604283349999999</v>
      </c>
      <c r="AB388" s="6">
        <f>[1]Emissions!AA830</f>
        <v>19.88400708</v>
      </c>
      <c r="AC388" s="6">
        <f>[1]Emissions!AB830</f>
        <v>20.164450519999999</v>
      </c>
      <c r="AD388" s="6">
        <f>[1]Emissions!AC830</f>
        <v>20.444808989999999</v>
      </c>
      <c r="AE388" s="6">
        <f>[1]Emissions!AD830</f>
        <v>20.725846229999998</v>
      </c>
      <c r="AF388" s="6">
        <f>[1]Emissions!AE830</f>
        <v>21.008618859999999</v>
      </c>
      <c r="AG388" s="6">
        <f>[1]Emissions!AF830</f>
        <v>21.294075469999999</v>
      </c>
      <c r="AH388" s="6">
        <f>[1]Emissions!AG830</f>
        <v>21.5826861</v>
      </c>
      <c r="AI388" s="6">
        <f>[1]Emissions!AH830</f>
        <v>21.87537648</v>
      </c>
      <c r="AJ388" s="6">
        <f>[1]Emissions!AI830</f>
        <v>22.17258378</v>
      </c>
      <c r="AK388" s="6">
        <f>[1]Emissions!AJ830</f>
        <v>22.474574140000001</v>
      </c>
      <c r="AL388" s="6">
        <f>[1]Emissions!AK830</f>
        <v>22.781517050000001</v>
      </c>
      <c r="AM388" s="6">
        <f>[1]Emissions!AL830</f>
        <v>23.083532479999999</v>
      </c>
      <c r="AN388" s="6">
        <f>[1]Emissions!AM830</f>
        <v>23.387011820000001</v>
      </c>
      <c r="AO388" s="6">
        <f>[1]Emissions!AN830</f>
        <v>23.693473050000001</v>
      </c>
      <c r="AP388" s="6">
        <f>[1]Emissions!AO830</f>
        <v>24.003558170000002</v>
      </c>
      <c r="AQ388" s="6">
        <f>[1]Emissions!AP830</f>
        <v>24.317705879999998</v>
      </c>
      <c r="AR388" s="6">
        <f>[1]Emissions!AQ830</f>
        <v>24.635804069999999</v>
      </c>
      <c r="AS388" s="6">
        <f>[1]Emissions!AR830</f>
        <v>24.958723979999998</v>
      </c>
      <c r="AT388" s="6">
        <f>[1]Emissions!AS830</f>
        <v>25.286725489999998</v>
      </c>
      <c r="AU388" s="6">
        <f>[1]Emissions!AT830</f>
        <v>25.619924189999999</v>
      </c>
      <c r="AV388" s="6">
        <f>[1]Emissions!AU830</f>
        <v>25.95837028</v>
      </c>
      <c r="AW388" s="6">
        <f>[1]Emissions!AV830</f>
        <v>26.301062850000001</v>
      </c>
      <c r="AX388" s="6">
        <f>[1]Emissions!AW830</f>
        <v>26.649864090000001</v>
      </c>
      <c r="AY388" s="6">
        <f>[1]Emissions!AX830</f>
        <v>27.00483341</v>
      </c>
      <c r="AZ388" s="6">
        <f>[1]Emissions!AY830</f>
        <v>27.36578068</v>
      </c>
      <c r="BA388" s="6">
        <f>[1]Emissions!AZ830</f>
        <v>27.732495249999999</v>
      </c>
      <c r="BB388" s="6">
        <f>[1]Emissions!BA830</f>
        <v>32.314755179999999</v>
      </c>
      <c r="BC388" s="6">
        <f>[1]Emissions!BB830</f>
        <v>32.851295200000003</v>
      </c>
      <c r="BD388" s="6">
        <f>[1]Emissions!BC830</f>
        <v>33.39604851</v>
      </c>
      <c r="BE388" s="6">
        <f>[1]Emissions!BD830</f>
        <v>33.949292190000001</v>
      </c>
      <c r="BF388" s="6">
        <f>[1]Emissions!BE830</f>
        <v>34.511300030000001</v>
      </c>
    </row>
    <row r="389" spans="1:58" x14ac:dyDescent="0.35">
      <c r="A389" t="s">
        <v>39</v>
      </c>
      <c r="B389" s="6" t="str">
        <f>[1]Emissions!A832</f>
        <v>ems_ci_co2_sfor_2</v>
      </c>
      <c r="C389" s="6">
        <f>[1]Emissions!B832</f>
        <v>0.57958493629999996</v>
      </c>
      <c r="D389" s="6">
        <f>[1]Emissions!C832</f>
        <v>0.58025467779999995</v>
      </c>
      <c r="E389" s="6">
        <f>[1]Emissions!D832</f>
        <v>0.57652570039999995</v>
      </c>
      <c r="F389" s="6">
        <f>[1]Emissions!E832</f>
        <v>0.57364964630000004</v>
      </c>
      <c r="G389" s="6">
        <f>[1]Emissions!F832</f>
        <v>0.57220251150000001</v>
      </c>
      <c r="H389" s="6">
        <f>[1]Emissions!G832</f>
        <v>0.57206762369999997</v>
      </c>
      <c r="I389" s="6">
        <f>[1]Emissions!H832</f>
        <v>0.57282331639999995</v>
      </c>
      <c r="J389" s="6">
        <f>[1]Emissions!I832</f>
        <v>0.57429109040000004</v>
      </c>
      <c r="K389" s="6">
        <f>[1]Emissions!J832</f>
        <v>0.57627685579999999</v>
      </c>
      <c r="L389" s="6">
        <f>[1]Emissions!K832</f>
        <v>0.57863643360000006</v>
      </c>
      <c r="M389" s="6">
        <f>[1]Emissions!L832</f>
        <v>0.58133082280000004</v>
      </c>
      <c r="N389" s="6">
        <f>[1]Emissions!M832</f>
        <v>0.58466352060000004</v>
      </c>
      <c r="O389" s="6">
        <f>[1]Emissions!N832</f>
        <v>0.58821517599999995</v>
      </c>
      <c r="P389" s="6">
        <f>[1]Emissions!O832</f>
        <v>0.59194762580000004</v>
      </c>
      <c r="Q389" s="6">
        <f>[1]Emissions!P832</f>
        <v>0.59585574539999997</v>
      </c>
      <c r="R389" s="6">
        <f>[1]Emissions!Q832</f>
        <v>0.59992830480000003</v>
      </c>
      <c r="S389" s="6">
        <f>[1]Emissions!R832</f>
        <v>0.60435564890000004</v>
      </c>
      <c r="T389" s="6">
        <f>[1]Emissions!S832</f>
        <v>0.6089259574</v>
      </c>
      <c r="U389" s="6">
        <f>[1]Emissions!T832</f>
        <v>0.61360576379999998</v>
      </c>
      <c r="V389" s="6">
        <f>[1]Emissions!U832</f>
        <v>0.61838533490000003</v>
      </c>
      <c r="W389" s="6">
        <f>[1]Emissions!V832</f>
        <v>0.62297587350000005</v>
      </c>
      <c r="X389" s="6">
        <f>[1]Emissions!W832</f>
        <v>0.62779358760000004</v>
      </c>
      <c r="Y389" s="6">
        <f>[1]Emissions!X832</f>
        <v>0.63276679219999998</v>
      </c>
      <c r="Z389" s="6">
        <f>[1]Emissions!Y832</f>
        <v>0.63785810620000005</v>
      </c>
      <c r="AA389" s="6">
        <f>[1]Emissions!Z832</f>
        <v>0.64305282019999999</v>
      </c>
      <c r="AB389" s="6">
        <f>[1]Emissions!AA832</f>
        <v>0.64753517679999995</v>
      </c>
      <c r="AC389" s="6">
        <f>[1]Emissions!AB832</f>
        <v>0.6520308226</v>
      </c>
      <c r="AD389" s="6">
        <f>[1]Emissions!AC832</f>
        <v>0.65662792810000004</v>
      </c>
      <c r="AE389" s="6">
        <f>[1]Emissions!AD832</f>
        <v>0.6613237475</v>
      </c>
      <c r="AF389" s="6">
        <f>[1]Emissions!AE832</f>
        <v>0.66611590190000003</v>
      </c>
      <c r="AG389" s="6">
        <f>[1]Emissions!AF832</f>
        <v>0.67100704799999999</v>
      </c>
      <c r="AH389" s="6">
        <f>[1]Emissions!AG832</f>
        <v>0.67594151120000001</v>
      </c>
      <c r="AI389" s="6">
        <f>[1]Emissions!AH832</f>
        <v>0.6809833877</v>
      </c>
      <c r="AJ389" s="6">
        <f>[1]Emissions!AI832</f>
        <v>0.68614481770000002</v>
      </c>
      <c r="AK389" s="6">
        <f>[1]Emissions!AJ832</f>
        <v>0.69143105709999997</v>
      </c>
      <c r="AL389" s="6">
        <f>[1]Emissions!AK832</f>
        <v>0.69684598149999999</v>
      </c>
      <c r="AM389" s="6">
        <f>[1]Emissions!AL832</f>
        <v>0.70162178630000005</v>
      </c>
      <c r="AN389" s="6">
        <f>[1]Emissions!AM832</f>
        <v>0.70640634970000005</v>
      </c>
      <c r="AO389" s="6">
        <f>[1]Emissions!AN832</f>
        <v>0.71130062660000004</v>
      </c>
      <c r="AP389" s="6">
        <f>[1]Emissions!AO832</f>
        <v>0.71632020669999996</v>
      </c>
      <c r="AQ389" s="6">
        <f>[1]Emissions!AP832</f>
        <v>0.72146485739999999</v>
      </c>
      <c r="AR389" s="6">
        <f>[1]Emissions!AQ832</f>
        <v>0.72663369899999997</v>
      </c>
      <c r="AS389" s="6">
        <f>[1]Emissions!AR832</f>
        <v>0.73191717599999995</v>
      </c>
      <c r="AT389" s="6">
        <f>[1]Emissions!AS832</f>
        <v>0.73732340709999999</v>
      </c>
      <c r="AU389" s="6">
        <f>[1]Emissions!AT832</f>
        <v>0.7428511471</v>
      </c>
      <c r="AV389" s="6">
        <f>[1]Emissions!AU832</f>
        <v>0.74849874900000002</v>
      </c>
      <c r="AW389" s="6">
        <f>[1]Emissions!AV832</f>
        <v>0.75393116930000004</v>
      </c>
      <c r="AX389" s="6">
        <f>[1]Emissions!AW832</f>
        <v>0.75947034000000002</v>
      </c>
      <c r="AY389" s="6">
        <f>[1]Emissions!AX832</f>
        <v>0.76514598290000002</v>
      </c>
      <c r="AZ389" s="6">
        <f>[1]Emissions!AY832</f>
        <v>0.77095391120000001</v>
      </c>
      <c r="BA389" s="6">
        <f>[1]Emissions!AZ832</f>
        <v>0.77688780290000004</v>
      </c>
      <c r="BB389" s="6">
        <f>[1]Emissions!BA832</f>
        <v>0.66328333900000003</v>
      </c>
      <c r="BC389" s="6">
        <f>[1]Emissions!BB832</f>
        <v>0.66823135369999997</v>
      </c>
      <c r="BD389" s="6">
        <f>[1]Emissions!BC832</f>
        <v>0.67327790379999997</v>
      </c>
      <c r="BE389" s="6">
        <f>[1]Emissions!BD832</f>
        <v>0.67842593929999995</v>
      </c>
      <c r="BF389" s="6">
        <f>[1]Emissions!BE832</f>
        <v>0.68367935170000005</v>
      </c>
    </row>
    <row r="390" spans="1:58" x14ac:dyDescent="0.35">
      <c r="B390" s="6" t="str">
        <f>[1]Emissions!A834</f>
        <v>ems_ci_co2_sfoo_2</v>
      </c>
      <c r="C390" s="6">
        <f>[1]Emissions!B834</f>
        <v>8.6334359149999997</v>
      </c>
      <c r="D390" s="6">
        <f>[1]Emissions!C834</f>
        <v>8.6429747320000008</v>
      </c>
      <c r="E390" s="6">
        <f>[1]Emissions!D834</f>
        <v>8.6690369260000004</v>
      </c>
      <c r="F390" s="6">
        <f>[1]Emissions!E834</f>
        <v>8.7141431639999993</v>
      </c>
      <c r="G390" s="6">
        <f>[1]Emissions!F834</f>
        <v>8.7801763279999996</v>
      </c>
      <c r="H390" s="6">
        <f>[1]Emissions!G834</f>
        <v>8.8663526430000008</v>
      </c>
      <c r="I390" s="6">
        <f>[1]Emissions!H834</f>
        <v>8.9653582420000006</v>
      </c>
      <c r="J390" s="6">
        <f>[1]Emissions!I834</f>
        <v>9.0763106199999992</v>
      </c>
      <c r="K390" s="6">
        <f>[1]Emissions!J834</f>
        <v>9.1972282199999995</v>
      </c>
      <c r="L390" s="6">
        <f>[1]Emissions!K834</f>
        <v>9.3261694639999995</v>
      </c>
      <c r="M390" s="6">
        <f>[1]Emissions!L834</f>
        <v>9.459640469</v>
      </c>
      <c r="N390" s="6">
        <f>[1]Emissions!M834</f>
        <v>9.6066678509999992</v>
      </c>
      <c r="O390" s="6">
        <f>[1]Emissions!N834</f>
        <v>9.7606152359999996</v>
      </c>
      <c r="P390" s="6">
        <f>[1]Emissions!O834</f>
        <v>9.9199397050000009</v>
      </c>
      <c r="Q390" s="6">
        <f>[1]Emissions!P834</f>
        <v>10.08360384</v>
      </c>
      <c r="R390" s="6">
        <f>[1]Emissions!Q834</f>
        <v>10.250642770000001</v>
      </c>
      <c r="S390" s="6">
        <f>[1]Emissions!R834</f>
        <v>10.41974248</v>
      </c>
      <c r="T390" s="6">
        <f>[1]Emissions!S834</f>
        <v>10.59041199</v>
      </c>
      <c r="U390" s="6">
        <f>[1]Emissions!T834</f>
        <v>10.76213398</v>
      </c>
      <c r="V390" s="6">
        <f>[1]Emissions!U834</f>
        <v>10.934527579999999</v>
      </c>
      <c r="W390" s="6">
        <f>[1]Emissions!V834</f>
        <v>11.10112341</v>
      </c>
      <c r="X390" s="6">
        <f>[1]Emissions!W834</f>
        <v>11.270269519999999</v>
      </c>
      <c r="Y390" s="6">
        <f>[1]Emissions!X834</f>
        <v>11.4405941</v>
      </c>
      <c r="Z390" s="6">
        <f>[1]Emissions!Y834</f>
        <v>11.61184615</v>
      </c>
      <c r="AA390" s="6">
        <f>[1]Emissions!Z834</f>
        <v>11.784007600000001</v>
      </c>
      <c r="AB390" s="6">
        <f>[1]Emissions!AA834</f>
        <v>11.939197869999999</v>
      </c>
      <c r="AC390" s="6">
        <f>[1]Emissions!AB834</f>
        <v>12.093611040000001</v>
      </c>
      <c r="AD390" s="6">
        <f>[1]Emissions!AC834</f>
        <v>12.24645754</v>
      </c>
      <c r="AE390" s="6">
        <f>[1]Emissions!AD834</f>
        <v>12.398325359999999</v>
      </c>
      <c r="AF390" s="6">
        <f>[1]Emissions!AE834</f>
        <v>12.54999422</v>
      </c>
      <c r="AG390" s="6">
        <f>[1]Emissions!AF834</f>
        <v>12.70215911</v>
      </c>
      <c r="AH390" s="6">
        <f>[1]Emissions!AG834</f>
        <v>12.855513240000001</v>
      </c>
      <c r="AI390" s="6">
        <f>[1]Emissions!AH834</f>
        <v>13.01042672</v>
      </c>
      <c r="AJ390" s="6">
        <f>[1]Emissions!AI834</f>
        <v>13.16721746</v>
      </c>
      <c r="AK390" s="6">
        <f>[1]Emissions!AJ834</f>
        <v>13.32611915</v>
      </c>
      <c r="AL390" s="6">
        <f>[1]Emissions!AK834</f>
        <v>13.487296819999999</v>
      </c>
      <c r="AM390" s="6">
        <f>[1]Emissions!AL834</f>
        <v>13.647849430000001</v>
      </c>
      <c r="AN390" s="6">
        <f>[1]Emissions!AM834</f>
        <v>13.808761260000001</v>
      </c>
      <c r="AO390" s="6">
        <f>[1]Emissions!AN834</f>
        <v>13.970655150000001</v>
      </c>
      <c r="AP390" s="6">
        <f>[1]Emissions!AO834</f>
        <v>14.133976629999999</v>
      </c>
      <c r="AQ390" s="6">
        <f>[1]Emissions!AP834</f>
        <v>14.299077130000001</v>
      </c>
      <c r="AR390" s="6">
        <f>[1]Emissions!AQ834</f>
        <v>14.46644442</v>
      </c>
      <c r="AS390" s="6">
        <f>[1]Emissions!AR834</f>
        <v>14.636190429999999</v>
      </c>
      <c r="AT390" s="6">
        <f>[1]Emissions!AS834</f>
        <v>14.80845551</v>
      </c>
      <c r="AU390" s="6">
        <f>[1]Emissions!AT834</f>
        <v>14.983331529999999</v>
      </c>
      <c r="AV390" s="6">
        <f>[1]Emissions!AU834</f>
        <v>15.16086522</v>
      </c>
      <c r="AW390" s="6">
        <f>[1]Emissions!AV834</f>
        <v>15.34219702</v>
      </c>
      <c r="AX390" s="6">
        <f>[1]Emissions!AW834</f>
        <v>15.52683305</v>
      </c>
      <c r="AY390" s="6">
        <f>[1]Emissions!AX834</f>
        <v>15.71466023</v>
      </c>
      <c r="AZ390" s="6">
        <f>[1]Emissions!AY834</f>
        <v>15.90558386</v>
      </c>
      <c r="BA390" s="6">
        <f>[1]Emissions!AZ834</f>
        <v>16.09949773</v>
      </c>
      <c r="BB390" s="6">
        <f>[1]Emissions!BA834</f>
        <v>19.880422360000001</v>
      </c>
      <c r="BC390" s="6">
        <f>[1]Emissions!BB834</f>
        <v>20.200756160000001</v>
      </c>
      <c r="BD390" s="6">
        <f>[1]Emissions!BC834</f>
        <v>20.52564692</v>
      </c>
      <c r="BE390" s="6">
        <f>[1]Emissions!BD834</f>
        <v>20.855267479999998</v>
      </c>
      <c r="BF390" s="6">
        <f>[1]Emissions!BE834</f>
        <v>21.189792629999999</v>
      </c>
    </row>
    <row r="391" spans="1:58" x14ac:dyDescent="0.35">
      <c r="B391" s="6" t="str">
        <f>[1]Emissions!A836</f>
        <v>ems_ci_co2_sveh_2</v>
      </c>
      <c r="C391" s="6">
        <f>[1]Emissions!B836</f>
        <v>1.085958379</v>
      </c>
      <c r="D391" s="6">
        <f>[1]Emissions!C836</f>
        <v>1.081065462</v>
      </c>
      <c r="E391" s="6">
        <f>[1]Emissions!D836</f>
        <v>1.0806846409999999</v>
      </c>
      <c r="F391" s="6">
        <f>[1]Emissions!E836</f>
        <v>1.0835662239999999</v>
      </c>
      <c r="G391" s="6">
        <f>[1]Emissions!F836</f>
        <v>1.091286931</v>
      </c>
      <c r="H391" s="6">
        <f>[1]Emissions!G836</f>
        <v>1.1045115400000001</v>
      </c>
      <c r="I391" s="6">
        <f>[1]Emissions!H836</f>
        <v>1.1218064889999999</v>
      </c>
      <c r="J391" s="6">
        <f>[1]Emissions!I836</f>
        <v>1.1429412699999999</v>
      </c>
      <c r="K391" s="6">
        <f>[1]Emissions!J836</f>
        <v>1.1669648420000001</v>
      </c>
      <c r="L391" s="6">
        <f>[1]Emissions!K836</f>
        <v>1.1929217809999999</v>
      </c>
      <c r="M391" s="6">
        <f>[1]Emissions!L836</f>
        <v>1.217804549</v>
      </c>
      <c r="N391" s="6">
        <f>[1]Emissions!M836</f>
        <v>1.246981463</v>
      </c>
      <c r="O391" s="6">
        <f>[1]Emissions!N836</f>
        <v>1.2773697639999999</v>
      </c>
      <c r="P391" s="6">
        <f>[1]Emissions!O836</f>
        <v>1.308237195</v>
      </c>
      <c r="Q391" s="6">
        <f>[1]Emissions!P836</f>
        <v>1.339002045</v>
      </c>
      <c r="R391" s="6">
        <f>[1]Emissions!Q836</f>
        <v>1.3690960649999999</v>
      </c>
      <c r="S391" s="6">
        <f>[1]Emissions!R836</f>
        <v>1.397876275</v>
      </c>
      <c r="T391" s="6">
        <f>[1]Emissions!S836</f>
        <v>1.4251066219999999</v>
      </c>
      <c r="U391" s="6">
        <f>[1]Emissions!T836</f>
        <v>1.4505584760000001</v>
      </c>
      <c r="V391" s="6">
        <f>[1]Emissions!U836</f>
        <v>1.4741169169999999</v>
      </c>
      <c r="W391" s="6">
        <f>[1]Emissions!V836</f>
        <v>1.49434585</v>
      </c>
      <c r="X391" s="6">
        <f>[1]Emissions!W836</f>
        <v>1.5136644589999999</v>
      </c>
      <c r="Y391" s="6">
        <f>[1]Emissions!X836</f>
        <v>1.5314763629999999</v>
      </c>
      <c r="Z391" s="6">
        <f>[1]Emissions!Y836</f>
        <v>1.5478940109999999</v>
      </c>
      <c r="AA391" s="6">
        <f>[1]Emissions!Z836</f>
        <v>1.5631301520000001</v>
      </c>
      <c r="AB391" s="6">
        <f>[1]Emissions!AA836</f>
        <v>1.5733643509999999</v>
      </c>
      <c r="AC391" s="6">
        <f>[1]Emissions!AB836</f>
        <v>1.583641385</v>
      </c>
      <c r="AD391" s="6">
        <f>[1]Emissions!AC836</f>
        <v>1.5932079159999999</v>
      </c>
      <c r="AE391" s="6">
        <f>[1]Emissions!AD836</f>
        <v>1.6022874739999999</v>
      </c>
      <c r="AF391" s="6">
        <f>[1]Emissions!AE836</f>
        <v>1.611196882</v>
      </c>
      <c r="AG391" s="6">
        <f>[1]Emissions!AF836</f>
        <v>1.6202211639999999</v>
      </c>
      <c r="AH391" s="6">
        <f>[1]Emissions!AG836</f>
        <v>1.62964248</v>
      </c>
      <c r="AI391" s="6">
        <f>[1]Emissions!AH836</f>
        <v>1.639620912</v>
      </c>
      <c r="AJ391" s="6">
        <f>[1]Emissions!AI836</f>
        <v>1.6503158309999999</v>
      </c>
      <c r="AK391" s="6">
        <f>[1]Emissions!AJ836</f>
        <v>1.6618493999999999</v>
      </c>
      <c r="AL391" s="6">
        <f>[1]Emissions!AK836</f>
        <v>1.674303576</v>
      </c>
      <c r="AM391" s="6">
        <f>[1]Emissions!AL836</f>
        <v>1.687196986</v>
      </c>
      <c r="AN391" s="6">
        <f>[1]Emissions!AM836</f>
        <v>1.7007801890000001</v>
      </c>
      <c r="AO391" s="6">
        <f>[1]Emissions!AN836</f>
        <v>1.715179719</v>
      </c>
      <c r="AP391" s="6">
        <f>[1]Emissions!AO836</f>
        <v>1.7304683620000001</v>
      </c>
      <c r="AQ391" s="6">
        <f>[1]Emissions!AP836</f>
        <v>1.746667325</v>
      </c>
      <c r="AR391" s="6">
        <f>[1]Emissions!AQ836</f>
        <v>1.7638198700000001</v>
      </c>
      <c r="AS391" s="6">
        <f>[1]Emissions!AR836</f>
        <v>1.781825451</v>
      </c>
      <c r="AT391" s="6">
        <f>[1]Emissions!AS836</f>
        <v>1.8006354469999999</v>
      </c>
      <c r="AU391" s="6">
        <f>[1]Emissions!AT836</f>
        <v>1.820199908</v>
      </c>
      <c r="AV391" s="6">
        <f>[1]Emissions!AU836</f>
        <v>1.8404624999999999</v>
      </c>
      <c r="AW391" s="6">
        <f>[1]Emissions!AV836</f>
        <v>1.8616614810000001</v>
      </c>
      <c r="AX391" s="6">
        <f>[1]Emissions!AW836</f>
        <v>1.883484001</v>
      </c>
      <c r="AY391" s="6">
        <f>[1]Emissions!AX836</f>
        <v>1.9058876709999999</v>
      </c>
      <c r="AZ391" s="6">
        <f>[1]Emissions!AY836</f>
        <v>1.9288440200000001</v>
      </c>
      <c r="BA391" s="6">
        <f>[1]Emissions!AZ836</f>
        <v>1.9523037640000001</v>
      </c>
      <c r="BB391" s="6">
        <f>[1]Emissions!BA836</f>
        <v>2.502649833</v>
      </c>
      <c r="BC391" s="6">
        <f>[1]Emissions!BB836</f>
        <v>2.5424036750000001</v>
      </c>
      <c r="BD391" s="6">
        <f>[1]Emissions!BC836</f>
        <v>2.5831347830000002</v>
      </c>
      <c r="BE391" s="6">
        <f>[1]Emissions!BD836</f>
        <v>2.6249114059999998</v>
      </c>
      <c r="BF391" s="6">
        <f>[1]Emissions!BE836</f>
        <v>2.6677897210000001</v>
      </c>
    </row>
    <row r="392" spans="1:58" x14ac:dyDescent="0.35">
      <c r="B392" s="6" t="str">
        <f>[1]Emissions!A838</f>
        <v>ems_ci_co2_sgla_2</v>
      </c>
      <c r="C392" s="6">
        <f>[1]Emissions!B838</f>
        <v>7.7156527239999999</v>
      </c>
      <c r="D392" s="6">
        <f>[1]Emissions!C838</f>
        <v>7.7550463089999999</v>
      </c>
      <c r="E392" s="6">
        <f>[1]Emissions!D838</f>
        <v>7.8171237309999997</v>
      </c>
      <c r="F392" s="6">
        <f>[1]Emissions!E838</f>
        <v>7.8931630650000004</v>
      </c>
      <c r="G392" s="6">
        <f>[1]Emissions!F838</f>
        <v>7.9806085720000004</v>
      </c>
      <c r="H392" s="6">
        <f>[1]Emissions!G838</f>
        <v>8.0777637949999992</v>
      </c>
      <c r="I392" s="6">
        <f>[1]Emissions!H838</f>
        <v>8.1790371099999994</v>
      </c>
      <c r="J392" s="6">
        <f>[1]Emissions!I838</f>
        <v>8.2848839200000004</v>
      </c>
      <c r="K392" s="6">
        <f>[1]Emissions!J838</f>
        <v>8.3948682049999999</v>
      </c>
      <c r="L392" s="6">
        <f>[1]Emissions!K838</f>
        <v>8.5084488500000006</v>
      </c>
      <c r="M392" s="6">
        <f>[1]Emissions!L838</f>
        <v>8.6221272249999998</v>
      </c>
      <c r="N392" s="6">
        <f>[1]Emissions!M838</f>
        <v>8.7478985290000004</v>
      </c>
      <c r="O392" s="6">
        <f>[1]Emissions!N838</f>
        <v>8.8788625339999996</v>
      </c>
      <c r="P392" s="6">
        <f>[1]Emissions!O838</f>
        <v>9.0133839509999998</v>
      </c>
      <c r="Q392" s="6">
        <f>[1]Emissions!P838</f>
        <v>9.1508212029999996</v>
      </c>
      <c r="R392" s="6">
        <f>[1]Emissions!Q838</f>
        <v>9.2908127670000002</v>
      </c>
      <c r="S392" s="6">
        <f>[1]Emissions!R838</f>
        <v>9.4326693160000001</v>
      </c>
      <c r="T392" s="6">
        <f>[1]Emissions!S838</f>
        <v>9.5765368209999995</v>
      </c>
      <c r="U392" s="6">
        <f>[1]Emissions!T838</f>
        <v>9.7224131380000003</v>
      </c>
      <c r="V392" s="6">
        <f>[1]Emissions!U838</f>
        <v>9.8703069550000002</v>
      </c>
      <c r="W392" s="6">
        <f>[1]Emissions!V838</f>
        <v>10.015268109999999</v>
      </c>
      <c r="X392" s="6">
        <f>[1]Emissions!W838</f>
        <v>10.16443136</v>
      </c>
      <c r="Y392" s="6">
        <f>[1]Emissions!X838</f>
        <v>10.316572389999999</v>
      </c>
      <c r="Z392" s="6">
        <f>[1]Emissions!Y838</f>
        <v>10.47143616</v>
      </c>
      <c r="AA392" s="6">
        <f>[1]Emissions!Z838</f>
        <v>10.62899</v>
      </c>
      <c r="AB392" s="6">
        <f>[1]Emissions!AA838</f>
        <v>10.774927229999999</v>
      </c>
      <c r="AC392" s="6">
        <f>[1]Emissions!AB838</f>
        <v>10.92298304</v>
      </c>
      <c r="AD392" s="6">
        <f>[1]Emissions!AC838</f>
        <v>11.07209898</v>
      </c>
      <c r="AE392" s="6">
        <f>[1]Emissions!AD838</f>
        <v>11.22234149</v>
      </c>
      <c r="AF392" s="6">
        <f>[1]Emissions!AE838</f>
        <v>11.37396556</v>
      </c>
      <c r="AG392" s="6">
        <f>[1]Emissions!AF838</f>
        <v>11.52721373</v>
      </c>
      <c r="AH392" s="6">
        <f>[1]Emissions!AG838</f>
        <v>11.68241173</v>
      </c>
      <c r="AI392" s="6">
        <f>[1]Emissions!AH838</f>
        <v>11.839605069999999</v>
      </c>
      <c r="AJ392" s="6">
        <f>[1]Emissions!AI838</f>
        <v>11.99884449</v>
      </c>
      <c r="AK392" s="6">
        <f>[1]Emissions!AJ838</f>
        <v>12.16014219</v>
      </c>
      <c r="AL392" s="6">
        <f>[1]Emissions!AK838</f>
        <v>12.32347508</v>
      </c>
      <c r="AM392" s="6">
        <f>[1]Emissions!AL838</f>
        <v>12.48668011</v>
      </c>
      <c r="AN392" s="6">
        <f>[1]Emissions!AM838</f>
        <v>12.650296839999999</v>
      </c>
      <c r="AO392" s="6">
        <f>[1]Emissions!AN838</f>
        <v>12.81461129</v>
      </c>
      <c r="AP392" s="6">
        <f>[1]Emissions!AO838</f>
        <v>12.97977947</v>
      </c>
      <c r="AQ392" s="6">
        <f>[1]Emissions!AP838</f>
        <v>13.14589864</v>
      </c>
      <c r="AR392" s="6">
        <f>[1]Emissions!AQ838</f>
        <v>13.31326048</v>
      </c>
      <c r="AS392" s="6">
        <f>[1]Emissions!AR838</f>
        <v>13.481788160000001</v>
      </c>
      <c r="AT392" s="6">
        <f>[1]Emissions!AS838</f>
        <v>13.65148885</v>
      </c>
      <c r="AU392" s="6">
        <f>[1]Emissions!AT838</f>
        <v>13.82237014</v>
      </c>
      <c r="AV392" s="6">
        <f>[1]Emissions!AU838</f>
        <v>13.994430189999999</v>
      </c>
      <c r="AW392" s="6">
        <f>[1]Emissions!AV838</f>
        <v>14.1687694</v>
      </c>
      <c r="AX392" s="6">
        <f>[1]Emissions!AW838</f>
        <v>14.34480398</v>
      </c>
      <c r="AY392" s="6">
        <f>[1]Emissions!AX838</f>
        <v>14.52238135</v>
      </c>
      <c r="AZ392" s="6">
        <f>[1]Emissions!AY838</f>
        <v>14.70142426</v>
      </c>
      <c r="BA392" s="6">
        <f>[1]Emissions!AZ838</f>
        <v>14.881878390000001</v>
      </c>
      <c r="BB392" s="6">
        <f>[1]Emissions!BA838</f>
        <v>18.902690150000002</v>
      </c>
      <c r="BC392" s="6">
        <f>[1]Emissions!BB838</f>
        <v>19.241249150000002</v>
      </c>
      <c r="BD392" s="6">
        <f>[1]Emissions!BC838</f>
        <v>19.583814780000001</v>
      </c>
      <c r="BE392" s="6">
        <f>[1]Emissions!BD838</f>
        <v>19.930375250000001</v>
      </c>
      <c r="BF392" s="6">
        <f>[1]Emissions!BE838</f>
        <v>20.28092526</v>
      </c>
    </row>
    <row r="393" spans="1:58" x14ac:dyDescent="0.35">
      <c r="B393" s="6" t="str">
        <f>[1]Emissions!A840</f>
        <v>ems_ci_co2_spap_2</v>
      </c>
      <c r="C393" s="6">
        <f>[1]Emissions!B840</f>
        <v>2.4998204589999999</v>
      </c>
      <c r="D393" s="6">
        <f>[1]Emissions!C840</f>
        <v>2.506589746</v>
      </c>
      <c r="E393" s="6">
        <f>[1]Emissions!D840</f>
        <v>2.523787687</v>
      </c>
      <c r="F393" s="6">
        <f>[1]Emissions!E840</f>
        <v>2.5464520660000001</v>
      </c>
      <c r="G393" s="6">
        <f>[1]Emissions!F840</f>
        <v>2.5733449479999999</v>
      </c>
      <c r="H393" s="6">
        <f>[1]Emissions!G840</f>
        <v>2.6037134530000001</v>
      </c>
      <c r="I393" s="6">
        <f>[1]Emissions!H840</f>
        <v>2.6351414260000001</v>
      </c>
      <c r="J393" s="6">
        <f>[1]Emissions!I840</f>
        <v>2.6681278019999999</v>
      </c>
      <c r="K393" s="6">
        <f>[1]Emissions!J840</f>
        <v>2.7024645610000002</v>
      </c>
      <c r="L393" s="6">
        <f>[1]Emissions!K840</f>
        <v>2.7378648289999998</v>
      </c>
      <c r="M393" s="6">
        <f>[1]Emissions!L840</f>
        <v>2.772133084</v>
      </c>
      <c r="N393" s="6">
        <f>[1]Emissions!M840</f>
        <v>2.8119004159999998</v>
      </c>
      <c r="O393" s="6">
        <f>[1]Emissions!N840</f>
        <v>2.853127969</v>
      </c>
      <c r="P393" s="6">
        <f>[1]Emissions!O840</f>
        <v>2.8950617429999999</v>
      </c>
      <c r="Q393" s="6">
        <f>[1]Emissions!P840</f>
        <v>2.937488321</v>
      </c>
      <c r="R393" s="6">
        <f>[1]Emissions!Q840</f>
        <v>2.9803033270000001</v>
      </c>
      <c r="S393" s="6">
        <f>[1]Emissions!R840</f>
        <v>3.023191792</v>
      </c>
      <c r="T393" s="6">
        <f>[1]Emissions!S840</f>
        <v>3.0662773780000001</v>
      </c>
      <c r="U393" s="6">
        <f>[1]Emissions!T840</f>
        <v>3.1095691900000002</v>
      </c>
      <c r="V393" s="6">
        <f>[1]Emissions!U840</f>
        <v>3.1530720680000002</v>
      </c>
      <c r="W393" s="6">
        <f>[1]Emissions!V840</f>
        <v>3.1947039529999999</v>
      </c>
      <c r="X393" s="6">
        <f>[1]Emissions!W840</f>
        <v>3.2378663040000002</v>
      </c>
      <c r="Y393" s="6">
        <f>[1]Emissions!X840</f>
        <v>3.2816518299999999</v>
      </c>
      <c r="Z393" s="6">
        <f>[1]Emissions!Y840</f>
        <v>3.3259067249999998</v>
      </c>
      <c r="AA393" s="6">
        <f>[1]Emissions!Z840</f>
        <v>3.37062543</v>
      </c>
      <c r="AB393" s="6">
        <f>[1]Emissions!AA840</f>
        <v>3.4098314869999999</v>
      </c>
      <c r="AC393" s="6">
        <f>[1]Emissions!AB840</f>
        <v>3.450474754</v>
      </c>
      <c r="AD393" s="6">
        <f>[1]Emissions!AC840</f>
        <v>3.491514236</v>
      </c>
      <c r="AE393" s="6">
        <f>[1]Emissions!AD840</f>
        <v>3.5328632990000002</v>
      </c>
      <c r="AF393" s="6">
        <f>[1]Emissions!AE840</f>
        <v>3.5746049200000001</v>
      </c>
      <c r="AG393" s="6">
        <f>[1]Emissions!AF840</f>
        <v>3.616835123</v>
      </c>
      <c r="AH393" s="6">
        <f>[1]Emissions!AG840</f>
        <v>3.659705459</v>
      </c>
      <c r="AI393" s="6">
        <f>[1]Emissions!AH840</f>
        <v>3.7032225730000001</v>
      </c>
      <c r="AJ393" s="6">
        <f>[1]Emissions!AI840</f>
        <v>3.7474121560000002</v>
      </c>
      <c r="AK393" s="6">
        <f>[1]Emissions!AJ840</f>
        <v>3.7922896270000002</v>
      </c>
      <c r="AL393" s="6">
        <f>[1]Emissions!AK840</f>
        <v>3.8378597120000002</v>
      </c>
      <c r="AM393" s="6">
        <f>[1]Emissions!AL840</f>
        <v>3.8833952950000001</v>
      </c>
      <c r="AN393" s="6">
        <f>[1]Emissions!AM840</f>
        <v>3.9292682710000002</v>
      </c>
      <c r="AO393" s="6">
        <f>[1]Emissions!AN840</f>
        <v>3.9756017940000001</v>
      </c>
      <c r="AP393" s="6">
        <f>[1]Emissions!AO840</f>
        <v>4.0224473209999996</v>
      </c>
      <c r="AQ393" s="6">
        <f>[1]Emissions!AP840</f>
        <v>4.069837251</v>
      </c>
      <c r="AR393" s="6">
        <f>[1]Emissions!AQ840</f>
        <v>4.1179159900000002</v>
      </c>
      <c r="AS393" s="6">
        <f>[1]Emissions!AR840</f>
        <v>4.1666259270000001</v>
      </c>
      <c r="AT393" s="6">
        <f>[1]Emissions!AS840</f>
        <v>4.2159657770000001</v>
      </c>
      <c r="AU393" s="6">
        <f>[1]Emissions!AT840</f>
        <v>4.2659372480000002</v>
      </c>
      <c r="AV393" s="6">
        <f>[1]Emissions!AU840</f>
        <v>4.3165384690000002</v>
      </c>
      <c r="AW393" s="6">
        <f>[1]Emissions!AV840</f>
        <v>4.3683171139999999</v>
      </c>
      <c r="AX393" s="6">
        <f>[1]Emissions!AW840</f>
        <v>4.4209131599999996</v>
      </c>
      <c r="AY393" s="6">
        <f>[1]Emissions!AX840</f>
        <v>4.474243178</v>
      </c>
      <c r="AZ393" s="6">
        <f>[1]Emissions!AY840</f>
        <v>4.5282680529999997</v>
      </c>
      <c r="BA393" s="6">
        <f>[1]Emissions!AZ840</f>
        <v>4.5829595010000004</v>
      </c>
      <c r="BB393" s="6">
        <f>[1]Emissions!BA840</f>
        <v>5.7686918350000003</v>
      </c>
      <c r="BC393" s="6">
        <f>[1]Emissions!BB840</f>
        <v>5.8662594649999997</v>
      </c>
      <c r="BD393" s="6">
        <f>[1]Emissions!BC840</f>
        <v>5.9654531390000001</v>
      </c>
      <c r="BE393" s="6">
        <f>[1]Emissions!BD840</f>
        <v>6.0663068249999998</v>
      </c>
      <c r="BF393" s="6">
        <f>[1]Emissions!BE840</f>
        <v>6.1688547480000002</v>
      </c>
    </row>
    <row r="394" spans="1:58" x14ac:dyDescent="0.35">
      <c r="B394" s="6" t="str">
        <f>[1]Emissions!A842</f>
        <v>ems_ci_co2_sche_2</v>
      </c>
      <c r="C394" s="6">
        <f>[1]Emissions!B842</f>
        <v>13.233732570000001</v>
      </c>
      <c r="D394" s="6">
        <f>[1]Emissions!C842</f>
        <v>13.295133979999999</v>
      </c>
      <c r="E394" s="6">
        <f>[1]Emissions!D842</f>
        <v>13.42072857</v>
      </c>
      <c r="F394" s="6">
        <f>[1]Emissions!E842</f>
        <v>13.57008368</v>
      </c>
      <c r="G394" s="6">
        <f>[1]Emissions!F842</f>
        <v>13.735498939999999</v>
      </c>
      <c r="H394" s="6">
        <f>[1]Emissions!G842</f>
        <v>13.913683170000001</v>
      </c>
      <c r="I394" s="6">
        <f>[1]Emissions!H842</f>
        <v>14.09118292</v>
      </c>
      <c r="J394" s="6">
        <f>[1]Emissions!I842</f>
        <v>14.27375477</v>
      </c>
      <c r="K394" s="6">
        <f>[1]Emissions!J842</f>
        <v>14.46087605</v>
      </c>
      <c r="L394" s="6">
        <f>[1]Emissions!K842</f>
        <v>14.65131543</v>
      </c>
      <c r="M394" s="6">
        <f>[1]Emissions!L842</f>
        <v>14.827654409999999</v>
      </c>
      <c r="N394" s="6">
        <f>[1]Emissions!M842</f>
        <v>15.04181395</v>
      </c>
      <c r="O394" s="6">
        <f>[1]Emissions!N842</f>
        <v>15.262643969999999</v>
      </c>
      <c r="P394" s="6">
        <f>[1]Emissions!O842</f>
        <v>15.485194999999999</v>
      </c>
      <c r="Q394" s="6">
        <f>[1]Emissions!P842</f>
        <v>15.708451480000001</v>
      </c>
      <c r="R394" s="6">
        <f>[1]Emissions!Q842</f>
        <v>15.93211282</v>
      </c>
      <c r="S394" s="6">
        <f>[1]Emissions!R842</f>
        <v>16.154480889999999</v>
      </c>
      <c r="T394" s="6">
        <f>[1]Emissions!S842</f>
        <v>16.37688872</v>
      </c>
      <c r="U394" s="6">
        <f>[1]Emissions!T842</f>
        <v>16.599660440000001</v>
      </c>
      <c r="V394" s="6">
        <f>[1]Emissions!U842</f>
        <v>16.82304452</v>
      </c>
      <c r="W394" s="6">
        <f>[1]Emissions!V842</f>
        <v>17.034471150000002</v>
      </c>
      <c r="X394" s="6">
        <f>[1]Emissions!W842</f>
        <v>17.256747699999998</v>
      </c>
      <c r="Y394" s="6">
        <f>[1]Emissions!X842</f>
        <v>17.482365300000001</v>
      </c>
      <c r="Z394" s="6">
        <f>[1]Emissions!Y842</f>
        <v>17.71046926</v>
      </c>
      <c r="AA394" s="6">
        <f>[1]Emissions!Z842</f>
        <v>17.941192690000001</v>
      </c>
      <c r="AB394" s="6">
        <f>[1]Emissions!AA842</f>
        <v>18.138075019999999</v>
      </c>
      <c r="AC394" s="6">
        <f>[1]Emissions!AB842</f>
        <v>18.348914189999999</v>
      </c>
      <c r="AD394" s="6">
        <f>[1]Emissions!AC842</f>
        <v>18.56367316</v>
      </c>
      <c r="AE394" s="6">
        <f>[1]Emissions!AD842</f>
        <v>18.781369909999999</v>
      </c>
      <c r="AF394" s="6">
        <f>[1]Emissions!AE842</f>
        <v>19.00229436</v>
      </c>
      <c r="AG394" s="6">
        <f>[1]Emissions!AF842</f>
        <v>19.22683803</v>
      </c>
      <c r="AH394" s="6">
        <f>[1]Emissions!AG842</f>
        <v>19.455786530000001</v>
      </c>
      <c r="AI394" s="6">
        <f>[1]Emissions!AH842</f>
        <v>19.688961689999999</v>
      </c>
      <c r="AJ394" s="6">
        <f>[1]Emissions!AI842</f>
        <v>19.926414600000001</v>
      </c>
      <c r="AK394" s="6">
        <f>[1]Emissions!AJ842</f>
        <v>20.168162639999998</v>
      </c>
      <c r="AL394" s="6">
        <f>[1]Emissions!AK842</f>
        <v>20.414172659999998</v>
      </c>
      <c r="AM394" s="6">
        <f>[1]Emissions!AL842</f>
        <v>20.66019198</v>
      </c>
      <c r="AN394" s="6">
        <f>[1]Emissions!AM842</f>
        <v>20.90888936</v>
      </c>
      <c r="AO394" s="6">
        <f>[1]Emissions!AN842</f>
        <v>21.160816130000001</v>
      </c>
      <c r="AP394" s="6">
        <f>[1]Emissions!AO842</f>
        <v>21.416129399999999</v>
      </c>
      <c r="AQ394" s="6">
        <f>[1]Emissions!AP842</f>
        <v>21.674902769999999</v>
      </c>
      <c r="AR394" s="6">
        <f>[1]Emissions!AQ842</f>
        <v>21.937952200000002</v>
      </c>
      <c r="AS394" s="6">
        <f>[1]Emissions!AR842</f>
        <v>22.204692139999999</v>
      </c>
      <c r="AT394" s="6">
        <f>[1]Emissions!AS842</f>
        <v>22.475035699999999</v>
      </c>
      <c r="AU394" s="6">
        <f>[1]Emissions!AT842</f>
        <v>22.74894368</v>
      </c>
      <c r="AV394" s="6">
        <f>[1]Emissions!AU842</f>
        <v>23.026369979999998</v>
      </c>
      <c r="AW394" s="6">
        <f>[1]Emissions!AV842</f>
        <v>23.31080506</v>
      </c>
      <c r="AX394" s="6">
        <f>[1]Emissions!AW842</f>
        <v>23.59944307</v>
      </c>
      <c r="AY394" s="6">
        <f>[1]Emissions!AX842</f>
        <v>23.891807719999999</v>
      </c>
      <c r="AZ394" s="6">
        <f>[1]Emissions!AY842</f>
        <v>24.187745360000001</v>
      </c>
      <c r="BA394" s="6">
        <f>[1]Emissions!AZ842</f>
        <v>24.48715949</v>
      </c>
      <c r="BB394" s="6">
        <f>[1]Emissions!BA842</f>
        <v>30.561713749999999</v>
      </c>
      <c r="BC394" s="6">
        <f>[1]Emissions!BB842</f>
        <v>31.087305239999999</v>
      </c>
      <c r="BD394" s="6">
        <f>[1]Emissions!BC842</f>
        <v>31.622493739999999</v>
      </c>
      <c r="BE394" s="6">
        <f>[1]Emissions!BD842</f>
        <v>32.167449670000003</v>
      </c>
      <c r="BF394" s="6">
        <f>[1]Emissions!BE842</f>
        <v>32.722338440000001</v>
      </c>
    </row>
    <row r="395" spans="1:58" x14ac:dyDescent="0.35">
      <c r="B395" s="6" t="str">
        <f>[1]Emissions!A844</f>
        <v>ems_ci_co2_spla_2</v>
      </c>
      <c r="C395" s="6">
        <f>[1]Emissions!B844</f>
        <v>1.4662745349999999</v>
      </c>
      <c r="D395" s="6">
        <f>[1]Emissions!C844</f>
        <v>1.4707359790000001</v>
      </c>
      <c r="E395" s="6">
        <f>[1]Emissions!D844</f>
        <v>1.4819657049999999</v>
      </c>
      <c r="F395" s="6">
        <f>[1]Emissions!E844</f>
        <v>1.4960549139999999</v>
      </c>
      <c r="G395" s="6">
        <f>[1]Emissions!F844</f>
        <v>1.512349819</v>
      </c>
      <c r="H395" s="6">
        <f>[1]Emissions!G844</f>
        <v>1.5305915539999999</v>
      </c>
      <c r="I395" s="6">
        <f>[1]Emissions!H844</f>
        <v>1.5494180259999999</v>
      </c>
      <c r="J395" s="6">
        <f>[1]Emissions!I844</f>
        <v>1.5692300079999999</v>
      </c>
      <c r="K395" s="6">
        <f>[1]Emissions!J844</f>
        <v>1.5898885330000001</v>
      </c>
      <c r="L395" s="6">
        <f>[1]Emissions!K844</f>
        <v>1.6111807869999999</v>
      </c>
      <c r="M395" s="6">
        <f>[1]Emissions!L844</f>
        <v>1.631238274</v>
      </c>
      <c r="N395" s="6">
        <f>[1]Emissions!M844</f>
        <v>1.6552115789999999</v>
      </c>
      <c r="O395" s="6">
        <f>[1]Emissions!N844</f>
        <v>1.680129362</v>
      </c>
      <c r="P395" s="6">
        <f>[1]Emissions!O844</f>
        <v>1.705408018</v>
      </c>
      <c r="Q395" s="6">
        <f>[1]Emissions!P844</f>
        <v>1.730876165</v>
      </c>
      <c r="R395" s="6">
        <f>[1]Emissions!Q844</f>
        <v>1.756446766</v>
      </c>
      <c r="S395" s="6">
        <f>[1]Emissions!R844</f>
        <v>1.7819004869999999</v>
      </c>
      <c r="T395" s="6">
        <f>[1]Emissions!S844</f>
        <v>1.8073292910000001</v>
      </c>
      <c r="U395" s="6">
        <f>[1]Emissions!T844</f>
        <v>1.8327424430000001</v>
      </c>
      <c r="V395" s="6">
        <f>[1]Emissions!U844</f>
        <v>1.8581496989999999</v>
      </c>
      <c r="W395" s="6">
        <f>[1]Emissions!V844</f>
        <v>1.8822821000000001</v>
      </c>
      <c r="X395" s="6">
        <f>[1]Emissions!W844</f>
        <v>1.90730697</v>
      </c>
      <c r="Y395" s="6">
        <f>[1]Emissions!X844</f>
        <v>1.9326153829999999</v>
      </c>
      <c r="Z395" s="6">
        <f>[1]Emissions!Y844</f>
        <v>1.958127441</v>
      </c>
      <c r="AA395" s="6">
        <f>[1]Emissions!Z844</f>
        <v>1.983862464</v>
      </c>
      <c r="AB395" s="6">
        <f>[1]Emissions!AA844</f>
        <v>2.0061713480000001</v>
      </c>
      <c r="AC395" s="6">
        <f>[1]Emissions!AB844</f>
        <v>2.0295184420000001</v>
      </c>
      <c r="AD395" s="6">
        <f>[1]Emissions!AC844</f>
        <v>2.0531496630000001</v>
      </c>
      <c r="AE395" s="6">
        <f>[1]Emissions!AD844</f>
        <v>2.0769980060000002</v>
      </c>
      <c r="AF395" s="6">
        <f>[1]Emissions!AE844</f>
        <v>2.1011152609999999</v>
      </c>
      <c r="AG395" s="6">
        <f>[1]Emissions!AF844</f>
        <v>2.12556382</v>
      </c>
      <c r="AH395" s="6">
        <f>[1]Emissions!AG844</f>
        <v>2.150444389</v>
      </c>
      <c r="AI395" s="6">
        <f>[1]Emissions!AH844</f>
        <v>2.175759432</v>
      </c>
      <c r="AJ395" s="6">
        <f>[1]Emissions!AI844</f>
        <v>2.2015287460000001</v>
      </c>
      <c r="AK395" s="6">
        <f>[1]Emissions!AJ844</f>
        <v>2.2277652809999999</v>
      </c>
      <c r="AL395" s="6">
        <f>[1]Emissions!AK844</f>
        <v>2.2544730710000001</v>
      </c>
      <c r="AM395" s="6">
        <f>[1]Emissions!AL844</f>
        <v>2.2812354579999998</v>
      </c>
      <c r="AN395" s="6">
        <f>[1]Emissions!AM844</f>
        <v>2.3082565349999999</v>
      </c>
      <c r="AO395" s="6">
        <f>[1]Emissions!AN844</f>
        <v>2.3356013999999998</v>
      </c>
      <c r="AP395" s="6">
        <f>[1]Emissions!AO844</f>
        <v>2.3632955679999998</v>
      </c>
      <c r="AQ395" s="6">
        <f>[1]Emissions!AP844</f>
        <v>2.3913502210000002</v>
      </c>
      <c r="AR395" s="6">
        <f>[1]Emissions!AQ844</f>
        <v>2.4198473279999999</v>
      </c>
      <c r="AS395" s="6">
        <f>[1]Emissions!AR844</f>
        <v>2.4487293170000002</v>
      </c>
      <c r="AT395" s="6">
        <f>[1]Emissions!AS844</f>
        <v>2.4779844450000001</v>
      </c>
      <c r="AU395" s="6">
        <f>[1]Emissions!AT844</f>
        <v>2.5076058680000002</v>
      </c>
      <c r="AV395" s="6">
        <f>[1]Emissions!AU844</f>
        <v>2.5375855760000001</v>
      </c>
      <c r="AW395" s="6">
        <f>[1]Emissions!AV844</f>
        <v>2.5682701890000001</v>
      </c>
      <c r="AX395" s="6">
        <f>[1]Emissions!AW844</f>
        <v>2.599394658</v>
      </c>
      <c r="AY395" s="6">
        <f>[1]Emissions!AX844</f>
        <v>2.6309066560000001</v>
      </c>
      <c r="AZ395" s="6">
        <f>[1]Emissions!AY844</f>
        <v>2.6627873809999998</v>
      </c>
      <c r="BA395" s="6">
        <f>[1]Emissions!AZ844</f>
        <v>2.6950225489999999</v>
      </c>
      <c r="BB395" s="6">
        <f>[1]Emissions!BA844</f>
        <v>3.4308599389999999</v>
      </c>
      <c r="BC395" s="6">
        <f>[1]Emissions!BB844</f>
        <v>3.489882326</v>
      </c>
      <c r="BD395" s="6">
        <f>[1]Emissions!BC844</f>
        <v>3.5498856779999999</v>
      </c>
      <c r="BE395" s="6">
        <f>[1]Emissions!BD844</f>
        <v>3.6108895250000002</v>
      </c>
      <c r="BF395" s="6">
        <f>[1]Emissions!BE844</f>
        <v>3.6729123210000001</v>
      </c>
    </row>
    <row r="396" spans="1:58" x14ac:dyDescent="0.35">
      <c r="B396" s="6" t="str">
        <f>[1]Emissions!A846</f>
        <v>ems_ci_co2_smet_2</v>
      </c>
      <c r="C396" s="6">
        <f>[1]Emissions!B846</f>
        <v>19.221160009999998</v>
      </c>
      <c r="D396" s="6">
        <f>[1]Emissions!C846</f>
        <v>19.297960639999999</v>
      </c>
      <c r="E396" s="6">
        <f>[1]Emissions!D846</f>
        <v>19.47360819</v>
      </c>
      <c r="F396" s="6">
        <f>[1]Emissions!E846</f>
        <v>19.68394215</v>
      </c>
      <c r="G396" s="6">
        <f>[1]Emissions!F846</f>
        <v>19.91318094</v>
      </c>
      <c r="H396" s="6">
        <f>[1]Emissions!G846</f>
        <v>20.15606584</v>
      </c>
      <c r="I396" s="6">
        <f>[1]Emissions!H846</f>
        <v>20.39632714</v>
      </c>
      <c r="J396" s="6">
        <f>[1]Emissions!I846</f>
        <v>20.641482580000002</v>
      </c>
      <c r="K396" s="6">
        <f>[1]Emissions!J846</f>
        <v>20.892376630000001</v>
      </c>
      <c r="L396" s="6">
        <f>[1]Emissions!K846</f>
        <v>21.148464480000001</v>
      </c>
      <c r="M396" s="6">
        <f>[1]Emissions!L846</f>
        <v>21.38720782</v>
      </c>
      <c r="N396" s="6">
        <f>[1]Emissions!M846</f>
        <v>21.676515370000001</v>
      </c>
      <c r="O396" s="6">
        <f>[1]Emissions!N846</f>
        <v>21.978806779999999</v>
      </c>
      <c r="P396" s="6">
        <f>[1]Emissions!O846</f>
        <v>22.286357370000001</v>
      </c>
      <c r="Q396" s="6">
        <f>[1]Emissions!P846</f>
        <v>22.597384810000001</v>
      </c>
      <c r="R396" s="6">
        <f>[1]Emissions!Q846</f>
        <v>22.911438480000001</v>
      </c>
      <c r="S396" s="6">
        <f>[1]Emissions!R846</f>
        <v>23.226310210000001</v>
      </c>
      <c r="T396" s="6">
        <f>[1]Emissions!S846</f>
        <v>23.543714900000001</v>
      </c>
      <c r="U396" s="6">
        <f>[1]Emissions!T846</f>
        <v>23.864155719999999</v>
      </c>
      <c r="V396" s="6">
        <f>[1]Emissions!U846</f>
        <v>24.187937949999998</v>
      </c>
      <c r="W396" s="6">
        <f>[1]Emissions!V846</f>
        <v>24.499195499999999</v>
      </c>
      <c r="X396" s="6">
        <f>[1]Emissions!W846</f>
        <v>24.825225929999998</v>
      </c>
      <c r="Y396" s="6">
        <f>[1]Emissions!X846</f>
        <v>25.158137669999999</v>
      </c>
      <c r="Z396" s="6">
        <f>[1]Emissions!Y846</f>
        <v>25.496477609999999</v>
      </c>
      <c r="AA396" s="6">
        <f>[1]Emissions!Z846</f>
        <v>25.840137080000002</v>
      </c>
      <c r="AB396" s="6">
        <f>[1]Emissions!AA846</f>
        <v>26.1430896</v>
      </c>
      <c r="AC396" s="6">
        <f>[1]Emissions!AB846</f>
        <v>26.461718179999998</v>
      </c>
      <c r="AD396" s="6">
        <f>[1]Emissions!AC846</f>
        <v>26.786336500000001</v>
      </c>
      <c r="AE396" s="6">
        <f>[1]Emissions!AD846</f>
        <v>27.115375090000001</v>
      </c>
      <c r="AF396" s="6">
        <f>[1]Emissions!AE846</f>
        <v>27.448873620000001</v>
      </c>
      <c r="AG396" s="6">
        <f>[1]Emissions!AF846</f>
        <v>27.787120789999999</v>
      </c>
      <c r="AH396" s="6">
        <f>[1]Emissions!AG846</f>
        <v>28.131011010000002</v>
      </c>
      <c r="AI396" s="6">
        <f>[1]Emissions!AH846</f>
        <v>28.480235359999998</v>
      </c>
      <c r="AJ396" s="6">
        <f>[1]Emissions!AI846</f>
        <v>28.834769059999999</v>
      </c>
      <c r="AK396" s="6">
        <f>[1]Emissions!AJ846</f>
        <v>29.194573999999999</v>
      </c>
      <c r="AL396" s="6">
        <f>[1]Emissions!AK846</f>
        <v>29.559561609999999</v>
      </c>
      <c r="AM396" s="6">
        <f>[1]Emissions!AL846</f>
        <v>29.92468285</v>
      </c>
      <c r="AN396" s="6">
        <f>[1]Emissions!AM846</f>
        <v>30.292422899999998</v>
      </c>
      <c r="AO396" s="6">
        <f>[1]Emissions!AN846</f>
        <v>30.663480409999998</v>
      </c>
      <c r="AP396" s="6">
        <f>[1]Emissions!AO846</f>
        <v>31.038060829999999</v>
      </c>
      <c r="AQ396" s="6">
        <f>[1]Emissions!AP846</f>
        <v>31.416234429999999</v>
      </c>
      <c r="AR396" s="6">
        <f>[1]Emissions!AQ846</f>
        <v>31.79906343</v>
      </c>
      <c r="AS396" s="6">
        <f>[1]Emissions!AR846</f>
        <v>32.185808420000001</v>
      </c>
      <c r="AT396" s="6">
        <f>[1]Emissions!AS846</f>
        <v>32.576327759999998</v>
      </c>
      <c r="AU396" s="6">
        <f>[1]Emissions!AT846</f>
        <v>32.970576710000003</v>
      </c>
      <c r="AV396" s="6">
        <f>[1]Emissions!AU846</f>
        <v>33.36851798</v>
      </c>
      <c r="AW396" s="6">
        <f>[1]Emissions!AV846</f>
        <v>33.77478069</v>
      </c>
      <c r="AX396" s="6">
        <f>[1]Emissions!AW846</f>
        <v>34.18597604</v>
      </c>
      <c r="AY396" s="6">
        <f>[1]Emissions!AX846</f>
        <v>34.601384469999999</v>
      </c>
      <c r="AZ396" s="6">
        <f>[1]Emissions!AY846</f>
        <v>35.020796920000002</v>
      </c>
      <c r="BA396" s="6">
        <f>[1]Emissions!AZ846</f>
        <v>35.444117589999998</v>
      </c>
      <c r="BB396" s="6">
        <f>[1]Emissions!BA846</f>
        <v>45.68449012</v>
      </c>
      <c r="BC396" s="6">
        <f>[1]Emissions!BB846</f>
        <v>46.492077760000001</v>
      </c>
      <c r="BD396" s="6">
        <f>[1]Emissions!BC846</f>
        <v>47.312222509999998</v>
      </c>
      <c r="BE396" s="6">
        <f>[1]Emissions!BD846</f>
        <v>48.1450423</v>
      </c>
      <c r="BF396" s="6">
        <f>[1]Emissions!BE846</f>
        <v>48.99065882</v>
      </c>
    </row>
    <row r="397" spans="1:58" x14ac:dyDescent="0.35">
      <c r="B397" s="6" t="str">
        <f>[1]Emissions!A848</f>
        <v>ems_ci_co2_sigo_2</v>
      </c>
      <c r="C397" s="6">
        <f>[1]Emissions!B848</f>
        <v>1.1829070429999999</v>
      </c>
      <c r="D397" s="6">
        <f>[1]Emissions!C848</f>
        <v>1.1873392149999999</v>
      </c>
      <c r="E397" s="6">
        <f>[1]Emissions!D848</f>
        <v>1.1971815859999999</v>
      </c>
      <c r="F397" s="6">
        <f>[1]Emissions!E848</f>
        <v>1.2086517269999999</v>
      </c>
      <c r="G397" s="6">
        <f>[1]Emissions!F848</f>
        <v>1.2216742039999999</v>
      </c>
      <c r="H397" s="6">
        <f>[1]Emissions!G848</f>
        <v>1.23631267</v>
      </c>
      <c r="I397" s="6">
        <f>[1]Emissions!H848</f>
        <v>1.251367624</v>
      </c>
      <c r="J397" s="6">
        <f>[1]Emissions!I848</f>
        <v>1.267414423</v>
      </c>
      <c r="K397" s="6">
        <f>[1]Emissions!J848</f>
        <v>1.2842849750000001</v>
      </c>
      <c r="L397" s="6">
        <f>[1]Emissions!K848</f>
        <v>1.3017406330000001</v>
      </c>
      <c r="M397" s="6">
        <f>[1]Emissions!L848</f>
        <v>1.317422436</v>
      </c>
      <c r="N397" s="6">
        <f>[1]Emissions!M848</f>
        <v>1.3375520780000001</v>
      </c>
      <c r="O397" s="6">
        <f>[1]Emissions!N848</f>
        <v>1.358503343</v>
      </c>
      <c r="P397" s="6">
        <f>[1]Emissions!O848</f>
        <v>1.3797309090000001</v>
      </c>
      <c r="Q397" s="6">
        <f>[1]Emissions!P848</f>
        <v>1.4010683719999999</v>
      </c>
      <c r="R397" s="6">
        <f>[1]Emissions!Q848</f>
        <v>1.4224075439999999</v>
      </c>
      <c r="S397" s="6">
        <f>[1]Emissions!R848</f>
        <v>1.443486099</v>
      </c>
      <c r="T397" s="6">
        <f>[1]Emissions!S848</f>
        <v>1.464402499</v>
      </c>
      <c r="U397" s="6">
        <f>[1]Emissions!T848</f>
        <v>1.4851438610000001</v>
      </c>
      <c r="V397" s="6">
        <f>[1]Emissions!U848</f>
        <v>1.50570355</v>
      </c>
      <c r="W397" s="6">
        <f>[1]Emissions!V848</f>
        <v>1.524828187</v>
      </c>
      <c r="X397" s="6">
        <f>[1]Emissions!W848</f>
        <v>1.5447984960000001</v>
      </c>
      <c r="Y397" s="6">
        <f>[1]Emissions!X848</f>
        <v>1.564802507</v>
      </c>
      <c r="Z397" s="6">
        <f>[1]Emissions!Y848</f>
        <v>1.584780133</v>
      </c>
      <c r="AA397" s="6">
        <f>[1]Emissions!Z848</f>
        <v>1.6047695120000001</v>
      </c>
      <c r="AB397" s="6">
        <f>[1]Emissions!AA848</f>
        <v>1.6212117479999999</v>
      </c>
      <c r="AC397" s="6">
        <f>[1]Emissions!AB848</f>
        <v>1.6389700060000001</v>
      </c>
      <c r="AD397" s="6">
        <f>[1]Emissions!AC848</f>
        <v>1.656903995</v>
      </c>
      <c r="AE397" s="6">
        <f>[1]Emissions!AD848</f>
        <v>1.6749386310000001</v>
      </c>
      <c r="AF397" s="6">
        <f>[1]Emissions!AE848</f>
        <v>1.693130783</v>
      </c>
      <c r="AG397" s="6">
        <f>[1]Emissions!AF848</f>
        <v>1.711546325</v>
      </c>
      <c r="AH397" s="6">
        <f>[1]Emissions!AG848</f>
        <v>1.730296064</v>
      </c>
      <c r="AI397" s="6">
        <f>[1]Emissions!AH848</f>
        <v>1.749381839</v>
      </c>
      <c r="AJ397" s="6">
        <f>[1]Emissions!AI848</f>
        <v>1.7688359300000001</v>
      </c>
      <c r="AK397" s="6">
        <f>[1]Emissions!AJ848</f>
        <v>1.788684852</v>
      </c>
      <c r="AL397" s="6">
        <f>[1]Emissions!AK848</f>
        <v>1.8089454819999999</v>
      </c>
      <c r="AM397" s="6">
        <f>[1]Emissions!AL848</f>
        <v>1.8292766739999999</v>
      </c>
      <c r="AN397" s="6">
        <f>[1]Emissions!AM848</f>
        <v>1.8499027640000001</v>
      </c>
      <c r="AO397" s="6">
        <f>[1]Emissions!AN848</f>
        <v>1.8708740580000001</v>
      </c>
      <c r="AP397" s="6">
        <f>[1]Emissions!AO848</f>
        <v>1.8922099750000001</v>
      </c>
      <c r="AQ397" s="6">
        <f>[1]Emissions!AP848</f>
        <v>1.913916875</v>
      </c>
      <c r="AR397" s="6">
        <f>[1]Emissions!AQ848</f>
        <v>1.9360770869999999</v>
      </c>
      <c r="AS397" s="6">
        <f>[1]Emissions!AR848</f>
        <v>1.9586112950000001</v>
      </c>
      <c r="AT397" s="6">
        <f>[1]Emissions!AS848</f>
        <v>1.981503566</v>
      </c>
      <c r="AU397" s="6">
        <f>[1]Emissions!AT848</f>
        <v>2.0047437370000001</v>
      </c>
      <c r="AV397" s="6">
        <f>[1]Emissions!AU848</f>
        <v>2.0283205249999998</v>
      </c>
      <c r="AW397" s="6">
        <f>[1]Emissions!AV848</f>
        <v>2.0525982759999999</v>
      </c>
      <c r="AX397" s="6">
        <f>[1]Emissions!AW848</f>
        <v>2.0772488650000001</v>
      </c>
      <c r="AY397" s="6">
        <f>[1]Emissions!AX848</f>
        <v>2.1022307960000002</v>
      </c>
      <c r="AZ397" s="6">
        <f>[1]Emissions!AY848</f>
        <v>2.1275344399999998</v>
      </c>
      <c r="BA397" s="6">
        <f>[1]Emissions!AZ848</f>
        <v>2.1531495070000002</v>
      </c>
      <c r="BB397" s="6">
        <f>[1]Emissions!BA848</f>
        <v>2.8515174139999999</v>
      </c>
      <c r="BC397" s="6">
        <f>[1]Emissions!BB848</f>
        <v>2.9011489689999999</v>
      </c>
      <c r="BD397" s="6">
        <f>[1]Emissions!BC848</f>
        <v>2.9516550380000002</v>
      </c>
      <c r="BE397" s="6">
        <f>[1]Emissions!BD848</f>
        <v>3.0030616079999999</v>
      </c>
      <c r="BF397" s="6">
        <f>[1]Emissions!BE848</f>
        <v>3.0553923369999998</v>
      </c>
    </row>
    <row r="398" spans="1:58" x14ac:dyDescent="0.35">
      <c r="B398" s="6" t="str">
        <f>[1]Emissions!A850</f>
        <v>ems_ci_co2_scgo_2</v>
      </c>
      <c r="C398" s="6">
        <f>[1]Emissions!B850</f>
        <v>2.2464112900000002</v>
      </c>
      <c r="D398" s="6">
        <f>[1]Emissions!C850</f>
        <v>2.2449216019999998</v>
      </c>
      <c r="E398" s="6">
        <f>[1]Emissions!D850</f>
        <v>2.2522195090000001</v>
      </c>
      <c r="F398" s="6">
        <f>[1]Emissions!E850</f>
        <v>2.2660110379999998</v>
      </c>
      <c r="G398" s="6">
        <f>[1]Emissions!F850</f>
        <v>2.2856353920000001</v>
      </c>
      <c r="H398" s="6">
        <f>[1]Emissions!G850</f>
        <v>2.3103363670000001</v>
      </c>
      <c r="I398" s="6">
        <f>[1]Emissions!H850</f>
        <v>2.3377712929999999</v>
      </c>
      <c r="J398" s="6">
        <f>[1]Emissions!I850</f>
        <v>2.3677831660000002</v>
      </c>
      <c r="K398" s="6">
        <f>[1]Emissions!J850</f>
        <v>2.3998275200000001</v>
      </c>
      <c r="L398" s="6">
        <f>[1]Emissions!K850</f>
        <v>2.43338294</v>
      </c>
      <c r="M398" s="6">
        <f>[1]Emissions!L850</f>
        <v>2.4666064780000001</v>
      </c>
      <c r="N398" s="6">
        <f>[1]Emissions!M850</f>
        <v>2.5041424650000002</v>
      </c>
      <c r="O398" s="6">
        <f>[1]Emissions!N850</f>
        <v>2.5433011209999998</v>
      </c>
      <c r="P398" s="6">
        <f>[1]Emissions!O850</f>
        <v>2.5834012030000002</v>
      </c>
      <c r="Q398" s="6">
        <f>[1]Emissions!P850</f>
        <v>2.6241167920000001</v>
      </c>
      <c r="R398" s="6">
        <f>[1]Emissions!Q850</f>
        <v>2.6652118840000001</v>
      </c>
      <c r="S398" s="6">
        <f>[1]Emissions!R850</f>
        <v>2.7063162059999999</v>
      </c>
      <c r="T398" s="6">
        <f>[1]Emissions!S850</f>
        <v>2.7474009480000001</v>
      </c>
      <c r="U398" s="6">
        <f>[1]Emissions!T850</f>
        <v>2.7884064</v>
      </c>
      <c r="V398" s="6">
        <f>[1]Emissions!U850</f>
        <v>2.8293020580000001</v>
      </c>
      <c r="W398" s="6">
        <f>[1]Emissions!V850</f>
        <v>2.8683347260000001</v>
      </c>
      <c r="X398" s="6">
        <f>[1]Emissions!W850</f>
        <v>2.9081671099999999</v>
      </c>
      <c r="Y398" s="6">
        <f>[1]Emissions!X850</f>
        <v>2.9482469560000002</v>
      </c>
      <c r="Z398" s="6">
        <f>[1]Emissions!Y850</f>
        <v>2.9884923969999999</v>
      </c>
      <c r="AA398" s="6">
        <f>[1]Emissions!Z850</f>
        <v>3.0289301000000002</v>
      </c>
      <c r="AB398" s="6">
        <f>[1]Emissions!AA850</f>
        <v>3.064594391</v>
      </c>
      <c r="AC398" s="6">
        <f>[1]Emissions!AB850</f>
        <v>3.1007916619999998</v>
      </c>
      <c r="AD398" s="6">
        <f>[1]Emissions!AC850</f>
        <v>3.1369966570000001</v>
      </c>
      <c r="AE398" s="6">
        <f>[1]Emissions!AD850</f>
        <v>3.1732393719999998</v>
      </c>
      <c r="AF398" s="6">
        <f>[1]Emissions!AE850</f>
        <v>3.209656598</v>
      </c>
      <c r="AG398" s="6">
        <f>[1]Emissions!AF850</f>
        <v>3.246386464</v>
      </c>
      <c r="AH398" s="6">
        <f>[1]Emissions!AG850</f>
        <v>3.2836011319999998</v>
      </c>
      <c r="AI398" s="6">
        <f>[1]Emissions!AH850</f>
        <v>3.3213629550000001</v>
      </c>
      <c r="AJ398" s="6">
        <f>[1]Emissions!AI850</f>
        <v>3.3597328819999999</v>
      </c>
      <c r="AK398" s="6">
        <f>[1]Emissions!AJ850</f>
        <v>3.3987529539999999</v>
      </c>
      <c r="AL398" s="6">
        <f>[1]Emissions!AK850</f>
        <v>3.4384469219999998</v>
      </c>
      <c r="AM398" s="6">
        <f>[1]Emissions!AL850</f>
        <v>3.4781648710000002</v>
      </c>
      <c r="AN398" s="6">
        <f>[1]Emissions!AM850</f>
        <v>3.5182091830000002</v>
      </c>
      <c r="AO398" s="6">
        <f>[1]Emissions!AN850</f>
        <v>3.558701213</v>
      </c>
      <c r="AP398" s="6">
        <f>[1]Emissions!AO850</f>
        <v>3.599691338</v>
      </c>
      <c r="AQ398" s="6">
        <f>[1]Emissions!AP850</f>
        <v>3.6412021800000001</v>
      </c>
      <c r="AR398" s="6">
        <f>[1]Emissions!AQ850</f>
        <v>3.683332869</v>
      </c>
      <c r="AS398" s="6">
        <f>[1]Emissions!AR850</f>
        <v>3.7260420170000002</v>
      </c>
      <c r="AT398" s="6">
        <f>[1]Emissions!AS850</f>
        <v>3.7693197039999999</v>
      </c>
      <c r="AU398" s="6">
        <f>[1]Emissions!AT850</f>
        <v>3.8131560059999998</v>
      </c>
      <c r="AV398" s="6">
        <f>[1]Emissions!AU850</f>
        <v>3.857537373</v>
      </c>
      <c r="AW398" s="6">
        <f>[1]Emissions!AV850</f>
        <v>3.9028705499999998</v>
      </c>
      <c r="AX398" s="6">
        <f>[1]Emissions!AW850</f>
        <v>3.9489270849999998</v>
      </c>
      <c r="AY398" s="6">
        <f>[1]Emissions!AX850</f>
        <v>3.9956406719999999</v>
      </c>
      <c r="AZ398" s="6">
        <f>[1]Emissions!AY850</f>
        <v>4.0429668019999996</v>
      </c>
      <c r="BA398" s="6">
        <f>[1]Emissions!AZ850</f>
        <v>4.0908637040000002</v>
      </c>
      <c r="BB398" s="6">
        <f>[1]Emissions!BA850</f>
        <v>5.2745794760000004</v>
      </c>
      <c r="BC398" s="6">
        <f>[1]Emissions!BB850</f>
        <v>5.3645123290000001</v>
      </c>
      <c r="BD398" s="6">
        <f>[1]Emissions!BC850</f>
        <v>5.4558339399999998</v>
      </c>
      <c r="BE398" s="6">
        <f>[1]Emissions!BD850</f>
        <v>5.5485816579999998</v>
      </c>
      <c r="BF398" s="6">
        <f>[1]Emissions!BE850</f>
        <v>5.642790593</v>
      </c>
    </row>
    <row r="399" spans="1:58" x14ac:dyDescent="0.35">
      <c r="B399" s="6" t="str">
        <f>[1]Emissions!A852</f>
        <v>ems_ci_co2_scon_2</v>
      </c>
      <c r="C399" s="6">
        <f>[1]Emissions!B852</f>
        <v>7.6727582669999999</v>
      </c>
      <c r="D399" s="6">
        <f>[1]Emissions!C852</f>
        <v>7.6366814160000001</v>
      </c>
      <c r="E399" s="6">
        <f>[1]Emissions!D852</f>
        <v>7.5903128090000003</v>
      </c>
      <c r="F399" s="6">
        <f>[1]Emissions!E852</f>
        <v>7.5595654190000001</v>
      </c>
      <c r="G399" s="6">
        <f>[1]Emissions!F852</f>
        <v>7.5589706579999998</v>
      </c>
      <c r="H399" s="6">
        <f>[1]Emissions!G852</f>
        <v>7.5930600159999999</v>
      </c>
      <c r="I399" s="6">
        <f>[1]Emissions!H852</f>
        <v>7.6571262390000001</v>
      </c>
      <c r="J399" s="6">
        <f>[1]Emissions!I852</f>
        <v>7.746618357</v>
      </c>
      <c r="K399" s="6">
        <f>[1]Emissions!J852</f>
        <v>7.8569140019999999</v>
      </c>
      <c r="L399" s="6">
        <f>[1]Emissions!K852</f>
        <v>7.9839152479999997</v>
      </c>
      <c r="M399" s="6">
        <f>[1]Emissions!L852</f>
        <v>8.1229960420000005</v>
      </c>
      <c r="N399" s="6">
        <f>[1]Emissions!M852</f>
        <v>8.2756496340000005</v>
      </c>
      <c r="O399" s="6">
        <f>[1]Emissions!N852</f>
        <v>8.4422126679999998</v>
      </c>
      <c r="P399" s="6">
        <f>[1]Emissions!O852</f>
        <v>8.6214833560000006</v>
      </c>
      <c r="Q399" s="6">
        <f>[1]Emissions!P852</f>
        <v>8.8113036480000009</v>
      </c>
      <c r="R399" s="6">
        <f>[1]Emissions!Q852</f>
        <v>9.0092465900000001</v>
      </c>
      <c r="S399" s="6">
        <f>[1]Emissions!R852</f>
        <v>9.2130000380000006</v>
      </c>
      <c r="T399" s="6">
        <f>[1]Emissions!S852</f>
        <v>9.4206167430000001</v>
      </c>
      <c r="U399" s="6">
        <f>[1]Emissions!T852</f>
        <v>9.6305527340000001</v>
      </c>
      <c r="V399" s="6">
        <f>[1]Emissions!U852</f>
        <v>9.8416809959999991</v>
      </c>
      <c r="W399" s="6">
        <f>[1]Emissions!V852</f>
        <v>10.048975889999999</v>
      </c>
      <c r="X399" s="6">
        <f>[1]Emissions!W852</f>
        <v>10.25562377</v>
      </c>
      <c r="Y399" s="6">
        <f>[1]Emissions!X852</f>
        <v>10.462050899999999</v>
      </c>
      <c r="Z399" s="6">
        <f>[1]Emissions!Y852</f>
        <v>10.668414459999999</v>
      </c>
      <c r="AA399" s="6">
        <f>[1]Emissions!Z852</f>
        <v>10.874881350000001</v>
      </c>
      <c r="AB399" s="6">
        <f>[1]Emissions!AA852</f>
        <v>11.06912507</v>
      </c>
      <c r="AC399" s="6">
        <f>[1]Emissions!AB852</f>
        <v>11.256223260000001</v>
      </c>
      <c r="AD399" s="6">
        <f>[1]Emissions!AC852</f>
        <v>11.43759036</v>
      </c>
      <c r="AE399" s="6">
        <f>[1]Emissions!AD852</f>
        <v>11.61431939</v>
      </c>
      <c r="AF399" s="6">
        <f>[1]Emissions!AE852</f>
        <v>11.78743291</v>
      </c>
      <c r="AG399" s="6">
        <f>[1]Emissions!AF852</f>
        <v>11.95786844</v>
      </c>
      <c r="AH399" s="6">
        <f>[1]Emissions!AG852</f>
        <v>12.1264761</v>
      </c>
      <c r="AI399" s="6">
        <f>[1]Emissions!AH852</f>
        <v>12.29405315</v>
      </c>
      <c r="AJ399" s="6">
        <f>[1]Emissions!AI852</f>
        <v>12.46131557</v>
      </c>
      <c r="AK399" s="6">
        <f>[1]Emissions!AJ852</f>
        <v>12.62885322</v>
      </c>
      <c r="AL399" s="6">
        <f>[1]Emissions!AK852</f>
        <v>12.797111559999999</v>
      </c>
      <c r="AM399" s="6">
        <f>[1]Emissions!AL852</f>
        <v>12.963255910000001</v>
      </c>
      <c r="AN399" s="6">
        <f>[1]Emissions!AM852</f>
        <v>13.1273117</v>
      </c>
      <c r="AO399" s="6">
        <f>[1]Emissions!AN852</f>
        <v>13.289854419999999</v>
      </c>
      <c r="AP399" s="6">
        <f>[1]Emissions!AO852</f>
        <v>13.45139449</v>
      </c>
      <c r="AQ399" s="6">
        <f>[1]Emissions!AP852</f>
        <v>13.61222678</v>
      </c>
      <c r="AR399" s="6">
        <f>[1]Emissions!AQ852</f>
        <v>13.7724277</v>
      </c>
      <c r="AS399" s="6">
        <f>[1]Emissions!AR852</f>
        <v>13.932034809999999</v>
      </c>
      <c r="AT399" s="6">
        <f>[1]Emissions!AS852</f>
        <v>14.091065049999999</v>
      </c>
      <c r="AU399" s="6">
        <f>[1]Emissions!AT852</f>
        <v>14.24949535</v>
      </c>
      <c r="AV399" s="6">
        <f>[1]Emissions!AU852</f>
        <v>14.40726673</v>
      </c>
      <c r="AW399" s="6">
        <f>[1]Emissions!AV852</f>
        <v>14.56444245</v>
      </c>
      <c r="AX399" s="6">
        <f>[1]Emissions!AW852</f>
        <v>14.721169270000001</v>
      </c>
      <c r="AY399" s="6">
        <f>[1]Emissions!AX852</f>
        <v>14.87768621</v>
      </c>
      <c r="AZ399" s="6">
        <f>[1]Emissions!AY852</f>
        <v>15.03413578</v>
      </c>
      <c r="BA399" s="6">
        <f>[1]Emissions!AZ852</f>
        <v>15.190525839999999</v>
      </c>
      <c r="BB399" s="6">
        <f>[1]Emissions!BA852</f>
        <v>23.246582029999999</v>
      </c>
      <c r="BC399" s="6">
        <f>[1]Emissions!BB852</f>
        <v>23.652213870000001</v>
      </c>
      <c r="BD399" s="6">
        <f>[1]Emissions!BC852</f>
        <v>24.054386350000001</v>
      </c>
      <c r="BE399" s="6">
        <f>[1]Emissions!BD852</f>
        <v>24.453275439999999</v>
      </c>
      <c r="BF399" s="6">
        <f>[1]Emissions!BE852</f>
        <v>24.84906221</v>
      </c>
    </row>
    <row r="400" spans="1:58" x14ac:dyDescent="0.35">
      <c r="B400" s="6" t="str">
        <f>[1]Emissions!A854</f>
        <v>ems_ci_co2_srai_2</v>
      </c>
      <c r="C400" s="6">
        <f>[1]Emissions!B854</f>
        <v>1.71433659</v>
      </c>
      <c r="D400" s="6">
        <f>[1]Emissions!C854</f>
        <v>1.723546875</v>
      </c>
      <c r="E400" s="6">
        <f>[1]Emissions!D854</f>
        <v>1.73661004</v>
      </c>
      <c r="F400" s="6">
        <f>[1]Emissions!E854</f>
        <v>1.752056826</v>
      </c>
      <c r="G400" s="6">
        <f>[1]Emissions!F854</f>
        <v>1.769610693</v>
      </c>
      <c r="H400" s="6">
        <f>[1]Emissions!G854</f>
        <v>1.789060031</v>
      </c>
      <c r="I400" s="6">
        <f>[1]Emissions!H854</f>
        <v>1.809178113</v>
      </c>
      <c r="J400" s="6">
        <f>[1]Emissions!I854</f>
        <v>1.8302287909999999</v>
      </c>
      <c r="K400" s="6">
        <f>[1]Emissions!J854</f>
        <v>1.8521273739999999</v>
      </c>
      <c r="L400" s="6">
        <f>[1]Emissions!K854</f>
        <v>1.8747234800000001</v>
      </c>
      <c r="M400" s="6">
        <f>[1]Emissions!L854</f>
        <v>1.8974887330000001</v>
      </c>
      <c r="N400" s="6">
        <f>[1]Emissions!M854</f>
        <v>1.9224040170000001</v>
      </c>
      <c r="O400" s="6">
        <f>[1]Emissions!N854</f>
        <v>1.948113875</v>
      </c>
      <c r="P400" s="6">
        <f>[1]Emissions!O854</f>
        <v>1.974288176</v>
      </c>
      <c r="Q400" s="6">
        <f>[1]Emissions!P854</f>
        <v>2.0007979630000001</v>
      </c>
      <c r="R400" s="6">
        <f>[1]Emissions!Q854</f>
        <v>2.0275667550000001</v>
      </c>
      <c r="S400" s="6">
        <f>[1]Emissions!R854</f>
        <v>2.0544445570000001</v>
      </c>
      <c r="T400" s="6">
        <f>[1]Emissions!S854</f>
        <v>2.081458053</v>
      </c>
      <c r="U400" s="6">
        <f>[1]Emissions!T854</f>
        <v>2.1086003610000001</v>
      </c>
      <c r="V400" s="6">
        <f>[1]Emissions!U854</f>
        <v>2.1358674020000001</v>
      </c>
      <c r="W400" s="6">
        <f>[1]Emissions!V854</f>
        <v>2.1620757629999998</v>
      </c>
      <c r="X400" s="6">
        <f>[1]Emissions!W854</f>
        <v>2.1890750649999999</v>
      </c>
      <c r="Y400" s="6">
        <f>[1]Emissions!X854</f>
        <v>2.2164435089999999</v>
      </c>
      <c r="Z400" s="6">
        <f>[1]Emissions!Y854</f>
        <v>2.24409532</v>
      </c>
      <c r="AA400" s="6">
        <f>[1]Emissions!Z854</f>
        <v>2.2720242420000001</v>
      </c>
      <c r="AB400" s="6">
        <f>[1]Emissions!AA854</f>
        <v>2.2968402729999999</v>
      </c>
      <c r="AC400" s="6">
        <f>[1]Emissions!AB854</f>
        <v>2.3222559810000001</v>
      </c>
      <c r="AD400" s="6">
        <f>[1]Emissions!AC854</f>
        <v>2.3478610620000002</v>
      </c>
      <c r="AE400" s="6">
        <f>[1]Emissions!AD854</f>
        <v>2.3736356650000001</v>
      </c>
      <c r="AF400" s="6">
        <f>[1]Emissions!AE854</f>
        <v>2.3996413940000001</v>
      </c>
      <c r="AG400" s="6">
        <f>[1]Emissions!AF854</f>
        <v>2.4259433260000001</v>
      </c>
      <c r="AH400" s="6">
        <f>[1]Emissions!AG854</f>
        <v>2.452621808</v>
      </c>
      <c r="AI400" s="6">
        <f>[1]Emissions!AH854</f>
        <v>2.4796946439999998</v>
      </c>
      <c r="AJ400" s="6">
        <f>[1]Emissions!AI854</f>
        <v>2.5071804360000001</v>
      </c>
      <c r="AK400" s="6">
        <f>[1]Emissions!AJ854</f>
        <v>2.5350902519999998</v>
      </c>
      <c r="AL400" s="6">
        <f>[1]Emissions!AK854</f>
        <v>2.5634285619999999</v>
      </c>
      <c r="AM400" s="6">
        <f>[1]Emissions!AL854</f>
        <v>2.5916605029999999</v>
      </c>
      <c r="AN400" s="6">
        <f>[1]Emissions!AM854</f>
        <v>2.6200425049999998</v>
      </c>
      <c r="AO400" s="6">
        <f>[1]Emissions!AN854</f>
        <v>2.6486695870000001</v>
      </c>
      <c r="AP400" s="6">
        <f>[1]Emissions!AO854</f>
        <v>2.6775895830000001</v>
      </c>
      <c r="AQ400" s="6">
        <f>[1]Emissions!AP854</f>
        <v>2.7068357820000002</v>
      </c>
      <c r="AR400" s="6">
        <f>[1]Emissions!AQ854</f>
        <v>2.7364804220000001</v>
      </c>
      <c r="AS400" s="6">
        <f>[1]Emissions!AR854</f>
        <v>2.7665132529999998</v>
      </c>
      <c r="AT400" s="6">
        <f>[1]Emissions!AS854</f>
        <v>2.796940067</v>
      </c>
      <c r="AU400" s="6">
        <f>[1]Emissions!AT854</f>
        <v>2.8277651779999999</v>
      </c>
      <c r="AV400" s="6">
        <f>[1]Emissions!AU854</f>
        <v>2.8589894249999999</v>
      </c>
      <c r="AW400" s="6">
        <f>[1]Emissions!AV854</f>
        <v>2.8908498580000002</v>
      </c>
      <c r="AX400" s="6">
        <f>[1]Emissions!AW854</f>
        <v>2.9231989459999999</v>
      </c>
      <c r="AY400" s="6">
        <f>[1]Emissions!AX854</f>
        <v>2.9559951519999998</v>
      </c>
      <c r="AZ400" s="6">
        <f>[1]Emissions!AY854</f>
        <v>2.9892186719999998</v>
      </c>
      <c r="BA400" s="6">
        <f>[1]Emissions!AZ854</f>
        <v>3.022856038</v>
      </c>
      <c r="BB400" s="6">
        <f>[1]Emissions!BA854</f>
        <v>3.575424505</v>
      </c>
      <c r="BC400" s="6">
        <f>[1]Emissions!BB854</f>
        <v>3.6299902319999999</v>
      </c>
      <c r="BD400" s="6">
        <f>[1]Emissions!BC854</f>
        <v>3.6854330360000001</v>
      </c>
      <c r="BE400" s="6">
        <f>[1]Emissions!BD854</f>
        <v>3.7417713899999998</v>
      </c>
      <c r="BF400" s="6">
        <f>[1]Emissions!BE854</f>
        <v>3.7990240829999999</v>
      </c>
    </row>
    <row r="401" spans="2:58" x14ac:dyDescent="0.35">
      <c r="B401" s="6" t="str">
        <f>[1]Emissions!A856</f>
        <v>ems_ci_co2_sroa_2</v>
      </c>
      <c r="C401" s="6">
        <f>[1]Emissions!B856</f>
        <v>17.116117030000002</v>
      </c>
      <c r="D401" s="6">
        <f>[1]Emissions!C856</f>
        <v>17.210134029999999</v>
      </c>
      <c r="E401" s="6">
        <f>[1]Emissions!D856</f>
        <v>17.343087520000001</v>
      </c>
      <c r="F401" s="6">
        <f>[1]Emissions!E856</f>
        <v>17.49969514</v>
      </c>
      <c r="G401" s="6">
        <f>[1]Emissions!F856</f>
        <v>17.676818749999999</v>
      </c>
      <c r="H401" s="6">
        <f>[1]Emissions!G856</f>
        <v>17.87220984</v>
      </c>
      <c r="I401" s="6">
        <f>[1]Emissions!H856</f>
        <v>18.07365506</v>
      </c>
      <c r="J401" s="6">
        <f>[1]Emissions!I856</f>
        <v>18.283907079999999</v>
      </c>
      <c r="K401" s="6">
        <f>[1]Emissions!J856</f>
        <v>18.502250289999999</v>
      </c>
      <c r="L401" s="6">
        <f>[1]Emissions!K856</f>
        <v>18.72729841</v>
      </c>
      <c r="M401" s="6">
        <f>[1]Emissions!L856</f>
        <v>18.953921319999999</v>
      </c>
      <c r="N401" s="6">
        <f>[1]Emissions!M856</f>
        <v>19.201902839999999</v>
      </c>
      <c r="O401" s="6">
        <f>[1]Emissions!N856</f>
        <v>19.457692529999999</v>
      </c>
      <c r="P401" s="6">
        <f>[1]Emissions!O856</f>
        <v>19.718015909999998</v>
      </c>
      <c r="Q401" s="6">
        <f>[1]Emissions!P856</f>
        <v>19.981632470000001</v>
      </c>
      <c r="R401" s="6">
        <f>[1]Emissions!Q856</f>
        <v>20.247832590000002</v>
      </c>
      <c r="S401" s="6">
        <f>[1]Emissions!R856</f>
        <v>20.51516479</v>
      </c>
      <c r="T401" s="6">
        <f>[1]Emissions!S856</f>
        <v>20.783935199999998</v>
      </c>
      <c r="U401" s="6">
        <f>[1]Emissions!T856</f>
        <v>21.05410358</v>
      </c>
      <c r="V401" s="6">
        <f>[1]Emissions!U856</f>
        <v>21.325646240000001</v>
      </c>
      <c r="W401" s="6">
        <f>[1]Emissions!V856</f>
        <v>21.58677372</v>
      </c>
      <c r="X401" s="6">
        <f>[1]Emissions!W856</f>
        <v>21.85595017</v>
      </c>
      <c r="Y401" s="6">
        <f>[1]Emissions!X856</f>
        <v>22.12894958</v>
      </c>
      <c r="Z401" s="6">
        <f>[1]Emissions!Y856</f>
        <v>22.404899759999999</v>
      </c>
      <c r="AA401" s="6">
        <f>[1]Emissions!Z856</f>
        <v>22.683723350000001</v>
      </c>
      <c r="AB401" s="6">
        <f>[1]Emissions!AA856</f>
        <v>22.93161272</v>
      </c>
      <c r="AC401" s="6">
        <f>[1]Emissions!AB856</f>
        <v>23.185636519999999</v>
      </c>
      <c r="AD401" s="6">
        <f>[1]Emissions!AC856</f>
        <v>23.441677049999999</v>
      </c>
      <c r="AE401" s="6">
        <f>[1]Emissions!AD856</f>
        <v>23.699508219999998</v>
      </c>
      <c r="AF401" s="6">
        <f>[1]Emissions!AE856</f>
        <v>23.959718259999999</v>
      </c>
      <c r="AG401" s="6">
        <f>[1]Emissions!AF856</f>
        <v>24.222933050000002</v>
      </c>
      <c r="AH401" s="6">
        <f>[1]Emissions!AG856</f>
        <v>24.489935039999999</v>
      </c>
      <c r="AI401" s="6">
        <f>[1]Emissions!AH856</f>
        <v>24.76088309</v>
      </c>
      <c r="AJ401" s="6">
        <f>[1]Emissions!AI856</f>
        <v>25.035946169999999</v>
      </c>
      <c r="AK401" s="6">
        <f>[1]Emissions!AJ856</f>
        <v>25.315221149999999</v>
      </c>
      <c r="AL401" s="6">
        <f>[1]Emissions!AK856</f>
        <v>25.598742380000001</v>
      </c>
      <c r="AM401" s="6">
        <f>[1]Emissions!AL856</f>
        <v>25.881185989999999</v>
      </c>
      <c r="AN401" s="6">
        <f>[1]Emissions!AM856</f>
        <v>26.165112650000001</v>
      </c>
      <c r="AO401" s="6">
        <f>[1]Emissions!AN856</f>
        <v>26.451462830000001</v>
      </c>
      <c r="AP401" s="6">
        <f>[1]Emissions!AO856</f>
        <v>26.740706169999999</v>
      </c>
      <c r="AQ401" s="6">
        <f>[1]Emissions!AP856</f>
        <v>27.03317096</v>
      </c>
      <c r="AR401" s="6">
        <f>[1]Emissions!AQ856</f>
        <v>27.329580589999999</v>
      </c>
      <c r="AS401" s="6">
        <f>[1]Emissions!AR856</f>
        <v>27.629833869999999</v>
      </c>
      <c r="AT401" s="6">
        <f>[1]Emissions!AS856</f>
        <v>27.933990000000001</v>
      </c>
      <c r="AU401" s="6">
        <f>[1]Emissions!AT856</f>
        <v>28.24209432</v>
      </c>
      <c r="AV401" s="6">
        <f>[1]Emissions!AU856</f>
        <v>28.554158220000001</v>
      </c>
      <c r="AW401" s="6">
        <f>[1]Emissions!AV856</f>
        <v>28.872560459999999</v>
      </c>
      <c r="AX401" s="6">
        <f>[1]Emissions!AW856</f>
        <v>29.195826790000002</v>
      </c>
      <c r="AY401" s="6">
        <f>[1]Emissions!AX856</f>
        <v>29.523538640000002</v>
      </c>
      <c r="AZ401" s="6">
        <f>[1]Emissions!AY856</f>
        <v>29.855496760000001</v>
      </c>
      <c r="BA401" s="6">
        <f>[1]Emissions!AZ856</f>
        <v>30.191568570000001</v>
      </c>
      <c r="BB401" s="6">
        <f>[1]Emissions!BA856</f>
        <v>35.672975299999997</v>
      </c>
      <c r="BC401" s="6">
        <f>[1]Emissions!BB856</f>
        <v>36.217518470000002</v>
      </c>
      <c r="BD401" s="6">
        <f>[1]Emissions!BC856</f>
        <v>36.770833889999999</v>
      </c>
      <c r="BE401" s="6">
        <f>[1]Emissions!BD856</f>
        <v>37.33310058</v>
      </c>
      <c r="BF401" s="6">
        <f>[1]Emissions!BE856</f>
        <v>37.904501580000002</v>
      </c>
    </row>
    <row r="402" spans="2:58" x14ac:dyDescent="0.35">
      <c r="B402" s="6" t="str">
        <f>[1]Emissions!A858</f>
        <v>ems_ci_co2_swat_2</v>
      </c>
      <c r="C402" s="6">
        <f>[1]Emissions!B858</f>
        <v>3.670526271</v>
      </c>
      <c r="D402" s="6">
        <f>[1]Emissions!C858</f>
        <v>3.6974612050000002</v>
      </c>
      <c r="E402" s="6">
        <f>[1]Emissions!D858</f>
        <v>3.7456713540000002</v>
      </c>
      <c r="F402" s="6">
        <f>[1]Emissions!E858</f>
        <v>3.7979504899999998</v>
      </c>
      <c r="G402" s="6">
        <f>[1]Emissions!F858</f>
        <v>3.8520011009999999</v>
      </c>
      <c r="H402" s="6">
        <f>[1]Emissions!G858</f>
        <v>3.9071013200000002</v>
      </c>
      <c r="I402" s="6">
        <f>[1]Emissions!H858</f>
        <v>3.9589988209999998</v>
      </c>
      <c r="J402" s="6">
        <f>[1]Emissions!I858</f>
        <v>4.0105300049999997</v>
      </c>
      <c r="K402" s="6">
        <f>[1]Emissions!J858</f>
        <v>4.0617726850000002</v>
      </c>
      <c r="L402" s="6">
        <f>[1]Emissions!K858</f>
        <v>4.1125756410000003</v>
      </c>
      <c r="M402" s="6">
        <f>[1]Emissions!L858</f>
        <v>4.1546661189999998</v>
      </c>
      <c r="N402" s="6">
        <f>[1]Emissions!M858</f>
        <v>4.212398737</v>
      </c>
      <c r="O402" s="6">
        <f>[1]Emissions!N858</f>
        <v>4.2714547510000003</v>
      </c>
      <c r="P402" s="6">
        <f>[1]Emissions!O858</f>
        <v>4.3301283850000001</v>
      </c>
      <c r="Q402" s="6">
        <f>[1]Emissions!P858</f>
        <v>4.3882259570000004</v>
      </c>
      <c r="R402" s="6">
        <f>[1]Emissions!Q858</f>
        <v>4.4457724389999997</v>
      </c>
      <c r="S402" s="6">
        <f>[1]Emissions!R858</f>
        <v>4.5021584460000001</v>
      </c>
      <c r="T402" s="6">
        <f>[1]Emissions!S858</f>
        <v>4.5581111290000003</v>
      </c>
      <c r="U402" s="6">
        <f>[1]Emissions!T858</f>
        <v>4.6138346009999998</v>
      </c>
      <c r="V402" s="6">
        <f>[1]Emissions!U858</f>
        <v>4.6694801909999999</v>
      </c>
      <c r="W402" s="6">
        <f>[1]Emissions!V858</f>
        <v>4.7209209459999997</v>
      </c>
      <c r="X402" s="6">
        <f>[1]Emissions!W858</f>
        <v>4.7764453339999999</v>
      </c>
      <c r="Y402" s="6">
        <f>[1]Emissions!X858</f>
        <v>4.8327867549999999</v>
      </c>
      <c r="Z402" s="6">
        <f>[1]Emissions!Y858</f>
        <v>4.8896793609999998</v>
      </c>
      <c r="AA402" s="6">
        <f>[1]Emissions!Z858</f>
        <v>4.9471985009999999</v>
      </c>
      <c r="AB402" s="6">
        <f>[1]Emissions!AA858</f>
        <v>4.9932849570000002</v>
      </c>
      <c r="AC402" s="6">
        <f>[1]Emissions!AB858</f>
        <v>5.0457697440000002</v>
      </c>
      <c r="AD402" s="6">
        <f>[1]Emissions!AC858</f>
        <v>5.0998580889999996</v>
      </c>
      <c r="AE402" s="6">
        <f>[1]Emissions!AD858</f>
        <v>5.1550635470000001</v>
      </c>
      <c r="AF402" s="6">
        <f>[1]Emissions!AE858</f>
        <v>5.2113858769999997</v>
      </c>
      <c r="AG402" s="6">
        <f>[1]Emissions!AF858</f>
        <v>5.2688648599999999</v>
      </c>
      <c r="AH402" s="6">
        <f>[1]Emissions!AG858</f>
        <v>5.3277343899999998</v>
      </c>
      <c r="AI402" s="6">
        <f>[1]Emissions!AH858</f>
        <v>5.3878283659999999</v>
      </c>
      <c r="AJ402" s="6">
        <f>[1]Emissions!AI858</f>
        <v>5.4491265980000003</v>
      </c>
      <c r="AK402" s="6">
        <f>[1]Emissions!AJ858</f>
        <v>5.511614593</v>
      </c>
      <c r="AL402" s="6">
        <f>[1]Emissions!AK858</f>
        <v>5.5752695259999996</v>
      </c>
      <c r="AM402" s="6">
        <f>[1]Emissions!AL858</f>
        <v>5.6391317729999999</v>
      </c>
      <c r="AN402" s="6">
        <f>[1]Emissions!AM858</f>
        <v>5.7040068880000003</v>
      </c>
      <c r="AO402" s="6">
        <f>[1]Emissions!AN858</f>
        <v>5.7699743010000004</v>
      </c>
      <c r="AP402" s="6">
        <f>[1]Emissions!AO858</f>
        <v>5.837019358</v>
      </c>
      <c r="AQ402" s="6">
        <f>[1]Emissions!AP858</f>
        <v>5.9051102909999997</v>
      </c>
      <c r="AR402" s="6">
        <f>[1]Emissions!AQ858</f>
        <v>5.974541415</v>
      </c>
      <c r="AS402" s="6">
        <f>[1]Emissions!AR858</f>
        <v>6.0449886309999998</v>
      </c>
      <c r="AT402" s="6">
        <f>[1]Emissions!AS858</f>
        <v>6.1163875350000003</v>
      </c>
      <c r="AU402" s="6">
        <f>[1]Emissions!AT858</f>
        <v>6.1887049760000004</v>
      </c>
      <c r="AV402" s="6">
        <f>[1]Emissions!AU858</f>
        <v>6.2619127700000004</v>
      </c>
      <c r="AW402" s="6">
        <f>[1]Emissions!AV858</f>
        <v>6.3374249589999998</v>
      </c>
      <c r="AX402" s="6">
        <f>[1]Emissions!AW858</f>
        <v>6.4139576780000001</v>
      </c>
      <c r="AY402" s="6">
        <f>[1]Emissions!AX858</f>
        <v>6.4913524540000003</v>
      </c>
      <c r="AZ402" s="6">
        <f>[1]Emissions!AY858</f>
        <v>6.569579514</v>
      </c>
      <c r="BA402" s="6">
        <f>[1]Emissions!AZ858</f>
        <v>6.6486233520000004</v>
      </c>
      <c r="BB402" s="6">
        <f>[1]Emissions!BA858</f>
        <v>8.6662657089999993</v>
      </c>
      <c r="BC402" s="6">
        <f>[1]Emissions!BB858</f>
        <v>8.818578381</v>
      </c>
      <c r="BD402" s="6">
        <f>[1]Emissions!BC858</f>
        <v>8.9739205159999997</v>
      </c>
      <c r="BE402" s="6">
        <f>[1]Emissions!BD858</f>
        <v>9.1323441750000001</v>
      </c>
      <c r="BF402" s="6">
        <f>[1]Emissions!BE858</f>
        <v>9.2938972399999997</v>
      </c>
    </row>
    <row r="403" spans="2:58" x14ac:dyDescent="0.35">
      <c r="B403" s="6" t="str">
        <f>[1]Emissions!A860</f>
        <v>ems_ci_co2_sair_2</v>
      </c>
      <c r="C403" s="6">
        <f>[1]Emissions!B860</f>
        <v>18.831922970000001</v>
      </c>
      <c r="D403" s="6">
        <f>[1]Emissions!C860</f>
        <v>18.98549482</v>
      </c>
      <c r="E403" s="6">
        <f>[1]Emissions!D860</f>
        <v>19.214108270000001</v>
      </c>
      <c r="F403" s="6">
        <f>[1]Emissions!E860</f>
        <v>19.471468810000001</v>
      </c>
      <c r="G403" s="6">
        <f>[1]Emissions!F860</f>
        <v>19.75153984</v>
      </c>
      <c r="H403" s="6">
        <f>[1]Emissions!G860</f>
        <v>20.052741309999998</v>
      </c>
      <c r="I403" s="6">
        <f>[1]Emissions!H860</f>
        <v>20.35761707</v>
      </c>
      <c r="J403" s="6">
        <f>[1]Emissions!I860</f>
        <v>20.673177030000002</v>
      </c>
      <c r="K403" s="6">
        <f>[1]Emissions!J860</f>
        <v>20.998971820000001</v>
      </c>
      <c r="L403" s="6">
        <f>[1]Emissions!K860</f>
        <v>21.333362810000001</v>
      </c>
      <c r="M403" s="6">
        <f>[1]Emissions!L860</f>
        <v>21.658724710000001</v>
      </c>
      <c r="N403" s="6">
        <f>[1]Emissions!M860</f>
        <v>22.032637579999999</v>
      </c>
      <c r="O403" s="6">
        <f>[1]Emissions!N860</f>
        <v>22.41835163</v>
      </c>
      <c r="P403" s="6">
        <f>[1]Emissions!O860</f>
        <v>22.810502339999999</v>
      </c>
      <c r="Q403" s="6">
        <f>[1]Emissions!P860</f>
        <v>23.207711209999999</v>
      </c>
      <c r="R403" s="6">
        <f>[1]Emissions!Q860</f>
        <v>23.609217409999999</v>
      </c>
      <c r="S403" s="6">
        <f>[1]Emissions!R860</f>
        <v>24.012371730000002</v>
      </c>
      <c r="T403" s="6">
        <f>[1]Emissions!S860</f>
        <v>24.418334560000002</v>
      </c>
      <c r="U403" s="6">
        <f>[1]Emissions!T860</f>
        <v>24.8271126</v>
      </c>
      <c r="V403" s="6">
        <f>[1]Emissions!U860</f>
        <v>25.238697169999998</v>
      </c>
      <c r="W403" s="6">
        <f>[1]Emissions!V860</f>
        <v>25.633801200000001</v>
      </c>
      <c r="X403" s="6">
        <f>[1]Emissions!W860</f>
        <v>26.043346419999999</v>
      </c>
      <c r="Y403" s="6">
        <f>[1]Emissions!X860</f>
        <v>26.459255429999999</v>
      </c>
      <c r="Z403" s="6">
        <f>[1]Emissions!Y860</f>
        <v>26.88053128</v>
      </c>
      <c r="AA403" s="6">
        <f>[1]Emissions!Z860</f>
        <v>27.307258319999999</v>
      </c>
      <c r="AB403" s="6">
        <f>[1]Emissions!AA860</f>
        <v>27.683521240000001</v>
      </c>
      <c r="AC403" s="6">
        <f>[1]Emissions!AB860</f>
        <v>28.072414479999999</v>
      </c>
      <c r="AD403" s="6">
        <f>[1]Emissions!AC860</f>
        <v>28.464534109999999</v>
      </c>
      <c r="AE403" s="6">
        <f>[1]Emissions!AD860</f>
        <v>28.859965620000001</v>
      </c>
      <c r="AF403" s="6">
        <f>[1]Emissions!AE860</f>
        <v>29.260004779999999</v>
      </c>
      <c r="AG403" s="6">
        <f>[1]Emissions!AF860</f>
        <v>29.665878169999999</v>
      </c>
      <c r="AH403" s="6">
        <f>[1]Emissions!AG860</f>
        <v>30.079166900000001</v>
      </c>
      <c r="AI403" s="6">
        <f>[1]Emissions!AH860</f>
        <v>30.50008832</v>
      </c>
      <c r="AJ403" s="6">
        <f>[1]Emissions!AI860</f>
        <v>30.929012549999999</v>
      </c>
      <c r="AK403" s="6">
        <f>[1]Emissions!AJ860</f>
        <v>31.366183660000001</v>
      </c>
      <c r="AL403" s="6">
        <f>[1]Emissions!AK860</f>
        <v>31.811732500000002</v>
      </c>
      <c r="AM403" s="6">
        <f>[1]Emissions!AL860</f>
        <v>32.258083820000003</v>
      </c>
      <c r="AN403" s="6">
        <f>[1]Emissions!AM860</f>
        <v>32.708394910000003</v>
      </c>
      <c r="AO403" s="6">
        <f>[1]Emissions!AN860</f>
        <v>33.163970470000002</v>
      </c>
      <c r="AP403" s="6">
        <f>[1]Emissions!AO860</f>
        <v>33.625654869999998</v>
      </c>
      <c r="AQ403" s="6">
        <f>[1]Emissions!AP860</f>
        <v>34.094135369999996</v>
      </c>
      <c r="AR403" s="6">
        <f>[1]Emissions!AQ860</f>
        <v>34.57100544</v>
      </c>
      <c r="AS403" s="6">
        <f>[1]Emissions!AR860</f>
        <v>35.055978459999999</v>
      </c>
      <c r="AT403" s="6">
        <f>[1]Emissions!AS860</f>
        <v>35.54925506</v>
      </c>
      <c r="AU403" s="6">
        <f>[1]Emissions!AT860</f>
        <v>36.050999349999998</v>
      </c>
      <c r="AV403" s="6">
        <f>[1]Emissions!AU860</f>
        <v>36.56129902</v>
      </c>
      <c r="AW403" s="6">
        <f>[1]Emissions!AV860</f>
        <v>37.085107379999997</v>
      </c>
      <c r="AX403" s="6">
        <f>[1]Emissions!AW860</f>
        <v>37.619128600000003</v>
      </c>
      <c r="AY403" s="6">
        <f>[1]Emissions!AX860</f>
        <v>38.162735550000001</v>
      </c>
      <c r="AZ403" s="6">
        <f>[1]Emissions!AY860</f>
        <v>38.715662530000003</v>
      </c>
      <c r="BA403" s="6">
        <f>[1]Emissions!AZ860</f>
        <v>39.277730759999997</v>
      </c>
      <c r="BB403" s="6">
        <f>[1]Emissions!BA860</f>
        <v>48.979044649999999</v>
      </c>
      <c r="BC403" s="6">
        <f>[1]Emissions!BB860</f>
        <v>49.925197480000001</v>
      </c>
      <c r="BD403" s="6">
        <f>[1]Emissions!BC860</f>
        <v>50.890454120000001</v>
      </c>
      <c r="BE403" s="6">
        <f>[1]Emissions!BD860</f>
        <v>51.87530229</v>
      </c>
      <c r="BF403" s="6">
        <f>[1]Emissions!BE860</f>
        <v>52.880249550000002</v>
      </c>
    </row>
    <row r="404" spans="2:58" x14ac:dyDescent="0.35">
      <c r="B404" s="6" t="str">
        <f>[1]Emissions!A862</f>
        <v>ems_ci_co2_spri_2</v>
      </c>
      <c r="C404" s="6">
        <f>[1]Emissions!B862</f>
        <v>30.855107180000001</v>
      </c>
      <c r="D404" s="6">
        <f>[1]Emissions!C862</f>
        <v>30.933214849999999</v>
      </c>
      <c r="E404" s="6">
        <f>[1]Emissions!D862</f>
        <v>31.076053219999999</v>
      </c>
      <c r="F404" s="6">
        <f>[1]Emissions!E862</f>
        <v>31.27714009</v>
      </c>
      <c r="G404" s="6">
        <f>[1]Emissions!F862</f>
        <v>31.541185380000002</v>
      </c>
      <c r="H404" s="6">
        <f>[1]Emissions!G862</f>
        <v>31.867888669999999</v>
      </c>
      <c r="I404" s="6">
        <f>[1]Emissions!H862</f>
        <v>32.233610609999999</v>
      </c>
      <c r="J404" s="6">
        <f>[1]Emissions!I862</f>
        <v>32.638093349999998</v>
      </c>
      <c r="K404" s="6">
        <f>[1]Emissions!J862</f>
        <v>33.076100320000002</v>
      </c>
      <c r="L404" s="6">
        <f>[1]Emissions!K862</f>
        <v>33.541675990000002</v>
      </c>
      <c r="M404" s="6">
        <f>[1]Emissions!L862</f>
        <v>34.024699929999997</v>
      </c>
      <c r="N404" s="6">
        <f>[1]Emissions!M862</f>
        <v>34.551786100000001</v>
      </c>
      <c r="O404" s="6">
        <f>[1]Emissions!N862</f>
        <v>35.105135099999998</v>
      </c>
      <c r="P404" s="6">
        <f>[1]Emissions!O862</f>
        <v>35.678681760000003</v>
      </c>
      <c r="Q404" s="6">
        <f>[1]Emissions!P862</f>
        <v>36.268333439999999</v>
      </c>
      <c r="R404" s="6">
        <f>[1]Emissions!Q862</f>
        <v>36.870495679999998</v>
      </c>
      <c r="S404" s="6">
        <f>[1]Emissions!R862</f>
        <v>37.480550469999997</v>
      </c>
      <c r="T404" s="6">
        <f>[1]Emissions!S862</f>
        <v>38.096739620000001</v>
      </c>
      <c r="U404" s="6">
        <f>[1]Emissions!T862</f>
        <v>38.717282560000001</v>
      </c>
      <c r="V404" s="6">
        <f>[1]Emissions!U862</f>
        <v>39.340836690000003</v>
      </c>
      <c r="W404" s="6">
        <f>[1]Emissions!V862</f>
        <v>39.943573909999998</v>
      </c>
      <c r="X404" s="6">
        <f>[1]Emissions!W862</f>
        <v>40.557022099999998</v>
      </c>
      <c r="Y404" s="6">
        <f>[1]Emissions!X862</f>
        <v>41.175662099999997</v>
      </c>
      <c r="Z404" s="6">
        <f>[1]Emissions!Y862</f>
        <v>41.798172010000002</v>
      </c>
      <c r="AA404" s="6">
        <f>[1]Emissions!Z862</f>
        <v>42.42440362</v>
      </c>
      <c r="AB404" s="6">
        <f>[1]Emissions!AA862</f>
        <v>42.988332919999998</v>
      </c>
      <c r="AC404" s="6">
        <f>[1]Emissions!AB862</f>
        <v>43.551836950000002</v>
      </c>
      <c r="AD404" s="6">
        <f>[1]Emissions!AC862</f>
        <v>44.111533289999997</v>
      </c>
      <c r="AE404" s="6">
        <f>[1]Emissions!AD862</f>
        <v>44.668659030000001</v>
      </c>
      <c r="AF404" s="6">
        <f>[1]Emissions!AE862</f>
        <v>45.225505849999998</v>
      </c>
      <c r="AG404" s="6">
        <f>[1]Emissions!AF862</f>
        <v>45.784280649999999</v>
      </c>
      <c r="AH404" s="6">
        <f>[1]Emissions!AG862</f>
        <v>46.34727264</v>
      </c>
      <c r="AI404" s="6">
        <f>[1]Emissions!AH862</f>
        <v>46.915739240000001</v>
      </c>
      <c r="AJ404" s="6">
        <f>[1]Emissions!AI862</f>
        <v>47.4907939</v>
      </c>
      <c r="AK404" s="6">
        <f>[1]Emissions!AJ862</f>
        <v>48.073295450000003</v>
      </c>
      <c r="AL404" s="6">
        <f>[1]Emissions!AK862</f>
        <v>48.663868260000001</v>
      </c>
      <c r="AM404" s="6">
        <f>[1]Emissions!AL862</f>
        <v>49.251211509999997</v>
      </c>
      <c r="AN404" s="6">
        <f>[1]Emissions!AM862</f>
        <v>49.839556539999997</v>
      </c>
      <c r="AO404" s="6">
        <f>[1]Emissions!AN862</f>
        <v>50.431270310000002</v>
      </c>
      <c r="AP404" s="6">
        <f>[1]Emissions!AO862</f>
        <v>51.027947490000003</v>
      </c>
      <c r="AQ404" s="6">
        <f>[1]Emissions!AP862</f>
        <v>51.630774369999997</v>
      </c>
      <c r="AR404" s="6">
        <f>[1]Emissions!AQ862</f>
        <v>52.241318329999999</v>
      </c>
      <c r="AS404" s="6">
        <f>[1]Emissions!AR862</f>
        <v>52.8598651</v>
      </c>
      <c r="AT404" s="6">
        <f>[1]Emissions!AS862</f>
        <v>53.486805339999997</v>
      </c>
      <c r="AU404" s="6">
        <f>[1]Emissions!AT862</f>
        <v>54.122409439999998</v>
      </c>
      <c r="AV404" s="6">
        <f>[1]Emissions!AU862</f>
        <v>54.766812999999999</v>
      </c>
      <c r="AW404" s="6">
        <f>[1]Emissions!AV862</f>
        <v>55.423874320000003</v>
      </c>
      <c r="AX404" s="6">
        <f>[1]Emissions!AW862</f>
        <v>56.09175948</v>
      </c>
      <c r="AY404" s="6">
        <f>[1]Emissions!AX862</f>
        <v>56.770022740000002</v>
      </c>
      <c r="AZ404" s="6">
        <f>[1]Emissions!AY862</f>
        <v>57.458429969999997</v>
      </c>
      <c r="BA404" s="6">
        <f>[1]Emissions!AZ862</f>
        <v>58.156727650000001</v>
      </c>
      <c r="BB404" s="6">
        <f>[1]Emissions!BA862</f>
        <v>72.575607649999995</v>
      </c>
      <c r="BC404" s="6">
        <f>[1]Emissions!BB862</f>
        <v>73.768639559999997</v>
      </c>
      <c r="BD404" s="6">
        <f>[1]Emissions!BC862</f>
        <v>74.977568120000001</v>
      </c>
      <c r="BE404" s="6">
        <f>[1]Emissions!BD862</f>
        <v>76.2029991</v>
      </c>
      <c r="BF404" s="6">
        <f>[1]Emissions!BE862</f>
        <v>77.445539460000006</v>
      </c>
    </row>
    <row r="405" spans="2:58" x14ac:dyDescent="0.35">
      <c r="B405" s="6" t="str">
        <f>[1]Emissions!A864</f>
        <v>ems_ci_co2_spub_2</v>
      </c>
      <c r="C405" s="6">
        <f>[1]Emissions!B864</f>
        <v>14.29917077</v>
      </c>
      <c r="D405" s="6">
        <f>[1]Emissions!C864</f>
        <v>14.452683329999999</v>
      </c>
      <c r="E405" s="6">
        <f>[1]Emissions!D864</f>
        <v>14.617931309999999</v>
      </c>
      <c r="F405" s="6">
        <f>[1]Emissions!E864</f>
        <v>14.791518480000001</v>
      </c>
      <c r="G405" s="6">
        <f>[1]Emissions!F864</f>
        <v>14.977601890000001</v>
      </c>
      <c r="H405" s="6">
        <f>[1]Emissions!G864</f>
        <v>15.1785104</v>
      </c>
      <c r="I405" s="6">
        <f>[1]Emissions!H864</f>
        <v>15.38204651</v>
      </c>
      <c r="J405" s="6">
        <f>[1]Emissions!I864</f>
        <v>15.59681936</v>
      </c>
      <c r="K405" s="6">
        <f>[1]Emissions!J864</f>
        <v>15.822660819999999</v>
      </c>
      <c r="L405" s="6">
        <f>[1]Emissions!K864</f>
        <v>16.058338710000001</v>
      </c>
      <c r="M405" s="6">
        <f>[1]Emissions!L864</f>
        <v>16.32021443</v>
      </c>
      <c r="N405" s="6">
        <f>[1]Emissions!M864</f>
        <v>16.575924830000002</v>
      </c>
      <c r="O405" s="6">
        <f>[1]Emissions!N864</f>
        <v>16.8386751</v>
      </c>
      <c r="P405" s="6">
        <f>[1]Emissions!O864</f>
        <v>17.109555440000001</v>
      </c>
      <c r="Q405" s="6">
        <f>[1]Emissions!P864</f>
        <v>17.387966989999999</v>
      </c>
      <c r="R405" s="6">
        <f>[1]Emissions!Q864</f>
        <v>17.67303334</v>
      </c>
      <c r="S405" s="6">
        <f>[1]Emissions!R864</f>
        <v>17.963790620000001</v>
      </c>
      <c r="T405" s="6">
        <f>[1]Emissions!S864</f>
        <v>18.259531129999999</v>
      </c>
      <c r="U405" s="6">
        <f>[1]Emissions!T864</f>
        <v>18.559639900000001</v>
      </c>
      <c r="V405" s="6">
        <f>[1]Emissions!U864</f>
        <v>18.863637740000001</v>
      </c>
      <c r="W405" s="6">
        <f>[1]Emissions!V864</f>
        <v>19.154978889999999</v>
      </c>
      <c r="X405" s="6">
        <f>[1]Emissions!W864</f>
        <v>19.46219542</v>
      </c>
      <c r="Y405" s="6">
        <f>[1]Emissions!X864</f>
        <v>19.774178769999999</v>
      </c>
      <c r="Z405" s="6">
        <f>[1]Emissions!Y864</f>
        <v>20.08953876</v>
      </c>
      <c r="AA405" s="6">
        <f>[1]Emissions!Z864</f>
        <v>20.408136020000001</v>
      </c>
      <c r="AB405" s="6">
        <f>[1]Emissions!AA864</f>
        <v>20.68297746</v>
      </c>
      <c r="AC405" s="6">
        <f>[1]Emissions!AB864</f>
        <v>20.975434849999999</v>
      </c>
      <c r="AD405" s="6">
        <f>[1]Emissions!AC864</f>
        <v>21.270815880000001</v>
      </c>
      <c r="AE405" s="6">
        <f>[1]Emissions!AD864</f>
        <v>21.567645150000001</v>
      </c>
      <c r="AF405" s="6">
        <f>[1]Emissions!AE864</f>
        <v>21.866143319999999</v>
      </c>
      <c r="AG405" s="6">
        <f>[1]Emissions!AF864</f>
        <v>22.16672784</v>
      </c>
      <c r="AH405" s="6">
        <f>[1]Emissions!AG864</f>
        <v>22.46983462</v>
      </c>
      <c r="AI405" s="6">
        <f>[1]Emissions!AH864</f>
        <v>22.7758334</v>
      </c>
      <c r="AJ405" s="6">
        <f>[1]Emissions!AI864</f>
        <v>23.08507539</v>
      </c>
      <c r="AK405" s="6">
        <f>[1]Emissions!AJ864</f>
        <v>23.397874510000001</v>
      </c>
      <c r="AL405" s="6">
        <f>[1]Emissions!AK864</f>
        <v>23.71450334</v>
      </c>
      <c r="AM405" s="6">
        <f>[1]Emissions!AL864</f>
        <v>24.024001940000002</v>
      </c>
      <c r="AN405" s="6">
        <f>[1]Emissions!AM864</f>
        <v>24.335250940000002</v>
      </c>
      <c r="AO405" s="6">
        <f>[1]Emissions!AN864</f>
        <v>24.64963255</v>
      </c>
      <c r="AP405" s="6">
        <f>[1]Emissions!AO864</f>
        <v>24.967578929999998</v>
      </c>
      <c r="AQ405" s="6">
        <f>[1]Emissions!AP864</f>
        <v>25.2893607</v>
      </c>
      <c r="AR405" s="6">
        <f>[1]Emissions!AQ864</f>
        <v>25.61521596</v>
      </c>
      <c r="AS405" s="6">
        <f>[1]Emissions!AR864</f>
        <v>25.94529391</v>
      </c>
      <c r="AT405" s="6">
        <f>[1]Emissions!AS864</f>
        <v>26.27974232</v>
      </c>
      <c r="AU405" s="6">
        <f>[1]Emissions!AT864</f>
        <v>26.618684330000001</v>
      </c>
      <c r="AV405" s="6">
        <f>[1]Emissions!AU864</f>
        <v>26.96221714</v>
      </c>
      <c r="AW405" s="6">
        <f>[1]Emissions!AV864</f>
        <v>27.311552729999999</v>
      </c>
      <c r="AX405" s="6">
        <f>[1]Emissions!AW864</f>
        <v>27.66592086</v>
      </c>
      <c r="AY405" s="6">
        <f>[1]Emissions!AX864</f>
        <v>28.025345699999999</v>
      </c>
      <c r="AZ405" s="6">
        <f>[1]Emissions!AY864</f>
        <v>28.389918260000002</v>
      </c>
      <c r="BA405" s="6">
        <f>[1]Emissions!AZ864</f>
        <v>28.759696099999999</v>
      </c>
      <c r="BB405" s="6">
        <f>[1]Emissions!BA864</f>
        <v>33.704159480000001</v>
      </c>
      <c r="BC405" s="6">
        <f>[1]Emissions!BB864</f>
        <v>34.277441899999999</v>
      </c>
      <c r="BD405" s="6">
        <f>[1]Emissions!BC864</f>
        <v>34.858916180000001</v>
      </c>
      <c r="BE405" s="6">
        <f>[1]Emissions!BD864</f>
        <v>35.448836919999998</v>
      </c>
      <c r="BF405" s="6">
        <f>[1]Emissions!BE864</f>
        <v>36.047462230000001</v>
      </c>
    </row>
    <row r="406" spans="2:58" x14ac:dyDescent="0.35">
      <c r="B406" s="6" t="str">
        <f>[1]Emissions!A866</f>
        <v>ems_ci_co2_smin_2</v>
      </c>
      <c r="C406" s="6">
        <f>[1]Emissions!B866</f>
        <v>1.0324230569999999</v>
      </c>
      <c r="D406" s="6">
        <f>[1]Emissions!C866</f>
        <v>1.035883184</v>
      </c>
      <c r="E406" s="6">
        <f>[1]Emissions!D866</f>
        <v>1.0437049169999999</v>
      </c>
      <c r="F406" s="6">
        <f>[1]Emissions!E866</f>
        <v>1.0539560059999999</v>
      </c>
      <c r="G406" s="6">
        <f>[1]Emissions!F866</f>
        <v>1.0659838159999999</v>
      </c>
      <c r="H406" s="6">
        <f>[1]Emissions!G866</f>
        <v>1.0794032769999999</v>
      </c>
      <c r="I406" s="6">
        <f>[1]Emissions!H866</f>
        <v>1.093277091</v>
      </c>
      <c r="J406" s="6">
        <f>[1]Emissions!I866</f>
        <v>1.107686277</v>
      </c>
      <c r="K406" s="6">
        <f>[1]Emissions!J866</f>
        <v>1.12255182</v>
      </c>
      <c r="L406" s="6">
        <f>[1]Emissions!K866</f>
        <v>1.1377672780000001</v>
      </c>
      <c r="M406" s="6">
        <f>[1]Emissions!L866</f>
        <v>1.1526311950000001</v>
      </c>
      <c r="N406" s="6">
        <f>[1]Emissions!M866</f>
        <v>1.1693152979999999</v>
      </c>
      <c r="O406" s="6">
        <f>[1]Emissions!N866</f>
        <v>1.18656586</v>
      </c>
      <c r="P406" s="6">
        <f>[1]Emissions!O866</f>
        <v>1.204038881</v>
      </c>
      <c r="Q406" s="6">
        <f>[1]Emissions!P866</f>
        <v>1.221627612</v>
      </c>
      <c r="R406" s="6">
        <f>[1]Emissions!Q866</f>
        <v>1.239290961</v>
      </c>
      <c r="S406" s="6">
        <f>[1]Emissions!R866</f>
        <v>1.256933471</v>
      </c>
      <c r="T406" s="6">
        <f>[1]Emissions!S866</f>
        <v>1.2746044969999999</v>
      </c>
      <c r="U406" s="6">
        <f>[1]Emissions!T866</f>
        <v>1.292325116</v>
      </c>
      <c r="V406" s="6">
        <f>[1]Emissions!U866</f>
        <v>1.310113911</v>
      </c>
      <c r="W406" s="6">
        <f>[1]Emissions!V866</f>
        <v>1.3272299649999999</v>
      </c>
      <c r="X406" s="6">
        <f>[1]Emissions!W866</f>
        <v>1.3448607319999999</v>
      </c>
      <c r="Y406" s="6">
        <f>[1]Emissions!X866</f>
        <v>1.3627852039999999</v>
      </c>
      <c r="Z406" s="6">
        <f>[1]Emissions!Y866</f>
        <v>1.3809500349999999</v>
      </c>
      <c r="AA406" s="6">
        <f>[1]Emissions!Z866</f>
        <v>1.3993561590000001</v>
      </c>
      <c r="AB406" s="6">
        <f>[1]Emissions!AA866</f>
        <v>1.4158370579999999</v>
      </c>
      <c r="AC406" s="6">
        <f>[1]Emissions!AB866</f>
        <v>1.432735941</v>
      </c>
      <c r="AD406" s="6">
        <f>[1]Emissions!AC866</f>
        <v>1.4498675560000001</v>
      </c>
      <c r="AE406" s="6">
        <f>[1]Emissions!AD866</f>
        <v>1.46721323</v>
      </c>
      <c r="AF406" s="6">
        <f>[1]Emissions!AE866</f>
        <v>1.4848060700000001</v>
      </c>
      <c r="AG406" s="6">
        <f>[1]Emissions!AF866</f>
        <v>1.502683306</v>
      </c>
      <c r="AH406" s="6">
        <f>[1]Emissions!AG866</f>
        <v>1.520897331</v>
      </c>
      <c r="AI406" s="6">
        <f>[1]Emissions!AH866</f>
        <v>1.539451468</v>
      </c>
      <c r="AJ406" s="6">
        <f>[1]Emissions!AI866</f>
        <v>1.5583505719999999</v>
      </c>
      <c r="AK406" s="6">
        <f>[1]Emissions!AJ866</f>
        <v>1.577594731</v>
      </c>
      <c r="AL406" s="6">
        <f>[1]Emissions!AK866</f>
        <v>1.597179401</v>
      </c>
      <c r="AM406" s="6">
        <f>[1]Emissions!AL866</f>
        <v>1.616802705</v>
      </c>
      <c r="AN406" s="6">
        <f>[1]Emissions!AM866</f>
        <v>1.636575661</v>
      </c>
      <c r="AO406" s="6">
        <f>[1]Emissions!AN866</f>
        <v>1.656550872</v>
      </c>
      <c r="AP406" s="6">
        <f>[1]Emissions!AO866</f>
        <v>1.6767526740000001</v>
      </c>
      <c r="AQ406" s="6">
        <f>[1]Emissions!AP866</f>
        <v>1.697194981</v>
      </c>
      <c r="AR406" s="6">
        <f>[1]Emissions!AQ866</f>
        <v>1.717925296</v>
      </c>
      <c r="AS406" s="6">
        <f>[1]Emissions!AR866</f>
        <v>1.7389255400000001</v>
      </c>
      <c r="AT406" s="6">
        <f>[1]Emissions!AS866</f>
        <v>1.760191976</v>
      </c>
      <c r="AU406" s="6">
        <f>[1]Emissions!AT866</f>
        <v>1.781722155</v>
      </c>
      <c r="AV406" s="6">
        <f>[1]Emissions!AU866</f>
        <v>1.803512427</v>
      </c>
      <c r="AW406" s="6">
        <f>[1]Emissions!AV866</f>
        <v>1.825742132</v>
      </c>
      <c r="AX406" s="6">
        <f>[1]Emissions!AW866</f>
        <v>1.848296758</v>
      </c>
      <c r="AY406" s="6">
        <f>[1]Emissions!AX866</f>
        <v>1.871138508</v>
      </c>
      <c r="AZ406" s="6">
        <f>[1]Emissions!AY866</f>
        <v>1.8942494510000001</v>
      </c>
      <c r="BA406" s="6">
        <f>[1]Emissions!AZ866</f>
        <v>1.9176179069999999</v>
      </c>
      <c r="BB406" s="6">
        <f>[1]Emissions!BA866</f>
        <v>2.3194195799999999</v>
      </c>
      <c r="BC406" s="6">
        <f>[1]Emissions!BB866</f>
        <v>2.3587256729999999</v>
      </c>
      <c r="BD406" s="6">
        <f>[1]Emissions!BC866</f>
        <v>2.398702202</v>
      </c>
      <c r="BE406" s="6">
        <f>[1]Emissions!BD866</f>
        <v>2.4393586269999998</v>
      </c>
      <c r="BF406" s="6">
        <f>[1]Emissions!BE866</f>
        <v>2.4807043590000002</v>
      </c>
    </row>
    <row r="407" spans="2:58" x14ac:dyDescent="0.35">
      <c r="B407" s="6" t="str">
        <f>[1]Emissions!A868</f>
        <v>ems_ci_co2_soil_2</v>
      </c>
      <c r="C407" s="6">
        <f>[1]Emissions!B868</f>
        <v>16.338534800000001</v>
      </c>
      <c r="D407" s="6">
        <f>[1]Emissions!C868</f>
        <v>16.369279559999999</v>
      </c>
      <c r="E407" s="6">
        <f>[1]Emissions!D868</f>
        <v>16.425432010000002</v>
      </c>
      <c r="F407" s="6">
        <f>[1]Emissions!E868</f>
        <v>16.501345090000001</v>
      </c>
      <c r="G407" s="6">
        <f>[1]Emissions!F868</f>
        <v>16.6006772</v>
      </c>
      <c r="H407" s="6">
        <f>[1]Emissions!G868</f>
        <v>16.722733059999999</v>
      </c>
      <c r="I407" s="6">
        <f>[1]Emissions!H868</f>
        <v>16.855355800000002</v>
      </c>
      <c r="J407" s="6">
        <f>[1]Emissions!I868</f>
        <v>17.00018249</v>
      </c>
      <c r="K407" s="6">
        <f>[1]Emissions!J868</f>
        <v>17.155185299999999</v>
      </c>
      <c r="L407" s="6">
        <f>[1]Emissions!K868</f>
        <v>17.31802459</v>
      </c>
      <c r="M407" s="6">
        <f>[1]Emissions!L868</f>
        <v>17.474938659999999</v>
      </c>
      <c r="N407" s="6">
        <f>[1]Emissions!M868</f>
        <v>17.66352646</v>
      </c>
      <c r="O407" s="6">
        <f>[1]Emissions!N868</f>
        <v>17.861733690000001</v>
      </c>
      <c r="P407" s="6">
        <f>[1]Emissions!O868</f>
        <v>18.064755399999999</v>
      </c>
      <c r="Q407" s="6">
        <f>[1]Emissions!P868</f>
        <v>18.271265589999999</v>
      </c>
      <c r="R407" s="6">
        <f>[1]Emissions!Q868</f>
        <v>18.480634760000001</v>
      </c>
      <c r="S407" s="6">
        <f>[1]Emissions!R868</f>
        <v>18.69125781</v>
      </c>
      <c r="T407" s="6">
        <f>[1]Emissions!S868</f>
        <v>18.903665029999999</v>
      </c>
      <c r="U407" s="6">
        <f>[1]Emissions!T868</f>
        <v>19.117764529999999</v>
      </c>
      <c r="V407" s="6">
        <f>[1]Emissions!U868</f>
        <v>19.33340729</v>
      </c>
      <c r="W407" s="6">
        <f>[1]Emissions!V868</f>
        <v>19.54002624</v>
      </c>
      <c r="X407" s="6">
        <f>[1]Emissions!W868</f>
        <v>19.754517969999998</v>
      </c>
      <c r="Y407" s="6">
        <f>[1]Emissions!X868</f>
        <v>19.972187389999998</v>
      </c>
      <c r="Z407" s="6">
        <f>[1]Emissions!Y868</f>
        <v>20.191986830000001</v>
      </c>
      <c r="AA407" s="6">
        <f>[1]Emissions!Z868</f>
        <v>20.41374712</v>
      </c>
      <c r="AB407" s="6">
        <f>[1]Emissions!AA868</f>
        <v>20.607610680000001</v>
      </c>
      <c r="AC407" s="6">
        <f>[1]Emissions!AB868</f>
        <v>20.808403940000002</v>
      </c>
      <c r="AD407" s="6">
        <f>[1]Emissions!AC868</f>
        <v>21.010909829999999</v>
      </c>
      <c r="AE407" s="6">
        <f>[1]Emissions!AD868</f>
        <v>21.2143421</v>
      </c>
      <c r="AF407" s="6">
        <f>[1]Emissions!AE868</f>
        <v>21.41893975</v>
      </c>
      <c r="AG407" s="6">
        <f>[1]Emissions!AF868</f>
        <v>21.625093140000001</v>
      </c>
      <c r="AH407" s="6">
        <f>[1]Emissions!AG868</f>
        <v>21.833496660000002</v>
      </c>
      <c r="AI407" s="6">
        <f>[1]Emissions!AH868</f>
        <v>22.044163090000001</v>
      </c>
      <c r="AJ407" s="6">
        <f>[1]Emissions!AI868</f>
        <v>22.257230360000001</v>
      </c>
      <c r="AK407" s="6">
        <f>[1]Emissions!AJ868</f>
        <v>22.472817320000001</v>
      </c>
      <c r="AL407" s="6">
        <f>[1]Emissions!AK868</f>
        <v>22.691002080000001</v>
      </c>
      <c r="AM407" s="6">
        <f>[1]Emissions!AL868</f>
        <v>22.908049640000002</v>
      </c>
      <c r="AN407" s="6">
        <f>[1]Emissions!AM868</f>
        <v>23.125829110000002</v>
      </c>
      <c r="AO407" s="6">
        <f>[1]Emissions!AN868</f>
        <v>23.345071690000001</v>
      </c>
      <c r="AP407" s="6">
        <f>[1]Emissions!AO868</f>
        <v>23.56612831</v>
      </c>
      <c r="AQ407" s="6">
        <f>[1]Emissions!AP868</f>
        <v>23.789219719999998</v>
      </c>
      <c r="AR407" s="6">
        <f>[1]Emissions!AQ868</f>
        <v>24.015059959999999</v>
      </c>
      <c r="AS407" s="6">
        <f>[1]Emissions!AR868</f>
        <v>24.243354239999999</v>
      </c>
      <c r="AT407" s="6">
        <f>[1]Emissions!AS868</f>
        <v>24.474106989999999</v>
      </c>
      <c r="AU407" s="6">
        <f>[1]Emissions!AT868</f>
        <v>24.707350080000001</v>
      </c>
      <c r="AV407" s="6">
        <f>[1]Emissions!AU868</f>
        <v>24.943095670000002</v>
      </c>
      <c r="AW407" s="6">
        <f>[1]Emissions!AV868</f>
        <v>25.18394876</v>
      </c>
      <c r="AX407" s="6">
        <f>[1]Emissions!AW868</f>
        <v>25.42804138</v>
      </c>
      <c r="AY407" s="6">
        <f>[1]Emissions!AX868</f>
        <v>25.67497642</v>
      </c>
      <c r="AZ407" s="6">
        <f>[1]Emissions!AY868</f>
        <v>25.92463085</v>
      </c>
      <c r="BA407" s="6">
        <f>[1]Emissions!AZ868</f>
        <v>26.176921879999998</v>
      </c>
      <c r="BB407" s="6">
        <f>[1]Emissions!BA868</f>
        <v>31.883603999999998</v>
      </c>
      <c r="BC407" s="6">
        <f>[1]Emissions!BB868</f>
        <v>32.347674509999997</v>
      </c>
      <c r="BD407" s="6">
        <f>[1]Emissions!BC868</f>
        <v>32.819326539999999</v>
      </c>
      <c r="BE407" s="6">
        <f>[1]Emissions!BD868</f>
        <v>33.298744659999997</v>
      </c>
      <c r="BF407" s="6">
        <f>[1]Emissions!BE868</f>
        <v>33.786124770000001</v>
      </c>
    </row>
    <row r="408" spans="2:58" x14ac:dyDescent="0.35">
      <c r="B408" s="6" t="str">
        <f>[1]Emissions!A870</f>
        <v>ems_ci_co2_sbfu_2</v>
      </c>
      <c r="C408" s="6">
        <f>[1]Emissions!B870</f>
        <v>3.8129875690000001</v>
      </c>
      <c r="D408" s="6">
        <f>[1]Emissions!C870</f>
        <v>3.8154194380000002</v>
      </c>
      <c r="E408" s="6">
        <f>[1]Emissions!D870</f>
        <v>3.8199626360000001</v>
      </c>
      <c r="F408" s="6">
        <f>[1]Emissions!E870</f>
        <v>3.8295803780000002</v>
      </c>
      <c r="G408" s="6">
        <f>[1]Emissions!F870</f>
        <v>3.8461304159999998</v>
      </c>
      <c r="H408" s="6">
        <f>[1]Emissions!G870</f>
        <v>3.8693561860000001</v>
      </c>
      <c r="I408" s="6">
        <f>[1]Emissions!H870</f>
        <v>3.8963782020000002</v>
      </c>
      <c r="J408" s="6">
        <f>[1]Emissions!I870</f>
        <v>3.9271176880000001</v>
      </c>
      <c r="K408" s="6">
        <f>[1]Emissions!J870</f>
        <v>3.9608086720000002</v>
      </c>
      <c r="L408" s="6">
        <f>[1]Emissions!K870</f>
        <v>3.9967476319999999</v>
      </c>
      <c r="M408" s="6">
        <f>[1]Emissions!L870</f>
        <v>4.0317977020000004</v>
      </c>
      <c r="N408" s="6">
        <f>[1]Emissions!M870</f>
        <v>4.0739861309999998</v>
      </c>
      <c r="O408" s="6">
        <f>[1]Emissions!N870</f>
        <v>4.1184404109999999</v>
      </c>
      <c r="P408" s="6">
        <f>[1]Emissions!O870</f>
        <v>4.164171477</v>
      </c>
      <c r="Q408" s="6">
        <f>[1]Emissions!P870</f>
        <v>4.210876324</v>
      </c>
      <c r="R408" s="6">
        <f>[1]Emissions!Q870</f>
        <v>4.2583819419999998</v>
      </c>
      <c r="S408" s="6">
        <f>[1]Emissions!R870</f>
        <v>4.3063046280000004</v>
      </c>
      <c r="T408" s="6">
        <f>[1]Emissions!S870</f>
        <v>4.3547156119999997</v>
      </c>
      <c r="U408" s="6">
        <f>[1]Emissions!T870</f>
        <v>4.4035526220000003</v>
      </c>
      <c r="V408" s="6">
        <f>[1]Emissions!U870</f>
        <v>4.4527487749999999</v>
      </c>
      <c r="W408" s="6">
        <f>[1]Emissions!V870</f>
        <v>4.5001331880000004</v>
      </c>
      <c r="X408" s="6">
        <f>[1]Emissions!W870</f>
        <v>4.5490837549999998</v>
      </c>
      <c r="Y408" s="6">
        <f>[1]Emissions!X870</f>
        <v>4.5985836649999996</v>
      </c>
      <c r="Z408" s="6">
        <f>[1]Emissions!Y870</f>
        <v>4.6484440850000004</v>
      </c>
      <c r="AA408" s="6">
        <f>[1]Emissions!Z870</f>
        <v>4.6986335410000004</v>
      </c>
      <c r="AB408" s="6">
        <f>[1]Emissions!AA870</f>
        <v>4.7430930169999996</v>
      </c>
      <c r="AC408" s="6">
        <f>[1]Emissions!AB870</f>
        <v>4.7888379600000004</v>
      </c>
      <c r="AD408" s="6">
        <f>[1]Emissions!AC870</f>
        <v>4.8346576350000001</v>
      </c>
      <c r="AE408" s="6">
        <f>[1]Emissions!AD870</f>
        <v>4.8804341769999997</v>
      </c>
      <c r="AF408" s="6">
        <f>[1]Emissions!AE870</f>
        <v>4.9262484400000002</v>
      </c>
      <c r="AG408" s="6">
        <f>[1]Emissions!AF870</f>
        <v>4.9722035939999998</v>
      </c>
      <c r="AH408" s="6">
        <f>[1]Emissions!AG870</f>
        <v>5.0184634250000002</v>
      </c>
      <c r="AI408" s="6">
        <f>[1]Emissions!AH870</f>
        <v>5.0650452919999998</v>
      </c>
      <c r="AJ408" s="6">
        <f>[1]Emissions!AI870</f>
        <v>5.1119948150000001</v>
      </c>
      <c r="AK408" s="6">
        <f>[1]Emissions!AJ870</f>
        <v>5.1593497660000001</v>
      </c>
      <c r="AL408" s="6">
        <f>[1]Emissions!AK870</f>
        <v>5.2071370830000001</v>
      </c>
      <c r="AM408" s="6">
        <f>[1]Emissions!AL870</f>
        <v>5.2546371150000004</v>
      </c>
      <c r="AN408" s="6">
        <f>[1]Emissions!AM870</f>
        <v>5.3022052679999998</v>
      </c>
      <c r="AO408" s="6">
        <f>[1]Emissions!AN870</f>
        <v>5.3499683219999996</v>
      </c>
      <c r="AP408" s="6">
        <f>[1]Emissions!AO870</f>
        <v>5.3979957409999999</v>
      </c>
      <c r="AQ408" s="6">
        <f>[1]Emissions!AP870</f>
        <v>5.4463401940000002</v>
      </c>
      <c r="AR408" s="6">
        <f>[1]Emissions!AQ870</f>
        <v>5.4951626249999999</v>
      </c>
      <c r="AS408" s="6">
        <f>[1]Emissions!AR870</f>
        <v>5.5444101659999996</v>
      </c>
      <c r="AT408" s="6">
        <f>[1]Emissions!AS870</f>
        <v>5.5940948109999997</v>
      </c>
      <c r="AU408" s="6">
        <f>[1]Emissions!AT870</f>
        <v>5.6442308060000004</v>
      </c>
      <c r="AV408" s="6">
        <f>[1]Emissions!AU870</f>
        <v>5.6948257360000003</v>
      </c>
      <c r="AW408" s="6">
        <f>[1]Emissions!AV870</f>
        <v>5.7464276700000001</v>
      </c>
      <c r="AX408" s="6">
        <f>[1]Emissions!AW870</f>
        <v>5.7986429580000003</v>
      </c>
      <c r="AY408" s="6">
        <f>[1]Emissions!AX870</f>
        <v>5.8513977419999996</v>
      </c>
      <c r="AZ408" s="6">
        <f>[1]Emissions!AY870</f>
        <v>5.9046660510000004</v>
      </c>
      <c r="BA408" s="6">
        <f>[1]Emissions!AZ870</f>
        <v>5.9584267469999999</v>
      </c>
      <c r="BB408" s="6">
        <f>[1]Emissions!BA870</f>
        <v>7.2498662630000004</v>
      </c>
      <c r="BC408" s="6">
        <f>[1]Emissions!BB870</f>
        <v>7.3506676459999998</v>
      </c>
      <c r="BD408" s="6">
        <f>[1]Emissions!BC870</f>
        <v>7.4530505619999996</v>
      </c>
      <c r="BE408" s="6">
        <f>[1]Emissions!BD870</f>
        <v>7.5570639120000003</v>
      </c>
      <c r="BF408" s="6">
        <f>[1]Emissions!BE870</f>
        <v>7.662759103</v>
      </c>
    </row>
    <row r="409" spans="2:58" x14ac:dyDescent="0.35">
      <c r="B409" s="6" t="str">
        <f>[1]Emissions!A872</f>
        <v>ems_ci_co2_seoi_2</v>
      </c>
      <c r="C409" s="6">
        <f>[1]Emissions!B872</f>
        <v>3.0171769030000002</v>
      </c>
      <c r="D409" s="6">
        <f>[1]Emissions!C872</f>
        <v>3.0286172219999998</v>
      </c>
      <c r="E409" s="6">
        <f>[1]Emissions!D872</f>
        <v>3.0403100909999998</v>
      </c>
      <c r="F409" s="6">
        <f>[1]Emissions!E872</f>
        <v>3.0533283089999999</v>
      </c>
      <c r="G409" s="6">
        <f>[1]Emissions!F872</f>
        <v>3.0692753150000001</v>
      </c>
      <c r="H409" s="6">
        <f>[1]Emissions!G872</f>
        <v>3.0886563420000002</v>
      </c>
      <c r="I409" s="6">
        <f>[1]Emissions!H872</f>
        <v>3.1097683310000002</v>
      </c>
      <c r="J409" s="6">
        <f>[1]Emissions!I872</f>
        <v>3.1326908580000001</v>
      </c>
      <c r="K409" s="6">
        <f>[1]Emissions!J872</f>
        <v>3.157066242</v>
      </c>
      <c r="L409" s="6">
        <f>[1]Emissions!K872</f>
        <v>3.1824380520000002</v>
      </c>
      <c r="M409" s="6">
        <f>[1]Emissions!L872</f>
        <v>3.207912973</v>
      </c>
      <c r="N409" s="6">
        <f>[1]Emissions!M872</f>
        <v>3.236143862</v>
      </c>
      <c r="O409" s="6">
        <f>[1]Emissions!N872</f>
        <v>3.2652793400000002</v>
      </c>
      <c r="P409" s="6">
        <f>[1]Emissions!O872</f>
        <v>3.2947649800000001</v>
      </c>
      <c r="Q409" s="6">
        <f>[1]Emissions!P872</f>
        <v>3.3244064130000002</v>
      </c>
      <c r="R409" s="6">
        <f>[1]Emissions!Q872</f>
        <v>3.3541012769999998</v>
      </c>
      <c r="S409" s="6">
        <f>[1]Emissions!R872</f>
        <v>3.3836732899999999</v>
      </c>
      <c r="T409" s="6">
        <f>[1]Emissions!S872</f>
        <v>3.413162829</v>
      </c>
      <c r="U409" s="6">
        <f>[1]Emissions!T872</f>
        <v>3.4425782800000002</v>
      </c>
      <c r="V409" s="6">
        <f>[1]Emissions!U872</f>
        <v>3.471935883</v>
      </c>
      <c r="W409" s="6">
        <f>[1]Emissions!V872</f>
        <v>3.499552043</v>
      </c>
      <c r="X409" s="6">
        <f>[1]Emissions!W872</f>
        <v>3.528051359</v>
      </c>
      <c r="Y409" s="6">
        <f>[1]Emissions!X872</f>
        <v>3.5570332699999998</v>
      </c>
      <c r="Z409" s="6">
        <f>[1]Emissions!Y872</f>
        <v>3.5863549319999999</v>
      </c>
      <c r="AA409" s="6">
        <f>[1]Emissions!Z872</f>
        <v>3.616011941</v>
      </c>
      <c r="AB409" s="6">
        <f>[1]Emissions!AA872</f>
        <v>3.6411660750000001</v>
      </c>
      <c r="AC409" s="6">
        <f>[1]Emissions!AB872</f>
        <v>3.6669279819999998</v>
      </c>
      <c r="AD409" s="6">
        <f>[1]Emissions!AC872</f>
        <v>3.6931316519999999</v>
      </c>
      <c r="AE409" s="6">
        <f>[1]Emissions!AD872</f>
        <v>3.7197468790000001</v>
      </c>
      <c r="AF409" s="6">
        <f>[1]Emissions!AE872</f>
        <v>3.7468506349999999</v>
      </c>
      <c r="AG409" s="6">
        <f>[1]Emissions!AF872</f>
        <v>3.774534123</v>
      </c>
      <c r="AH409" s="6">
        <f>[1]Emissions!AG872</f>
        <v>3.8029077149999999</v>
      </c>
      <c r="AI409" s="6">
        <f>[1]Emissions!AH872</f>
        <v>3.8320072469999999</v>
      </c>
      <c r="AJ409" s="6">
        <f>[1]Emissions!AI872</f>
        <v>3.861865978</v>
      </c>
      <c r="AK409" s="6">
        <f>[1]Emissions!AJ872</f>
        <v>3.8925040279999998</v>
      </c>
      <c r="AL409" s="6">
        <f>[1]Emissions!AK872</f>
        <v>3.9239279389999999</v>
      </c>
      <c r="AM409" s="6">
        <f>[1]Emissions!AL872</f>
        <v>3.9553077480000001</v>
      </c>
      <c r="AN409" s="6">
        <f>[1]Emissions!AM872</f>
        <v>3.9869847369999998</v>
      </c>
      <c r="AO409" s="6">
        <f>[1]Emissions!AN872</f>
        <v>4.0191579150000001</v>
      </c>
      <c r="AP409" s="6">
        <f>[1]Emissions!AO872</f>
        <v>4.0519243630000004</v>
      </c>
      <c r="AQ409" s="6">
        <f>[1]Emissions!AP872</f>
        <v>4.0853312419999996</v>
      </c>
      <c r="AR409" s="6">
        <f>[1]Emissions!AQ872</f>
        <v>4.119453751</v>
      </c>
      <c r="AS409" s="6">
        <f>[1]Emissions!AR872</f>
        <v>4.1542656779999998</v>
      </c>
      <c r="AT409" s="6">
        <f>[1]Emissions!AS872</f>
        <v>4.1897601829999997</v>
      </c>
      <c r="AU409" s="6">
        <f>[1]Emissions!AT872</f>
        <v>4.2259318319999997</v>
      </c>
      <c r="AV409" s="6">
        <f>[1]Emissions!AU872</f>
        <v>4.2627724020000004</v>
      </c>
      <c r="AW409" s="6">
        <f>[1]Emissions!AV872</f>
        <v>4.3005648729999999</v>
      </c>
      <c r="AX409" s="6">
        <f>[1]Emissions!AW872</f>
        <v>4.339128616</v>
      </c>
      <c r="AY409" s="6">
        <f>[1]Emissions!AX872</f>
        <v>4.3784073570000004</v>
      </c>
      <c r="AZ409" s="6">
        <f>[1]Emissions!AY872</f>
        <v>4.4183796610000003</v>
      </c>
      <c r="BA409" s="6">
        <f>[1]Emissions!AZ872</f>
        <v>4.4590303269999998</v>
      </c>
      <c r="BB409" s="6">
        <f>[1]Emissions!BA872</f>
        <v>4.9407715779999997</v>
      </c>
      <c r="BC409" s="6">
        <f>[1]Emissions!BB872</f>
        <v>5.0032921830000001</v>
      </c>
      <c r="BD409" s="6">
        <f>[1]Emissions!BC872</f>
        <v>5.0669809370000003</v>
      </c>
      <c r="BE409" s="6">
        <f>[1]Emissions!BD872</f>
        <v>5.1318433590000003</v>
      </c>
      <c r="BF409" s="6">
        <f>[1]Emissions!BE872</f>
        <v>5.197886574</v>
      </c>
    </row>
    <row r="410" spans="2:58" x14ac:dyDescent="0.35">
      <c r="B410" s="6" t="str">
        <f>[1]Emissions!A874</f>
        <v>ems_ci_co2_sega_2</v>
      </c>
      <c r="C410" s="6">
        <f>[1]Emissions!B874</f>
        <v>3.5698501010000001</v>
      </c>
      <c r="D410" s="6">
        <f>[1]Emissions!C874</f>
        <v>3.5833864750000002</v>
      </c>
      <c r="E410" s="6">
        <f>[1]Emissions!D874</f>
        <v>3.5972217180000001</v>
      </c>
      <c r="F410" s="6">
        <f>[1]Emissions!E874</f>
        <v>3.6126250249999998</v>
      </c>
      <c r="G410" s="6">
        <f>[1]Emissions!F874</f>
        <v>3.6314934509999999</v>
      </c>
      <c r="H410" s="6">
        <f>[1]Emissions!G874</f>
        <v>3.6544247250000002</v>
      </c>
      <c r="I410" s="6">
        <f>[1]Emissions!H874</f>
        <v>3.6794038250000001</v>
      </c>
      <c r="J410" s="6">
        <f>[1]Emissions!I874</f>
        <v>3.706524924</v>
      </c>
      <c r="K410" s="6">
        <f>[1]Emissions!J874</f>
        <v>3.7353648599999998</v>
      </c>
      <c r="L410" s="6">
        <f>[1]Emissions!K874</f>
        <v>3.7653836319999998</v>
      </c>
      <c r="M410" s="6">
        <f>[1]Emissions!L874</f>
        <v>3.795524345</v>
      </c>
      <c r="N410" s="6">
        <f>[1]Emissions!M874</f>
        <v>3.828925801</v>
      </c>
      <c r="O410" s="6">
        <f>[1]Emissions!N874</f>
        <v>3.8633975129999998</v>
      </c>
      <c r="P410" s="6">
        <f>[1]Emissions!O874</f>
        <v>3.8982835169999999</v>
      </c>
      <c r="Q410" s="6">
        <f>[1]Emissions!P874</f>
        <v>3.9333538649999999</v>
      </c>
      <c r="R410" s="6">
        <f>[1]Emissions!Q874</f>
        <v>3.9684874639999999</v>
      </c>
      <c r="S410" s="6">
        <f>[1]Emissions!R874</f>
        <v>4.003475763</v>
      </c>
      <c r="T410" s="6">
        <f>[1]Emissions!S874</f>
        <v>4.0383665459999998</v>
      </c>
      <c r="U410" s="6">
        <f>[1]Emissions!T874</f>
        <v>4.0731697459999996</v>
      </c>
      <c r="V410" s="6">
        <f>[1]Emissions!U874</f>
        <v>4.1079045809999997</v>
      </c>
      <c r="W410" s="6">
        <f>[1]Emissions!V874</f>
        <v>4.1405790769999999</v>
      </c>
      <c r="X410" s="6">
        <f>[1]Emissions!W874</f>
        <v>4.1742985800000003</v>
      </c>
      <c r="Y410" s="6">
        <f>[1]Emissions!X874</f>
        <v>4.2085891459999996</v>
      </c>
      <c r="Z410" s="6">
        <f>[1]Emissions!Y874</f>
        <v>4.2432817529999998</v>
      </c>
      <c r="AA410" s="6">
        <f>[1]Emissions!Z874</f>
        <v>4.278371183</v>
      </c>
      <c r="AB410" s="6">
        <f>[1]Emissions!AA874</f>
        <v>4.3081330009999999</v>
      </c>
      <c r="AC410" s="6">
        <f>[1]Emissions!AB874</f>
        <v>4.3386139830000001</v>
      </c>
      <c r="AD410" s="6">
        <f>[1]Emissions!AC874</f>
        <v>4.369617689</v>
      </c>
      <c r="AE410" s="6">
        <f>[1]Emissions!AD874</f>
        <v>4.4011083659999999</v>
      </c>
      <c r="AF410" s="6">
        <f>[1]Emissions!AE874</f>
        <v>4.4331770690000001</v>
      </c>
      <c r="AG410" s="6">
        <f>[1]Emissions!AF874</f>
        <v>4.4659316970000003</v>
      </c>
      <c r="AH410" s="6">
        <f>[1]Emissions!AG874</f>
        <v>4.4995028289999999</v>
      </c>
      <c r="AI410" s="6">
        <f>[1]Emissions!AH874</f>
        <v>4.5339328569999999</v>
      </c>
      <c r="AJ410" s="6">
        <f>[1]Emissions!AI874</f>
        <v>4.5692611279999999</v>
      </c>
      <c r="AK410" s="6">
        <f>[1]Emissions!AJ874</f>
        <v>4.6055114440000002</v>
      </c>
      <c r="AL410" s="6">
        <f>[1]Emissions!AK874</f>
        <v>4.6426915409999996</v>
      </c>
      <c r="AM410" s="6">
        <f>[1]Emissions!AL874</f>
        <v>4.6798194339999997</v>
      </c>
      <c r="AN410" s="6">
        <f>[1]Emissions!AM874</f>
        <v>4.7172989210000003</v>
      </c>
      <c r="AO410" s="6">
        <f>[1]Emissions!AN874</f>
        <v>4.7553654669999998</v>
      </c>
      <c r="AP410" s="6">
        <f>[1]Emissions!AO874</f>
        <v>4.7941339340000004</v>
      </c>
      <c r="AQ410" s="6">
        <f>[1]Emissions!AP874</f>
        <v>4.8336601220000004</v>
      </c>
      <c r="AR410" s="6">
        <f>[1]Emissions!AQ874</f>
        <v>4.8740330050000003</v>
      </c>
      <c r="AS410" s="6">
        <f>[1]Emissions!AR874</f>
        <v>4.9152215699999999</v>
      </c>
      <c r="AT410" s="6">
        <f>[1]Emissions!AS874</f>
        <v>4.9572177269999997</v>
      </c>
      <c r="AU410" s="6">
        <f>[1]Emissions!AT874</f>
        <v>5.0000150489999999</v>
      </c>
      <c r="AV410" s="6">
        <f>[1]Emissions!AU874</f>
        <v>5.0436038090000004</v>
      </c>
      <c r="AW410" s="6">
        <f>[1]Emissions!AV874</f>
        <v>5.0883188239999999</v>
      </c>
      <c r="AX410" s="6">
        <f>[1]Emissions!AW874</f>
        <v>5.133946377</v>
      </c>
      <c r="AY410" s="6">
        <f>[1]Emissions!AX874</f>
        <v>5.1804198919999997</v>
      </c>
      <c r="AZ410" s="6">
        <f>[1]Emissions!AY874</f>
        <v>5.2277140089999996</v>
      </c>
      <c r="BA410" s="6">
        <f>[1]Emissions!AZ874</f>
        <v>5.275810742</v>
      </c>
      <c r="BB410" s="6">
        <f>[1]Emissions!BA874</f>
        <v>5.8457940060000002</v>
      </c>
      <c r="BC410" s="6">
        <f>[1]Emissions!BB874</f>
        <v>5.9197668380000001</v>
      </c>
      <c r="BD410" s="6">
        <f>[1]Emissions!BC874</f>
        <v>5.9951217950000002</v>
      </c>
      <c r="BE410" s="6">
        <f>[1]Emissions!BD874</f>
        <v>6.0718654030000003</v>
      </c>
      <c r="BF410" s="6">
        <f>[1]Emissions!BE874</f>
        <v>6.150006093</v>
      </c>
    </row>
    <row r="411" spans="2:58" x14ac:dyDescent="0.35">
      <c r="B411" s="6" t="str">
        <f>[1]Emissions!A876</f>
        <v>ems_ci_co2_seco_2</v>
      </c>
      <c r="C411" s="6">
        <f>[1]Emissions!B876</f>
        <v>7.3584416749999999</v>
      </c>
      <c r="D411" s="6">
        <f>[1]Emissions!C876</f>
        <v>7.3863438620000004</v>
      </c>
      <c r="E411" s="6">
        <f>[1]Emissions!D876</f>
        <v>7.4148620980000004</v>
      </c>
      <c r="F411" s="6">
        <f>[1]Emissions!E876</f>
        <v>7.4466125439999997</v>
      </c>
      <c r="G411" s="6">
        <f>[1]Emissions!F876</f>
        <v>7.4855055540000004</v>
      </c>
      <c r="H411" s="6">
        <f>[1]Emissions!G876</f>
        <v>7.5327732080000001</v>
      </c>
      <c r="I411" s="6">
        <f>[1]Emissions!H876</f>
        <v>7.5842619950000003</v>
      </c>
      <c r="J411" s="6">
        <f>[1]Emissions!I876</f>
        <v>7.6401660299999996</v>
      </c>
      <c r="K411" s="6">
        <f>[1]Emissions!J876</f>
        <v>7.6996130589999998</v>
      </c>
      <c r="L411" s="6">
        <f>[1]Emissions!K876</f>
        <v>7.7614899959999999</v>
      </c>
      <c r="M411" s="6">
        <f>[1]Emissions!L876</f>
        <v>7.8236182840000001</v>
      </c>
      <c r="N411" s="6">
        <f>[1]Emissions!M876</f>
        <v>7.8924678610000001</v>
      </c>
      <c r="O411" s="6">
        <f>[1]Emissions!N876</f>
        <v>7.9635235279999996</v>
      </c>
      <c r="P411" s="6">
        <f>[1]Emissions!O876</f>
        <v>8.0354331660000007</v>
      </c>
      <c r="Q411" s="6">
        <f>[1]Emissions!P876</f>
        <v>8.1077227870000002</v>
      </c>
      <c r="R411" s="6">
        <f>[1]Emissions!Q876</f>
        <v>8.1801427849999993</v>
      </c>
      <c r="S411" s="6">
        <f>[1]Emissions!R876</f>
        <v>8.2522632799999993</v>
      </c>
      <c r="T411" s="6">
        <f>[1]Emissions!S876</f>
        <v>8.324182768</v>
      </c>
      <c r="U411" s="6">
        <f>[1]Emissions!T876</f>
        <v>8.3959217230000007</v>
      </c>
      <c r="V411" s="6">
        <f>[1]Emissions!U876</f>
        <v>8.467519759</v>
      </c>
      <c r="W411" s="6">
        <f>[1]Emissions!V876</f>
        <v>8.5348708710000007</v>
      </c>
      <c r="X411" s="6">
        <f>[1]Emissions!W876</f>
        <v>8.6043760299999992</v>
      </c>
      <c r="Y411" s="6">
        <f>[1]Emissions!X876</f>
        <v>8.6750583050000003</v>
      </c>
      <c r="Z411" s="6">
        <f>[1]Emissions!Y876</f>
        <v>8.7465692980000007</v>
      </c>
      <c r="AA411" s="6">
        <f>[1]Emissions!Z876</f>
        <v>8.8188982520000003</v>
      </c>
      <c r="AB411" s="6">
        <f>[1]Emissions!AA876</f>
        <v>8.8802455350000002</v>
      </c>
      <c r="AC411" s="6">
        <f>[1]Emissions!AB876</f>
        <v>8.9430752130000002</v>
      </c>
      <c r="AD411" s="6">
        <f>[1]Emissions!AC876</f>
        <v>9.0069823670000009</v>
      </c>
      <c r="AE411" s="6">
        <f>[1]Emissions!AD876</f>
        <v>9.0718933009999994</v>
      </c>
      <c r="AF411" s="6">
        <f>[1]Emissions!AE876</f>
        <v>9.1379957080000001</v>
      </c>
      <c r="AG411" s="6">
        <f>[1]Emissions!AF876</f>
        <v>9.2055119940000001</v>
      </c>
      <c r="AH411" s="6">
        <f>[1]Emissions!AG876</f>
        <v>9.2747113179999996</v>
      </c>
      <c r="AI411" s="6">
        <f>[1]Emissions!AH876</f>
        <v>9.3456810650000008</v>
      </c>
      <c r="AJ411" s="6">
        <f>[1]Emissions!AI876</f>
        <v>9.4185023359999995</v>
      </c>
      <c r="AK411" s="6">
        <f>[1]Emissions!AJ876</f>
        <v>9.4932241939999997</v>
      </c>
      <c r="AL411" s="6">
        <f>[1]Emissions!AK876</f>
        <v>9.5698625869999994</v>
      </c>
      <c r="AM411" s="6">
        <f>[1]Emissions!AL876</f>
        <v>9.6463933730000004</v>
      </c>
      <c r="AN411" s="6">
        <f>[1]Emissions!AM876</f>
        <v>9.7236488909999998</v>
      </c>
      <c r="AO411" s="6">
        <f>[1]Emissions!AN876</f>
        <v>9.802114499</v>
      </c>
      <c r="AP411" s="6">
        <f>[1]Emissions!AO876</f>
        <v>9.8820269589999992</v>
      </c>
      <c r="AQ411" s="6">
        <f>[1]Emissions!AP876</f>
        <v>9.963501291</v>
      </c>
      <c r="AR411" s="6">
        <f>[1]Emissions!AQ876</f>
        <v>10.04672089</v>
      </c>
      <c r="AS411" s="6">
        <f>[1]Emissions!AR876</f>
        <v>10.131621839999999</v>
      </c>
      <c r="AT411" s="6">
        <f>[1]Emissions!AS876</f>
        <v>10.218187459999999</v>
      </c>
      <c r="AU411" s="6">
        <f>[1]Emissions!AT876</f>
        <v>10.30640449</v>
      </c>
      <c r="AV411" s="6">
        <f>[1]Emissions!AU876</f>
        <v>10.3962529</v>
      </c>
      <c r="AW411" s="6">
        <f>[1]Emissions!AV876</f>
        <v>10.488422829999999</v>
      </c>
      <c r="AX411" s="6">
        <f>[1]Emissions!AW876</f>
        <v>10.58247375</v>
      </c>
      <c r="AY411" s="6">
        <f>[1]Emissions!AX876</f>
        <v>10.678268429999999</v>
      </c>
      <c r="AZ411" s="6">
        <f>[1]Emissions!AY876</f>
        <v>10.775754600000001</v>
      </c>
      <c r="BA411" s="6">
        <f>[1]Emissions!AZ876</f>
        <v>10.874895179999999</v>
      </c>
      <c r="BB411" s="6">
        <f>[1]Emissions!BA876</f>
        <v>12.04978725</v>
      </c>
      <c r="BC411" s="6">
        <f>[1]Emissions!BB876</f>
        <v>12.202265580000001</v>
      </c>
      <c r="BD411" s="6">
        <f>[1]Emissions!BC876</f>
        <v>12.35759285</v>
      </c>
      <c r="BE411" s="6">
        <f>[1]Emissions!BD876</f>
        <v>12.5157825</v>
      </c>
      <c r="BF411" s="6">
        <f>[1]Emissions!BE876</f>
        <v>12.67685193</v>
      </c>
    </row>
    <row r="412" spans="2:58" x14ac:dyDescent="0.35">
      <c r="B412" s="6" t="str">
        <f>[1]Emissions!A878</f>
        <v>ems_ci_co2_sech_2</v>
      </c>
      <c r="C412" s="6">
        <f>[1]Emissions!B878</f>
        <v>9.5964668549999992</v>
      </c>
      <c r="D412" s="6">
        <f>[1]Emissions!C878</f>
        <v>9.6710137960000004</v>
      </c>
      <c r="E412" s="6">
        <f>[1]Emissions!D878</f>
        <v>9.7476781490000004</v>
      </c>
      <c r="F412" s="6">
        <f>[1]Emissions!E878</f>
        <v>9.8252877870000006</v>
      </c>
      <c r="G412" s="6">
        <f>[1]Emissions!F878</f>
        <v>9.9068076289999993</v>
      </c>
      <c r="H412" s="6">
        <f>[1]Emissions!G878</f>
        <v>9.9940299229999994</v>
      </c>
      <c r="I412" s="6">
        <f>[1]Emissions!H878</f>
        <v>10.08053342</v>
      </c>
      <c r="J412" s="6">
        <f>[1]Emissions!I878</f>
        <v>10.169085900000001</v>
      </c>
      <c r="K412" s="6">
        <f>[1]Emissions!J878</f>
        <v>10.26056786</v>
      </c>
      <c r="L412" s="6">
        <f>[1]Emissions!K878</f>
        <v>10.35471261</v>
      </c>
      <c r="M412" s="6">
        <f>[1]Emissions!L878</f>
        <v>10.456589230000001</v>
      </c>
      <c r="N412" s="6">
        <f>[1]Emissions!M878</f>
        <v>10.561061840000001</v>
      </c>
      <c r="O412" s="6">
        <f>[1]Emissions!N878</f>
        <v>10.66572019</v>
      </c>
      <c r="P412" s="6">
        <f>[1]Emissions!O878</f>
        <v>10.77045195</v>
      </c>
      <c r="Q412" s="6">
        <f>[1]Emissions!P878</f>
        <v>10.8752938</v>
      </c>
      <c r="R412" s="6">
        <f>[1]Emissions!Q878</f>
        <v>10.98018368</v>
      </c>
      <c r="S412" s="6">
        <f>[1]Emissions!R878</f>
        <v>11.084836640000001</v>
      </c>
      <c r="T412" s="6">
        <f>[1]Emissions!S878</f>
        <v>11.189297850000001</v>
      </c>
      <c r="U412" s="6">
        <f>[1]Emissions!T878</f>
        <v>11.293534449999999</v>
      </c>
      <c r="V412" s="6">
        <f>[1]Emissions!U878</f>
        <v>11.39753853</v>
      </c>
      <c r="W412" s="6">
        <f>[1]Emissions!V878</f>
        <v>11.49347614</v>
      </c>
      <c r="X412" s="6">
        <f>[1]Emissions!W878</f>
        <v>11.59318524</v>
      </c>
      <c r="Y412" s="6">
        <f>[1]Emissions!X878</f>
        <v>11.695077299999999</v>
      </c>
      <c r="Z412" s="6">
        <f>[1]Emissions!Y878</f>
        <v>11.79810468</v>
      </c>
      <c r="AA412" s="6">
        <f>[1]Emissions!Z878</f>
        <v>11.90188899</v>
      </c>
      <c r="AB412" s="6">
        <f>[1]Emissions!AA878</f>
        <v>11.98440158</v>
      </c>
      <c r="AC412" s="6">
        <f>[1]Emissions!AB878</f>
        <v>12.068203260000001</v>
      </c>
      <c r="AD412" s="6">
        <f>[1]Emissions!AC878</f>
        <v>12.15356738</v>
      </c>
      <c r="AE412" s="6">
        <f>[1]Emissions!AD878</f>
        <v>12.240114159999999</v>
      </c>
      <c r="AF412" s="6">
        <f>[1]Emissions!AE878</f>
        <v>12.32776786</v>
      </c>
      <c r="AG412" s="6">
        <f>[1]Emissions!AF878</f>
        <v>12.416586669999999</v>
      </c>
      <c r="AH412" s="6">
        <f>[1]Emissions!AG878</f>
        <v>12.50671562</v>
      </c>
      <c r="AI412" s="6">
        <f>[1]Emissions!AH878</f>
        <v>12.59820245</v>
      </c>
      <c r="AJ412" s="6">
        <f>[1]Emissions!AI878</f>
        <v>12.69110993</v>
      </c>
      <c r="AK412" s="6">
        <f>[1]Emissions!AJ878</f>
        <v>12.785483449999999</v>
      </c>
      <c r="AL412" s="6">
        <f>[1]Emissions!AK878</f>
        <v>12.881344800000001</v>
      </c>
      <c r="AM412" s="6">
        <f>[1]Emissions!AL878</f>
        <v>12.974278780000001</v>
      </c>
      <c r="AN412" s="6">
        <f>[1]Emissions!AM878</f>
        <v>13.0663044</v>
      </c>
      <c r="AO412" s="6">
        <f>[1]Emissions!AN878</f>
        <v>13.158696170000001</v>
      </c>
      <c r="AP412" s="6">
        <f>[1]Emissions!AO878</f>
        <v>13.252056659999999</v>
      </c>
      <c r="AQ412" s="6">
        <f>[1]Emissions!AP878</f>
        <v>13.346645710000001</v>
      </c>
      <c r="AR412" s="6">
        <f>[1]Emissions!AQ878</f>
        <v>13.44264658</v>
      </c>
      <c r="AS412" s="6">
        <f>[1]Emissions!AR878</f>
        <v>13.54002391</v>
      </c>
      <c r="AT412" s="6">
        <f>[1]Emissions!AS878</f>
        <v>13.638768280000001</v>
      </c>
      <c r="AU412" s="6">
        <f>[1]Emissions!AT878</f>
        <v>13.738867920000001</v>
      </c>
      <c r="AV412" s="6">
        <f>[1]Emissions!AU878</f>
        <v>13.840303649999999</v>
      </c>
      <c r="AW412" s="6">
        <f>[1]Emissions!AV878</f>
        <v>13.943772190000001</v>
      </c>
      <c r="AX412" s="6">
        <f>[1]Emissions!AW878</f>
        <v>14.04882759</v>
      </c>
      <c r="AY412" s="6">
        <f>[1]Emissions!AX878</f>
        <v>14.155321410000001</v>
      </c>
      <c r="AZ412" s="6">
        <f>[1]Emissions!AY878</f>
        <v>14.263204740000001</v>
      </c>
      <c r="BA412" s="6">
        <f>[1]Emissions!AZ878</f>
        <v>14.372448090000001</v>
      </c>
      <c r="BB412" s="6">
        <f>[1]Emissions!BA878</f>
        <v>14.959048920000001</v>
      </c>
      <c r="BC412" s="6">
        <f>[1]Emissions!BB878</f>
        <v>15.108809000000001</v>
      </c>
      <c r="BD412" s="6">
        <f>[1]Emissions!BC878</f>
        <v>15.2610198</v>
      </c>
      <c r="BE412" s="6">
        <f>[1]Emissions!BD878</f>
        <v>15.41566873</v>
      </c>
      <c r="BF412" s="6">
        <f>[1]Emissions!BE878</f>
        <v>15.57277088</v>
      </c>
    </row>
    <row r="413" spans="2:58" x14ac:dyDescent="0.35">
      <c r="B413" s="6" t="str">
        <f>[1]Emissions!A880</f>
        <v>ems_ci_co2_seot_2</v>
      </c>
      <c r="C413" s="6">
        <f>[1]Emissions!B880</f>
        <v>1.3090350770000001</v>
      </c>
      <c r="D413" s="6">
        <f>[1]Emissions!C880</f>
        <v>1.3137026009999999</v>
      </c>
      <c r="E413" s="6">
        <f>[1]Emissions!D880</f>
        <v>1.3182875810000001</v>
      </c>
      <c r="F413" s="6">
        <f>[1]Emissions!E880</f>
        <v>1.3232975490000001</v>
      </c>
      <c r="G413" s="6">
        <f>[1]Emissions!F880</f>
        <v>1.32948877</v>
      </c>
      <c r="H413" s="6">
        <f>[1]Emissions!G880</f>
        <v>1.337139777</v>
      </c>
      <c r="I413" s="6">
        <f>[1]Emissions!H880</f>
        <v>1.345560256</v>
      </c>
      <c r="J413" s="6">
        <f>[1]Emissions!I880</f>
        <v>1.3548162450000001</v>
      </c>
      <c r="K413" s="6">
        <f>[1]Emissions!J880</f>
        <v>1.3647709269999999</v>
      </c>
      <c r="L413" s="6">
        <f>[1]Emissions!K880</f>
        <v>1.375234909</v>
      </c>
      <c r="M413" s="6">
        <f>[1]Emissions!L880</f>
        <v>1.3858177119999999</v>
      </c>
      <c r="N413" s="6">
        <f>[1]Emissions!M880</f>
        <v>1.3976674120000001</v>
      </c>
      <c r="O413" s="6">
        <f>[1]Emissions!N880</f>
        <v>1.409987699</v>
      </c>
      <c r="P413" s="6">
        <f>[1]Emissions!O880</f>
        <v>1.422540548</v>
      </c>
      <c r="Q413" s="6">
        <f>[1]Emissions!P880</f>
        <v>1.4352401800000001</v>
      </c>
      <c r="R413" s="6">
        <f>[1]Emissions!Q880</f>
        <v>1.448037698</v>
      </c>
      <c r="S413" s="6">
        <f>[1]Emissions!R880</f>
        <v>1.4608505119999999</v>
      </c>
      <c r="T413" s="6">
        <f>[1]Emissions!S880</f>
        <v>1.473687961</v>
      </c>
      <c r="U413" s="6">
        <f>[1]Emissions!T880</f>
        <v>1.486544774</v>
      </c>
      <c r="V413" s="6">
        <f>[1]Emissions!U880</f>
        <v>1.4994188580000001</v>
      </c>
      <c r="W413" s="6">
        <f>[1]Emissions!V880</f>
        <v>1.511572643</v>
      </c>
      <c r="X413" s="6">
        <f>[1]Emissions!W880</f>
        <v>1.524129976</v>
      </c>
      <c r="Y413" s="6">
        <f>[1]Emissions!X880</f>
        <v>1.5369102809999999</v>
      </c>
      <c r="Z413" s="6">
        <f>[1]Emissions!Y880</f>
        <v>1.549845444</v>
      </c>
      <c r="AA413" s="6">
        <f>[1]Emissions!Z880</f>
        <v>1.5629279739999999</v>
      </c>
      <c r="AB413" s="6">
        <f>[1]Emissions!AA880</f>
        <v>1.5740573870000001</v>
      </c>
      <c r="AC413" s="6">
        <f>[1]Emissions!AB880</f>
        <v>1.585432978</v>
      </c>
      <c r="AD413" s="6">
        <f>[1]Emissions!AC880</f>
        <v>1.596976868</v>
      </c>
      <c r="AE413" s="6">
        <f>[1]Emissions!AD880</f>
        <v>1.608672211</v>
      </c>
      <c r="AF413" s="6">
        <f>[1]Emissions!AE880</f>
        <v>1.6205500639999999</v>
      </c>
      <c r="AG413" s="6">
        <f>[1]Emissions!AF880</f>
        <v>1.6326488400000001</v>
      </c>
      <c r="AH413" s="6">
        <f>[1]Emissions!AG880</f>
        <v>1.6450161409999999</v>
      </c>
      <c r="AI413" s="6">
        <f>[1]Emissions!AH880</f>
        <v>1.6576683400000001</v>
      </c>
      <c r="AJ413" s="6">
        <f>[1]Emissions!AI880</f>
        <v>1.670621479</v>
      </c>
      <c r="AK413" s="6">
        <f>[1]Emissions!AJ880</f>
        <v>1.6838864659999999</v>
      </c>
      <c r="AL413" s="6">
        <f>[1]Emissions!AK880</f>
        <v>1.697468666</v>
      </c>
      <c r="AM413" s="6">
        <f>[1]Emissions!AL880</f>
        <v>1.7110095279999999</v>
      </c>
      <c r="AN413" s="6">
        <f>[1]Emissions!AM880</f>
        <v>1.7246578269999999</v>
      </c>
      <c r="AO413" s="6">
        <f>[1]Emissions!AN880</f>
        <v>1.738501538</v>
      </c>
      <c r="AP413" s="6">
        <f>[1]Emissions!AO880</f>
        <v>1.7525849659999999</v>
      </c>
      <c r="AQ413" s="6">
        <f>[1]Emissions!AP880</f>
        <v>1.766930879</v>
      </c>
      <c r="AR413" s="6">
        <f>[1]Emissions!AQ880</f>
        <v>1.781573786</v>
      </c>
      <c r="AS413" s="6">
        <f>[1]Emissions!AR880</f>
        <v>1.796504342</v>
      </c>
      <c r="AT413" s="6">
        <f>[1]Emissions!AS880</f>
        <v>1.811721497</v>
      </c>
      <c r="AU413" s="6">
        <f>[1]Emissions!AT880</f>
        <v>1.8272246750000001</v>
      </c>
      <c r="AV413" s="6">
        <f>[1]Emissions!AU880</f>
        <v>1.8430119410000001</v>
      </c>
      <c r="AW413" s="6">
        <f>[1]Emissions!AV880</f>
        <v>1.859206304</v>
      </c>
      <c r="AX413" s="6">
        <f>[1]Emissions!AW880</f>
        <v>1.875731099</v>
      </c>
      <c r="AY413" s="6">
        <f>[1]Emissions!AX880</f>
        <v>1.8925637280000001</v>
      </c>
      <c r="AZ413" s="6">
        <f>[1]Emissions!AY880</f>
        <v>1.909696573</v>
      </c>
      <c r="BA413" s="6">
        <f>[1]Emissions!AZ880</f>
        <v>1.9271244199999999</v>
      </c>
      <c r="BB413" s="6">
        <f>[1]Emissions!BA880</f>
        <v>2.1598708860000002</v>
      </c>
      <c r="BC413" s="6">
        <f>[1]Emissions!BB880</f>
        <v>2.187238834</v>
      </c>
      <c r="BD413" s="6">
        <f>[1]Emissions!BC880</f>
        <v>2.2150941770000001</v>
      </c>
      <c r="BE413" s="6">
        <f>[1]Emissions!BD880</f>
        <v>2.2434400540000001</v>
      </c>
      <c r="BF413" s="6">
        <f>[1]Emissions!BE880</f>
        <v>2.272280496</v>
      </c>
    </row>
    <row r="414" spans="2:58" x14ac:dyDescent="0.35">
      <c r="B414" s="6" t="str">
        <f>[1]Emissions!A882</f>
        <v>ems_y_co2_sagr_2</v>
      </c>
      <c r="C414" s="6">
        <f>[1]Emissions!B882</f>
        <v>2.7083075099999999E-2</v>
      </c>
      <c r="D414" s="6">
        <f>[1]Emissions!C882</f>
        <v>2.7146355300000001E-2</v>
      </c>
      <c r="E414" s="6">
        <f>[1]Emissions!D882</f>
        <v>2.7283454200000001E-2</v>
      </c>
      <c r="F414" s="6">
        <f>[1]Emissions!E882</f>
        <v>2.7485447900000001E-2</v>
      </c>
      <c r="G414" s="6">
        <f>[1]Emissions!F882</f>
        <v>2.7745162199999999E-2</v>
      </c>
      <c r="H414" s="6">
        <f>[1]Emissions!G882</f>
        <v>2.8053501599999999E-2</v>
      </c>
      <c r="I414" s="6">
        <f>[1]Emissions!H882</f>
        <v>2.8384223600000001E-2</v>
      </c>
      <c r="J414" s="6">
        <f>[1]Emissions!I882</f>
        <v>2.87391548E-2</v>
      </c>
      <c r="K414" s="6">
        <f>[1]Emissions!J882</f>
        <v>2.9113834299999999E-2</v>
      </c>
      <c r="L414" s="6">
        <f>[1]Emissions!K882</f>
        <v>2.9504267000000001E-2</v>
      </c>
      <c r="M414" s="6">
        <f>[1]Emissions!L882</f>
        <v>2.9895932399999998E-2</v>
      </c>
      <c r="N414" s="6">
        <f>[1]Emissions!M882</f>
        <v>3.0337779400000001E-2</v>
      </c>
      <c r="O414" s="6">
        <f>[1]Emissions!N882</f>
        <v>3.07924238E-2</v>
      </c>
      <c r="P414" s="6">
        <f>[1]Emissions!O882</f>
        <v>3.12562786E-2</v>
      </c>
      <c r="Q414" s="6">
        <f>[1]Emissions!P882</f>
        <v>3.1727409499999998E-2</v>
      </c>
      <c r="R414" s="6">
        <f>[1]Emissions!Q882</f>
        <v>3.22044108E-2</v>
      </c>
      <c r="S414" s="6">
        <f>[1]Emissions!R882</f>
        <v>3.2684499700000001E-2</v>
      </c>
      <c r="T414" s="6">
        <f>[1]Emissions!S882</f>
        <v>3.3167797999999998E-2</v>
      </c>
      <c r="U414" s="6">
        <f>[1]Emissions!T882</f>
        <v>3.3653886299999998E-2</v>
      </c>
      <c r="V414" s="6">
        <f>[1]Emissions!U882</f>
        <v>3.4142595099999999E-2</v>
      </c>
      <c r="W414" s="6">
        <f>[1]Emissions!V882</f>
        <v>3.46128562E-2</v>
      </c>
      <c r="X414" s="6">
        <f>[1]Emissions!W882</f>
        <v>3.5097333600000002E-2</v>
      </c>
      <c r="Y414" s="6">
        <f>[1]Emissions!X882</f>
        <v>3.5587450200000002E-2</v>
      </c>
      <c r="Z414" s="6">
        <f>[1]Emissions!Y882</f>
        <v>3.6082806000000002E-2</v>
      </c>
      <c r="AA414" s="6">
        <f>[1]Emissions!Z882</f>
        <v>3.65834279E-2</v>
      </c>
      <c r="AB414" s="6">
        <f>[1]Emissions!AA882</f>
        <v>3.7029085099999998E-2</v>
      </c>
      <c r="AC414" s="6">
        <f>[1]Emissions!AB882</f>
        <v>3.7485071100000003E-2</v>
      </c>
      <c r="AD414" s="6">
        <f>[1]Emissions!AC882</f>
        <v>3.7941279100000003E-2</v>
      </c>
      <c r="AE414" s="6">
        <f>[1]Emissions!AD882</f>
        <v>3.8399325300000002E-2</v>
      </c>
      <c r="AF414" s="6">
        <f>[1]Emissions!AE882</f>
        <v>3.8860991499999997E-2</v>
      </c>
      <c r="AG414" s="6">
        <f>[1]Emissions!AF882</f>
        <v>3.9327748099999997E-2</v>
      </c>
      <c r="AH414" s="6">
        <f>[1]Emissions!AG882</f>
        <v>3.9801180200000001E-2</v>
      </c>
      <c r="AI414" s="6">
        <f>[1]Emissions!AH882</f>
        <v>4.0281758600000002E-2</v>
      </c>
      <c r="AJ414" s="6">
        <f>[1]Emissions!AI882</f>
        <v>4.07698887E-2</v>
      </c>
      <c r="AK414" s="6">
        <f>[1]Emissions!AJ882</f>
        <v>4.1265754000000002E-2</v>
      </c>
      <c r="AL414" s="6">
        <f>[1]Emissions!AK882</f>
        <v>4.1769404900000001E-2</v>
      </c>
      <c r="AM414" s="6">
        <f>[1]Emissions!AL882</f>
        <v>4.2271278900000001E-2</v>
      </c>
      <c r="AN414" s="6">
        <f>[1]Emissions!AM882</f>
        <v>4.2776427399999997E-2</v>
      </c>
      <c r="AO414" s="6">
        <f>[1]Emissions!AN882</f>
        <v>4.3286190400000001E-2</v>
      </c>
      <c r="AP414" s="6">
        <f>[1]Emissions!AO882</f>
        <v>4.3801327700000003E-2</v>
      </c>
      <c r="AQ414" s="6">
        <f>[1]Emissions!AP882</f>
        <v>4.4322456199999999E-2</v>
      </c>
      <c r="AR414" s="6">
        <f>[1]Emissions!AQ882</f>
        <v>4.4850926399999998E-2</v>
      </c>
      <c r="AS414" s="6">
        <f>[1]Emissions!AR882</f>
        <v>4.5386779500000002E-2</v>
      </c>
      <c r="AT414" s="6">
        <f>[1]Emissions!AS882</f>
        <v>4.5930279900000003E-2</v>
      </c>
      <c r="AU414" s="6">
        <f>[1]Emissions!AT882</f>
        <v>4.6481555000000001E-2</v>
      </c>
      <c r="AV414" s="6">
        <f>[1]Emissions!AU882</f>
        <v>4.7040643799999997E-2</v>
      </c>
      <c r="AW414" s="6">
        <f>[1]Emissions!AV882</f>
        <v>4.7611710199999997E-2</v>
      </c>
      <c r="AX414" s="6">
        <f>[1]Emissions!AW882</f>
        <v>4.81926035E-2</v>
      </c>
      <c r="AY414" s="6">
        <f>[1]Emissions!AX882</f>
        <v>4.8782867600000002E-2</v>
      </c>
      <c r="AZ414" s="6">
        <f>[1]Emissions!AY882</f>
        <v>4.9382013099999997E-2</v>
      </c>
      <c r="BA414" s="6">
        <f>[1]Emissions!AZ882</f>
        <v>4.9989622300000001E-2</v>
      </c>
      <c r="BB414" s="6">
        <f>[1]Emissions!BA882</f>
        <v>6.0330790299999999E-2</v>
      </c>
      <c r="BC414" s="6">
        <f>[1]Emissions!BB882</f>
        <v>6.1318025399999997E-2</v>
      </c>
      <c r="BD414" s="6">
        <f>[1]Emissions!BC882</f>
        <v>6.2321753899999999E-2</v>
      </c>
      <c r="BE414" s="6">
        <f>[1]Emissions!BD882</f>
        <v>6.3342322300000004E-2</v>
      </c>
      <c r="BF414" s="6">
        <f>[1]Emissions!BE882</f>
        <v>6.4380092700000002E-2</v>
      </c>
    </row>
    <row r="415" spans="2:58" x14ac:dyDescent="0.35">
      <c r="B415" s="6" t="str">
        <f>[1]Emissions!A883</f>
        <v>ems_mat_co2_spub_2</v>
      </c>
      <c r="C415" s="6">
        <f>[1]Emissions!B883</f>
        <v>4.2751551729999999</v>
      </c>
      <c r="D415" s="6">
        <f>[1]Emissions!C883</f>
        <v>4.3315130279999998</v>
      </c>
      <c r="E415" s="6">
        <f>[1]Emissions!D883</f>
        <v>4.3946335310000002</v>
      </c>
      <c r="F415" s="6">
        <f>[1]Emissions!E883</f>
        <v>4.4608968300000003</v>
      </c>
      <c r="G415" s="6">
        <f>[1]Emissions!F883</f>
        <v>4.5297102359999997</v>
      </c>
      <c r="H415" s="6">
        <f>[1]Emissions!G883</f>
        <v>4.6008297000000002</v>
      </c>
      <c r="I415" s="6">
        <f>[1]Emissions!H883</f>
        <v>4.6703248300000002</v>
      </c>
      <c r="J415" s="6">
        <f>[1]Emissions!I883</f>
        <v>4.7409645459999998</v>
      </c>
      <c r="K415" s="6">
        <f>[1]Emissions!J883</f>
        <v>4.813007968</v>
      </c>
      <c r="L415" s="6">
        <f>[1]Emissions!K883</f>
        <v>4.8864098629999999</v>
      </c>
      <c r="M415" s="6">
        <f>[1]Emissions!L883</f>
        <v>4.9667291689999997</v>
      </c>
      <c r="N415" s="6">
        <f>[1]Emissions!M883</f>
        <v>5.0440184910000001</v>
      </c>
      <c r="O415" s="6">
        <f>[1]Emissions!N883</f>
        <v>5.1221865270000002</v>
      </c>
      <c r="P415" s="6">
        <f>[1]Emissions!O883</f>
        <v>5.2016177490000004</v>
      </c>
      <c r="Q415" s="6">
        <f>[1]Emissions!P883</f>
        <v>5.2823104900000004</v>
      </c>
      <c r="R415" s="6">
        <f>[1]Emissions!Q883</f>
        <v>5.3642337700000002</v>
      </c>
      <c r="S415" s="6">
        <f>[1]Emissions!R883</f>
        <v>5.4473219320000004</v>
      </c>
      <c r="T415" s="6">
        <f>[1]Emissions!S883</f>
        <v>5.5315817239999996</v>
      </c>
      <c r="U415" s="6">
        <f>[1]Emissions!T883</f>
        <v>5.6170169369999998</v>
      </c>
      <c r="V415" s="6">
        <f>[1]Emissions!U883</f>
        <v>5.7036350010000003</v>
      </c>
      <c r="W415" s="6">
        <f>[1]Emissions!V883</f>
        <v>5.7866278480000002</v>
      </c>
      <c r="X415" s="6">
        <f>[1]Emissions!W883</f>
        <v>5.8747219570000002</v>
      </c>
      <c r="Y415" s="6">
        <f>[1]Emissions!X883</f>
        <v>5.9645946170000004</v>
      </c>
      <c r="Z415" s="6">
        <f>[1]Emissions!Y883</f>
        <v>6.0558421989999998</v>
      </c>
      <c r="AA415" s="6">
        <f>[1]Emissions!Z883</f>
        <v>6.1484319469999997</v>
      </c>
      <c r="AB415" s="6">
        <f>[1]Emissions!AA883</f>
        <v>6.2284222790000001</v>
      </c>
      <c r="AC415" s="6">
        <f>[1]Emissions!AB883</f>
        <v>6.3144443480000003</v>
      </c>
      <c r="AD415" s="6">
        <f>[1]Emissions!AC883</f>
        <v>6.4020869869999997</v>
      </c>
      <c r="AE415" s="6">
        <f>[1]Emissions!AD883</f>
        <v>6.4908686270000002</v>
      </c>
      <c r="AF415" s="6">
        <f>[1]Emissions!AE883</f>
        <v>6.5808001950000001</v>
      </c>
      <c r="AG415" s="6">
        <f>[1]Emissions!AF883</f>
        <v>6.671944388</v>
      </c>
      <c r="AH415" s="6">
        <f>[1]Emissions!AG883</f>
        <v>6.7643699919999998</v>
      </c>
      <c r="AI415" s="6">
        <f>[1]Emissions!AH883</f>
        <v>6.8581137380000001</v>
      </c>
      <c r="AJ415" s="6">
        <f>[1]Emissions!AI883</f>
        <v>6.9532042220000001</v>
      </c>
      <c r="AK415" s="6">
        <f>[1]Emissions!AJ883</f>
        <v>7.0496629449999997</v>
      </c>
      <c r="AL415" s="6">
        <f>[1]Emissions!AK883</f>
        <v>7.1475069299999996</v>
      </c>
      <c r="AM415" s="6">
        <f>[1]Emissions!AL883</f>
        <v>7.2434868029999997</v>
      </c>
      <c r="AN415" s="6">
        <f>[1]Emissions!AM883</f>
        <v>7.340259971</v>
      </c>
      <c r="AO415" s="6">
        <f>[1]Emissions!AN883</f>
        <v>7.4381935549999998</v>
      </c>
      <c r="AP415" s="6">
        <f>[1]Emissions!AO883</f>
        <v>7.5373695039999999</v>
      </c>
      <c r="AQ415" s="6">
        <f>[1]Emissions!AP883</f>
        <v>7.6378352469999999</v>
      </c>
      <c r="AR415" s="6">
        <f>[1]Emissions!AQ883</f>
        <v>7.7396539459999998</v>
      </c>
      <c r="AS415" s="6">
        <f>[1]Emissions!AR883</f>
        <v>7.8428538760000004</v>
      </c>
      <c r="AT415" s="6">
        <f>[1]Emissions!AS883</f>
        <v>7.9474627629999999</v>
      </c>
      <c r="AU415" s="6">
        <f>[1]Emissions!AT883</f>
        <v>8.0535042719999996</v>
      </c>
      <c r="AV415" s="6">
        <f>[1]Emissions!AU883</f>
        <v>8.1609981670000007</v>
      </c>
      <c r="AW415" s="6">
        <f>[1]Emissions!AV883</f>
        <v>8.270345399</v>
      </c>
      <c r="AX415" s="6">
        <f>[1]Emissions!AW883</f>
        <v>8.3812835939999992</v>
      </c>
      <c r="AY415" s="6">
        <f>[1]Emissions!AX883</f>
        <v>8.4937784910000005</v>
      </c>
      <c r="AZ415" s="6">
        <f>[1]Emissions!AY883</f>
        <v>8.6078285149999996</v>
      </c>
      <c r="BA415" s="6">
        <f>[1]Emissions!AZ883</f>
        <v>8.7234395330000005</v>
      </c>
      <c r="BB415" s="6">
        <f>[1]Emissions!BA883</f>
        <v>9.7775559039999997</v>
      </c>
      <c r="BC415" s="6">
        <f>[1]Emissions!BB883</f>
        <v>9.9451361689999995</v>
      </c>
      <c r="BD415" s="6">
        <f>[1]Emissions!BC883</f>
        <v>10.115565180000001</v>
      </c>
      <c r="BE415" s="6">
        <f>[1]Emissions!BD883</f>
        <v>10.288894020000001</v>
      </c>
      <c r="BF415" s="6">
        <f>[1]Emissions!BE883</f>
        <v>10.46517543</v>
      </c>
    </row>
    <row r="416" spans="2:58" x14ac:dyDescent="0.35">
      <c r="B416" s="6" t="str">
        <f>[1]Emissions!A884</f>
        <v>ems_mat_co2_sgla_2</v>
      </c>
      <c r="C416" s="6">
        <f>[1]Emissions!B884</f>
        <v>10.803147940000001</v>
      </c>
      <c r="D416" s="6">
        <f>[1]Emissions!C884</f>
        <v>10.87079584</v>
      </c>
      <c r="E416" s="6">
        <f>[1]Emissions!D884</f>
        <v>10.9738769</v>
      </c>
      <c r="F416" s="6">
        <f>[1]Emissions!E884</f>
        <v>11.09716463</v>
      </c>
      <c r="G416" s="6">
        <f>[1]Emissions!F884</f>
        <v>11.235013009999999</v>
      </c>
      <c r="H416" s="6">
        <f>[1]Emissions!G884</f>
        <v>11.38401867</v>
      </c>
      <c r="I416" s="6">
        <f>[1]Emissions!H884</f>
        <v>11.53608496</v>
      </c>
      <c r="J416" s="6">
        <f>[1]Emissions!I884</f>
        <v>11.692066499999999</v>
      </c>
      <c r="K416" s="6">
        <f>[1]Emissions!J884</f>
        <v>11.851717219999999</v>
      </c>
      <c r="L416" s="6">
        <f>[1]Emissions!K884</f>
        <v>12.01465509</v>
      </c>
      <c r="M416" s="6">
        <f>[1]Emissions!L884</f>
        <v>12.176615760000001</v>
      </c>
      <c r="N416" s="6">
        <f>[1]Emissions!M884</f>
        <v>12.35441496</v>
      </c>
      <c r="O416" s="6">
        <f>[1]Emissions!N884</f>
        <v>12.538171180000001</v>
      </c>
      <c r="P416" s="6">
        <f>[1]Emissions!O884</f>
        <v>12.725622850000001</v>
      </c>
      <c r="Q416" s="6">
        <f>[1]Emissions!P884</f>
        <v>12.91605884</v>
      </c>
      <c r="R416" s="6">
        <f>[1]Emissions!Q884</f>
        <v>13.109227130000001</v>
      </c>
      <c r="S416" s="6">
        <f>[1]Emissions!R884</f>
        <v>13.30440533</v>
      </c>
      <c r="T416" s="6">
        <f>[1]Emissions!S884</f>
        <v>13.50204347</v>
      </c>
      <c r="U416" s="6">
        <f>[1]Emissions!T884</f>
        <v>13.702346220000001</v>
      </c>
      <c r="V416" s="6">
        <f>[1]Emissions!U884</f>
        <v>13.905490650000001</v>
      </c>
      <c r="W416" s="6">
        <f>[1]Emissions!V884</f>
        <v>14.104702100000001</v>
      </c>
      <c r="X416" s="6">
        <f>[1]Emissions!W884</f>
        <v>14.31014712</v>
      </c>
      <c r="Y416" s="6">
        <f>[1]Emissions!X884</f>
        <v>14.520140169999999</v>
      </c>
      <c r="Z416" s="6">
        <f>[1]Emissions!Y884</f>
        <v>14.734336989999999</v>
      </c>
      <c r="AA416" s="6">
        <f>[1]Emissions!Z884</f>
        <v>14.95269862</v>
      </c>
      <c r="AB416" s="6">
        <f>[1]Emissions!AA884</f>
        <v>15.15530313</v>
      </c>
      <c r="AC416" s="6">
        <f>[1]Emissions!AB884</f>
        <v>15.36163459</v>
      </c>
      <c r="AD416" s="6">
        <f>[1]Emissions!AC884</f>
        <v>15.570226419999999</v>
      </c>
      <c r="AE416" s="6">
        <f>[1]Emissions!AD884</f>
        <v>15.78113345</v>
      </c>
      <c r="AF416" s="6">
        <f>[1]Emissions!AE884</f>
        <v>15.99465399</v>
      </c>
      <c r="AG416" s="6">
        <f>[1]Emissions!AF884</f>
        <v>16.211060109999998</v>
      </c>
      <c r="AH416" s="6">
        <f>[1]Emissions!AG884</f>
        <v>16.430741430000001</v>
      </c>
      <c r="AI416" s="6">
        <f>[1]Emissions!AH884</f>
        <v>16.65368037</v>
      </c>
      <c r="AJ416" s="6">
        <f>[1]Emissions!AI884</f>
        <v>16.879864529999999</v>
      </c>
      <c r="AK416" s="6">
        <f>[1]Emissions!AJ884</f>
        <v>17.10923249</v>
      </c>
      <c r="AL416" s="6">
        <f>[1]Emissions!AK884</f>
        <v>17.341682290000001</v>
      </c>
      <c r="AM416" s="6">
        <f>[1]Emissions!AL884</f>
        <v>17.574224600000001</v>
      </c>
      <c r="AN416" s="6">
        <f>[1]Emissions!AM884</f>
        <v>17.807595030000002</v>
      </c>
      <c r="AO416" s="6">
        <f>[1]Emissions!AN884</f>
        <v>18.042142460000001</v>
      </c>
      <c r="AP416" s="6">
        <f>[1]Emissions!AO884</f>
        <v>18.278035819999999</v>
      </c>
      <c r="AQ416" s="6">
        <f>[1]Emissions!AP884</f>
        <v>18.515376870000001</v>
      </c>
      <c r="AR416" s="6">
        <f>[1]Emissions!AQ884</f>
        <v>18.75456853</v>
      </c>
      <c r="AS416" s="6">
        <f>[1]Emissions!AR884</f>
        <v>18.99548476</v>
      </c>
      <c r="AT416" s="6">
        <f>[1]Emissions!AS884</f>
        <v>19.238117469999999</v>
      </c>
      <c r="AU416" s="6">
        <f>[1]Emissions!AT884</f>
        <v>19.48246284</v>
      </c>
      <c r="AV416" s="6">
        <f>[1]Emissions!AU884</f>
        <v>19.728508120000001</v>
      </c>
      <c r="AW416" s="6">
        <f>[1]Emissions!AV884</f>
        <v>19.977842500000001</v>
      </c>
      <c r="AX416" s="6">
        <f>[1]Emissions!AW884</f>
        <v>20.229609679999999</v>
      </c>
      <c r="AY416" s="6">
        <f>[1]Emissions!AX884</f>
        <v>20.483549239999999</v>
      </c>
      <c r="AZ416" s="6">
        <f>[1]Emissions!AY884</f>
        <v>20.73952182</v>
      </c>
      <c r="BA416" s="6">
        <f>[1]Emissions!AZ884</f>
        <v>20.99744033</v>
      </c>
      <c r="BB416" s="6">
        <f>[1]Emissions!BA884</f>
        <v>26.151007839999998</v>
      </c>
      <c r="BC416" s="6">
        <f>[1]Emissions!BB884</f>
        <v>26.62064466</v>
      </c>
      <c r="BD416" s="6">
        <f>[1]Emissions!BC884</f>
        <v>27.0963384</v>
      </c>
      <c r="BE416" s="6">
        <f>[1]Emissions!BD884</f>
        <v>27.578048559999999</v>
      </c>
      <c r="BF416" s="6">
        <f>[1]Emissions!BE884</f>
        <v>28.065744420000001</v>
      </c>
    </row>
    <row r="418" spans="1:58" x14ac:dyDescent="0.35">
      <c r="A418" s="12" t="s">
        <v>92</v>
      </c>
      <c r="B418" t="s">
        <v>7</v>
      </c>
      <c r="C418" s="6">
        <f>C388+C389+C414</f>
        <v>14.687213681399999</v>
      </c>
      <c r="D418" s="6">
        <f t="shared" ref="D418:AL418" si="228">D388+D389+D414</f>
        <v>14.712728003099999</v>
      </c>
      <c r="E418" s="6">
        <f t="shared" si="228"/>
        <v>14.7676819046</v>
      </c>
      <c r="F418" s="6">
        <f t="shared" si="228"/>
        <v>14.858232064199999</v>
      </c>
      <c r="G418" s="6">
        <f t="shared" si="228"/>
        <v>14.9844223637</v>
      </c>
      <c r="H418" s="6">
        <f t="shared" si="228"/>
        <v>15.143015535300002</v>
      </c>
      <c r="I418" s="6">
        <f t="shared" si="228"/>
        <v>15.32119732</v>
      </c>
      <c r="J418" s="6">
        <f t="shared" si="228"/>
        <v>15.517616115199999</v>
      </c>
      <c r="K418" s="6">
        <f t="shared" si="228"/>
        <v>15.7293141001</v>
      </c>
      <c r="L418" s="6">
        <f t="shared" si="228"/>
        <v>15.953424440599999</v>
      </c>
      <c r="M418" s="6">
        <f t="shared" si="228"/>
        <v>16.181657825199999</v>
      </c>
      <c r="N418" s="6">
        <f t="shared" si="228"/>
        <v>16.438833750000001</v>
      </c>
      <c r="O418" s="6">
        <f t="shared" si="228"/>
        <v>16.708026579799999</v>
      </c>
      <c r="P418" s="6">
        <f t="shared" si="228"/>
        <v>16.985541434400002</v>
      </c>
      <c r="Q418" s="6">
        <f t="shared" si="228"/>
        <v>17.269783724900002</v>
      </c>
      <c r="R418" s="6">
        <f t="shared" si="228"/>
        <v>17.559551995599996</v>
      </c>
      <c r="S418" s="6">
        <f t="shared" si="228"/>
        <v>17.8549381586</v>
      </c>
      <c r="T418" s="6">
        <f t="shared" si="228"/>
        <v>18.153800095400001</v>
      </c>
      <c r="U418" s="6">
        <f t="shared" si="228"/>
        <v>18.455410940100002</v>
      </c>
      <c r="V418" s="6">
        <f t="shared" si="228"/>
        <v>18.759390660000001</v>
      </c>
      <c r="W418" s="6">
        <f t="shared" si="228"/>
        <v>19.054781759699999</v>
      </c>
      <c r="X418" s="6">
        <f t="shared" si="228"/>
        <v>19.356646981199997</v>
      </c>
      <c r="Y418" s="6">
        <f t="shared" si="228"/>
        <v>19.662404942399998</v>
      </c>
      <c r="Z418" s="6">
        <f t="shared" si="228"/>
        <v>19.971515932199999</v>
      </c>
      <c r="AA418" s="6">
        <f t="shared" si="228"/>
        <v>20.283919598099999</v>
      </c>
      <c r="AB418" s="6">
        <f t="shared" si="228"/>
        <v>20.5685713419</v>
      </c>
      <c r="AC418" s="6">
        <f t="shared" si="228"/>
        <v>20.8539664137</v>
      </c>
      <c r="AD418" s="6">
        <f t="shared" si="228"/>
        <v>21.139378197199999</v>
      </c>
      <c r="AE418" s="6">
        <f t="shared" si="228"/>
        <v>21.425569302799996</v>
      </c>
      <c r="AF418" s="6">
        <f t="shared" si="228"/>
        <v>21.7135957534</v>
      </c>
      <c r="AG418" s="6">
        <f t="shared" si="228"/>
        <v>22.004410266099999</v>
      </c>
      <c r="AH418" s="6">
        <f t="shared" si="228"/>
        <v>22.298428791400003</v>
      </c>
      <c r="AI418" s="6">
        <f t="shared" si="228"/>
        <v>22.596641626299999</v>
      </c>
      <c r="AJ418" s="6">
        <f t="shared" si="228"/>
        <v>22.899498486400002</v>
      </c>
      <c r="AK418" s="6">
        <f t="shared" si="228"/>
        <v>23.207270951100003</v>
      </c>
      <c r="AL418" s="6">
        <f t="shared" si="228"/>
        <v>23.520132436400001</v>
      </c>
      <c r="AM418" s="6">
        <f t="shared" ref="AM418:BC418" si="229">AM388+AM389+AM414</f>
        <v>23.827425545199997</v>
      </c>
      <c r="AN418" s="6">
        <f t="shared" si="229"/>
        <v>24.136194597100001</v>
      </c>
      <c r="AO418" s="6">
        <f t="shared" si="229"/>
        <v>24.448059867000001</v>
      </c>
      <c r="AP418" s="6">
        <f t="shared" si="229"/>
        <v>24.763679704400001</v>
      </c>
      <c r="AQ418" s="6">
        <f t="shared" si="229"/>
        <v>25.083493193599999</v>
      </c>
      <c r="AR418" s="6">
        <f t="shared" si="229"/>
        <v>25.407288695399998</v>
      </c>
      <c r="AS418" s="6">
        <f t="shared" si="229"/>
        <v>25.736027935499997</v>
      </c>
      <c r="AT418" s="6">
        <f t="shared" si="229"/>
        <v>26.069979176999997</v>
      </c>
      <c r="AU418" s="6">
        <f t="shared" si="229"/>
        <v>26.4092568921</v>
      </c>
      <c r="AV418" s="6">
        <f t="shared" si="229"/>
        <v>26.753909672799999</v>
      </c>
      <c r="AW418" s="6">
        <f t="shared" si="229"/>
        <v>27.102605729500002</v>
      </c>
      <c r="AX418" s="6">
        <f t="shared" si="229"/>
        <v>27.4575270335</v>
      </c>
      <c r="AY418" s="6">
        <f t="shared" si="229"/>
        <v>27.818762260499998</v>
      </c>
      <c r="AZ418" s="6">
        <f t="shared" si="229"/>
        <v>28.1861166043</v>
      </c>
      <c r="BA418" s="6">
        <f t="shared" si="229"/>
        <v>28.559372675199999</v>
      </c>
      <c r="BB418" s="6">
        <f t="shared" si="229"/>
        <v>33.038369309300002</v>
      </c>
      <c r="BC418" s="6">
        <f t="shared" si="229"/>
        <v>33.580844579100003</v>
      </c>
      <c r="BD418" s="6">
        <f t="shared" ref="BD418:BF418" si="230">BD388+BD389+BD414</f>
        <v>34.1316481677</v>
      </c>
      <c r="BE418" s="6">
        <f t="shared" si="230"/>
        <v>34.691060451600002</v>
      </c>
      <c r="BF418" s="6">
        <f t="shared" si="230"/>
        <v>35.2593594744</v>
      </c>
    </row>
    <row r="419" spans="1:58" x14ac:dyDescent="0.35">
      <c r="A419" t="s">
        <v>39</v>
      </c>
      <c r="B419" t="s">
        <v>64</v>
      </c>
      <c r="C419" s="6">
        <f>C390</f>
        <v>8.6334359149999997</v>
      </c>
      <c r="D419" s="6">
        <f t="shared" ref="D419:AL419" si="231">D390</f>
        <v>8.6429747320000008</v>
      </c>
      <c r="E419" s="6">
        <f t="shared" si="231"/>
        <v>8.6690369260000004</v>
      </c>
      <c r="F419" s="6">
        <f t="shared" si="231"/>
        <v>8.7141431639999993</v>
      </c>
      <c r="G419" s="6">
        <f t="shared" si="231"/>
        <v>8.7801763279999996</v>
      </c>
      <c r="H419" s="6">
        <f t="shared" si="231"/>
        <v>8.8663526430000008</v>
      </c>
      <c r="I419" s="6">
        <f t="shared" si="231"/>
        <v>8.9653582420000006</v>
      </c>
      <c r="J419" s="6">
        <f t="shared" si="231"/>
        <v>9.0763106199999992</v>
      </c>
      <c r="K419" s="6">
        <f t="shared" si="231"/>
        <v>9.1972282199999995</v>
      </c>
      <c r="L419" s="6">
        <f t="shared" si="231"/>
        <v>9.3261694639999995</v>
      </c>
      <c r="M419" s="6">
        <f t="shared" si="231"/>
        <v>9.459640469</v>
      </c>
      <c r="N419" s="6">
        <f t="shared" si="231"/>
        <v>9.6066678509999992</v>
      </c>
      <c r="O419" s="6">
        <f t="shared" si="231"/>
        <v>9.7606152359999996</v>
      </c>
      <c r="P419" s="6">
        <f t="shared" si="231"/>
        <v>9.9199397050000009</v>
      </c>
      <c r="Q419" s="6">
        <f t="shared" si="231"/>
        <v>10.08360384</v>
      </c>
      <c r="R419" s="6">
        <f t="shared" si="231"/>
        <v>10.250642770000001</v>
      </c>
      <c r="S419" s="6">
        <f t="shared" si="231"/>
        <v>10.41974248</v>
      </c>
      <c r="T419" s="6">
        <f t="shared" si="231"/>
        <v>10.59041199</v>
      </c>
      <c r="U419" s="6">
        <f t="shared" si="231"/>
        <v>10.76213398</v>
      </c>
      <c r="V419" s="6">
        <f t="shared" si="231"/>
        <v>10.934527579999999</v>
      </c>
      <c r="W419" s="6">
        <f t="shared" si="231"/>
        <v>11.10112341</v>
      </c>
      <c r="X419" s="6">
        <f t="shared" si="231"/>
        <v>11.270269519999999</v>
      </c>
      <c r="Y419" s="6">
        <f t="shared" si="231"/>
        <v>11.4405941</v>
      </c>
      <c r="Z419" s="6">
        <f t="shared" si="231"/>
        <v>11.61184615</v>
      </c>
      <c r="AA419" s="6">
        <f t="shared" si="231"/>
        <v>11.784007600000001</v>
      </c>
      <c r="AB419" s="6">
        <f t="shared" si="231"/>
        <v>11.939197869999999</v>
      </c>
      <c r="AC419" s="6">
        <f t="shared" si="231"/>
        <v>12.093611040000001</v>
      </c>
      <c r="AD419" s="6">
        <f t="shared" si="231"/>
        <v>12.24645754</v>
      </c>
      <c r="AE419" s="6">
        <f t="shared" si="231"/>
        <v>12.398325359999999</v>
      </c>
      <c r="AF419" s="6">
        <f t="shared" si="231"/>
        <v>12.54999422</v>
      </c>
      <c r="AG419" s="6">
        <f t="shared" si="231"/>
        <v>12.70215911</v>
      </c>
      <c r="AH419" s="6">
        <f t="shared" si="231"/>
        <v>12.855513240000001</v>
      </c>
      <c r="AI419" s="6">
        <f t="shared" si="231"/>
        <v>13.01042672</v>
      </c>
      <c r="AJ419" s="6">
        <f t="shared" si="231"/>
        <v>13.16721746</v>
      </c>
      <c r="AK419" s="6">
        <f t="shared" si="231"/>
        <v>13.32611915</v>
      </c>
      <c r="AL419" s="6">
        <f t="shared" si="231"/>
        <v>13.487296819999999</v>
      </c>
      <c r="AM419" s="6">
        <f t="shared" ref="AM419:BC419" si="232">AM390</f>
        <v>13.647849430000001</v>
      </c>
      <c r="AN419" s="6">
        <f t="shared" si="232"/>
        <v>13.808761260000001</v>
      </c>
      <c r="AO419" s="6">
        <f t="shared" si="232"/>
        <v>13.970655150000001</v>
      </c>
      <c r="AP419" s="6">
        <f t="shared" si="232"/>
        <v>14.133976629999999</v>
      </c>
      <c r="AQ419" s="6">
        <f t="shared" si="232"/>
        <v>14.299077130000001</v>
      </c>
      <c r="AR419" s="6">
        <f t="shared" si="232"/>
        <v>14.46644442</v>
      </c>
      <c r="AS419" s="6">
        <f t="shared" si="232"/>
        <v>14.636190429999999</v>
      </c>
      <c r="AT419" s="6">
        <f t="shared" si="232"/>
        <v>14.80845551</v>
      </c>
      <c r="AU419" s="6">
        <f t="shared" si="232"/>
        <v>14.983331529999999</v>
      </c>
      <c r="AV419" s="6">
        <f t="shared" si="232"/>
        <v>15.16086522</v>
      </c>
      <c r="AW419" s="6">
        <f t="shared" si="232"/>
        <v>15.34219702</v>
      </c>
      <c r="AX419" s="6">
        <f t="shared" si="232"/>
        <v>15.52683305</v>
      </c>
      <c r="AY419" s="6">
        <f t="shared" si="232"/>
        <v>15.71466023</v>
      </c>
      <c r="AZ419" s="6">
        <f t="shared" si="232"/>
        <v>15.90558386</v>
      </c>
      <c r="BA419" s="6">
        <f t="shared" si="232"/>
        <v>16.09949773</v>
      </c>
      <c r="BB419" s="6">
        <f t="shared" si="232"/>
        <v>19.880422360000001</v>
      </c>
      <c r="BC419" s="6">
        <f t="shared" si="232"/>
        <v>20.200756160000001</v>
      </c>
      <c r="BD419" s="6">
        <f t="shared" ref="BD419:BF419" si="233">BD390</f>
        <v>20.52564692</v>
      </c>
      <c r="BE419" s="6">
        <f t="shared" si="233"/>
        <v>20.855267479999998</v>
      </c>
      <c r="BF419" s="6">
        <f t="shared" si="233"/>
        <v>21.189792629999999</v>
      </c>
    </row>
    <row r="420" spans="1:58" x14ac:dyDescent="0.35">
      <c r="B420" t="s">
        <v>65</v>
      </c>
      <c r="C420" s="6">
        <f>C392+C416</f>
        <v>18.518800664</v>
      </c>
      <c r="D420" s="6">
        <f t="shared" ref="D420:AL420" si="234">D392+D416</f>
        <v>18.625842149</v>
      </c>
      <c r="E420" s="6">
        <f t="shared" si="234"/>
        <v>18.791000630999999</v>
      </c>
      <c r="F420" s="6">
        <f t="shared" si="234"/>
        <v>18.990327695000001</v>
      </c>
      <c r="G420" s="6">
        <f t="shared" si="234"/>
        <v>19.215621582000001</v>
      </c>
      <c r="H420" s="6">
        <f t="shared" si="234"/>
        <v>19.461782464999999</v>
      </c>
      <c r="I420" s="6">
        <f t="shared" si="234"/>
        <v>19.71512207</v>
      </c>
      <c r="J420" s="6">
        <f t="shared" si="234"/>
        <v>19.976950420000001</v>
      </c>
      <c r="K420" s="6">
        <f t="shared" si="234"/>
        <v>20.246585424999999</v>
      </c>
      <c r="L420" s="6">
        <f t="shared" si="234"/>
        <v>20.523103939999999</v>
      </c>
      <c r="M420" s="6">
        <f t="shared" si="234"/>
        <v>20.798742985000001</v>
      </c>
      <c r="N420" s="6">
        <f t="shared" si="234"/>
        <v>21.102313489</v>
      </c>
      <c r="O420" s="6">
        <f t="shared" si="234"/>
        <v>21.417033713999999</v>
      </c>
      <c r="P420" s="6">
        <f t="shared" si="234"/>
        <v>21.739006801000002</v>
      </c>
      <c r="Q420" s="6">
        <f t="shared" si="234"/>
        <v>22.066880042999998</v>
      </c>
      <c r="R420" s="6">
        <f t="shared" si="234"/>
        <v>22.400039896999999</v>
      </c>
      <c r="S420" s="6">
        <f t="shared" si="234"/>
        <v>22.737074646</v>
      </c>
      <c r="T420" s="6">
        <f t="shared" si="234"/>
        <v>23.078580291000002</v>
      </c>
      <c r="U420" s="6">
        <f t="shared" si="234"/>
        <v>23.424759358000003</v>
      </c>
      <c r="V420" s="6">
        <f t="shared" si="234"/>
        <v>23.775797605000001</v>
      </c>
      <c r="W420" s="6">
        <f t="shared" si="234"/>
        <v>24.119970209999998</v>
      </c>
      <c r="X420" s="6">
        <f t="shared" si="234"/>
        <v>24.474578479999998</v>
      </c>
      <c r="Y420" s="6">
        <f t="shared" si="234"/>
        <v>24.836712559999999</v>
      </c>
      <c r="Z420" s="6">
        <f t="shared" si="234"/>
        <v>25.205773149999999</v>
      </c>
      <c r="AA420" s="6">
        <f t="shared" si="234"/>
        <v>25.581688620000001</v>
      </c>
      <c r="AB420" s="6">
        <f t="shared" si="234"/>
        <v>25.930230359999999</v>
      </c>
      <c r="AC420" s="6">
        <f t="shared" si="234"/>
        <v>26.28461763</v>
      </c>
      <c r="AD420" s="6">
        <f t="shared" si="234"/>
        <v>26.642325399999997</v>
      </c>
      <c r="AE420" s="6">
        <f t="shared" si="234"/>
        <v>27.00347494</v>
      </c>
      <c r="AF420" s="6">
        <f t="shared" si="234"/>
        <v>27.368619549999998</v>
      </c>
      <c r="AG420" s="6">
        <f t="shared" si="234"/>
        <v>27.738273839999998</v>
      </c>
      <c r="AH420" s="6">
        <f t="shared" si="234"/>
        <v>28.113153160000003</v>
      </c>
      <c r="AI420" s="6">
        <f t="shared" si="234"/>
        <v>28.493285440000001</v>
      </c>
      <c r="AJ420" s="6">
        <f t="shared" si="234"/>
        <v>28.878709019999999</v>
      </c>
      <c r="AK420" s="6">
        <f t="shared" si="234"/>
        <v>29.269374679999999</v>
      </c>
      <c r="AL420" s="6">
        <f t="shared" si="234"/>
        <v>29.665157370000003</v>
      </c>
      <c r="AM420" s="6">
        <f t="shared" ref="AM420:BC420" si="235">AM392+AM416</f>
        <v>30.060904710000003</v>
      </c>
      <c r="AN420" s="6">
        <f t="shared" si="235"/>
        <v>30.457891870000001</v>
      </c>
      <c r="AO420" s="6">
        <f t="shared" si="235"/>
        <v>30.856753750000003</v>
      </c>
      <c r="AP420" s="6">
        <f t="shared" si="235"/>
        <v>31.25781529</v>
      </c>
      <c r="AQ420" s="6">
        <f t="shared" si="235"/>
        <v>31.661275510000003</v>
      </c>
      <c r="AR420" s="6">
        <f t="shared" si="235"/>
        <v>32.067829009999997</v>
      </c>
      <c r="AS420" s="6">
        <f t="shared" si="235"/>
        <v>32.477272920000004</v>
      </c>
      <c r="AT420" s="6">
        <f t="shared" si="235"/>
        <v>32.889606319999999</v>
      </c>
      <c r="AU420" s="6">
        <f t="shared" si="235"/>
        <v>33.30483298</v>
      </c>
      <c r="AV420" s="6">
        <f t="shared" si="235"/>
        <v>33.722938310000004</v>
      </c>
      <c r="AW420" s="6">
        <f t="shared" si="235"/>
        <v>34.146611900000003</v>
      </c>
      <c r="AX420" s="6">
        <f t="shared" si="235"/>
        <v>34.574413659999998</v>
      </c>
      <c r="AY420" s="6">
        <f t="shared" si="235"/>
        <v>35.005930589999998</v>
      </c>
      <c r="AZ420" s="6">
        <f t="shared" si="235"/>
        <v>35.440946080000003</v>
      </c>
      <c r="BA420" s="6">
        <f t="shared" si="235"/>
        <v>35.879318720000001</v>
      </c>
      <c r="BB420" s="6">
        <f t="shared" si="235"/>
        <v>45.053697990000003</v>
      </c>
      <c r="BC420" s="6">
        <f t="shared" si="235"/>
        <v>45.861893809999998</v>
      </c>
      <c r="BD420" s="6">
        <f t="shared" ref="BD420:BF420" si="236">BD392+BD416</f>
        <v>46.680153180000005</v>
      </c>
      <c r="BE420" s="6">
        <f t="shared" si="236"/>
        <v>47.508423809999996</v>
      </c>
      <c r="BF420" s="6">
        <f t="shared" si="236"/>
        <v>48.346669680000005</v>
      </c>
    </row>
    <row r="421" spans="1:58" x14ac:dyDescent="0.35">
      <c r="B421" t="s">
        <v>66</v>
      </c>
      <c r="C421" s="6">
        <f>C394</f>
        <v>13.233732570000001</v>
      </c>
      <c r="D421" s="6">
        <f t="shared" ref="D421:AL421" si="237">D394</f>
        <v>13.295133979999999</v>
      </c>
      <c r="E421" s="6">
        <f t="shared" si="237"/>
        <v>13.42072857</v>
      </c>
      <c r="F421" s="6">
        <f t="shared" si="237"/>
        <v>13.57008368</v>
      </c>
      <c r="G421" s="6">
        <f t="shared" si="237"/>
        <v>13.735498939999999</v>
      </c>
      <c r="H421" s="6">
        <f t="shared" si="237"/>
        <v>13.913683170000001</v>
      </c>
      <c r="I421" s="6">
        <f t="shared" si="237"/>
        <v>14.09118292</v>
      </c>
      <c r="J421" s="6">
        <f t="shared" si="237"/>
        <v>14.27375477</v>
      </c>
      <c r="K421" s="6">
        <f t="shared" si="237"/>
        <v>14.46087605</v>
      </c>
      <c r="L421" s="6">
        <f t="shared" si="237"/>
        <v>14.65131543</v>
      </c>
      <c r="M421" s="6">
        <f t="shared" si="237"/>
        <v>14.827654409999999</v>
      </c>
      <c r="N421" s="6">
        <f t="shared" si="237"/>
        <v>15.04181395</v>
      </c>
      <c r="O421" s="6">
        <f t="shared" si="237"/>
        <v>15.262643969999999</v>
      </c>
      <c r="P421" s="6">
        <f t="shared" si="237"/>
        <v>15.485194999999999</v>
      </c>
      <c r="Q421" s="6">
        <f t="shared" si="237"/>
        <v>15.708451480000001</v>
      </c>
      <c r="R421" s="6">
        <f t="shared" si="237"/>
        <v>15.93211282</v>
      </c>
      <c r="S421" s="6">
        <f t="shared" si="237"/>
        <v>16.154480889999999</v>
      </c>
      <c r="T421" s="6">
        <f t="shared" si="237"/>
        <v>16.37688872</v>
      </c>
      <c r="U421" s="6">
        <f t="shared" si="237"/>
        <v>16.599660440000001</v>
      </c>
      <c r="V421" s="6">
        <f t="shared" si="237"/>
        <v>16.82304452</v>
      </c>
      <c r="W421" s="6">
        <f t="shared" si="237"/>
        <v>17.034471150000002</v>
      </c>
      <c r="X421" s="6">
        <f t="shared" si="237"/>
        <v>17.256747699999998</v>
      </c>
      <c r="Y421" s="6">
        <f t="shared" si="237"/>
        <v>17.482365300000001</v>
      </c>
      <c r="Z421" s="6">
        <f t="shared" si="237"/>
        <v>17.71046926</v>
      </c>
      <c r="AA421" s="6">
        <f t="shared" si="237"/>
        <v>17.941192690000001</v>
      </c>
      <c r="AB421" s="6">
        <f t="shared" si="237"/>
        <v>18.138075019999999</v>
      </c>
      <c r="AC421" s="6">
        <f t="shared" si="237"/>
        <v>18.348914189999999</v>
      </c>
      <c r="AD421" s="6">
        <f t="shared" si="237"/>
        <v>18.56367316</v>
      </c>
      <c r="AE421" s="6">
        <f t="shared" si="237"/>
        <v>18.781369909999999</v>
      </c>
      <c r="AF421" s="6">
        <f t="shared" si="237"/>
        <v>19.00229436</v>
      </c>
      <c r="AG421" s="6">
        <f t="shared" si="237"/>
        <v>19.22683803</v>
      </c>
      <c r="AH421" s="6">
        <f t="shared" si="237"/>
        <v>19.455786530000001</v>
      </c>
      <c r="AI421" s="6">
        <f t="shared" si="237"/>
        <v>19.688961689999999</v>
      </c>
      <c r="AJ421" s="6">
        <f t="shared" si="237"/>
        <v>19.926414600000001</v>
      </c>
      <c r="AK421" s="6">
        <f t="shared" si="237"/>
        <v>20.168162639999998</v>
      </c>
      <c r="AL421" s="6">
        <f t="shared" si="237"/>
        <v>20.414172659999998</v>
      </c>
      <c r="AM421" s="6">
        <f t="shared" ref="AM421:BC421" si="238">AM394</f>
        <v>20.66019198</v>
      </c>
      <c r="AN421" s="6">
        <f t="shared" si="238"/>
        <v>20.90888936</v>
      </c>
      <c r="AO421" s="6">
        <f t="shared" si="238"/>
        <v>21.160816130000001</v>
      </c>
      <c r="AP421" s="6">
        <f t="shared" si="238"/>
        <v>21.416129399999999</v>
      </c>
      <c r="AQ421" s="6">
        <f t="shared" si="238"/>
        <v>21.674902769999999</v>
      </c>
      <c r="AR421" s="6">
        <f t="shared" si="238"/>
        <v>21.937952200000002</v>
      </c>
      <c r="AS421" s="6">
        <f t="shared" si="238"/>
        <v>22.204692139999999</v>
      </c>
      <c r="AT421" s="6">
        <f t="shared" si="238"/>
        <v>22.475035699999999</v>
      </c>
      <c r="AU421" s="6">
        <f t="shared" si="238"/>
        <v>22.74894368</v>
      </c>
      <c r="AV421" s="6">
        <f t="shared" si="238"/>
        <v>23.026369979999998</v>
      </c>
      <c r="AW421" s="6">
        <f t="shared" si="238"/>
        <v>23.31080506</v>
      </c>
      <c r="AX421" s="6">
        <f t="shared" si="238"/>
        <v>23.59944307</v>
      </c>
      <c r="AY421" s="6">
        <f t="shared" si="238"/>
        <v>23.891807719999999</v>
      </c>
      <c r="AZ421" s="6">
        <f t="shared" si="238"/>
        <v>24.187745360000001</v>
      </c>
      <c r="BA421" s="6">
        <f t="shared" si="238"/>
        <v>24.48715949</v>
      </c>
      <c r="BB421" s="6">
        <f t="shared" si="238"/>
        <v>30.561713749999999</v>
      </c>
      <c r="BC421" s="6">
        <f t="shared" si="238"/>
        <v>31.087305239999999</v>
      </c>
      <c r="BD421" s="6">
        <f t="shared" ref="BD421:BF421" si="239">BD394</f>
        <v>31.622493739999999</v>
      </c>
      <c r="BE421" s="6">
        <f t="shared" si="239"/>
        <v>32.167449670000003</v>
      </c>
      <c r="BF421" s="6">
        <f t="shared" si="239"/>
        <v>32.722338440000001</v>
      </c>
    </row>
    <row r="422" spans="1:58" x14ac:dyDescent="0.35">
      <c r="B422" t="s">
        <v>67</v>
      </c>
      <c r="C422" s="6">
        <f>C396</f>
        <v>19.221160009999998</v>
      </c>
      <c r="D422" s="6">
        <f t="shared" ref="D422:AL422" si="240">D396</f>
        <v>19.297960639999999</v>
      </c>
      <c r="E422" s="6">
        <f t="shared" si="240"/>
        <v>19.47360819</v>
      </c>
      <c r="F422" s="6">
        <f t="shared" si="240"/>
        <v>19.68394215</v>
      </c>
      <c r="G422" s="6">
        <f t="shared" si="240"/>
        <v>19.91318094</v>
      </c>
      <c r="H422" s="6">
        <f t="shared" si="240"/>
        <v>20.15606584</v>
      </c>
      <c r="I422" s="6">
        <f t="shared" si="240"/>
        <v>20.39632714</v>
      </c>
      <c r="J422" s="6">
        <f t="shared" si="240"/>
        <v>20.641482580000002</v>
      </c>
      <c r="K422" s="6">
        <f t="shared" si="240"/>
        <v>20.892376630000001</v>
      </c>
      <c r="L422" s="6">
        <f t="shared" si="240"/>
        <v>21.148464480000001</v>
      </c>
      <c r="M422" s="6">
        <f t="shared" si="240"/>
        <v>21.38720782</v>
      </c>
      <c r="N422" s="6">
        <f t="shared" si="240"/>
        <v>21.676515370000001</v>
      </c>
      <c r="O422" s="6">
        <f t="shared" si="240"/>
        <v>21.978806779999999</v>
      </c>
      <c r="P422" s="6">
        <f t="shared" si="240"/>
        <v>22.286357370000001</v>
      </c>
      <c r="Q422" s="6">
        <f t="shared" si="240"/>
        <v>22.597384810000001</v>
      </c>
      <c r="R422" s="6">
        <f t="shared" si="240"/>
        <v>22.911438480000001</v>
      </c>
      <c r="S422" s="6">
        <f t="shared" si="240"/>
        <v>23.226310210000001</v>
      </c>
      <c r="T422" s="6">
        <f t="shared" si="240"/>
        <v>23.543714900000001</v>
      </c>
      <c r="U422" s="6">
        <f t="shared" si="240"/>
        <v>23.864155719999999</v>
      </c>
      <c r="V422" s="6">
        <f t="shared" si="240"/>
        <v>24.187937949999998</v>
      </c>
      <c r="W422" s="6">
        <f t="shared" si="240"/>
        <v>24.499195499999999</v>
      </c>
      <c r="X422" s="6">
        <f t="shared" si="240"/>
        <v>24.825225929999998</v>
      </c>
      <c r="Y422" s="6">
        <f t="shared" si="240"/>
        <v>25.158137669999999</v>
      </c>
      <c r="Z422" s="6">
        <f t="shared" si="240"/>
        <v>25.496477609999999</v>
      </c>
      <c r="AA422" s="6">
        <f t="shared" si="240"/>
        <v>25.840137080000002</v>
      </c>
      <c r="AB422" s="6">
        <f t="shared" si="240"/>
        <v>26.1430896</v>
      </c>
      <c r="AC422" s="6">
        <f t="shared" si="240"/>
        <v>26.461718179999998</v>
      </c>
      <c r="AD422" s="6">
        <f t="shared" si="240"/>
        <v>26.786336500000001</v>
      </c>
      <c r="AE422" s="6">
        <f t="shared" si="240"/>
        <v>27.115375090000001</v>
      </c>
      <c r="AF422" s="6">
        <f t="shared" si="240"/>
        <v>27.448873620000001</v>
      </c>
      <c r="AG422" s="6">
        <f t="shared" si="240"/>
        <v>27.787120789999999</v>
      </c>
      <c r="AH422" s="6">
        <f t="shared" si="240"/>
        <v>28.131011010000002</v>
      </c>
      <c r="AI422" s="6">
        <f t="shared" si="240"/>
        <v>28.480235359999998</v>
      </c>
      <c r="AJ422" s="6">
        <f t="shared" si="240"/>
        <v>28.834769059999999</v>
      </c>
      <c r="AK422" s="6">
        <f t="shared" si="240"/>
        <v>29.194573999999999</v>
      </c>
      <c r="AL422" s="6">
        <f t="shared" si="240"/>
        <v>29.559561609999999</v>
      </c>
      <c r="AM422" s="6">
        <f t="shared" ref="AM422:BC422" si="241">AM396</f>
        <v>29.92468285</v>
      </c>
      <c r="AN422" s="6">
        <f t="shared" si="241"/>
        <v>30.292422899999998</v>
      </c>
      <c r="AO422" s="6">
        <f t="shared" si="241"/>
        <v>30.663480409999998</v>
      </c>
      <c r="AP422" s="6">
        <f t="shared" si="241"/>
        <v>31.038060829999999</v>
      </c>
      <c r="AQ422" s="6">
        <f t="shared" si="241"/>
        <v>31.416234429999999</v>
      </c>
      <c r="AR422" s="6">
        <f t="shared" si="241"/>
        <v>31.79906343</v>
      </c>
      <c r="AS422" s="6">
        <f t="shared" si="241"/>
        <v>32.185808420000001</v>
      </c>
      <c r="AT422" s="6">
        <f t="shared" si="241"/>
        <v>32.576327759999998</v>
      </c>
      <c r="AU422" s="6">
        <f t="shared" si="241"/>
        <v>32.970576710000003</v>
      </c>
      <c r="AV422" s="6">
        <f t="shared" si="241"/>
        <v>33.36851798</v>
      </c>
      <c r="AW422" s="6">
        <f t="shared" si="241"/>
        <v>33.77478069</v>
      </c>
      <c r="AX422" s="6">
        <f t="shared" si="241"/>
        <v>34.18597604</v>
      </c>
      <c r="AY422" s="6">
        <f t="shared" si="241"/>
        <v>34.601384469999999</v>
      </c>
      <c r="AZ422" s="6">
        <f t="shared" si="241"/>
        <v>35.020796920000002</v>
      </c>
      <c r="BA422" s="6">
        <f t="shared" si="241"/>
        <v>35.444117589999998</v>
      </c>
      <c r="BB422" s="6">
        <f t="shared" si="241"/>
        <v>45.68449012</v>
      </c>
      <c r="BC422" s="6">
        <f t="shared" si="241"/>
        <v>46.492077760000001</v>
      </c>
      <c r="BD422" s="6">
        <f t="shared" ref="BD422:BF422" si="242">BD396</f>
        <v>47.312222509999998</v>
      </c>
      <c r="BE422" s="6">
        <f t="shared" si="242"/>
        <v>48.1450423</v>
      </c>
      <c r="BF422" s="6">
        <f t="shared" si="242"/>
        <v>48.99065882</v>
      </c>
    </row>
    <row r="423" spans="1:58" x14ac:dyDescent="0.35">
      <c r="B423" t="s">
        <v>71</v>
      </c>
      <c r="C423" s="6">
        <f>C391+C393+C395+C397+C398+C399</f>
        <v>16.154129973</v>
      </c>
      <c r="D423" s="6">
        <f t="shared" ref="D423:AL423" si="243">D391+D393+D395+D397+D398+D399</f>
        <v>16.127333419999999</v>
      </c>
      <c r="E423" s="6">
        <f t="shared" si="243"/>
        <v>16.126151937000003</v>
      </c>
      <c r="F423" s="6">
        <f t="shared" si="243"/>
        <v>16.160301388000001</v>
      </c>
      <c r="G423" s="6">
        <f t="shared" si="243"/>
        <v>16.243261951999997</v>
      </c>
      <c r="H423" s="6">
        <f t="shared" si="243"/>
        <v>16.3785256</v>
      </c>
      <c r="I423" s="6">
        <f t="shared" si="243"/>
        <v>16.552631097000003</v>
      </c>
      <c r="J423" s="6">
        <f t="shared" si="243"/>
        <v>16.762115026</v>
      </c>
      <c r="K423" s="6">
        <f t="shared" si="243"/>
        <v>17.000344433000002</v>
      </c>
      <c r="L423" s="6">
        <f t="shared" si="243"/>
        <v>17.261006217999999</v>
      </c>
      <c r="M423" s="6">
        <f t="shared" si="243"/>
        <v>17.528200863000002</v>
      </c>
      <c r="N423" s="6">
        <f t="shared" si="243"/>
        <v>17.831437635</v>
      </c>
      <c r="O423" s="6">
        <f t="shared" si="243"/>
        <v>18.154644226999999</v>
      </c>
      <c r="P423" s="6">
        <f t="shared" si="243"/>
        <v>18.493322423999999</v>
      </c>
      <c r="Q423" s="6">
        <f t="shared" si="243"/>
        <v>18.843855343000001</v>
      </c>
      <c r="R423" s="6">
        <f t="shared" si="243"/>
        <v>19.202712175999999</v>
      </c>
      <c r="S423" s="6">
        <f t="shared" si="243"/>
        <v>19.565770897</v>
      </c>
      <c r="T423" s="6">
        <f t="shared" si="243"/>
        <v>19.931133481</v>
      </c>
      <c r="U423" s="6">
        <f t="shared" si="243"/>
        <v>20.296973104000003</v>
      </c>
      <c r="V423" s="6">
        <f t="shared" si="243"/>
        <v>20.662025287999999</v>
      </c>
      <c r="W423" s="6">
        <f t="shared" si="243"/>
        <v>21.013470706</v>
      </c>
      <c r="X423" s="6">
        <f t="shared" si="243"/>
        <v>21.367427109000001</v>
      </c>
      <c r="Y423" s="6">
        <f t="shared" si="243"/>
        <v>21.720843938999998</v>
      </c>
      <c r="Z423" s="6">
        <f t="shared" si="243"/>
        <v>22.073615167</v>
      </c>
      <c r="AA423" s="6">
        <f t="shared" si="243"/>
        <v>22.426199008000001</v>
      </c>
      <c r="AB423" s="6">
        <f t="shared" si="243"/>
        <v>22.744298395000001</v>
      </c>
      <c r="AC423" s="6">
        <f t="shared" si="243"/>
        <v>23.059619509000001</v>
      </c>
      <c r="AD423" s="6">
        <f t="shared" si="243"/>
        <v>23.369362826999996</v>
      </c>
      <c r="AE423" s="6">
        <f t="shared" si="243"/>
        <v>23.674646172000003</v>
      </c>
      <c r="AF423" s="6">
        <f t="shared" si="243"/>
        <v>23.977137354</v>
      </c>
      <c r="AG423" s="6">
        <f t="shared" si="243"/>
        <v>24.278421336000001</v>
      </c>
      <c r="AH423" s="6">
        <f t="shared" si="243"/>
        <v>24.580165623999999</v>
      </c>
      <c r="AI423" s="6">
        <f t="shared" si="243"/>
        <v>24.883400860999998</v>
      </c>
      <c r="AJ423" s="6">
        <f t="shared" si="243"/>
        <v>25.189141114999998</v>
      </c>
      <c r="AK423" s="6">
        <f t="shared" si="243"/>
        <v>25.498195333999998</v>
      </c>
      <c r="AL423" s="6">
        <f t="shared" si="243"/>
        <v>25.811140322999996</v>
      </c>
      <c r="AM423" s="6">
        <f t="shared" ref="AM423:BC423" si="244">AM391+AM393+AM395+AM397+AM398+AM399</f>
        <v>26.122525194000001</v>
      </c>
      <c r="AN423" s="6">
        <f t="shared" si="244"/>
        <v>26.433728641999998</v>
      </c>
      <c r="AO423" s="6">
        <f t="shared" si="244"/>
        <v>26.745812604000001</v>
      </c>
      <c r="AP423" s="6">
        <f t="shared" si="244"/>
        <v>27.059507054000001</v>
      </c>
      <c r="AQ423" s="6">
        <f t="shared" si="244"/>
        <v>27.375200632000002</v>
      </c>
      <c r="AR423" s="6">
        <f t="shared" si="244"/>
        <v>27.693420844000002</v>
      </c>
      <c r="AS423" s="6">
        <f t="shared" si="244"/>
        <v>28.013868817000002</v>
      </c>
      <c r="AT423" s="6">
        <f t="shared" si="244"/>
        <v>28.336473988999998</v>
      </c>
      <c r="AU423" s="6">
        <f t="shared" si="244"/>
        <v>28.661138117</v>
      </c>
      <c r="AV423" s="6">
        <f t="shared" si="244"/>
        <v>28.987711173000001</v>
      </c>
      <c r="AW423" s="6">
        <f t="shared" si="244"/>
        <v>29.318160059999997</v>
      </c>
      <c r="AX423" s="6">
        <f t="shared" si="244"/>
        <v>29.651137038999998</v>
      </c>
      <c r="AY423" s="6">
        <f t="shared" si="244"/>
        <v>29.986595183000002</v>
      </c>
      <c r="AZ423" s="6">
        <f t="shared" si="244"/>
        <v>30.324536475999999</v>
      </c>
      <c r="BA423" s="6">
        <f t="shared" si="244"/>
        <v>30.664824865</v>
      </c>
      <c r="BB423" s="6">
        <f t="shared" si="244"/>
        <v>43.074880526999998</v>
      </c>
      <c r="BC423" s="6">
        <f t="shared" si="244"/>
        <v>43.816420633999996</v>
      </c>
      <c r="BD423" s="6">
        <f t="shared" ref="BD423:BF423" si="245">BD391+BD393+BD395+BD397+BD398+BD399</f>
        <v>44.560348927999996</v>
      </c>
      <c r="BE423" s="6">
        <f t="shared" si="245"/>
        <v>45.307026461999996</v>
      </c>
      <c r="BF423" s="6">
        <f t="shared" si="245"/>
        <v>46.056801929999999</v>
      </c>
    </row>
    <row r="424" spans="1:58" x14ac:dyDescent="0.35">
      <c r="B424" t="s">
        <v>68</v>
      </c>
      <c r="C424" s="6">
        <f>C401</f>
        <v>17.116117030000002</v>
      </c>
      <c r="D424" s="6">
        <f t="shared" ref="D424:AL424" si="246">D401</f>
        <v>17.210134029999999</v>
      </c>
      <c r="E424" s="6">
        <f t="shared" si="246"/>
        <v>17.343087520000001</v>
      </c>
      <c r="F424" s="6">
        <f t="shared" si="246"/>
        <v>17.49969514</v>
      </c>
      <c r="G424" s="6">
        <f t="shared" si="246"/>
        <v>17.676818749999999</v>
      </c>
      <c r="H424" s="6">
        <f t="shared" si="246"/>
        <v>17.87220984</v>
      </c>
      <c r="I424" s="6">
        <f t="shared" si="246"/>
        <v>18.07365506</v>
      </c>
      <c r="J424" s="6">
        <f t="shared" si="246"/>
        <v>18.283907079999999</v>
      </c>
      <c r="K424" s="6">
        <f t="shared" si="246"/>
        <v>18.502250289999999</v>
      </c>
      <c r="L424" s="6">
        <f t="shared" si="246"/>
        <v>18.72729841</v>
      </c>
      <c r="M424" s="6">
        <f t="shared" si="246"/>
        <v>18.953921319999999</v>
      </c>
      <c r="N424" s="6">
        <f t="shared" si="246"/>
        <v>19.201902839999999</v>
      </c>
      <c r="O424" s="6">
        <f t="shared" si="246"/>
        <v>19.457692529999999</v>
      </c>
      <c r="P424" s="6">
        <f t="shared" si="246"/>
        <v>19.718015909999998</v>
      </c>
      <c r="Q424" s="6">
        <f t="shared" si="246"/>
        <v>19.981632470000001</v>
      </c>
      <c r="R424" s="6">
        <f t="shared" si="246"/>
        <v>20.247832590000002</v>
      </c>
      <c r="S424" s="6">
        <f t="shared" si="246"/>
        <v>20.51516479</v>
      </c>
      <c r="T424" s="6">
        <f t="shared" si="246"/>
        <v>20.783935199999998</v>
      </c>
      <c r="U424" s="6">
        <f t="shared" si="246"/>
        <v>21.05410358</v>
      </c>
      <c r="V424" s="6">
        <f t="shared" si="246"/>
        <v>21.325646240000001</v>
      </c>
      <c r="W424" s="6">
        <f t="shared" si="246"/>
        <v>21.58677372</v>
      </c>
      <c r="X424" s="6">
        <f t="shared" si="246"/>
        <v>21.85595017</v>
      </c>
      <c r="Y424" s="6">
        <f t="shared" si="246"/>
        <v>22.12894958</v>
      </c>
      <c r="Z424" s="6">
        <f t="shared" si="246"/>
        <v>22.404899759999999</v>
      </c>
      <c r="AA424" s="6">
        <f t="shared" si="246"/>
        <v>22.683723350000001</v>
      </c>
      <c r="AB424" s="6">
        <f t="shared" si="246"/>
        <v>22.93161272</v>
      </c>
      <c r="AC424" s="6">
        <f t="shared" si="246"/>
        <v>23.185636519999999</v>
      </c>
      <c r="AD424" s="6">
        <f t="shared" si="246"/>
        <v>23.441677049999999</v>
      </c>
      <c r="AE424" s="6">
        <f t="shared" si="246"/>
        <v>23.699508219999998</v>
      </c>
      <c r="AF424" s="6">
        <f t="shared" si="246"/>
        <v>23.959718259999999</v>
      </c>
      <c r="AG424" s="6">
        <f t="shared" si="246"/>
        <v>24.222933050000002</v>
      </c>
      <c r="AH424" s="6">
        <f t="shared" si="246"/>
        <v>24.489935039999999</v>
      </c>
      <c r="AI424" s="6">
        <f t="shared" si="246"/>
        <v>24.76088309</v>
      </c>
      <c r="AJ424" s="6">
        <f t="shared" si="246"/>
        <v>25.035946169999999</v>
      </c>
      <c r="AK424" s="6">
        <f t="shared" si="246"/>
        <v>25.315221149999999</v>
      </c>
      <c r="AL424" s="6">
        <f t="shared" si="246"/>
        <v>25.598742380000001</v>
      </c>
      <c r="AM424" s="6">
        <f t="shared" ref="AM424:BC424" si="247">AM401</f>
        <v>25.881185989999999</v>
      </c>
      <c r="AN424" s="6">
        <f t="shared" si="247"/>
        <v>26.165112650000001</v>
      </c>
      <c r="AO424" s="6">
        <f t="shared" si="247"/>
        <v>26.451462830000001</v>
      </c>
      <c r="AP424" s="6">
        <f t="shared" si="247"/>
        <v>26.740706169999999</v>
      </c>
      <c r="AQ424" s="6">
        <f t="shared" si="247"/>
        <v>27.03317096</v>
      </c>
      <c r="AR424" s="6">
        <f t="shared" si="247"/>
        <v>27.329580589999999</v>
      </c>
      <c r="AS424" s="6">
        <f t="shared" si="247"/>
        <v>27.629833869999999</v>
      </c>
      <c r="AT424" s="6">
        <f t="shared" si="247"/>
        <v>27.933990000000001</v>
      </c>
      <c r="AU424" s="6">
        <f t="shared" si="247"/>
        <v>28.24209432</v>
      </c>
      <c r="AV424" s="6">
        <f t="shared" si="247"/>
        <v>28.554158220000001</v>
      </c>
      <c r="AW424" s="6">
        <f t="shared" si="247"/>
        <v>28.872560459999999</v>
      </c>
      <c r="AX424" s="6">
        <f t="shared" si="247"/>
        <v>29.195826790000002</v>
      </c>
      <c r="AY424" s="6">
        <f t="shared" si="247"/>
        <v>29.523538640000002</v>
      </c>
      <c r="AZ424" s="6">
        <f t="shared" si="247"/>
        <v>29.855496760000001</v>
      </c>
      <c r="BA424" s="6">
        <f t="shared" si="247"/>
        <v>30.191568570000001</v>
      </c>
      <c r="BB424" s="6">
        <f t="shared" si="247"/>
        <v>35.672975299999997</v>
      </c>
      <c r="BC424" s="6">
        <f t="shared" si="247"/>
        <v>36.217518470000002</v>
      </c>
      <c r="BD424" s="6">
        <f t="shared" ref="BD424:BF424" si="248">BD401</f>
        <v>36.770833889999999</v>
      </c>
      <c r="BE424" s="6">
        <f t="shared" si="248"/>
        <v>37.33310058</v>
      </c>
      <c r="BF424" s="6">
        <f t="shared" si="248"/>
        <v>37.904501580000002</v>
      </c>
    </row>
    <row r="425" spans="1:58" x14ac:dyDescent="0.35">
      <c r="B425" t="s">
        <v>69</v>
      </c>
      <c r="C425" s="6">
        <f>C403</f>
        <v>18.831922970000001</v>
      </c>
      <c r="D425" s="6">
        <f t="shared" ref="D425:AL425" si="249">D403</f>
        <v>18.98549482</v>
      </c>
      <c r="E425" s="6">
        <f t="shared" si="249"/>
        <v>19.214108270000001</v>
      </c>
      <c r="F425" s="6">
        <f t="shared" si="249"/>
        <v>19.471468810000001</v>
      </c>
      <c r="G425" s="6">
        <f t="shared" si="249"/>
        <v>19.75153984</v>
      </c>
      <c r="H425" s="6">
        <f t="shared" si="249"/>
        <v>20.052741309999998</v>
      </c>
      <c r="I425" s="6">
        <f t="shared" si="249"/>
        <v>20.35761707</v>
      </c>
      <c r="J425" s="6">
        <f t="shared" si="249"/>
        <v>20.673177030000002</v>
      </c>
      <c r="K425" s="6">
        <f t="shared" si="249"/>
        <v>20.998971820000001</v>
      </c>
      <c r="L425" s="6">
        <f t="shared" si="249"/>
        <v>21.333362810000001</v>
      </c>
      <c r="M425" s="6">
        <f t="shared" si="249"/>
        <v>21.658724710000001</v>
      </c>
      <c r="N425" s="6">
        <f t="shared" si="249"/>
        <v>22.032637579999999</v>
      </c>
      <c r="O425" s="6">
        <f t="shared" si="249"/>
        <v>22.41835163</v>
      </c>
      <c r="P425" s="6">
        <f t="shared" si="249"/>
        <v>22.810502339999999</v>
      </c>
      <c r="Q425" s="6">
        <f t="shared" si="249"/>
        <v>23.207711209999999</v>
      </c>
      <c r="R425" s="6">
        <f t="shared" si="249"/>
        <v>23.609217409999999</v>
      </c>
      <c r="S425" s="6">
        <f t="shared" si="249"/>
        <v>24.012371730000002</v>
      </c>
      <c r="T425" s="6">
        <f t="shared" si="249"/>
        <v>24.418334560000002</v>
      </c>
      <c r="U425" s="6">
        <f t="shared" si="249"/>
        <v>24.8271126</v>
      </c>
      <c r="V425" s="6">
        <f t="shared" si="249"/>
        <v>25.238697169999998</v>
      </c>
      <c r="W425" s="6">
        <f t="shared" si="249"/>
        <v>25.633801200000001</v>
      </c>
      <c r="X425" s="6">
        <f t="shared" si="249"/>
        <v>26.043346419999999</v>
      </c>
      <c r="Y425" s="6">
        <f t="shared" si="249"/>
        <v>26.459255429999999</v>
      </c>
      <c r="Z425" s="6">
        <f t="shared" si="249"/>
        <v>26.88053128</v>
      </c>
      <c r="AA425" s="6">
        <f t="shared" si="249"/>
        <v>27.307258319999999</v>
      </c>
      <c r="AB425" s="6">
        <f t="shared" si="249"/>
        <v>27.683521240000001</v>
      </c>
      <c r="AC425" s="6">
        <f t="shared" si="249"/>
        <v>28.072414479999999</v>
      </c>
      <c r="AD425" s="6">
        <f t="shared" si="249"/>
        <v>28.464534109999999</v>
      </c>
      <c r="AE425" s="6">
        <f t="shared" si="249"/>
        <v>28.859965620000001</v>
      </c>
      <c r="AF425" s="6">
        <f t="shared" si="249"/>
        <v>29.260004779999999</v>
      </c>
      <c r="AG425" s="6">
        <f t="shared" si="249"/>
        <v>29.665878169999999</v>
      </c>
      <c r="AH425" s="6">
        <f t="shared" si="249"/>
        <v>30.079166900000001</v>
      </c>
      <c r="AI425" s="6">
        <f t="shared" si="249"/>
        <v>30.50008832</v>
      </c>
      <c r="AJ425" s="6">
        <f t="shared" si="249"/>
        <v>30.929012549999999</v>
      </c>
      <c r="AK425" s="6">
        <f t="shared" si="249"/>
        <v>31.366183660000001</v>
      </c>
      <c r="AL425" s="6">
        <f t="shared" si="249"/>
        <v>31.811732500000002</v>
      </c>
      <c r="AM425" s="6">
        <f t="shared" ref="AM425:BC425" si="250">AM403</f>
        <v>32.258083820000003</v>
      </c>
      <c r="AN425" s="6">
        <f t="shared" si="250"/>
        <v>32.708394910000003</v>
      </c>
      <c r="AO425" s="6">
        <f t="shared" si="250"/>
        <v>33.163970470000002</v>
      </c>
      <c r="AP425" s="6">
        <f t="shared" si="250"/>
        <v>33.625654869999998</v>
      </c>
      <c r="AQ425" s="6">
        <f t="shared" si="250"/>
        <v>34.094135369999996</v>
      </c>
      <c r="AR425" s="6">
        <f t="shared" si="250"/>
        <v>34.57100544</v>
      </c>
      <c r="AS425" s="6">
        <f t="shared" si="250"/>
        <v>35.055978459999999</v>
      </c>
      <c r="AT425" s="6">
        <f t="shared" si="250"/>
        <v>35.54925506</v>
      </c>
      <c r="AU425" s="6">
        <f t="shared" si="250"/>
        <v>36.050999349999998</v>
      </c>
      <c r="AV425" s="6">
        <f t="shared" si="250"/>
        <v>36.56129902</v>
      </c>
      <c r="AW425" s="6">
        <f t="shared" si="250"/>
        <v>37.085107379999997</v>
      </c>
      <c r="AX425" s="6">
        <f t="shared" si="250"/>
        <v>37.619128600000003</v>
      </c>
      <c r="AY425" s="6">
        <f t="shared" si="250"/>
        <v>38.162735550000001</v>
      </c>
      <c r="AZ425" s="6">
        <f t="shared" si="250"/>
        <v>38.715662530000003</v>
      </c>
      <c r="BA425" s="6">
        <f t="shared" si="250"/>
        <v>39.277730759999997</v>
      </c>
      <c r="BB425" s="6">
        <f t="shared" si="250"/>
        <v>48.979044649999999</v>
      </c>
      <c r="BC425" s="6">
        <f t="shared" si="250"/>
        <v>49.925197480000001</v>
      </c>
      <c r="BD425" s="6">
        <f t="shared" ref="BD425:BF425" si="251">BD403</f>
        <v>50.890454120000001</v>
      </c>
      <c r="BE425" s="6">
        <f t="shared" si="251"/>
        <v>51.87530229</v>
      </c>
      <c r="BF425" s="6">
        <f t="shared" si="251"/>
        <v>52.880249550000002</v>
      </c>
    </row>
    <row r="426" spans="1:58" x14ac:dyDescent="0.35">
      <c r="B426" t="s">
        <v>70</v>
      </c>
      <c r="C426" s="6">
        <f>C402+C400</f>
        <v>5.3848628610000002</v>
      </c>
      <c r="D426" s="6">
        <f t="shared" ref="D426:AL426" si="252">D402+D400</f>
        <v>5.42100808</v>
      </c>
      <c r="E426" s="6">
        <f t="shared" si="252"/>
        <v>5.4822813940000001</v>
      </c>
      <c r="F426" s="6">
        <f t="shared" si="252"/>
        <v>5.5500073160000003</v>
      </c>
      <c r="G426" s="6">
        <f t="shared" si="252"/>
        <v>5.6216117939999997</v>
      </c>
      <c r="H426" s="6">
        <f t="shared" si="252"/>
        <v>5.6961613510000006</v>
      </c>
      <c r="I426" s="6">
        <f t="shared" si="252"/>
        <v>5.7681769339999995</v>
      </c>
      <c r="J426" s="6">
        <f t="shared" si="252"/>
        <v>5.8407587959999994</v>
      </c>
      <c r="K426" s="6">
        <f t="shared" si="252"/>
        <v>5.9139000590000004</v>
      </c>
      <c r="L426" s="6">
        <f t="shared" si="252"/>
        <v>5.9872991210000004</v>
      </c>
      <c r="M426" s="6">
        <f t="shared" si="252"/>
        <v>6.0521548520000001</v>
      </c>
      <c r="N426" s="6">
        <f t="shared" si="252"/>
        <v>6.1348027539999999</v>
      </c>
      <c r="O426" s="6">
        <f t="shared" si="252"/>
        <v>6.219568626</v>
      </c>
      <c r="P426" s="6">
        <f t="shared" si="252"/>
        <v>6.304416561</v>
      </c>
      <c r="Q426" s="6">
        <f t="shared" si="252"/>
        <v>6.3890239200000005</v>
      </c>
      <c r="R426" s="6">
        <f t="shared" si="252"/>
        <v>6.4733391939999994</v>
      </c>
      <c r="S426" s="6">
        <f t="shared" si="252"/>
        <v>6.5566030030000002</v>
      </c>
      <c r="T426" s="6">
        <f t="shared" si="252"/>
        <v>6.6395691820000007</v>
      </c>
      <c r="U426" s="6">
        <f t="shared" si="252"/>
        <v>6.7224349619999995</v>
      </c>
      <c r="V426" s="6">
        <f t="shared" si="252"/>
        <v>6.8053475930000005</v>
      </c>
      <c r="W426" s="6">
        <f t="shared" si="252"/>
        <v>6.8829967089999995</v>
      </c>
      <c r="X426" s="6">
        <f t="shared" si="252"/>
        <v>6.9655203989999999</v>
      </c>
      <c r="Y426" s="6">
        <f t="shared" si="252"/>
        <v>7.0492302640000002</v>
      </c>
      <c r="Z426" s="6">
        <f t="shared" si="252"/>
        <v>7.1337746810000002</v>
      </c>
      <c r="AA426" s="6">
        <f t="shared" si="252"/>
        <v>7.2192227429999996</v>
      </c>
      <c r="AB426" s="6">
        <f t="shared" si="252"/>
        <v>7.2901252300000001</v>
      </c>
      <c r="AC426" s="6">
        <f t="shared" si="252"/>
        <v>7.3680257250000007</v>
      </c>
      <c r="AD426" s="6">
        <f t="shared" si="252"/>
        <v>7.4477191509999994</v>
      </c>
      <c r="AE426" s="6">
        <f t="shared" si="252"/>
        <v>7.5286992120000003</v>
      </c>
      <c r="AF426" s="6">
        <f t="shared" si="252"/>
        <v>7.6110272709999993</v>
      </c>
      <c r="AG426" s="6">
        <f t="shared" si="252"/>
        <v>7.6948081859999995</v>
      </c>
      <c r="AH426" s="6">
        <f t="shared" si="252"/>
        <v>7.7803561979999998</v>
      </c>
      <c r="AI426" s="6">
        <f t="shared" si="252"/>
        <v>7.8675230099999993</v>
      </c>
      <c r="AJ426" s="6">
        <f t="shared" si="252"/>
        <v>7.9563070339999999</v>
      </c>
      <c r="AK426" s="6">
        <f t="shared" si="252"/>
        <v>8.0467048450000007</v>
      </c>
      <c r="AL426" s="6">
        <f t="shared" si="252"/>
        <v>8.1386980879999999</v>
      </c>
      <c r="AM426" s="6">
        <f t="shared" ref="AM426:BC426" si="253">AM402+AM400</f>
        <v>8.230792275999999</v>
      </c>
      <c r="AN426" s="6">
        <f t="shared" si="253"/>
        <v>8.3240493929999992</v>
      </c>
      <c r="AO426" s="6">
        <f t="shared" si="253"/>
        <v>8.4186438880000001</v>
      </c>
      <c r="AP426" s="6">
        <f t="shared" si="253"/>
        <v>8.5146089410000005</v>
      </c>
      <c r="AQ426" s="6">
        <f t="shared" si="253"/>
        <v>8.6119460730000004</v>
      </c>
      <c r="AR426" s="6">
        <f t="shared" si="253"/>
        <v>8.7110218370000005</v>
      </c>
      <c r="AS426" s="6">
        <f t="shared" si="253"/>
        <v>8.8115018840000001</v>
      </c>
      <c r="AT426" s="6">
        <f t="shared" si="253"/>
        <v>8.9133276020000007</v>
      </c>
      <c r="AU426" s="6">
        <f t="shared" si="253"/>
        <v>9.0164701540000003</v>
      </c>
      <c r="AV426" s="6">
        <f t="shared" si="253"/>
        <v>9.1209021949999993</v>
      </c>
      <c r="AW426" s="6">
        <f t="shared" si="253"/>
        <v>9.2282748169999991</v>
      </c>
      <c r="AX426" s="6">
        <f t="shared" si="253"/>
        <v>9.3371566240000003</v>
      </c>
      <c r="AY426" s="6">
        <f t="shared" si="253"/>
        <v>9.447347606000001</v>
      </c>
      <c r="AZ426" s="6">
        <f t="shared" si="253"/>
        <v>9.5587981860000006</v>
      </c>
      <c r="BA426" s="6">
        <f t="shared" si="253"/>
        <v>9.67147939</v>
      </c>
      <c r="BB426" s="6">
        <f t="shared" si="253"/>
        <v>12.241690213999998</v>
      </c>
      <c r="BC426" s="6">
        <f t="shared" si="253"/>
        <v>12.448568612999999</v>
      </c>
      <c r="BD426" s="6">
        <f t="shared" ref="BD426:BF426" si="254">BD402+BD400</f>
        <v>12.659353551999999</v>
      </c>
      <c r="BE426" s="6">
        <f t="shared" si="254"/>
        <v>12.874115565</v>
      </c>
      <c r="BF426" s="6">
        <f t="shared" si="254"/>
        <v>13.092921322999999</v>
      </c>
    </row>
    <row r="427" spans="1:58" x14ac:dyDescent="0.35">
      <c r="B427" t="s">
        <v>10</v>
      </c>
      <c r="C427" s="6">
        <f>C404+C405+C415</f>
        <v>49.429433123000003</v>
      </c>
      <c r="D427" s="6">
        <f t="shared" ref="D427:AL427" si="255">D404+D405+D415</f>
        <v>49.717411208000001</v>
      </c>
      <c r="E427" s="6">
        <f t="shared" si="255"/>
        <v>50.088618060999991</v>
      </c>
      <c r="F427" s="6">
        <f t="shared" si="255"/>
        <v>50.5295554</v>
      </c>
      <c r="G427" s="6">
        <f t="shared" si="255"/>
        <v>51.048497506000004</v>
      </c>
      <c r="H427" s="6">
        <f t="shared" si="255"/>
        <v>51.647228769999998</v>
      </c>
      <c r="I427" s="6">
        <f t="shared" si="255"/>
        <v>52.28598195</v>
      </c>
      <c r="J427" s="6">
        <f t="shared" si="255"/>
        <v>52.975877255999997</v>
      </c>
      <c r="K427" s="6">
        <f t="shared" si="255"/>
        <v>53.711769108000006</v>
      </c>
      <c r="L427" s="6">
        <f t="shared" si="255"/>
        <v>54.486424563</v>
      </c>
      <c r="M427" s="6">
        <f t="shared" si="255"/>
        <v>55.311643528999994</v>
      </c>
      <c r="N427" s="6">
        <f t="shared" si="255"/>
        <v>56.171729421000009</v>
      </c>
      <c r="O427" s="6">
        <f t="shared" si="255"/>
        <v>57.065996726999998</v>
      </c>
      <c r="P427" s="6">
        <f t="shared" si="255"/>
        <v>57.989854949000005</v>
      </c>
      <c r="Q427" s="6">
        <f t="shared" si="255"/>
        <v>58.938610920000002</v>
      </c>
      <c r="R427" s="6">
        <f t="shared" si="255"/>
        <v>59.907762789999992</v>
      </c>
      <c r="S427" s="6">
        <f t="shared" si="255"/>
        <v>60.891663021999996</v>
      </c>
      <c r="T427" s="6">
        <f t="shared" si="255"/>
        <v>61.887852473999999</v>
      </c>
      <c r="U427" s="6">
        <f t="shared" si="255"/>
        <v>62.893939397000004</v>
      </c>
      <c r="V427" s="6">
        <f t="shared" si="255"/>
        <v>63.908109431000007</v>
      </c>
      <c r="W427" s="6">
        <f t="shared" si="255"/>
        <v>64.885180647999988</v>
      </c>
      <c r="X427" s="6">
        <f t="shared" si="255"/>
        <v>65.893939477000004</v>
      </c>
      <c r="Y427" s="6">
        <f t="shared" si="255"/>
        <v>66.914435486999992</v>
      </c>
      <c r="Z427" s="6">
        <f t="shared" si="255"/>
        <v>67.943552968999995</v>
      </c>
      <c r="AA427" s="6">
        <f t="shared" si="255"/>
        <v>68.980971586999999</v>
      </c>
      <c r="AB427" s="6">
        <f t="shared" si="255"/>
        <v>69.899732658999994</v>
      </c>
      <c r="AC427" s="6">
        <f t="shared" si="255"/>
        <v>70.841716147999989</v>
      </c>
      <c r="AD427" s="6">
        <f t="shared" si="255"/>
        <v>71.784436157000002</v>
      </c>
      <c r="AE427" s="6">
        <f t="shared" si="255"/>
        <v>72.727172807000002</v>
      </c>
      <c r="AF427" s="6">
        <f t="shared" si="255"/>
        <v>73.672449364999991</v>
      </c>
      <c r="AG427" s="6">
        <f t="shared" si="255"/>
        <v>74.622952877999992</v>
      </c>
      <c r="AH427" s="6">
        <f t="shared" si="255"/>
        <v>75.581477251999999</v>
      </c>
      <c r="AI427" s="6">
        <f t="shared" si="255"/>
        <v>76.549686378000004</v>
      </c>
      <c r="AJ427" s="6">
        <f t="shared" si="255"/>
        <v>77.529073511999997</v>
      </c>
      <c r="AK427" s="6">
        <f t="shared" si="255"/>
        <v>78.520832904999992</v>
      </c>
      <c r="AL427" s="6">
        <f t="shared" si="255"/>
        <v>79.525878530000014</v>
      </c>
      <c r="AM427" s="6">
        <f t="shared" ref="AM427:BC427" si="256">AM404+AM405+AM415</f>
        <v>80.518700252999992</v>
      </c>
      <c r="AN427" s="6">
        <f t="shared" si="256"/>
        <v>81.515067450999993</v>
      </c>
      <c r="AO427" s="6">
        <f t="shared" si="256"/>
        <v>82.519096415000007</v>
      </c>
      <c r="AP427" s="6">
        <f t="shared" si="256"/>
        <v>83.532895924000002</v>
      </c>
      <c r="AQ427" s="6">
        <f t="shared" si="256"/>
        <v>84.557970316999999</v>
      </c>
      <c r="AR427" s="6">
        <f t="shared" si="256"/>
        <v>85.596188236000003</v>
      </c>
      <c r="AS427" s="6">
        <f t="shared" si="256"/>
        <v>86.648012886000004</v>
      </c>
      <c r="AT427" s="6">
        <f t="shared" si="256"/>
        <v>87.714010423000005</v>
      </c>
      <c r="AU427" s="6">
        <f t="shared" si="256"/>
        <v>88.79459804199999</v>
      </c>
      <c r="AV427" s="6">
        <f t="shared" si="256"/>
        <v>89.890028306999994</v>
      </c>
      <c r="AW427" s="6">
        <f t="shared" si="256"/>
        <v>91.005772449000006</v>
      </c>
      <c r="AX427" s="6">
        <f t="shared" si="256"/>
        <v>92.138963934000003</v>
      </c>
      <c r="AY427" s="6">
        <f t="shared" si="256"/>
        <v>93.289146931000005</v>
      </c>
      <c r="AZ427" s="6">
        <f t="shared" si="256"/>
        <v>94.456176744999993</v>
      </c>
      <c r="BA427" s="6">
        <f t="shared" si="256"/>
        <v>95.639863283000011</v>
      </c>
      <c r="BB427" s="6">
        <f t="shared" si="256"/>
        <v>116.05732303399999</v>
      </c>
      <c r="BC427" s="6">
        <f t="shared" si="256"/>
        <v>117.99121762899999</v>
      </c>
      <c r="BD427" s="6">
        <f t="shared" ref="BD427:BF427" si="257">BD404+BD405+BD415</f>
        <v>119.95204948</v>
      </c>
      <c r="BE427" s="6">
        <f t="shared" si="257"/>
        <v>121.94073003999999</v>
      </c>
      <c r="BF427" s="6">
        <f t="shared" si="257"/>
        <v>123.95817712</v>
      </c>
    </row>
    <row r="428" spans="1:58" x14ac:dyDescent="0.35">
      <c r="B428" t="s">
        <v>29</v>
      </c>
      <c r="C428" s="6">
        <f>C407+C408+C406</f>
        <v>21.183945426000001</v>
      </c>
      <c r="D428" s="6">
        <f t="shared" ref="D428:AL428" si="258">D407+D408+D406</f>
        <v>21.220582181999998</v>
      </c>
      <c r="E428" s="6">
        <f t="shared" si="258"/>
        <v>21.289099563000001</v>
      </c>
      <c r="F428" s="6">
        <f t="shared" si="258"/>
        <v>21.384881474</v>
      </c>
      <c r="G428" s="6">
        <f t="shared" si="258"/>
        <v>21.512791432</v>
      </c>
      <c r="H428" s="6">
        <f t="shared" si="258"/>
        <v>21.671492523000001</v>
      </c>
      <c r="I428" s="6">
        <f t="shared" si="258"/>
        <v>21.845011093000004</v>
      </c>
      <c r="J428" s="6">
        <f t="shared" si="258"/>
        <v>22.034986454999999</v>
      </c>
      <c r="K428" s="6">
        <f t="shared" si="258"/>
        <v>22.238545791999996</v>
      </c>
      <c r="L428" s="6">
        <f t="shared" si="258"/>
        <v>22.4525395</v>
      </c>
      <c r="M428" s="6">
        <f t="shared" si="258"/>
        <v>22.659367556999999</v>
      </c>
      <c r="N428" s="6">
        <f t="shared" si="258"/>
        <v>22.906827888999999</v>
      </c>
      <c r="O428" s="6">
        <f t="shared" si="258"/>
        <v>23.166739961000005</v>
      </c>
      <c r="P428" s="6">
        <f t="shared" si="258"/>
        <v>23.432965757999998</v>
      </c>
      <c r="Q428" s="6">
        <f t="shared" si="258"/>
        <v>23.703769525999999</v>
      </c>
      <c r="R428" s="6">
        <f t="shared" si="258"/>
        <v>23.978307663000002</v>
      </c>
      <c r="S428" s="6">
        <f t="shared" si="258"/>
        <v>24.254495908999999</v>
      </c>
      <c r="T428" s="6">
        <f t="shared" si="258"/>
        <v>24.532985138999997</v>
      </c>
      <c r="U428" s="6">
        <f t="shared" si="258"/>
        <v>24.813642267999999</v>
      </c>
      <c r="V428" s="6">
        <f t="shared" si="258"/>
        <v>25.096269975999999</v>
      </c>
      <c r="W428" s="6">
        <f t="shared" si="258"/>
        <v>25.367389393</v>
      </c>
      <c r="X428" s="6">
        <f t="shared" si="258"/>
        <v>25.648462457000001</v>
      </c>
      <c r="Y428" s="6">
        <f t="shared" si="258"/>
        <v>25.933556258999999</v>
      </c>
      <c r="Z428" s="6">
        <f t="shared" si="258"/>
        <v>26.221380950000004</v>
      </c>
      <c r="AA428" s="6">
        <f t="shared" si="258"/>
        <v>26.511736819999999</v>
      </c>
      <c r="AB428" s="6">
        <f t="shared" si="258"/>
        <v>26.766540755000001</v>
      </c>
      <c r="AC428" s="6">
        <f t="shared" si="258"/>
        <v>27.029977841000001</v>
      </c>
      <c r="AD428" s="6">
        <f t="shared" si="258"/>
        <v>27.295435020999999</v>
      </c>
      <c r="AE428" s="6">
        <f t="shared" si="258"/>
        <v>27.561989507</v>
      </c>
      <c r="AF428" s="6">
        <f t="shared" si="258"/>
        <v>27.829994260000003</v>
      </c>
      <c r="AG428" s="6">
        <f t="shared" si="258"/>
        <v>28.099980040000002</v>
      </c>
      <c r="AH428" s="6">
        <f t="shared" si="258"/>
        <v>28.372857416000002</v>
      </c>
      <c r="AI428" s="6">
        <f t="shared" si="258"/>
        <v>28.648659850000001</v>
      </c>
      <c r="AJ428" s="6">
        <f t="shared" si="258"/>
        <v>28.927575746999999</v>
      </c>
      <c r="AK428" s="6">
        <f t="shared" si="258"/>
        <v>29.209761817000004</v>
      </c>
      <c r="AL428" s="6">
        <f t="shared" si="258"/>
        <v>29.495318564000002</v>
      </c>
      <c r="AM428" s="6">
        <f t="shared" ref="AM428:BC428" si="259">AM407+AM408+AM406</f>
        <v>29.779489460000004</v>
      </c>
      <c r="AN428" s="6">
        <f t="shared" si="259"/>
        <v>30.064610038999998</v>
      </c>
      <c r="AO428" s="6">
        <f t="shared" si="259"/>
        <v>30.351590884</v>
      </c>
      <c r="AP428" s="6">
        <f t="shared" si="259"/>
        <v>30.640876724999998</v>
      </c>
      <c r="AQ428" s="6">
        <f t="shared" si="259"/>
        <v>30.932754894999999</v>
      </c>
      <c r="AR428" s="6">
        <f t="shared" si="259"/>
        <v>31.228147880999998</v>
      </c>
      <c r="AS428" s="6">
        <f t="shared" si="259"/>
        <v>31.526689945999998</v>
      </c>
      <c r="AT428" s="6">
        <f t="shared" si="259"/>
        <v>31.828393777000002</v>
      </c>
      <c r="AU428" s="6">
        <f t="shared" si="259"/>
        <v>32.133303040999998</v>
      </c>
      <c r="AV428" s="6">
        <f t="shared" si="259"/>
        <v>32.441433833000005</v>
      </c>
      <c r="AW428" s="6">
        <f t="shared" si="259"/>
        <v>32.756118561999997</v>
      </c>
      <c r="AX428" s="6">
        <f t="shared" si="259"/>
        <v>33.074981096000002</v>
      </c>
      <c r="AY428" s="6">
        <f t="shared" si="259"/>
        <v>33.397512669999998</v>
      </c>
      <c r="AZ428" s="6">
        <f t="shared" si="259"/>
        <v>33.723546352</v>
      </c>
      <c r="BA428" s="6">
        <f t="shared" si="259"/>
        <v>34.052966533999999</v>
      </c>
      <c r="BB428" s="6">
        <f t="shared" si="259"/>
        <v>41.452889843000001</v>
      </c>
      <c r="BC428" s="6">
        <f t="shared" si="259"/>
        <v>42.057067828999998</v>
      </c>
      <c r="BD428" s="6">
        <f t="shared" ref="BD428:BF428" si="260">BD407+BD408+BD406</f>
        <v>42.671079304000003</v>
      </c>
      <c r="BE428" s="6">
        <f t="shared" si="260"/>
        <v>43.295167198999998</v>
      </c>
      <c r="BF428" s="6">
        <f t="shared" si="260"/>
        <v>43.929588232</v>
      </c>
    </row>
    <row r="429" spans="1:58" x14ac:dyDescent="0.35">
      <c r="B429" t="s">
        <v>33</v>
      </c>
      <c r="C429" s="6">
        <f>SUM(C409:C413)</f>
        <v>24.850970611000001</v>
      </c>
      <c r="D429" s="6">
        <f t="shared" ref="D429:AL429" si="261">SUM(D409:D413)</f>
        <v>24.983063955999999</v>
      </c>
      <c r="E429" s="6">
        <f t="shared" si="261"/>
        <v>25.118359637000001</v>
      </c>
      <c r="F429" s="6">
        <f t="shared" si="261"/>
        <v>25.261151213999998</v>
      </c>
      <c r="G429" s="6">
        <f t="shared" si="261"/>
        <v>25.422570718999999</v>
      </c>
      <c r="H429" s="6">
        <f t="shared" si="261"/>
        <v>25.607023975000001</v>
      </c>
      <c r="I429" s="6">
        <f t="shared" si="261"/>
        <v>25.799527826999999</v>
      </c>
      <c r="J429" s="6">
        <f t="shared" si="261"/>
        <v>26.003283956999997</v>
      </c>
      <c r="K429" s="6">
        <f t="shared" si="261"/>
        <v>26.217382947999997</v>
      </c>
      <c r="L429" s="6">
        <f t="shared" si="261"/>
        <v>26.439259198999999</v>
      </c>
      <c r="M429" s="6">
        <f t="shared" si="261"/>
        <v>26.669462544000002</v>
      </c>
      <c r="N429" s="6">
        <f t="shared" si="261"/>
        <v>26.916266776000001</v>
      </c>
      <c r="O429" s="6">
        <f t="shared" si="261"/>
        <v>27.167908269999998</v>
      </c>
      <c r="P429" s="6">
        <f t="shared" si="261"/>
        <v>27.421474160999999</v>
      </c>
      <c r="Q429" s="6">
        <f t="shared" si="261"/>
        <v>27.676017045000002</v>
      </c>
      <c r="R429" s="6">
        <f t="shared" si="261"/>
        <v>27.930952903999998</v>
      </c>
      <c r="S429" s="6">
        <f t="shared" si="261"/>
        <v>28.185099485000002</v>
      </c>
      <c r="T429" s="6">
        <f t="shared" si="261"/>
        <v>28.438697954000002</v>
      </c>
      <c r="U429" s="6">
        <f t="shared" si="261"/>
        <v>28.691748972999999</v>
      </c>
      <c r="V429" s="6">
        <f t="shared" si="261"/>
        <v>28.944317610999995</v>
      </c>
      <c r="W429" s="6">
        <f t="shared" si="261"/>
        <v>29.180050774000001</v>
      </c>
      <c r="X429" s="6">
        <f t="shared" si="261"/>
        <v>29.424041185</v>
      </c>
      <c r="Y429" s="6">
        <f t="shared" si="261"/>
        <v>29.672668302000002</v>
      </c>
      <c r="Z429" s="6">
        <f t="shared" si="261"/>
        <v>29.924156107000002</v>
      </c>
      <c r="AA429" s="6">
        <f t="shared" si="261"/>
        <v>30.178098340000002</v>
      </c>
      <c r="AB429" s="6">
        <f t="shared" si="261"/>
        <v>30.388003577999999</v>
      </c>
      <c r="AC429" s="6">
        <f t="shared" si="261"/>
        <v>30.602253416</v>
      </c>
      <c r="AD429" s="6">
        <f t="shared" si="261"/>
        <v>30.820275955999996</v>
      </c>
      <c r="AE429" s="6">
        <f t="shared" si="261"/>
        <v>31.041534916999993</v>
      </c>
      <c r="AF429" s="6">
        <f t="shared" si="261"/>
        <v>31.266341336000004</v>
      </c>
      <c r="AG429" s="6">
        <f t="shared" si="261"/>
        <v>31.495213324000005</v>
      </c>
      <c r="AH429" s="6">
        <f t="shared" si="261"/>
        <v>31.728853622999999</v>
      </c>
      <c r="AI429" s="6">
        <f t="shared" si="261"/>
        <v>31.967491959</v>
      </c>
      <c r="AJ429" s="6">
        <f t="shared" si="261"/>
        <v>32.211360851000002</v>
      </c>
      <c r="AK429" s="6">
        <f t="shared" si="261"/>
        <v>32.460609581999996</v>
      </c>
      <c r="AL429" s="6">
        <f t="shared" si="261"/>
        <v>32.715295533000003</v>
      </c>
      <c r="AM429" s="6">
        <f t="shared" ref="AM429:BC429" si="262">SUM(AM409:AM413)</f>
        <v>32.966808862999997</v>
      </c>
      <c r="AN429" s="6">
        <f t="shared" si="262"/>
        <v>33.218894775999999</v>
      </c>
      <c r="AO429" s="6">
        <f t="shared" si="262"/>
        <v>33.473835589000004</v>
      </c>
      <c r="AP429" s="6">
        <f t="shared" si="262"/>
        <v>33.732726882000001</v>
      </c>
      <c r="AQ429" s="6">
        <f t="shared" si="262"/>
        <v>33.996069243999997</v>
      </c>
      <c r="AR429" s="6">
        <f t="shared" si="262"/>
        <v>34.264428012000003</v>
      </c>
      <c r="AS429" s="6">
        <f t="shared" si="262"/>
        <v>34.537637339999996</v>
      </c>
      <c r="AT429" s="6">
        <f t="shared" si="262"/>
        <v>34.815655147000001</v>
      </c>
      <c r="AU429" s="6">
        <f t="shared" si="262"/>
        <v>35.098443965999991</v>
      </c>
      <c r="AV429" s="6">
        <f t="shared" si="262"/>
        <v>35.385944702000003</v>
      </c>
      <c r="AW429" s="6">
        <f t="shared" si="262"/>
        <v>35.680285021000003</v>
      </c>
      <c r="AX429" s="6">
        <f t="shared" si="262"/>
        <v>35.980107432000004</v>
      </c>
      <c r="AY429" s="6">
        <f t="shared" si="262"/>
        <v>36.284980816999997</v>
      </c>
      <c r="AZ429" s="6">
        <f t="shared" si="262"/>
        <v>36.594749582999995</v>
      </c>
      <c r="BA429" s="6">
        <f t="shared" si="262"/>
        <v>36.909308758999998</v>
      </c>
      <c r="BB429" s="6">
        <f t="shared" si="262"/>
        <v>39.955272639999997</v>
      </c>
      <c r="BC429" s="6">
        <f t="shared" si="262"/>
        <v>40.421372435000002</v>
      </c>
      <c r="BD429" s="6">
        <f t="shared" ref="BD429:BF429" si="263">SUM(BD409:BD413)</f>
        <v>40.895809559</v>
      </c>
      <c r="BE429" s="6">
        <f t="shared" si="263"/>
        <v>41.378600045999995</v>
      </c>
      <c r="BF429" s="6">
        <f t="shared" si="263"/>
        <v>41.869795973000002</v>
      </c>
    </row>
    <row r="431" spans="1:58" x14ac:dyDescent="0.35">
      <c r="A431" s="12" t="s">
        <v>92</v>
      </c>
      <c r="C431" s="7" t="s">
        <v>72</v>
      </c>
      <c r="D431" s="7" t="s">
        <v>15</v>
      </c>
      <c r="E431" s="7" t="s">
        <v>16</v>
      </c>
      <c r="F431" s="7" t="s">
        <v>17</v>
      </c>
    </row>
    <row r="432" spans="1:58" x14ac:dyDescent="0.35">
      <c r="A432" t="s">
        <v>39</v>
      </c>
      <c r="B432" t="s">
        <v>7</v>
      </c>
      <c r="C432" s="6">
        <f>H418</f>
        <v>15.143015535300002</v>
      </c>
      <c r="D432" s="6">
        <f>R418</f>
        <v>17.559551995599996</v>
      </c>
      <c r="E432" s="6">
        <f>AB418</f>
        <v>20.5685713419</v>
      </c>
      <c r="F432" s="6">
        <f>AL418</f>
        <v>23.520132436400001</v>
      </c>
    </row>
    <row r="433" spans="1:58" x14ac:dyDescent="0.35">
      <c r="B433" t="s">
        <v>64</v>
      </c>
      <c r="C433" s="6">
        <f t="shared" ref="C433:C443" si="264">H419</f>
        <v>8.8663526430000008</v>
      </c>
      <c r="D433" s="6">
        <f t="shared" ref="D433:D443" si="265">R419</f>
        <v>10.250642770000001</v>
      </c>
      <c r="E433" s="6">
        <f t="shared" ref="E433:E443" si="266">AB419</f>
        <v>11.939197869999999</v>
      </c>
      <c r="F433" s="6">
        <f t="shared" ref="F433:F443" si="267">AL419</f>
        <v>13.487296819999999</v>
      </c>
    </row>
    <row r="434" spans="1:58" x14ac:dyDescent="0.35">
      <c r="B434" t="s">
        <v>65</v>
      </c>
      <c r="C434" s="6">
        <f t="shared" si="264"/>
        <v>19.461782464999999</v>
      </c>
      <c r="D434" s="6">
        <f t="shared" si="265"/>
        <v>22.400039896999999</v>
      </c>
      <c r="E434" s="6">
        <f t="shared" si="266"/>
        <v>25.930230359999999</v>
      </c>
      <c r="F434" s="6">
        <f t="shared" si="267"/>
        <v>29.665157370000003</v>
      </c>
    </row>
    <row r="435" spans="1:58" x14ac:dyDescent="0.35">
      <c r="B435" t="s">
        <v>66</v>
      </c>
      <c r="C435" s="6">
        <f t="shared" si="264"/>
        <v>13.913683170000001</v>
      </c>
      <c r="D435" s="6">
        <f t="shared" si="265"/>
        <v>15.93211282</v>
      </c>
      <c r="E435" s="6">
        <f t="shared" si="266"/>
        <v>18.138075019999999</v>
      </c>
      <c r="F435" s="6">
        <f t="shared" si="267"/>
        <v>20.414172659999998</v>
      </c>
    </row>
    <row r="436" spans="1:58" x14ac:dyDescent="0.35">
      <c r="B436" t="s">
        <v>67</v>
      </c>
      <c r="C436" s="6">
        <f t="shared" si="264"/>
        <v>20.15606584</v>
      </c>
      <c r="D436" s="6">
        <f t="shared" si="265"/>
        <v>22.911438480000001</v>
      </c>
      <c r="E436" s="6">
        <f t="shared" si="266"/>
        <v>26.1430896</v>
      </c>
      <c r="F436" s="6">
        <f t="shared" si="267"/>
        <v>29.559561609999999</v>
      </c>
    </row>
    <row r="437" spans="1:58" x14ac:dyDescent="0.35">
      <c r="B437" t="s">
        <v>71</v>
      </c>
      <c r="C437" s="6">
        <f t="shared" si="264"/>
        <v>16.3785256</v>
      </c>
      <c r="D437" s="6">
        <f t="shared" si="265"/>
        <v>19.202712175999999</v>
      </c>
      <c r="E437" s="6">
        <f t="shared" si="266"/>
        <v>22.744298395000001</v>
      </c>
      <c r="F437" s="6">
        <f t="shared" si="267"/>
        <v>25.811140322999996</v>
      </c>
    </row>
    <row r="438" spans="1:58" x14ac:dyDescent="0.35">
      <c r="B438" t="s">
        <v>68</v>
      </c>
      <c r="C438" s="6">
        <f t="shared" si="264"/>
        <v>17.87220984</v>
      </c>
      <c r="D438" s="6">
        <f t="shared" si="265"/>
        <v>20.247832590000002</v>
      </c>
      <c r="E438" s="6">
        <f t="shared" si="266"/>
        <v>22.93161272</v>
      </c>
      <c r="F438" s="6">
        <f t="shared" si="267"/>
        <v>25.598742380000001</v>
      </c>
    </row>
    <row r="439" spans="1:58" x14ac:dyDescent="0.35">
      <c r="B439" t="s">
        <v>69</v>
      </c>
      <c r="C439" s="6">
        <f t="shared" si="264"/>
        <v>20.052741309999998</v>
      </c>
      <c r="D439" s="6">
        <f t="shared" si="265"/>
        <v>23.609217409999999</v>
      </c>
      <c r="E439" s="6">
        <f t="shared" si="266"/>
        <v>27.683521240000001</v>
      </c>
      <c r="F439" s="6">
        <f t="shared" si="267"/>
        <v>31.811732500000002</v>
      </c>
    </row>
    <row r="440" spans="1:58" x14ac:dyDescent="0.35">
      <c r="B440" t="s">
        <v>70</v>
      </c>
      <c r="C440" s="6">
        <f t="shared" si="264"/>
        <v>5.6961613510000006</v>
      </c>
      <c r="D440" s="6">
        <f t="shared" si="265"/>
        <v>6.4733391939999994</v>
      </c>
      <c r="E440" s="6">
        <f t="shared" si="266"/>
        <v>7.2901252300000001</v>
      </c>
      <c r="F440" s="6">
        <f t="shared" si="267"/>
        <v>8.1386980879999999</v>
      </c>
    </row>
    <row r="441" spans="1:58" x14ac:dyDescent="0.35">
      <c r="B441" t="s">
        <v>10</v>
      </c>
      <c r="C441" s="6">
        <f t="shared" si="264"/>
        <v>51.647228769999998</v>
      </c>
      <c r="D441" s="6">
        <f t="shared" si="265"/>
        <v>59.907762789999992</v>
      </c>
      <c r="E441" s="6">
        <f t="shared" si="266"/>
        <v>69.899732658999994</v>
      </c>
      <c r="F441" s="6">
        <f t="shared" si="267"/>
        <v>79.525878530000014</v>
      </c>
    </row>
    <row r="442" spans="1:58" x14ac:dyDescent="0.35">
      <c r="B442" t="s">
        <v>29</v>
      </c>
      <c r="C442" s="6">
        <f t="shared" si="264"/>
        <v>21.671492523000001</v>
      </c>
      <c r="D442" s="6">
        <f t="shared" si="265"/>
        <v>23.978307663000002</v>
      </c>
      <c r="E442" s="6">
        <f t="shared" si="266"/>
        <v>26.766540755000001</v>
      </c>
      <c r="F442" s="6">
        <f t="shared" si="267"/>
        <v>29.495318564000002</v>
      </c>
    </row>
    <row r="443" spans="1:58" x14ac:dyDescent="0.35">
      <c r="B443" t="s">
        <v>33</v>
      </c>
      <c r="C443" s="6">
        <f t="shared" si="264"/>
        <v>25.607023975000001</v>
      </c>
      <c r="D443" s="6">
        <f t="shared" si="265"/>
        <v>27.930952903999998</v>
      </c>
      <c r="E443" s="6">
        <f t="shared" si="266"/>
        <v>30.388003577999999</v>
      </c>
      <c r="F443" s="6">
        <f t="shared" si="267"/>
        <v>32.715295533000003</v>
      </c>
    </row>
    <row r="445" spans="1:58" x14ac:dyDescent="0.35">
      <c r="A445" s="12" t="s">
        <v>93</v>
      </c>
      <c r="B445" t="s">
        <v>73</v>
      </c>
      <c r="C445" s="6">
        <f>[1]Results!F281</f>
        <v>160.5069689</v>
      </c>
      <c r="D445" s="6">
        <f>[1]Results!G281</f>
        <v>160.93864859999999</v>
      </c>
      <c r="E445" s="6">
        <f>[1]Results!H281</f>
        <v>161.4267049</v>
      </c>
      <c r="F445" s="6">
        <f>[1]Results!I281</f>
        <v>162.07264430000001</v>
      </c>
      <c r="G445" s="6">
        <f>[1]Results!J281</f>
        <v>162.93474889999999</v>
      </c>
      <c r="H445" s="6">
        <f>[1]Results!K281</f>
        <v>164.01491949999999</v>
      </c>
      <c r="I445" s="6">
        <f>[1]Results!L281</f>
        <v>165.20560320000001</v>
      </c>
      <c r="J445" s="6">
        <f>[1]Results!M281</f>
        <v>166.51685710000001</v>
      </c>
      <c r="K445" s="6">
        <f>[1]Results!N281</f>
        <v>167.92734490000001</v>
      </c>
      <c r="L445" s="6">
        <f>[1]Results!O281</f>
        <v>169.4134971</v>
      </c>
      <c r="M445" s="6">
        <f>[1]Results!P281</f>
        <v>170.9360288</v>
      </c>
      <c r="N445" s="6">
        <f>[1]Results!Q281</f>
        <v>172.6271883</v>
      </c>
      <c r="O445" s="6">
        <f>[1]Results!R281</f>
        <v>174.38050089999999</v>
      </c>
      <c r="P445" s="6">
        <f>[1]Results!S281</f>
        <v>176.17473630000001</v>
      </c>
      <c r="Q445" s="6">
        <f>[1]Results!T281</f>
        <v>178.00071829999999</v>
      </c>
      <c r="R445" s="6">
        <f>[1]Results!U281</f>
        <v>179.8519206</v>
      </c>
      <c r="S445" s="6">
        <f>[1]Results!V281</f>
        <v>181.71693379999999</v>
      </c>
      <c r="T445" s="6">
        <f>[1]Results!W281</f>
        <v>183.59595469999999</v>
      </c>
      <c r="U445" s="6">
        <f>[1]Results!X281</f>
        <v>185.48671060000001</v>
      </c>
      <c r="V445" s="6">
        <f>[1]Results!Y281</f>
        <v>187.38741690000001</v>
      </c>
      <c r="W445" s="6">
        <f>[1]Results!Z281</f>
        <v>189.19940930000001</v>
      </c>
      <c r="X445" s="6">
        <f>[1]Results!AA281</f>
        <v>191.0749477</v>
      </c>
      <c r="Y445" s="6">
        <f>[1]Results!AB281</f>
        <v>192.9765778</v>
      </c>
      <c r="Z445" s="6">
        <f>[1]Results!AC281</f>
        <v>194.89682980000001</v>
      </c>
      <c r="AA445" s="6">
        <f>[1]Results!AD281</f>
        <v>196.83468310000001</v>
      </c>
      <c r="AB445" s="6">
        <f>[1]Results!AE281</f>
        <v>198.51281739999999</v>
      </c>
      <c r="AC445" s="6">
        <f>[1]Results!AF281</f>
        <v>200.23672329999999</v>
      </c>
      <c r="AD445" s="6">
        <f>[1]Results!AG281</f>
        <v>201.969595</v>
      </c>
      <c r="AE445" s="6">
        <f>[1]Results!AH281</f>
        <v>203.71002379999999</v>
      </c>
      <c r="AF445" s="6">
        <f>[1]Results!AI281</f>
        <v>205.46264690000001</v>
      </c>
      <c r="AG445" s="6">
        <f>[1]Results!AJ281</f>
        <v>207.23244320000001</v>
      </c>
      <c r="AH445" s="6">
        <f>[1]Results!AK281</f>
        <v>209.02542209999999</v>
      </c>
      <c r="AI445" s="6">
        <f>[1]Results!AL281</f>
        <v>210.84348850000001</v>
      </c>
      <c r="AJ445" s="6">
        <f>[1]Results!AM281</f>
        <v>212.68856170000001</v>
      </c>
      <c r="AK445" s="6">
        <f>[1]Results!AN281</f>
        <v>214.56206499999999</v>
      </c>
      <c r="AL445" s="6">
        <f>[1]Results!AO281</f>
        <v>216.4648603</v>
      </c>
      <c r="AM445" s="6">
        <f>[1]Results!AP281</f>
        <v>218.349591</v>
      </c>
      <c r="AN445" s="6">
        <f>[1]Results!AQ281</f>
        <v>220.24032149999999</v>
      </c>
      <c r="AO445" s="6">
        <f>[1]Results!AR281</f>
        <v>222.14602350000001</v>
      </c>
      <c r="AP445" s="6">
        <f>[1]Results!AS281</f>
        <v>224.07121050000001</v>
      </c>
      <c r="AQ445" s="6">
        <f>[1]Results!AT281</f>
        <v>226.0185966</v>
      </c>
      <c r="AR445" s="6">
        <f>[1]Results!AU281</f>
        <v>227.9928487</v>
      </c>
      <c r="AS445" s="6">
        <f>[1]Results!AV281</f>
        <v>229.99316339999999</v>
      </c>
      <c r="AT445" s="6">
        <f>[1]Results!AW281</f>
        <v>232.0199532</v>
      </c>
      <c r="AU445" s="6">
        <f>[1]Results!AX281</f>
        <v>234.07347429999999</v>
      </c>
      <c r="AV445" s="6">
        <f>[1]Results!AY281</f>
        <v>236.15369480000001</v>
      </c>
      <c r="AW445" s="6">
        <f>[1]Results!AZ281</f>
        <v>238.27652119999999</v>
      </c>
      <c r="AX445" s="6">
        <f>[1]Results!BA281</f>
        <v>240.43157719999999</v>
      </c>
      <c r="AY445" s="6">
        <f>[1]Results!BB281</f>
        <v>242.61662140000001</v>
      </c>
      <c r="AZ445" s="6">
        <f>[1]Results!BC281</f>
        <v>244.83059729999999</v>
      </c>
      <c r="BA445" s="6">
        <f>[1]Results!BD281</f>
        <v>247.07256140000001</v>
      </c>
      <c r="BB445" s="6">
        <f>[1]Results!BE281</f>
        <v>283.96565909999998</v>
      </c>
      <c r="BC445" s="6">
        <f>[1]Results!BF281</f>
        <v>287.72227379999998</v>
      </c>
      <c r="BD445" s="6">
        <f>[1]Results!BG281</f>
        <v>291.5392842</v>
      </c>
      <c r="BE445" s="6">
        <f>[1]Results!BH281</f>
        <v>295.41791599999999</v>
      </c>
      <c r="BF445" s="6">
        <f>[1]Results!BI281</f>
        <v>299.35954529999998</v>
      </c>
    </row>
    <row r="446" spans="1:58" x14ac:dyDescent="0.35">
      <c r="A446" t="s">
        <v>39</v>
      </c>
      <c r="B446" s="6" t="str">
        <f>[1]Results!E282</f>
        <v>CF_toe_ccoa_2</v>
      </c>
      <c r="C446" s="6">
        <f>[1]Results!F282</f>
        <v>5.3446684769999999</v>
      </c>
      <c r="D446" s="6">
        <f>[1]Results!G282</f>
        <v>5.3657191050000002</v>
      </c>
      <c r="E446" s="6">
        <f>[1]Results!H282</f>
        <v>5.4112971810000001</v>
      </c>
      <c r="F446" s="6">
        <f>[1]Results!I282</f>
        <v>5.4665768830000001</v>
      </c>
      <c r="G446" s="6">
        <f>[1]Results!J282</f>
        <v>5.5280921669999996</v>
      </c>
      <c r="H446" s="6">
        <f>[1]Results!K282</f>
        <v>5.5945317509999999</v>
      </c>
      <c r="I446" s="6">
        <f>[1]Results!L282</f>
        <v>5.6613375210000001</v>
      </c>
      <c r="J446" s="6">
        <f>[1]Results!M282</f>
        <v>5.7302390550000002</v>
      </c>
      <c r="K446" s="6">
        <f>[1]Results!N282</f>
        <v>5.801235846</v>
      </c>
      <c r="L446" s="6">
        <f>[1]Results!O282</f>
        <v>5.8740157010000003</v>
      </c>
      <c r="M446" s="6">
        <f>[1]Results!P282</f>
        <v>5.9429214469999998</v>
      </c>
      <c r="N446" s="6">
        <f>[1]Results!Q282</f>
        <v>6.0249468610000001</v>
      </c>
      <c r="O446" s="6">
        <f>[1]Results!R282</f>
        <v>6.1104693320000001</v>
      </c>
      <c r="P446" s="6">
        <f>[1]Results!S282</f>
        <v>6.1975459849999996</v>
      </c>
      <c r="Q446" s="6">
        <f>[1]Results!T282</f>
        <v>6.2856812140000002</v>
      </c>
      <c r="R446" s="6">
        <f>[1]Results!U282</f>
        <v>6.3746989960000002</v>
      </c>
      <c r="S446" s="6">
        <f>[1]Results!V282</f>
        <v>6.4639775049999999</v>
      </c>
      <c r="T446" s="6">
        <f>[1]Results!W282</f>
        <v>6.553904857</v>
      </c>
      <c r="U446" s="6">
        <f>[1]Results!X282</f>
        <v>6.6445735690000003</v>
      </c>
      <c r="V446" s="6">
        <f>[1]Results!Y282</f>
        <v>6.736041964</v>
      </c>
      <c r="W446" s="6">
        <f>[1]Results!Z282</f>
        <v>6.8239611529999999</v>
      </c>
      <c r="X446" s="6">
        <f>[1]Results!AA282</f>
        <v>6.9156703320000004</v>
      </c>
      <c r="Y446" s="6">
        <f>[1]Results!AB282</f>
        <v>7.009112902</v>
      </c>
      <c r="Z446" s="6">
        <f>[1]Results!AC282</f>
        <v>7.1039372480000003</v>
      </c>
      <c r="AA446" s="6">
        <f>[1]Results!AD282</f>
        <v>7.2001309129999997</v>
      </c>
      <c r="AB446" s="6">
        <f>[1]Results!AE282</f>
        <v>7.2851166669999996</v>
      </c>
      <c r="AC446" s="6">
        <f>[1]Results!AF282</f>
        <v>7.3739702730000003</v>
      </c>
      <c r="AD446" s="6">
        <f>[1]Results!AG282</f>
        <v>7.4642001660000004</v>
      </c>
      <c r="AE446" s="6">
        <f>[1]Results!AH282</f>
        <v>7.5554848659999996</v>
      </c>
      <c r="AF446" s="6">
        <f>[1]Results!AI282</f>
        <v>7.6479032790000003</v>
      </c>
      <c r="AG446" s="6">
        <f>[1]Results!AJ282</f>
        <v>7.7415829929999997</v>
      </c>
      <c r="AH446" s="6">
        <f>[1]Results!AK282</f>
        <v>7.8367934139999997</v>
      </c>
      <c r="AI446" s="6">
        <f>[1]Results!AL282</f>
        <v>7.9334875440000001</v>
      </c>
      <c r="AJ446" s="6">
        <f>[1]Results!AM282</f>
        <v>8.0316822440000006</v>
      </c>
      <c r="AK446" s="6">
        <f>[1]Results!AN282</f>
        <v>8.1313829139999996</v>
      </c>
      <c r="AL446" s="6">
        <f>[1]Results!AO282</f>
        <v>8.2325765690000008</v>
      </c>
      <c r="AM446" s="6">
        <f>[1]Results!AP282</f>
        <v>8.3337800830000006</v>
      </c>
      <c r="AN446" s="6">
        <f>[1]Results!AQ282</f>
        <v>8.4356989030000005</v>
      </c>
      <c r="AO446" s="6">
        <f>[1]Results!AR282</f>
        <v>8.5385469860000001</v>
      </c>
      <c r="AP446" s="6">
        <f>[1]Results!AS282</f>
        <v>8.6424038139999997</v>
      </c>
      <c r="AQ446" s="6">
        <f>[1]Results!AT282</f>
        <v>8.747308898</v>
      </c>
      <c r="AR446" s="6">
        <f>[1]Results!AU282</f>
        <v>8.8535496970000001</v>
      </c>
      <c r="AS446" s="6">
        <f>[1]Results!AV282</f>
        <v>8.9609513360000008</v>
      </c>
      <c r="AT446" s="6">
        <f>[1]Results!AW282</f>
        <v>9.0694869730000001</v>
      </c>
      <c r="AU446" s="6">
        <f>[1]Results!AX282</f>
        <v>9.1791488730000008</v>
      </c>
      <c r="AV446" s="6">
        <f>[1]Results!AY282</f>
        <v>9.2899276749999995</v>
      </c>
      <c r="AW446" s="6">
        <f>[1]Results!AZ282</f>
        <v>9.4030210759999999</v>
      </c>
      <c r="AX446" s="6">
        <f>[1]Results!BA282</f>
        <v>9.5175652759999991</v>
      </c>
      <c r="AY446" s="6">
        <f>[1]Results!BB282</f>
        <v>9.6333794439999991</v>
      </c>
      <c r="AZ446" s="6">
        <f>[1]Results!BC282</f>
        <v>9.7504048080000008</v>
      </c>
      <c r="BA446" s="6">
        <f>[1]Results!BD282</f>
        <v>9.868608365</v>
      </c>
      <c r="BB446" s="6">
        <f>[1]Results!BE282</f>
        <v>12.585566829999999</v>
      </c>
      <c r="BC446" s="6">
        <f>[1]Results!BF282</f>
        <v>12.805525859999999</v>
      </c>
      <c r="BD446" s="6">
        <f>[1]Results!BG282</f>
        <v>13.02890981</v>
      </c>
      <c r="BE446" s="6">
        <f>[1]Results!BH282</f>
        <v>13.25575914</v>
      </c>
      <c r="BF446" s="6">
        <f>[1]Results!BI282</f>
        <v>13.48611507</v>
      </c>
    </row>
    <row r="447" spans="1:58" x14ac:dyDescent="0.35">
      <c r="B447" s="6" t="s">
        <v>74</v>
      </c>
      <c r="C447" s="6">
        <f>C448+C449+C450</f>
        <v>61.779960037199999</v>
      </c>
      <c r="D447" s="6">
        <f t="shared" ref="D447:AL447" si="268">D448+D449+D450</f>
        <v>61.834529329799999</v>
      </c>
      <c r="E447" s="6">
        <f t="shared" si="268"/>
        <v>61.867073248899999</v>
      </c>
      <c r="F447" s="6">
        <f t="shared" si="268"/>
        <v>61.979343525499999</v>
      </c>
      <c r="G447" s="6">
        <f t="shared" si="268"/>
        <v>62.204231002900002</v>
      </c>
      <c r="H447" s="6">
        <f t="shared" si="268"/>
        <v>62.538640325699994</v>
      </c>
      <c r="I447" s="6">
        <f t="shared" si="268"/>
        <v>62.9424847417</v>
      </c>
      <c r="J447" s="6">
        <f t="shared" si="268"/>
        <v>63.409228539200001</v>
      </c>
      <c r="K447" s="6">
        <f t="shared" si="268"/>
        <v>63.926193797300002</v>
      </c>
      <c r="L447" s="6">
        <f t="shared" si="268"/>
        <v>64.4818436714</v>
      </c>
      <c r="M447" s="6">
        <f t="shared" si="268"/>
        <v>65.059200369899997</v>
      </c>
      <c r="N447" s="6">
        <f t="shared" si="268"/>
        <v>65.7010380575</v>
      </c>
      <c r="O447" s="6">
        <f t="shared" si="268"/>
        <v>66.372029805500006</v>
      </c>
      <c r="P447" s="6">
        <f t="shared" si="268"/>
        <v>67.0638024183</v>
      </c>
      <c r="Q447" s="6">
        <f t="shared" si="268"/>
        <v>67.772204763399998</v>
      </c>
      <c r="R447" s="6">
        <f t="shared" si="268"/>
        <v>68.494110303900001</v>
      </c>
      <c r="S447" s="6">
        <f t="shared" si="268"/>
        <v>69.225259584300005</v>
      </c>
      <c r="T447" s="6">
        <f t="shared" si="268"/>
        <v>69.964511184000003</v>
      </c>
      <c r="U447" s="6">
        <f t="shared" si="268"/>
        <v>70.710319706899995</v>
      </c>
      <c r="V447" s="6">
        <f t="shared" si="268"/>
        <v>71.4614014462</v>
      </c>
      <c r="W447" s="6">
        <f t="shared" si="268"/>
        <v>72.187399777899998</v>
      </c>
      <c r="X447" s="6">
        <f t="shared" si="268"/>
        <v>72.931243192799997</v>
      </c>
      <c r="Y447" s="6">
        <f t="shared" si="268"/>
        <v>73.683049062699993</v>
      </c>
      <c r="Z447" s="6">
        <f t="shared" si="268"/>
        <v>74.440714186400001</v>
      </c>
      <c r="AA447" s="6">
        <f t="shared" si="268"/>
        <v>75.203803477099996</v>
      </c>
      <c r="AB447" s="6">
        <f t="shared" si="268"/>
        <v>75.888218479199992</v>
      </c>
      <c r="AC447" s="6">
        <f t="shared" si="268"/>
        <v>76.579433980900006</v>
      </c>
      <c r="AD447" s="6">
        <f t="shared" si="268"/>
        <v>77.268599492799993</v>
      </c>
      <c r="AE447" s="6">
        <f t="shared" si="268"/>
        <v>77.956193970300006</v>
      </c>
      <c r="AF447" s="6">
        <f t="shared" si="268"/>
        <v>78.644350707900003</v>
      </c>
      <c r="AG447" s="6">
        <f t="shared" si="268"/>
        <v>79.335195956600003</v>
      </c>
      <c r="AH447" s="6">
        <f t="shared" si="268"/>
        <v>80.030989444200003</v>
      </c>
      <c r="AI447" s="6">
        <f t="shared" si="268"/>
        <v>80.732796456399996</v>
      </c>
      <c r="AJ447" s="6">
        <f t="shared" si="268"/>
        <v>81.441497126900003</v>
      </c>
      <c r="AK447" s="6">
        <f t="shared" si="268"/>
        <v>82.157750911700006</v>
      </c>
      <c r="AL447" s="6">
        <f t="shared" si="268"/>
        <v>82.8820067403</v>
      </c>
      <c r="AM447" s="6">
        <f t="shared" ref="AM447:BC447" si="269">AM448+AM449+AM450</f>
        <v>83.599402475399998</v>
      </c>
      <c r="AN447" s="6">
        <f t="shared" si="269"/>
        <v>84.316794286599986</v>
      </c>
      <c r="AO447" s="6">
        <f t="shared" si="269"/>
        <v>85.03686576070001</v>
      </c>
      <c r="AP447" s="6">
        <f t="shared" si="269"/>
        <v>85.761185551799997</v>
      </c>
      <c r="AQ447" s="6">
        <f t="shared" si="269"/>
        <v>86.490906280900006</v>
      </c>
      <c r="AR447" s="6">
        <f t="shared" si="269"/>
        <v>87.227715105499996</v>
      </c>
      <c r="AS447" s="6">
        <f t="shared" si="269"/>
        <v>87.971841005000002</v>
      </c>
      <c r="AT447" s="6">
        <f t="shared" si="269"/>
        <v>88.723681645599996</v>
      </c>
      <c r="AU447" s="6">
        <f t="shared" si="269"/>
        <v>89.483496361100009</v>
      </c>
      <c r="AV447" s="6">
        <f t="shared" si="269"/>
        <v>90.251388292800002</v>
      </c>
      <c r="AW447" s="6">
        <f t="shared" si="269"/>
        <v>91.031932325200003</v>
      </c>
      <c r="AX447" s="6">
        <f t="shared" si="269"/>
        <v>91.822602971999999</v>
      </c>
      <c r="AY447" s="6">
        <f t="shared" si="269"/>
        <v>92.622720555800015</v>
      </c>
      <c r="AZ447" s="6">
        <f t="shared" si="269"/>
        <v>93.431852633900007</v>
      </c>
      <c r="BA447" s="6">
        <f t="shared" si="269"/>
        <v>94.249575196699993</v>
      </c>
      <c r="BB447" s="6">
        <f t="shared" si="269"/>
        <v>109.0311715487</v>
      </c>
      <c r="BC447" s="6">
        <f t="shared" si="269"/>
        <v>110.4310746978</v>
      </c>
      <c r="BD447" s="6">
        <f t="shared" ref="BD447:BF447" si="270">BD448+BD449+BD450</f>
        <v>111.85228779740001</v>
      </c>
      <c r="BE447" s="6">
        <f t="shared" si="270"/>
        <v>113.2955042848</v>
      </c>
      <c r="BF447" s="6">
        <f t="shared" si="270"/>
        <v>114.76147677599999</v>
      </c>
    </row>
    <row r="448" spans="1:58" x14ac:dyDescent="0.35">
      <c r="B448" s="6" t="str">
        <f>[1]Results!E285</f>
        <v>CF_toe_ccoi_2</v>
      </c>
      <c r="C448" s="6">
        <f>[1]Results!F285</f>
        <v>8.3313317200000001E-2</v>
      </c>
      <c r="D448" s="6">
        <f>[1]Results!G285</f>
        <v>8.3598649799999994E-2</v>
      </c>
      <c r="E448" s="6">
        <f>[1]Results!H285</f>
        <v>8.4113048900000001E-2</v>
      </c>
      <c r="F448" s="6">
        <f>[1]Results!I285</f>
        <v>8.4770285500000001E-2</v>
      </c>
      <c r="G448" s="6">
        <f>[1]Results!J285</f>
        <v>8.5570552899999999E-2</v>
      </c>
      <c r="H448" s="6">
        <f>[1]Results!K285</f>
        <v>8.65109357E-2</v>
      </c>
      <c r="I448" s="6">
        <f>[1]Results!L285</f>
        <v>8.7522591699999999E-2</v>
      </c>
      <c r="J448" s="6">
        <f>[1]Results!M285</f>
        <v>8.8619269200000003E-2</v>
      </c>
      <c r="K448" s="6">
        <f>[1]Results!N285</f>
        <v>8.9790607300000005E-2</v>
      </c>
      <c r="L448" s="6">
        <f>[1]Results!O285</f>
        <v>9.1023291399999998E-2</v>
      </c>
      <c r="M448" s="6">
        <f>[1]Results!P285</f>
        <v>9.2263699899999996E-2</v>
      </c>
      <c r="N448" s="6">
        <f>[1]Results!Q285</f>
        <v>9.3665397499999997E-2</v>
      </c>
      <c r="O448" s="6">
        <f>[1]Results!R285</f>
        <v>9.5132825500000004E-2</v>
      </c>
      <c r="P448" s="6">
        <f>[1]Results!S285</f>
        <v>9.6645498299999993E-2</v>
      </c>
      <c r="Q448" s="6">
        <f>[1]Results!T285</f>
        <v>9.8193893399999996E-2</v>
      </c>
      <c r="R448" s="6">
        <f>[1]Results!U285</f>
        <v>9.9770543899999994E-2</v>
      </c>
      <c r="S448" s="6">
        <f>[1]Results!V285</f>
        <v>0.1013636943</v>
      </c>
      <c r="T448" s="6">
        <f>[1]Results!W285</f>
        <v>0.102971994</v>
      </c>
      <c r="U448" s="6">
        <f>[1]Results!X285</f>
        <v>0.1045923269</v>
      </c>
      <c r="V448" s="6">
        <f>[1]Results!Y285</f>
        <v>0.10622232619999999</v>
      </c>
      <c r="W448" s="6">
        <f>[1]Results!Z285</f>
        <v>0.1077912979</v>
      </c>
      <c r="X448" s="6">
        <f>[1]Results!AA285</f>
        <v>0.10940583280000001</v>
      </c>
      <c r="Y448" s="6">
        <f>[1]Results!AB285</f>
        <v>0.1110380627</v>
      </c>
      <c r="Z448" s="6">
        <f>[1]Results!AC285</f>
        <v>0.1126836764</v>
      </c>
      <c r="AA448" s="6">
        <f>[1]Results!AD285</f>
        <v>0.1143426171</v>
      </c>
      <c r="AB448" s="6">
        <f>[1]Results!AE285</f>
        <v>0.1158161192</v>
      </c>
      <c r="AC448" s="6">
        <f>[1]Results!AF285</f>
        <v>0.1173211109</v>
      </c>
      <c r="AD448" s="6">
        <f>[1]Results!AG285</f>
        <v>0.11882701280000001</v>
      </c>
      <c r="AE448" s="6">
        <f>[1]Results!AH285</f>
        <v>0.1203336003</v>
      </c>
      <c r="AF448" s="6">
        <f>[1]Results!AI285</f>
        <v>0.1218453979</v>
      </c>
      <c r="AG448" s="6">
        <f>[1]Results!AJ285</f>
        <v>0.1233670466</v>
      </c>
      <c r="AH448" s="6">
        <f>[1]Results!AK285</f>
        <v>0.1249040642</v>
      </c>
      <c r="AI448" s="6">
        <f>[1]Results!AL285</f>
        <v>0.1264585164</v>
      </c>
      <c r="AJ448" s="6">
        <f>[1]Results!AM285</f>
        <v>0.12803264689999999</v>
      </c>
      <c r="AK448" s="6">
        <f>[1]Results!AN285</f>
        <v>0.12962818170000001</v>
      </c>
      <c r="AL448" s="6">
        <f>[1]Results!AO285</f>
        <v>0.1312463203</v>
      </c>
      <c r="AM448" s="6">
        <f>[1]Results!AP285</f>
        <v>0.13285519539999999</v>
      </c>
      <c r="AN448" s="6">
        <f>[1]Results!AQ285</f>
        <v>0.13447054659999999</v>
      </c>
      <c r="AO448" s="6">
        <f>[1]Results!AR285</f>
        <v>0.13609793070000001</v>
      </c>
      <c r="AP448" s="6">
        <f>[1]Results!AS285</f>
        <v>0.13774048180000001</v>
      </c>
      <c r="AQ448" s="6">
        <f>[1]Results!AT285</f>
        <v>0.13940038090000001</v>
      </c>
      <c r="AR448" s="6">
        <f>[1]Results!AU285</f>
        <v>0.1410817255</v>
      </c>
      <c r="AS448" s="6">
        <f>[1]Results!AV285</f>
        <v>0.142783935</v>
      </c>
      <c r="AT448" s="6">
        <f>[1]Results!AW285</f>
        <v>0.1445075156</v>
      </c>
      <c r="AU448" s="6">
        <f>[1]Results!AX285</f>
        <v>0.1462528511</v>
      </c>
      <c r="AV448" s="6">
        <f>[1]Results!AY285</f>
        <v>0.14802008280000001</v>
      </c>
      <c r="AW448" s="6">
        <f>[1]Results!AZ285</f>
        <v>0.1498224652</v>
      </c>
      <c r="AX448" s="6">
        <f>[1]Results!BA285</f>
        <v>0.151651652</v>
      </c>
      <c r="AY448" s="6">
        <f>[1]Results!BB285</f>
        <v>0.15350617580000001</v>
      </c>
      <c r="AZ448" s="6">
        <f>[1]Results!BC285</f>
        <v>0.15538547389999999</v>
      </c>
      <c r="BA448" s="6">
        <f>[1]Results!BD285</f>
        <v>0.15728899669999999</v>
      </c>
      <c r="BB448" s="6">
        <f>[1]Results!BE285</f>
        <v>0.19860557870000001</v>
      </c>
      <c r="BC448" s="6">
        <f>[1]Results!BF285</f>
        <v>0.20196968779999999</v>
      </c>
      <c r="BD448" s="6">
        <f>[1]Results!BG285</f>
        <v>0.20537931740000001</v>
      </c>
      <c r="BE448" s="6">
        <f>[1]Results!BH285</f>
        <v>0.2088358948</v>
      </c>
      <c r="BF448" s="6">
        <f>[1]Results!BI285</f>
        <v>0.21234085599999999</v>
      </c>
    </row>
    <row r="449" spans="1:58" x14ac:dyDescent="0.35">
      <c r="B449" s="6" t="str">
        <f>[1]Results!E288</f>
        <v>CF_toe_cfut_2</v>
      </c>
      <c r="C449" s="6">
        <f>[1]Results!F288</f>
        <v>46.97992773</v>
      </c>
      <c r="D449" s="6">
        <f>[1]Results!G288</f>
        <v>46.971642439999997</v>
      </c>
      <c r="E449" s="6">
        <f>[1]Results!H288</f>
        <v>46.960338139999998</v>
      </c>
      <c r="F449" s="6">
        <f>[1]Results!I288</f>
        <v>47.029678730000001</v>
      </c>
      <c r="G449" s="6">
        <f>[1]Results!J288</f>
        <v>47.20142285</v>
      </c>
      <c r="H449" s="6">
        <f>[1]Results!K288</f>
        <v>47.468373389999996</v>
      </c>
      <c r="I449" s="6">
        <f>[1]Results!L288</f>
        <v>47.79730404</v>
      </c>
      <c r="J449" s="6">
        <f>[1]Results!M288</f>
        <v>48.179794350000002</v>
      </c>
      <c r="K449" s="6">
        <f>[1]Results!N288</f>
        <v>48.604323000000001</v>
      </c>
      <c r="L449" s="6">
        <f>[1]Results!O288</f>
        <v>49.061123209999998</v>
      </c>
      <c r="M449" s="6">
        <f>[1]Results!P288</f>
        <v>49.53393604</v>
      </c>
      <c r="N449" s="6">
        <f>[1]Results!Q288</f>
        <v>50.060182189999999</v>
      </c>
      <c r="O449" s="6">
        <f>[1]Results!R288</f>
        <v>50.610583920000003</v>
      </c>
      <c r="P449" s="6">
        <f>[1]Results!S288</f>
        <v>51.17786134</v>
      </c>
      <c r="Q449" s="6">
        <f>[1]Results!T288</f>
        <v>51.758442690000003</v>
      </c>
      <c r="R449" s="6">
        <f>[1]Results!U288</f>
        <v>52.349662610000003</v>
      </c>
      <c r="S449" s="6">
        <f>[1]Results!V288</f>
        <v>52.94785744</v>
      </c>
      <c r="T449" s="6">
        <f>[1]Results!W288</f>
        <v>53.55203659</v>
      </c>
      <c r="U449" s="6">
        <f>[1]Results!X288</f>
        <v>54.160907029999997</v>
      </c>
      <c r="V449" s="6">
        <f>[1]Results!Y288</f>
        <v>54.773411639999999</v>
      </c>
      <c r="W449" s="6">
        <f>[1]Results!Z288</f>
        <v>55.367619650000002</v>
      </c>
      <c r="X449" s="6">
        <f>[1]Results!AA288</f>
        <v>55.973850720000002</v>
      </c>
      <c r="Y449" s="6">
        <f>[1]Results!AB288</f>
        <v>56.585208139999999</v>
      </c>
      <c r="Z449" s="6">
        <f>[1]Results!AC288</f>
        <v>57.200405789999998</v>
      </c>
      <c r="AA449" s="6">
        <f>[1]Results!AD288</f>
        <v>57.819249880000001</v>
      </c>
      <c r="AB449" s="6">
        <f>[1]Results!AE288</f>
        <v>58.381126090000002</v>
      </c>
      <c r="AC449" s="6">
        <f>[1]Results!AF288</f>
        <v>58.946403109999999</v>
      </c>
      <c r="AD449" s="6">
        <f>[1]Results!AG288</f>
        <v>59.508670330000001</v>
      </c>
      <c r="AE449" s="6">
        <f>[1]Results!AH288</f>
        <v>60.068595389999999</v>
      </c>
      <c r="AF449" s="6">
        <f>[1]Results!AI288</f>
        <v>60.628032920000003</v>
      </c>
      <c r="AG449" s="6">
        <f>[1]Results!AJ288</f>
        <v>61.188782060000001</v>
      </c>
      <c r="AH449" s="6">
        <f>[1]Results!AK288</f>
        <v>61.752753220000002</v>
      </c>
      <c r="AI449" s="6">
        <f>[1]Results!AL288</f>
        <v>62.320848580000003</v>
      </c>
      <c r="AJ449" s="6">
        <f>[1]Results!AM288</f>
        <v>62.893855559999999</v>
      </c>
      <c r="AK449" s="6">
        <f>[1]Results!AN288</f>
        <v>63.472336660000003</v>
      </c>
      <c r="AL449" s="6">
        <f>[1]Results!AO288</f>
        <v>64.056664740000002</v>
      </c>
      <c r="AM449" s="6">
        <f>[1]Results!AP288</f>
        <v>64.636731740000002</v>
      </c>
      <c r="AN449" s="6">
        <f>[1]Results!AQ288</f>
        <v>65.216874899999993</v>
      </c>
      <c r="AO449" s="6">
        <f>[1]Results!AR288</f>
        <v>65.79877338</v>
      </c>
      <c r="AP449" s="6">
        <f>[1]Results!AS288</f>
        <v>66.383484710000005</v>
      </c>
      <c r="AQ449" s="6">
        <f>[1]Results!AT288</f>
        <v>66.971867040000006</v>
      </c>
      <c r="AR449" s="6">
        <f>[1]Results!AU288</f>
        <v>67.565320729999996</v>
      </c>
      <c r="AS449" s="6">
        <f>[1]Results!AV288</f>
        <v>68.164035220000002</v>
      </c>
      <c r="AT449" s="6">
        <f>[1]Results!AW288</f>
        <v>68.768348160000002</v>
      </c>
      <c r="AU449" s="6">
        <f>[1]Results!AX288</f>
        <v>69.37848434</v>
      </c>
      <c r="AV449" s="6">
        <f>[1]Results!AY288</f>
        <v>69.99453871</v>
      </c>
      <c r="AW449" s="6">
        <f>[1]Results!AZ288</f>
        <v>70.6202203</v>
      </c>
      <c r="AX449" s="6">
        <f>[1]Results!BA288</f>
        <v>71.253508019999998</v>
      </c>
      <c r="AY449" s="6">
        <f>[1]Results!BB288</f>
        <v>71.893826020000006</v>
      </c>
      <c r="AZ449" s="6">
        <f>[1]Results!BC288</f>
        <v>72.540782280000002</v>
      </c>
      <c r="BA449" s="6">
        <f>[1]Results!BD288</f>
        <v>73.193997229999994</v>
      </c>
      <c r="BB449" s="6">
        <f>[1]Results!BE288</f>
        <v>85.552448339999998</v>
      </c>
      <c r="BC449" s="6">
        <f>[1]Results!BF288</f>
        <v>86.679266389999995</v>
      </c>
      <c r="BD449" s="6">
        <f>[1]Results!BG288</f>
        <v>87.82308707</v>
      </c>
      <c r="BE449" s="6">
        <f>[1]Results!BH288</f>
        <v>88.984520930000002</v>
      </c>
      <c r="BF449" s="6">
        <f>[1]Results!BI288</f>
        <v>90.16421339</v>
      </c>
    </row>
    <row r="450" spans="1:58" x14ac:dyDescent="0.35">
      <c r="B450" s="6" t="str">
        <f>[1]Results!E291</f>
        <v>CF_toe_cfuh_2</v>
      </c>
      <c r="C450" s="6">
        <f>[1]Results!F291</f>
        <v>14.71671899</v>
      </c>
      <c r="D450" s="6">
        <f>[1]Results!G291</f>
        <v>14.77928824</v>
      </c>
      <c r="E450" s="6">
        <f>[1]Results!H291</f>
        <v>14.82262206</v>
      </c>
      <c r="F450" s="6">
        <f>[1]Results!I291</f>
        <v>14.864894509999999</v>
      </c>
      <c r="G450" s="6">
        <f>[1]Results!J291</f>
        <v>14.9172376</v>
      </c>
      <c r="H450" s="6">
        <f>[1]Results!K291</f>
        <v>14.983756</v>
      </c>
      <c r="I450" s="6">
        <f>[1]Results!L291</f>
        <v>15.05765811</v>
      </c>
      <c r="J450" s="6">
        <f>[1]Results!M291</f>
        <v>15.14081492</v>
      </c>
      <c r="K450" s="6">
        <f>[1]Results!N291</f>
        <v>15.23208019</v>
      </c>
      <c r="L450" s="6">
        <f>[1]Results!O291</f>
        <v>15.329697169999999</v>
      </c>
      <c r="M450" s="6">
        <f>[1]Results!P291</f>
        <v>15.43300063</v>
      </c>
      <c r="N450" s="6">
        <f>[1]Results!Q291</f>
        <v>15.54719047</v>
      </c>
      <c r="O450" s="6">
        <f>[1]Results!R291</f>
        <v>15.66631306</v>
      </c>
      <c r="P450" s="6">
        <f>[1]Results!S291</f>
        <v>15.789295579999999</v>
      </c>
      <c r="Q450" s="6">
        <f>[1]Results!T291</f>
        <v>15.915568179999999</v>
      </c>
      <c r="R450" s="6">
        <f>[1]Results!U291</f>
        <v>16.044677149999998</v>
      </c>
      <c r="S450" s="6">
        <f>[1]Results!V291</f>
        <v>16.17603845</v>
      </c>
      <c r="T450" s="6">
        <f>[1]Results!W291</f>
        <v>16.309502599999998</v>
      </c>
      <c r="U450" s="6">
        <f>[1]Results!X291</f>
        <v>16.444820350000001</v>
      </c>
      <c r="V450" s="6">
        <f>[1]Results!Y291</f>
        <v>16.58176748</v>
      </c>
      <c r="W450" s="6">
        <f>[1]Results!Z291</f>
        <v>16.711988829999999</v>
      </c>
      <c r="X450" s="6">
        <f>[1]Results!AA291</f>
        <v>16.847986639999998</v>
      </c>
      <c r="Y450" s="6">
        <f>[1]Results!AB291</f>
        <v>16.986802860000001</v>
      </c>
      <c r="Z450" s="6">
        <f>[1]Results!AC291</f>
        <v>17.12762472</v>
      </c>
      <c r="AA450" s="6">
        <f>[1]Results!AD291</f>
        <v>17.270210980000002</v>
      </c>
      <c r="AB450" s="6">
        <f>[1]Results!AE291</f>
        <v>17.391276269999999</v>
      </c>
      <c r="AC450" s="6">
        <f>[1]Results!AF291</f>
        <v>17.51570976</v>
      </c>
      <c r="AD450" s="6">
        <f>[1]Results!AG291</f>
        <v>17.641102149999998</v>
      </c>
      <c r="AE450" s="6">
        <f>[1]Results!AH291</f>
        <v>17.76726498</v>
      </c>
      <c r="AF450" s="6">
        <f>[1]Results!AI291</f>
        <v>17.894472390000001</v>
      </c>
      <c r="AG450" s="6">
        <f>[1]Results!AJ291</f>
        <v>18.02304685</v>
      </c>
      <c r="AH450" s="6">
        <f>[1]Results!AK291</f>
        <v>18.153332160000001</v>
      </c>
      <c r="AI450" s="6">
        <f>[1]Results!AL291</f>
        <v>18.28548936</v>
      </c>
      <c r="AJ450" s="6">
        <f>[1]Results!AM291</f>
        <v>18.419608920000002</v>
      </c>
      <c r="AK450" s="6">
        <f>[1]Results!AN291</f>
        <v>18.55578607</v>
      </c>
      <c r="AL450" s="6">
        <f>[1]Results!AO291</f>
        <v>18.69409568</v>
      </c>
      <c r="AM450" s="6">
        <f>[1]Results!AP291</f>
        <v>18.829815539999998</v>
      </c>
      <c r="AN450" s="6">
        <f>[1]Results!AQ291</f>
        <v>18.965448840000001</v>
      </c>
      <c r="AO450" s="6">
        <f>[1]Results!AR291</f>
        <v>19.101994449999999</v>
      </c>
      <c r="AP450" s="6">
        <f>[1]Results!AS291</f>
        <v>19.239960360000001</v>
      </c>
      <c r="AQ450" s="6">
        <f>[1]Results!AT291</f>
        <v>19.37963886</v>
      </c>
      <c r="AR450" s="6">
        <f>[1]Results!AU291</f>
        <v>19.521312649999999</v>
      </c>
      <c r="AS450" s="6">
        <f>[1]Results!AV291</f>
        <v>19.665021849999999</v>
      </c>
      <c r="AT450" s="6">
        <f>[1]Results!AW291</f>
        <v>19.81082597</v>
      </c>
      <c r="AU450" s="6">
        <f>[1]Results!AX291</f>
        <v>19.95875917</v>
      </c>
      <c r="AV450" s="6">
        <f>[1]Results!AY291</f>
        <v>20.108829499999999</v>
      </c>
      <c r="AW450" s="6">
        <f>[1]Results!AZ291</f>
        <v>20.26188956</v>
      </c>
      <c r="AX450" s="6">
        <f>[1]Results!BA291</f>
        <v>20.417443299999999</v>
      </c>
      <c r="AY450" s="6">
        <f>[1]Results!BB291</f>
        <v>20.575388360000002</v>
      </c>
      <c r="AZ450" s="6">
        <f>[1]Results!BC291</f>
        <v>20.735684880000001</v>
      </c>
      <c r="BA450" s="6">
        <f>[1]Results!BD291</f>
        <v>20.898288969999999</v>
      </c>
      <c r="BB450" s="6">
        <f>[1]Results!BE291</f>
        <v>23.280117629999999</v>
      </c>
      <c r="BC450" s="6">
        <f>[1]Results!BF291</f>
        <v>23.549838619999999</v>
      </c>
      <c r="BD450" s="6">
        <f>[1]Results!BG291</f>
        <v>23.823821410000001</v>
      </c>
      <c r="BE450" s="6">
        <f>[1]Results!BH291</f>
        <v>24.102147460000001</v>
      </c>
      <c r="BF450" s="6">
        <f>[1]Results!BI291</f>
        <v>24.384922530000001</v>
      </c>
    </row>
    <row r="451" spans="1:58" x14ac:dyDescent="0.35">
      <c r="B451" s="6" t="str">
        <f>[1]Results!E293</f>
        <v>CF_toe_cgas_2</v>
      </c>
      <c r="C451" s="6">
        <f>[1]Results!F293</f>
        <v>34.055685619999998</v>
      </c>
      <c r="D451" s="6">
        <f>[1]Results!G293</f>
        <v>34.21378095</v>
      </c>
      <c r="E451" s="6">
        <f>[1]Results!H293</f>
        <v>34.37376656</v>
      </c>
      <c r="F451" s="6">
        <f>[1]Results!I293</f>
        <v>34.545507550000004</v>
      </c>
      <c r="G451" s="6">
        <f>[1]Results!J293</f>
        <v>34.745229989999999</v>
      </c>
      <c r="H451" s="6">
        <f>[1]Results!K293</f>
        <v>34.979786369999999</v>
      </c>
      <c r="I451" s="6">
        <f>[1]Results!L293</f>
        <v>35.229054499999997</v>
      </c>
      <c r="J451" s="6">
        <f>[1]Results!M293</f>
        <v>35.500675479999998</v>
      </c>
      <c r="K451" s="6">
        <f>[1]Results!N293</f>
        <v>35.792797999999998</v>
      </c>
      <c r="L451" s="6">
        <f>[1]Results!O293</f>
        <v>36.101583320000003</v>
      </c>
      <c r="M451" s="6">
        <f>[1]Results!P293</f>
        <v>36.423005449999998</v>
      </c>
      <c r="N451" s="6">
        <f>[1]Results!Q293</f>
        <v>36.778279310000002</v>
      </c>
      <c r="O451" s="6">
        <f>[1]Results!R293</f>
        <v>37.14809228</v>
      </c>
      <c r="P451" s="6">
        <f>[1]Results!S293</f>
        <v>37.529267249999997</v>
      </c>
      <c r="Q451" s="6">
        <f>[1]Results!T293</f>
        <v>37.919989049999998</v>
      </c>
      <c r="R451" s="6">
        <f>[1]Results!U293</f>
        <v>38.31884943</v>
      </c>
      <c r="S451" s="6">
        <f>[1]Results!V293</f>
        <v>38.723395019999998</v>
      </c>
      <c r="T451" s="6">
        <f>[1]Results!W293</f>
        <v>39.133519870000001</v>
      </c>
      <c r="U451" s="6">
        <f>[1]Results!X293</f>
        <v>39.548422180000003</v>
      </c>
      <c r="V451" s="6">
        <f>[1]Results!Y293</f>
        <v>39.967349669999997</v>
      </c>
      <c r="W451" s="6">
        <f>[1]Results!Z293</f>
        <v>40.36597956</v>
      </c>
      <c r="X451" s="6">
        <f>[1]Results!AA293</f>
        <v>40.78143875</v>
      </c>
      <c r="Y451" s="6">
        <f>[1]Results!AB293</f>
        <v>41.203809849999999</v>
      </c>
      <c r="Z451" s="6">
        <f>[1]Results!AC293</f>
        <v>41.630817450000002</v>
      </c>
      <c r="AA451" s="6">
        <f>[1]Results!AD293</f>
        <v>42.061866170000002</v>
      </c>
      <c r="AB451" s="6">
        <f>[1]Results!AE293</f>
        <v>42.429381599999999</v>
      </c>
      <c r="AC451" s="6">
        <f>[1]Results!AF293</f>
        <v>42.808613110000003</v>
      </c>
      <c r="AD451" s="6">
        <f>[1]Results!AG293</f>
        <v>43.189828480000003</v>
      </c>
      <c r="AE451" s="6">
        <f>[1]Results!AH293</f>
        <v>43.572263499999998</v>
      </c>
      <c r="AF451" s="6">
        <f>[1]Results!AI293</f>
        <v>43.956678029999999</v>
      </c>
      <c r="AG451" s="6">
        <f>[1]Results!AJ293</f>
        <v>44.344001300000002</v>
      </c>
      <c r="AH451" s="6">
        <f>[1]Results!AK293</f>
        <v>44.735424690000002</v>
      </c>
      <c r="AI451" s="6">
        <f>[1]Results!AL293</f>
        <v>45.131279159999998</v>
      </c>
      <c r="AJ451" s="6">
        <f>[1]Results!AM293</f>
        <v>45.531944809999999</v>
      </c>
      <c r="AK451" s="6">
        <f>[1]Results!AN293</f>
        <v>45.937803350000003</v>
      </c>
      <c r="AL451" s="6">
        <f>[1]Results!AO293</f>
        <v>46.349162489999998</v>
      </c>
      <c r="AM451" s="6">
        <f>[1]Results!AP293</f>
        <v>46.753924560000002</v>
      </c>
      <c r="AN451" s="6">
        <f>[1]Results!AQ293</f>
        <v>47.158573079999996</v>
      </c>
      <c r="AO451" s="6">
        <f>[1]Results!AR293</f>
        <v>47.565639160000003</v>
      </c>
      <c r="AP451" s="6">
        <f>[1]Results!AS293</f>
        <v>47.976443760000002</v>
      </c>
      <c r="AQ451" s="6">
        <f>[1]Results!AT293</f>
        <v>48.391764649999999</v>
      </c>
      <c r="AR451" s="6">
        <f>[1]Results!AU293</f>
        <v>48.812648240000001</v>
      </c>
      <c r="AS451" s="6">
        <f>[1]Results!AV293</f>
        <v>49.238950889999998</v>
      </c>
      <c r="AT451" s="6">
        <f>[1]Results!AW293</f>
        <v>49.670821670000002</v>
      </c>
      <c r="AU451" s="6">
        <f>[1]Results!AX293</f>
        <v>50.108373469999997</v>
      </c>
      <c r="AV451" s="6">
        <f>[1]Results!AY293</f>
        <v>50.55165229</v>
      </c>
      <c r="AW451" s="6">
        <f>[1]Results!AZ293</f>
        <v>51.004077330000001</v>
      </c>
      <c r="AX451" s="6">
        <f>[1]Results!BA293</f>
        <v>51.463297619999999</v>
      </c>
      <c r="AY451" s="6">
        <f>[1]Results!BB293</f>
        <v>51.9289749</v>
      </c>
      <c r="AZ451" s="6">
        <f>[1]Results!BC293</f>
        <v>52.401035020000002</v>
      </c>
      <c r="BA451" s="6">
        <f>[1]Results!BD293</f>
        <v>52.879387549999997</v>
      </c>
      <c r="BB451" s="6">
        <f>[1]Results!BE293</f>
        <v>60.448364050000002</v>
      </c>
      <c r="BC451" s="6">
        <f>[1]Results!BF293</f>
        <v>61.25071707</v>
      </c>
      <c r="BD451" s="6">
        <f>[1]Results!BG293</f>
        <v>62.065198590000001</v>
      </c>
      <c r="BE451" s="6">
        <f>[1]Results!BH293</f>
        <v>62.89208069</v>
      </c>
      <c r="BF451" s="6">
        <f>[1]Results!BI293</f>
        <v>63.731686179999997</v>
      </c>
    </row>
    <row r="452" spans="1:58" x14ac:dyDescent="0.35">
      <c r="B452" s="6" t="str">
        <f>[1]Results!E299</f>
        <v>CF_toe_cele_2</v>
      </c>
      <c r="C452" s="6">
        <f>[1]Results!F299</f>
        <v>37.567211749999998</v>
      </c>
      <c r="D452" s="6">
        <f>[1]Results!G299</f>
        <v>37.711549740000002</v>
      </c>
      <c r="E452" s="6">
        <f>[1]Results!H299</f>
        <v>37.859431260000001</v>
      </c>
      <c r="F452" s="6">
        <f>[1]Results!I299</f>
        <v>38.035034830000001</v>
      </c>
      <c r="G452" s="6">
        <f>[1]Results!J299</f>
        <v>38.256399250000001</v>
      </c>
      <c r="H452" s="6">
        <f>[1]Results!K299</f>
        <v>38.526711880000001</v>
      </c>
      <c r="I452" s="6">
        <f>[1]Results!L299</f>
        <v>38.821480630000003</v>
      </c>
      <c r="J452" s="6">
        <f>[1]Results!M299</f>
        <v>39.142558800000003</v>
      </c>
      <c r="K452" s="6">
        <f>[1]Results!N299</f>
        <v>39.484299540000002</v>
      </c>
      <c r="L452" s="6">
        <f>[1]Results!O299</f>
        <v>39.84046523</v>
      </c>
      <c r="M452" s="6">
        <f>[1]Results!P299</f>
        <v>40.202091899999999</v>
      </c>
      <c r="N452" s="6">
        <f>[1]Results!Q299</f>
        <v>40.59763925</v>
      </c>
      <c r="O452" s="6">
        <f>[1]Results!R299</f>
        <v>41.004243369999998</v>
      </c>
      <c r="P452" s="6">
        <f>[1]Results!S299</f>
        <v>41.416597400000001</v>
      </c>
      <c r="Q452" s="6">
        <f>[1]Results!T299</f>
        <v>41.832283259999997</v>
      </c>
      <c r="R452" s="6">
        <f>[1]Results!U299</f>
        <v>42.249596820000001</v>
      </c>
      <c r="S452" s="6">
        <f>[1]Results!V299</f>
        <v>42.665926040000002</v>
      </c>
      <c r="T452" s="6">
        <f>[1]Results!W299</f>
        <v>43.081455720000001</v>
      </c>
      <c r="U452" s="6">
        <f>[1]Results!X299</f>
        <v>43.495962929999997</v>
      </c>
      <c r="V452" s="6">
        <f>[1]Results!Y299</f>
        <v>43.909478120000003</v>
      </c>
      <c r="W452" s="6">
        <f>[1]Results!Z299</f>
        <v>44.299053399999998</v>
      </c>
      <c r="X452" s="6">
        <f>[1]Results!AA299</f>
        <v>44.701557880000003</v>
      </c>
      <c r="Y452" s="6">
        <f>[1]Results!AB299</f>
        <v>45.108850740000001</v>
      </c>
      <c r="Z452" s="6">
        <f>[1]Results!AC299</f>
        <v>45.519769740000001</v>
      </c>
      <c r="AA452" s="6">
        <f>[1]Results!AD299</f>
        <v>45.934635440000001</v>
      </c>
      <c r="AB452" s="6">
        <f>[1]Results!AE299</f>
        <v>46.287845179999998</v>
      </c>
      <c r="AC452" s="6">
        <f>[1]Results!AF299</f>
        <v>46.652620050000003</v>
      </c>
      <c r="AD452" s="6">
        <f>[1]Results!AG299</f>
        <v>47.021062399999998</v>
      </c>
      <c r="AE452" s="6">
        <f>[1]Results!AH299</f>
        <v>47.393410600000003</v>
      </c>
      <c r="AF452" s="6">
        <f>[1]Results!AI299</f>
        <v>47.771210019999998</v>
      </c>
      <c r="AG452" s="6">
        <f>[1]Results!AJ299</f>
        <v>48.155953490000002</v>
      </c>
      <c r="AH452" s="6">
        <f>[1]Results!AK299</f>
        <v>48.549253540000002</v>
      </c>
      <c r="AI452" s="6">
        <f>[1]Results!AL299</f>
        <v>48.95173054</v>
      </c>
      <c r="AJ452" s="6">
        <f>[1]Results!AM299</f>
        <v>49.363957319999997</v>
      </c>
      <c r="AK452" s="6">
        <f>[1]Results!AN299</f>
        <v>49.786284330000001</v>
      </c>
      <c r="AL452" s="6">
        <f>[1]Results!AO299</f>
        <v>50.218855859999998</v>
      </c>
      <c r="AM452" s="6">
        <f>[1]Results!AP299</f>
        <v>50.649976930000001</v>
      </c>
      <c r="AN452" s="6">
        <f>[1]Results!AQ299</f>
        <v>51.085408559999998</v>
      </c>
      <c r="AO452" s="6">
        <f>[1]Results!AR299</f>
        <v>51.527339820000002</v>
      </c>
      <c r="AP452" s="6">
        <f>[1]Results!AS299</f>
        <v>51.976838360000002</v>
      </c>
      <c r="AQ452" s="6">
        <f>[1]Results!AT299</f>
        <v>52.434471250000001</v>
      </c>
      <c r="AR452" s="6">
        <f>[1]Results!AU299</f>
        <v>52.901183099999997</v>
      </c>
      <c r="AS452" s="6">
        <f>[1]Results!AV299</f>
        <v>53.37666849</v>
      </c>
      <c r="AT452" s="6">
        <f>[1]Results!AW299</f>
        <v>53.860906120000003</v>
      </c>
      <c r="AU452" s="6">
        <f>[1]Results!AX299</f>
        <v>54.353844969999997</v>
      </c>
      <c r="AV452" s="6">
        <f>[1]Results!AY299</f>
        <v>54.855375879999997</v>
      </c>
      <c r="AW452" s="6">
        <f>[1]Results!AZ299</f>
        <v>55.369074910000002</v>
      </c>
      <c r="AX452" s="6">
        <f>[1]Results!BA299</f>
        <v>55.89251015</v>
      </c>
      <c r="AY452" s="6">
        <f>[1]Results!BB299</f>
        <v>56.42515933</v>
      </c>
      <c r="AZ452" s="6">
        <f>[1]Results!BC299</f>
        <v>56.966772169999999</v>
      </c>
      <c r="BA452" s="6">
        <f>[1]Results!BD299</f>
        <v>57.517115250000003</v>
      </c>
      <c r="BB452" s="6">
        <f>[1]Results!BE299</f>
        <v>64.359417219999997</v>
      </c>
      <c r="BC452" s="6">
        <f>[1]Results!BF299</f>
        <v>65.209907079999994</v>
      </c>
      <c r="BD452" s="6">
        <f>[1]Results!BG299</f>
        <v>66.075298020000005</v>
      </c>
      <c r="BE452" s="6">
        <f>[1]Results!BH299</f>
        <v>66.955731420000006</v>
      </c>
      <c r="BF452" s="6">
        <f>[1]Results!BI299</f>
        <v>67.851352849999998</v>
      </c>
    </row>
    <row r="453" spans="1:58" x14ac:dyDescent="0.35">
      <c r="B453" s="6" t="s">
        <v>75</v>
      </c>
      <c r="C453" s="6">
        <f>SUM(C454:C456)</f>
        <v>21.759443019000003</v>
      </c>
      <c r="D453" s="6">
        <f t="shared" ref="D453:AL453" si="271">SUM(D454:D456)</f>
        <v>21.813069509999998</v>
      </c>
      <c r="E453" s="6">
        <f t="shared" si="271"/>
        <v>21.915136648000001</v>
      </c>
      <c r="F453" s="6">
        <f t="shared" si="271"/>
        <v>22.04618151</v>
      </c>
      <c r="G453" s="6">
        <f t="shared" si="271"/>
        <v>22.200796535000002</v>
      </c>
      <c r="H453" s="6">
        <f t="shared" si="271"/>
        <v>22.375249140000001</v>
      </c>
      <c r="I453" s="6">
        <f t="shared" si="271"/>
        <v>22.551245831999999</v>
      </c>
      <c r="J453" s="6">
        <f t="shared" si="271"/>
        <v>22.734155250000001</v>
      </c>
      <c r="K453" s="6">
        <f t="shared" si="271"/>
        <v>22.922817676000001</v>
      </c>
      <c r="L453" s="6">
        <f t="shared" si="271"/>
        <v>23.115589180000001</v>
      </c>
      <c r="M453" s="6">
        <f t="shared" si="271"/>
        <v>23.308809617999998</v>
      </c>
      <c r="N453" s="6">
        <f t="shared" si="271"/>
        <v>23.52528483</v>
      </c>
      <c r="O453" s="6">
        <f t="shared" si="271"/>
        <v>23.745666126</v>
      </c>
      <c r="P453" s="6">
        <f t="shared" si="271"/>
        <v>23.967523212</v>
      </c>
      <c r="Q453" s="6">
        <f t="shared" si="271"/>
        <v>24.190560005000002</v>
      </c>
      <c r="R453" s="6">
        <f t="shared" si="271"/>
        <v>24.414665051</v>
      </c>
      <c r="S453" s="6">
        <f t="shared" si="271"/>
        <v>24.638375631999999</v>
      </c>
      <c r="T453" s="6">
        <f t="shared" si="271"/>
        <v>24.862563100000003</v>
      </c>
      <c r="U453" s="6">
        <f t="shared" si="271"/>
        <v>25.087432205999999</v>
      </c>
      <c r="V453" s="6">
        <f t="shared" si="271"/>
        <v>25.313145663999997</v>
      </c>
      <c r="W453" s="6">
        <f t="shared" si="271"/>
        <v>25.523015381</v>
      </c>
      <c r="X453" s="6">
        <f t="shared" si="271"/>
        <v>25.745037535999998</v>
      </c>
      <c r="Y453" s="6">
        <f t="shared" si="271"/>
        <v>25.971755258999998</v>
      </c>
      <c r="Z453" s="6">
        <f t="shared" si="271"/>
        <v>26.201591132999997</v>
      </c>
      <c r="AA453" s="6">
        <f t="shared" si="271"/>
        <v>26.434247126999999</v>
      </c>
      <c r="AB453" s="6">
        <f t="shared" si="271"/>
        <v>26.622255459000002</v>
      </c>
      <c r="AC453" s="6">
        <f t="shared" si="271"/>
        <v>26.822085839000003</v>
      </c>
      <c r="AD453" s="6">
        <f t="shared" si="271"/>
        <v>27.025904416000003</v>
      </c>
      <c r="AE453" s="6">
        <f t="shared" si="271"/>
        <v>27.232670851999998</v>
      </c>
      <c r="AF453" s="6">
        <f t="shared" si="271"/>
        <v>27.442504888000002</v>
      </c>
      <c r="AG453" s="6">
        <f t="shared" si="271"/>
        <v>27.655709422999998</v>
      </c>
      <c r="AH453" s="6">
        <f t="shared" si="271"/>
        <v>27.872960967000001</v>
      </c>
      <c r="AI453" s="6">
        <f t="shared" si="271"/>
        <v>28.094194764999997</v>
      </c>
      <c r="AJ453" s="6">
        <f t="shared" si="271"/>
        <v>28.319480167999998</v>
      </c>
      <c r="AK453" s="6">
        <f t="shared" si="271"/>
        <v>28.548843465000001</v>
      </c>
      <c r="AL453" s="6">
        <f t="shared" si="271"/>
        <v>28.782258675000001</v>
      </c>
      <c r="AM453" s="6">
        <f t="shared" ref="AM453:BC453" si="272">SUM(AM454:AM456)</f>
        <v>29.012506995000003</v>
      </c>
      <c r="AN453" s="6">
        <f t="shared" si="272"/>
        <v>29.243846627</v>
      </c>
      <c r="AO453" s="6">
        <f t="shared" si="272"/>
        <v>29.477631762000001</v>
      </c>
      <c r="AP453" s="6">
        <f t="shared" si="272"/>
        <v>29.714338980000001</v>
      </c>
      <c r="AQ453" s="6">
        <f t="shared" si="272"/>
        <v>29.954145529999998</v>
      </c>
      <c r="AR453" s="6">
        <f t="shared" si="272"/>
        <v>30.197752508000001</v>
      </c>
      <c r="AS453" s="6">
        <f t="shared" si="272"/>
        <v>30.444751653000001</v>
      </c>
      <c r="AT453" s="6">
        <f t="shared" si="272"/>
        <v>30.695056805</v>
      </c>
      <c r="AU453" s="6">
        <f t="shared" si="272"/>
        <v>30.948610582999997</v>
      </c>
      <c r="AV453" s="6">
        <f t="shared" si="272"/>
        <v>31.205350621999997</v>
      </c>
      <c r="AW453" s="6">
        <f t="shared" si="272"/>
        <v>31.468415566000001</v>
      </c>
      <c r="AX453" s="6">
        <f t="shared" si="272"/>
        <v>31.735601181</v>
      </c>
      <c r="AY453" s="6">
        <f t="shared" si="272"/>
        <v>32.006387183000001</v>
      </c>
      <c r="AZ453" s="6">
        <f t="shared" si="272"/>
        <v>32.280532637</v>
      </c>
      <c r="BA453" s="6">
        <f t="shared" si="272"/>
        <v>32.557875011</v>
      </c>
      <c r="BB453" s="6">
        <f t="shared" si="272"/>
        <v>37.541139481999998</v>
      </c>
      <c r="BC453" s="6">
        <f t="shared" si="272"/>
        <v>38.025049056999997</v>
      </c>
      <c r="BD453" s="6">
        <f t="shared" ref="BD453:BF453" si="273">SUM(BD454:BD456)</f>
        <v>38.517590014</v>
      </c>
      <c r="BE453" s="6">
        <f t="shared" si="273"/>
        <v>39.018840425</v>
      </c>
      <c r="BF453" s="6">
        <f t="shared" si="273"/>
        <v>39.528914427000004</v>
      </c>
    </row>
    <row r="454" spans="1:58" x14ac:dyDescent="0.35">
      <c r="B454" s="6" t="str">
        <f>[1]Results!E309</f>
        <v>CF_toe_chea_2</v>
      </c>
      <c r="C454" s="6">
        <f>[1]Results!F309</f>
        <v>5.0993447740000004</v>
      </c>
      <c r="D454" s="6">
        <f>[1]Results!G309</f>
        <v>5.1500620750000001</v>
      </c>
      <c r="E454" s="6">
        <f>[1]Results!H309</f>
        <v>5.2064801479999998</v>
      </c>
      <c r="F454" s="6">
        <f>[1]Results!I309</f>
        <v>5.2644371090000002</v>
      </c>
      <c r="G454" s="6">
        <f>[1]Results!J309</f>
        <v>5.3240550620000002</v>
      </c>
      <c r="H454" s="6">
        <f>[1]Results!K309</f>
        <v>5.3858525290000001</v>
      </c>
      <c r="I454" s="6">
        <f>[1]Results!L309</f>
        <v>5.445282089</v>
      </c>
      <c r="J454" s="6">
        <f>[1]Results!M309</f>
        <v>5.5052016080000001</v>
      </c>
      <c r="K454" s="6">
        <f>[1]Results!N309</f>
        <v>5.5664332989999998</v>
      </c>
      <c r="L454" s="6">
        <f>[1]Results!O309</f>
        <v>5.6290323210000004</v>
      </c>
      <c r="M454" s="6">
        <f>[1]Results!P309</f>
        <v>5.6972880300000002</v>
      </c>
      <c r="N454" s="6">
        <f>[1]Results!Q309</f>
        <v>5.7661484249999999</v>
      </c>
      <c r="O454" s="6">
        <f>[1]Results!R309</f>
        <v>5.8348195629999999</v>
      </c>
      <c r="P454" s="6">
        <f>[1]Results!S309</f>
        <v>5.9034499499999997</v>
      </c>
      <c r="Q454" s="6">
        <f>[1]Results!T309</f>
        <v>5.97210865</v>
      </c>
      <c r="R454" s="6">
        <f>[1]Results!U309</f>
        <v>6.0407663950000003</v>
      </c>
      <c r="S454" s="6">
        <f>[1]Results!V309</f>
        <v>6.1092340109999999</v>
      </c>
      <c r="T454" s="6">
        <f>[1]Results!W309</f>
        <v>6.1775600190000004</v>
      </c>
      <c r="U454" s="6">
        <f>[1]Results!X309</f>
        <v>6.2457157590000003</v>
      </c>
      <c r="V454" s="6">
        <f>[1]Results!Y309</f>
        <v>6.3136906420000001</v>
      </c>
      <c r="W454" s="6">
        <f>[1]Results!Z309</f>
        <v>6.3759487579999998</v>
      </c>
      <c r="X454" s="6">
        <f>[1]Results!AA309</f>
        <v>6.441420001</v>
      </c>
      <c r="Y454" s="6">
        <f>[1]Results!AB309</f>
        <v>6.5080807370000002</v>
      </c>
      <c r="Z454" s="6">
        <f>[1]Results!AC309</f>
        <v>6.5752759349999996</v>
      </c>
      <c r="AA454" s="6">
        <f>[1]Results!AD309</f>
        <v>6.6427937999999997</v>
      </c>
      <c r="AB454" s="6">
        <f>[1]Results!AE309</f>
        <v>6.6951551919999996</v>
      </c>
      <c r="AC454" s="6">
        <f>[1]Results!AF309</f>
        <v>6.7498740100000001</v>
      </c>
      <c r="AD454" s="6">
        <f>[1]Results!AG309</f>
        <v>6.8054553330000003</v>
      </c>
      <c r="AE454" s="6">
        <f>[1]Results!AH309</f>
        <v>6.8615574739999996</v>
      </c>
      <c r="AF454" s="6">
        <f>[1]Results!AI309</f>
        <v>6.9181187370000004</v>
      </c>
      <c r="AG454" s="6">
        <f>[1]Results!AJ309</f>
        <v>6.9751579489999997</v>
      </c>
      <c r="AH454" s="6">
        <f>[1]Results!AK309</f>
        <v>7.0327523860000003</v>
      </c>
      <c r="AI454" s="6">
        <f>[1]Results!AL309</f>
        <v>7.0909123269999998</v>
      </c>
      <c r="AJ454" s="6">
        <f>[1]Results!AM309</f>
        <v>7.1496699049999997</v>
      </c>
      <c r="AK454" s="6">
        <f>[1]Results!AN309</f>
        <v>7.2090494600000001</v>
      </c>
      <c r="AL454" s="6">
        <f>[1]Results!AO309</f>
        <v>7.2690638209999996</v>
      </c>
      <c r="AM454" s="6">
        <f>[1]Results!AP309</f>
        <v>7.3266317509999999</v>
      </c>
      <c r="AN454" s="6">
        <f>[1]Results!AQ309</f>
        <v>7.3835060439999998</v>
      </c>
      <c r="AO454" s="6">
        <f>[1]Results!AR309</f>
        <v>7.440427337</v>
      </c>
      <c r="AP454" s="6">
        <f>[1]Results!AS309</f>
        <v>7.497718785</v>
      </c>
      <c r="AQ454" s="6">
        <f>[1]Results!AT309</f>
        <v>7.5555146710000001</v>
      </c>
      <c r="AR454" s="6">
        <f>[1]Results!AU309</f>
        <v>7.6139218450000001</v>
      </c>
      <c r="AS454" s="6">
        <f>[1]Results!AV309</f>
        <v>7.6729027189999996</v>
      </c>
      <c r="AT454" s="6">
        <f>[1]Results!AW309</f>
        <v>7.732452211</v>
      </c>
      <c r="AU454" s="6">
        <f>[1]Results!AX309</f>
        <v>7.7925633879999996</v>
      </c>
      <c r="AV454" s="6">
        <f>[1]Results!AY309</f>
        <v>7.8532248999999998</v>
      </c>
      <c r="AW454" s="6">
        <f>[1]Results!AZ309</f>
        <v>7.9149197239999998</v>
      </c>
      <c r="AX454" s="6">
        <f>[1]Results!BA309</f>
        <v>7.9772877449999999</v>
      </c>
      <c r="AY454" s="6">
        <f>[1]Results!BB309</f>
        <v>8.0402510940000003</v>
      </c>
      <c r="AZ454" s="6">
        <f>[1]Results!BC309</f>
        <v>8.1037844379999999</v>
      </c>
      <c r="BA454" s="6">
        <f>[1]Results!BD309</f>
        <v>8.1678697119999999</v>
      </c>
      <c r="BB454" s="6">
        <f>[1]Results!BE309</f>
        <v>8.5768502299999998</v>
      </c>
      <c r="BC454" s="6">
        <f>[1]Results!BF309</f>
        <v>8.666396185</v>
      </c>
      <c r="BD454" s="6">
        <f>[1]Results!BG309</f>
        <v>8.7572674819999996</v>
      </c>
      <c r="BE454" s="6">
        <f>[1]Results!BH309</f>
        <v>8.8494687390000006</v>
      </c>
      <c r="BF454" s="6">
        <f>[1]Results!BI309</f>
        <v>8.9430200129999999</v>
      </c>
    </row>
    <row r="455" spans="1:58" x14ac:dyDescent="0.35">
      <c r="B455" s="6" t="str">
        <f>[1]Results!E311</f>
        <v>CF_toe_cbio_2</v>
      </c>
      <c r="C455" s="6">
        <f>[1]Results!F311</f>
        <v>8.1707439839999996</v>
      </c>
      <c r="D455" s="6">
        <f>[1]Results!G311</f>
        <v>8.1319020739999992</v>
      </c>
      <c r="E455" s="6">
        <f>[1]Results!H311</f>
        <v>8.0969290950000001</v>
      </c>
      <c r="F455" s="6">
        <f>[1]Results!I311</f>
        <v>8.0739275470000003</v>
      </c>
      <c r="G455" s="6">
        <f>[1]Results!J311</f>
        <v>8.062098851</v>
      </c>
      <c r="H455" s="6">
        <f>[1]Results!K311</f>
        <v>8.0593698020000009</v>
      </c>
      <c r="I455" s="6">
        <f>[1]Results!L311</f>
        <v>8.0602808190000008</v>
      </c>
      <c r="J455" s="6">
        <f>[1]Results!M311</f>
        <v>8.0642405119999996</v>
      </c>
      <c r="K455" s="6">
        <f>[1]Results!N311</f>
        <v>8.0696402620000001</v>
      </c>
      <c r="L455" s="6">
        <f>[1]Results!O311</f>
        <v>8.0755370850000006</v>
      </c>
      <c r="M455" s="6">
        <f>[1]Results!P311</f>
        <v>8.0839122369999998</v>
      </c>
      <c r="N455" s="6">
        <f>[1]Results!Q311</f>
        <v>8.0926520190000009</v>
      </c>
      <c r="O455" s="6">
        <f>[1]Results!R311</f>
        <v>8.1011244680000001</v>
      </c>
      <c r="P455" s="6">
        <f>[1]Results!S311</f>
        <v>8.1097026379999999</v>
      </c>
      <c r="Q455" s="6">
        <f>[1]Results!T311</f>
        <v>8.1186802549999992</v>
      </c>
      <c r="R455" s="6">
        <f>[1]Results!U311</f>
        <v>8.1281925160000004</v>
      </c>
      <c r="S455" s="6">
        <f>[1]Results!V311</f>
        <v>8.1379870109999999</v>
      </c>
      <c r="T455" s="6">
        <f>[1]Results!W311</f>
        <v>8.1481265310000008</v>
      </c>
      <c r="U455" s="6">
        <f>[1]Results!X311</f>
        <v>8.1586500569999991</v>
      </c>
      <c r="V455" s="6">
        <f>[1]Results!Y311</f>
        <v>8.1695750819999997</v>
      </c>
      <c r="W455" s="6">
        <f>[1]Results!Z311</f>
        <v>8.177358173</v>
      </c>
      <c r="X455" s="6">
        <f>[1]Results!AA311</f>
        <v>8.1875549549999995</v>
      </c>
      <c r="Y455" s="6">
        <f>[1]Results!AB311</f>
        <v>8.1989291719999997</v>
      </c>
      <c r="Z455" s="6">
        <f>[1]Results!AC311</f>
        <v>8.2110471779999994</v>
      </c>
      <c r="AA455" s="6">
        <f>[1]Results!AD311</f>
        <v>8.2237457569999997</v>
      </c>
      <c r="AB455" s="6">
        <f>[1]Results!AE311</f>
        <v>8.2271457269999999</v>
      </c>
      <c r="AC455" s="6">
        <f>[1]Results!AF311</f>
        <v>8.2321566290000003</v>
      </c>
      <c r="AD455" s="6">
        <f>[1]Results!AG311</f>
        <v>8.2379398530000003</v>
      </c>
      <c r="AE455" s="6">
        <f>[1]Results!AH311</f>
        <v>8.2442933180000004</v>
      </c>
      <c r="AF455" s="6">
        <f>[1]Results!AI311</f>
        <v>8.2511882009999997</v>
      </c>
      <c r="AG455" s="6">
        <f>[1]Results!AJ311</f>
        <v>8.2586498840000004</v>
      </c>
      <c r="AH455" s="6">
        <f>[1]Results!AK311</f>
        <v>8.2667953409999999</v>
      </c>
      <c r="AI455" s="6">
        <f>[1]Results!AL311</f>
        <v>8.2756376280000001</v>
      </c>
      <c r="AJ455" s="6">
        <f>[1]Results!AM311</f>
        <v>8.2851807330000007</v>
      </c>
      <c r="AK455" s="6">
        <f>[1]Results!AN311</f>
        <v>8.2954199850000006</v>
      </c>
      <c r="AL455" s="6">
        <f>[1]Results!AO311</f>
        <v>8.3063444840000003</v>
      </c>
      <c r="AM455" s="6">
        <f>[1]Results!AP311</f>
        <v>8.3164886439999997</v>
      </c>
      <c r="AN455" s="6">
        <f>[1]Results!AQ311</f>
        <v>8.3268524429999999</v>
      </c>
      <c r="AO455" s="6">
        <f>[1]Results!AR311</f>
        <v>8.3377042849999992</v>
      </c>
      <c r="AP455" s="6">
        <f>[1]Results!AS311</f>
        <v>8.3490865549999995</v>
      </c>
      <c r="AQ455" s="6">
        <f>[1]Results!AT311</f>
        <v>8.3609874489999996</v>
      </c>
      <c r="AR455" s="6">
        <f>[1]Results!AU311</f>
        <v>8.3735130529999999</v>
      </c>
      <c r="AS455" s="6">
        <f>[1]Results!AV311</f>
        <v>8.3866233640000001</v>
      </c>
      <c r="AT455" s="6">
        <f>[1]Results!AW311</f>
        <v>8.4002860140000006</v>
      </c>
      <c r="AU455" s="6">
        <f>[1]Results!AX311</f>
        <v>8.4144735449999999</v>
      </c>
      <c r="AV455" s="6">
        <f>[1]Results!AY311</f>
        <v>8.4291632019999998</v>
      </c>
      <c r="AW455" s="6">
        <f>[1]Results!AZ311</f>
        <v>8.4449401819999999</v>
      </c>
      <c r="AX455" s="6">
        <f>[1]Results!BA311</f>
        <v>8.4615717860000004</v>
      </c>
      <c r="AY455" s="6">
        <f>[1]Results!BB311</f>
        <v>8.4789035689999999</v>
      </c>
      <c r="AZ455" s="6">
        <f>[1]Results!BC311</f>
        <v>8.496820499</v>
      </c>
      <c r="BA455" s="6">
        <f>[1]Results!BD311</f>
        <v>8.5152428390000008</v>
      </c>
      <c r="BB455" s="6">
        <f>[1]Results!BE311</f>
        <v>9.1587507319999997</v>
      </c>
      <c r="BC455" s="6">
        <f>[1]Results!BF311</f>
        <v>9.2090429220000001</v>
      </c>
      <c r="BD455" s="6">
        <f>[1]Results!BG311</f>
        <v>9.2606713220000003</v>
      </c>
      <c r="BE455" s="6">
        <f>[1]Results!BH311</f>
        <v>9.3136211660000008</v>
      </c>
      <c r="BF455" s="6">
        <f>[1]Results!BI311</f>
        <v>9.3679002540000003</v>
      </c>
    </row>
    <row r="456" spans="1:58" x14ac:dyDescent="0.35">
      <c r="B456" s="6" t="str">
        <f>[1]Results!E314</f>
        <v>CF_toe_cote_2</v>
      </c>
      <c r="C456" s="6">
        <f>[1]Results!F314</f>
        <v>8.4893542610000008</v>
      </c>
      <c r="D456" s="6">
        <f>[1]Results!G314</f>
        <v>8.5311053609999998</v>
      </c>
      <c r="E456" s="6">
        <f>[1]Results!H314</f>
        <v>8.6117274049999999</v>
      </c>
      <c r="F456" s="6">
        <f>[1]Results!I314</f>
        <v>8.7078168540000007</v>
      </c>
      <c r="G456" s="6">
        <f>[1]Results!J314</f>
        <v>8.8146426219999992</v>
      </c>
      <c r="H456" s="6">
        <f>[1]Results!K314</f>
        <v>8.9300268089999992</v>
      </c>
      <c r="I456" s="6">
        <f>[1]Results!L314</f>
        <v>9.0456829239999994</v>
      </c>
      <c r="J456" s="6">
        <f>[1]Results!M314</f>
        <v>9.1647131300000009</v>
      </c>
      <c r="K456" s="6">
        <f>[1]Results!N314</f>
        <v>9.2867441149999994</v>
      </c>
      <c r="L456" s="6">
        <f>[1]Results!O314</f>
        <v>9.4110197739999997</v>
      </c>
      <c r="M456" s="6">
        <f>[1]Results!P314</f>
        <v>9.5276093510000006</v>
      </c>
      <c r="N456" s="6">
        <f>[1]Results!Q314</f>
        <v>9.6664843860000005</v>
      </c>
      <c r="O456" s="6">
        <f>[1]Results!R314</f>
        <v>9.8097220949999997</v>
      </c>
      <c r="P456" s="6">
        <f>[1]Results!S314</f>
        <v>9.9543706239999992</v>
      </c>
      <c r="Q456" s="6">
        <f>[1]Results!T314</f>
        <v>10.0997711</v>
      </c>
      <c r="R456" s="6">
        <f>[1]Results!U314</f>
        <v>10.245706139999999</v>
      </c>
      <c r="S456" s="6">
        <f>[1]Results!V314</f>
        <v>10.391154609999999</v>
      </c>
      <c r="T456" s="6">
        <f>[1]Results!W314</f>
        <v>10.536876550000001</v>
      </c>
      <c r="U456" s="6">
        <f>[1]Results!X314</f>
        <v>10.68306639</v>
      </c>
      <c r="V456" s="6">
        <f>[1]Results!Y314</f>
        <v>10.82987994</v>
      </c>
      <c r="W456" s="6">
        <f>[1]Results!Z314</f>
        <v>10.969708450000001</v>
      </c>
      <c r="X456" s="6">
        <f>[1]Results!AA314</f>
        <v>11.116062579999999</v>
      </c>
      <c r="Y456" s="6">
        <f>[1]Results!AB314</f>
        <v>11.26474535</v>
      </c>
      <c r="Z456" s="6">
        <f>[1]Results!AC314</f>
        <v>11.415268019999999</v>
      </c>
      <c r="AA456" s="6">
        <f>[1]Results!AD314</f>
        <v>11.56770757</v>
      </c>
      <c r="AB456" s="6">
        <f>[1]Results!AE314</f>
        <v>11.69995454</v>
      </c>
      <c r="AC456" s="6">
        <f>[1]Results!AF314</f>
        <v>11.8400552</v>
      </c>
      <c r="AD456" s="6">
        <f>[1]Results!AG314</f>
        <v>11.98250923</v>
      </c>
      <c r="AE456" s="6">
        <f>[1]Results!AH314</f>
        <v>12.12682006</v>
      </c>
      <c r="AF456" s="6">
        <f>[1]Results!AI314</f>
        <v>12.27319795</v>
      </c>
      <c r="AG456" s="6">
        <f>[1]Results!AJ314</f>
        <v>12.421901589999999</v>
      </c>
      <c r="AH456" s="6">
        <f>[1]Results!AK314</f>
        <v>12.573413240000001</v>
      </c>
      <c r="AI456" s="6">
        <f>[1]Results!AL314</f>
        <v>12.727644809999999</v>
      </c>
      <c r="AJ456" s="6">
        <f>[1]Results!AM314</f>
        <v>12.88462953</v>
      </c>
      <c r="AK456" s="6">
        <f>[1]Results!AN314</f>
        <v>13.044374019999999</v>
      </c>
      <c r="AL456" s="6">
        <f>[1]Results!AO314</f>
        <v>13.20685037</v>
      </c>
      <c r="AM456" s="6">
        <f>[1]Results!AP314</f>
        <v>13.3693866</v>
      </c>
      <c r="AN456" s="6">
        <f>[1]Results!AQ314</f>
        <v>13.533488139999999</v>
      </c>
      <c r="AO456" s="6">
        <f>[1]Results!AR314</f>
        <v>13.69950014</v>
      </c>
      <c r="AP456" s="6">
        <f>[1]Results!AS314</f>
        <v>13.86753364</v>
      </c>
      <c r="AQ456" s="6">
        <f>[1]Results!AT314</f>
        <v>14.037643409999999</v>
      </c>
      <c r="AR456" s="6">
        <f>[1]Results!AU314</f>
        <v>14.210317610000001</v>
      </c>
      <c r="AS456" s="6">
        <f>[1]Results!AV314</f>
        <v>14.385225569999999</v>
      </c>
      <c r="AT456" s="6">
        <f>[1]Results!AW314</f>
        <v>14.562318579999999</v>
      </c>
      <c r="AU456" s="6">
        <f>[1]Results!AX314</f>
        <v>14.741573649999999</v>
      </c>
      <c r="AV456" s="6">
        <f>[1]Results!AY314</f>
        <v>14.92296252</v>
      </c>
      <c r="AW456" s="6">
        <f>[1]Results!AZ314</f>
        <v>15.10855566</v>
      </c>
      <c r="AX456" s="6">
        <f>[1]Results!BA314</f>
        <v>15.29674165</v>
      </c>
      <c r="AY456" s="6">
        <f>[1]Results!BB314</f>
        <v>15.487232519999999</v>
      </c>
      <c r="AZ456" s="6">
        <f>[1]Results!BC314</f>
        <v>15.6799277</v>
      </c>
      <c r="BA456" s="6">
        <f>[1]Results!BD314</f>
        <v>15.874762459999999</v>
      </c>
      <c r="BB456" s="6">
        <f>[1]Results!BE314</f>
        <v>19.805538519999999</v>
      </c>
      <c r="BC456" s="6">
        <f>[1]Results!BF314</f>
        <v>20.149609949999999</v>
      </c>
      <c r="BD456" s="6">
        <f>[1]Results!BG314</f>
        <v>20.49965121</v>
      </c>
      <c r="BE456" s="6">
        <f>[1]Results!BH314</f>
        <v>20.855750520000001</v>
      </c>
      <c r="BF456" s="6">
        <f>[1]Results!BI314</f>
        <v>21.21799416</v>
      </c>
    </row>
    <row r="457" spans="1:58" x14ac:dyDescent="0.35"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6"/>
      <c r="BB457" s="6"/>
      <c r="BC457" s="6"/>
      <c r="BD457" s="6"/>
      <c r="BE457" s="6"/>
      <c r="BF457" s="6"/>
    </row>
    <row r="458" spans="1:58" x14ac:dyDescent="0.35">
      <c r="A458" s="12" t="s">
        <v>93</v>
      </c>
      <c r="B458" s="6" t="str">
        <f>[1]Results!E317</f>
        <v>CF_toe_0</v>
      </c>
      <c r="C458" s="6">
        <f>[1]Results!F317</f>
        <v>162.32540449999999</v>
      </c>
      <c r="D458" s="6">
        <f>[1]Results!G317</f>
        <v>163.4156279</v>
      </c>
      <c r="E458" s="6">
        <f>[1]Results!H317</f>
        <v>164.40111590000001</v>
      </c>
      <c r="F458" s="6">
        <f>[1]Results!I317</f>
        <v>165.49306659999999</v>
      </c>
      <c r="G458" s="6">
        <f>[1]Results!J317</f>
        <v>166.7450049</v>
      </c>
      <c r="H458" s="6">
        <f>[1]Results!K317</f>
        <v>168.1815799</v>
      </c>
      <c r="I458" s="6">
        <f>[1]Results!L317</f>
        <v>169.7110524</v>
      </c>
      <c r="J458" s="6">
        <f>[1]Results!M317</f>
        <v>171.35065499999999</v>
      </c>
      <c r="K458" s="6">
        <f>[1]Results!N317</f>
        <v>173.08313810000001</v>
      </c>
      <c r="L458" s="6">
        <f>[1]Results!O317</f>
        <v>174.88787880000001</v>
      </c>
      <c r="M458" s="6">
        <f>[1]Results!P317</f>
        <v>176.8894071</v>
      </c>
      <c r="N458" s="6">
        <f>[1]Results!Q317</f>
        <v>178.8554997</v>
      </c>
      <c r="O458" s="6">
        <f>[1]Results!R317</f>
        <v>180.83299869999999</v>
      </c>
      <c r="P458" s="6">
        <f>[1]Results!S317</f>
        <v>182.82848540000001</v>
      </c>
      <c r="Q458" s="6">
        <f>[1]Results!T317</f>
        <v>184.84160489999999</v>
      </c>
      <c r="R458" s="6">
        <f>[1]Results!U317</f>
        <v>186.87145630000001</v>
      </c>
      <c r="S458" s="6">
        <f>[1]Results!V317</f>
        <v>188.91776089999999</v>
      </c>
      <c r="T458" s="6">
        <f>[1]Results!W317</f>
        <v>190.98094789999999</v>
      </c>
      <c r="U458" s="6">
        <f>[1]Results!X317</f>
        <v>193.06201329999999</v>
      </c>
      <c r="V458" s="6">
        <f>[1]Results!Y317</f>
        <v>195.16235159999999</v>
      </c>
      <c r="W458" s="6">
        <f>[1]Results!Z317</f>
        <v>197.18068349999999</v>
      </c>
      <c r="X458" s="6">
        <f>[1]Results!AA317</f>
        <v>199.2793337</v>
      </c>
      <c r="Y458" s="6">
        <f>[1]Results!AB317</f>
        <v>201.41965780000001</v>
      </c>
      <c r="Z458" s="6">
        <f>[1]Results!AC317</f>
        <v>203.594572</v>
      </c>
      <c r="AA458" s="6">
        <f>[1]Results!AD317</f>
        <v>205.80329029999999</v>
      </c>
      <c r="AB458" s="6">
        <f>[1]Results!AE317</f>
        <v>207.7517143</v>
      </c>
      <c r="AC458" s="6">
        <f>[1]Results!AF317</f>
        <v>209.7602455</v>
      </c>
      <c r="AD458" s="6">
        <f>[1]Results!AG317</f>
        <v>211.79003230000001</v>
      </c>
      <c r="AE458" s="6">
        <f>[1]Results!AH317</f>
        <v>213.83877129999999</v>
      </c>
      <c r="AF458" s="6">
        <f>[1]Results!AI317</f>
        <v>215.91022290000001</v>
      </c>
      <c r="AG458" s="6">
        <f>[1]Results!AJ317</f>
        <v>218.00870889999999</v>
      </c>
      <c r="AH458" s="6">
        <f>[1]Results!AK317</f>
        <v>220.13788170000001</v>
      </c>
      <c r="AI458" s="6">
        <f>[1]Results!AL317</f>
        <v>222.30046110000001</v>
      </c>
      <c r="AJ458" s="6">
        <f>[1]Results!AM317</f>
        <v>224.4982799</v>
      </c>
      <c r="AK458" s="6">
        <f>[1]Results!AN317</f>
        <v>226.7324304</v>
      </c>
      <c r="AL458" s="6">
        <f>[1]Results!AO317</f>
        <v>229.00343720000001</v>
      </c>
      <c r="AM458" s="6">
        <f>[1]Results!AP317</f>
        <v>231.2414551</v>
      </c>
      <c r="AN458" s="6">
        <f>[1]Results!AQ317</f>
        <v>233.48483450000001</v>
      </c>
      <c r="AO458" s="6">
        <f>[1]Results!AR317</f>
        <v>235.74447989999999</v>
      </c>
      <c r="AP458" s="6">
        <f>[1]Results!AS317</f>
        <v>238.02541360000001</v>
      </c>
      <c r="AQ458" s="6">
        <f>[1]Results!AT317</f>
        <v>240.3310563</v>
      </c>
      <c r="AR458" s="6">
        <f>[1]Results!AU317</f>
        <v>242.664108</v>
      </c>
      <c r="AS458" s="6">
        <f>[1]Results!AV317</f>
        <v>245.0267264</v>
      </c>
      <c r="AT458" s="6">
        <f>[1]Results!AW317</f>
        <v>247.4205657</v>
      </c>
      <c r="AU458" s="6">
        <f>[1]Results!AX317</f>
        <v>249.84675200000001</v>
      </c>
      <c r="AV458" s="6">
        <f>[1]Results!AY317</f>
        <v>252.3057019</v>
      </c>
      <c r="AW458" s="6">
        <f>[1]Results!AZ317</f>
        <v>254.80226020000001</v>
      </c>
      <c r="AX458" s="6">
        <f>[1]Results!BA317</f>
        <v>257.32966210000001</v>
      </c>
      <c r="AY458" s="6">
        <f>[1]Results!BB317</f>
        <v>259.88363240000001</v>
      </c>
      <c r="AZ458" s="6">
        <f>[1]Results!BC317</f>
        <v>262.47046660000001</v>
      </c>
      <c r="BA458" s="6">
        <f>[1]Results!BD317</f>
        <v>265.09553620000003</v>
      </c>
      <c r="BB458" s="6">
        <f>[1]Results!BE317</f>
        <v>285.81156920000001</v>
      </c>
      <c r="BC458" s="6">
        <f>[1]Results!BF317</f>
        <v>289.59841449999999</v>
      </c>
      <c r="BD458" s="6">
        <f>[1]Results!BG317</f>
        <v>293.44403879999999</v>
      </c>
      <c r="BE458" s="6">
        <f>[1]Results!BH317</f>
        <v>297.34999809999999</v>
      </c>
      <c r="BF458" s="6">
        <f>[1]Results!BI317</f>
        <v>301.31780850000001</v>
      </c>
    </row>
    <row r="459" spans="1:58" x14ac:dyDescent="0.35">
      <c r="A459" t="s">
        <v>38</v>
      </c>
      <c r="B459" s="6" t="str">
        <f>[1]Results!E318</f>
        <v>CF_toe_ccoa_0</v>
      </c>
      <c r="C459" s="6">
        <f>[1]Results!F318</f>
        <v>5.4830682990000001</v>
      </c>
      <c r="D459" s="6">
        <f>[1]Results!G318</f>
        <v>5.5492793770000004</v>
      </c>
      <c r="E459" s="6">
        <f>[1]Results!H318</f>
        <v>5.6226819590000003</v>
      </c>
      <c r="F459" s="6">
        <f>[1]Results!I318</f>
        <v>5.701917527</v>
      </c>
      <c r="G459" s="6">
        <f>[1]Results!J318</f>
        <v>5.7861248319999996</v>
      </c>
      <c r="H459" s="6">
        <f>[1]Results!K318</f>
        <v>5.8747395669999998</v>
      </c>
      <c r="I459" s="6">
        <f>[1]Results!L318</f>
        <v>5.9635537019999996</v>
      </c>
      <c r="J459" s="6">
        <f>[1]Results!M318</f>
        <v>6.0544641649999997</v>
      </c>
      <c r="K459" s="6">
        <f>[1]Results!N318</f>
        <v>6.1476467259999996</v>
      </c>
      <c r="L459" s="6">
        <f>[1]Results!O318</f>
        <v>6.2429638369999996</v>
      </c>
      <c r="M459" s="6">
        <f>[1]Results!P318</f>
        <v>6.3467157189999996</v>
      </c>
      <c r="N459" s="6">
        <f>[1]Results!Q318</f>
        <v>6.4481039610000002</v>
      </c>
      <c r="O459" s="6">
        <f>[1]Results!R318</f>
        <v>6.5501806470000004</v>
      </c>
      <c r="P459" s="6">
        <f>[1]Results!S318</f>
        <v>6.6535140009999996</v>
      </c>
      <c r="Q459" s="6">
        <f>[1]Results!T318</f>
        <v>6.7582072540000002</v>
      </c>
      <c r="R459" s="6">
        <f>[1]Results!U318</f>
        <v>6.8642977380000003</v>
      </c>
      <c r="S459" s="6">
        <f>[1]Results!V318</f>
        <v>6.9718316849999997</v>
      </c>
      <c r="T459" s="6">
        <f>[1]Results!W318</f>
        <v>7.0808734849999997</v>
      </c>
      <c r="U459" s="6">
        <f>[1]Results!X318</f>
        <v>7.191501186</v>
      </c>
      <c r="V459" s="6">
        <f>[1]Results!Y318</f>
        <v>7.3037997639999999</v>
      </c>
      <c r="W459" s="6">
        <f>[1]Results!Z318</f>
        <v>7.4130387689999999</v>
      </c>
      <c r="X459" s="6">
        <f>[1]Results!AA318</f>
        <v>7.5272154489999998</v>
      </c>
      <c r="Y459" s="6">
        <f>[1]Results!AB318</f>
        <v>7.6440588519999997</v>
      </c>
      <c r="Z459" s="6">
        <f>[1]Results!AC318</f>
        <v>7.7631628279999996</v>
      </c>
      <c r="AA459" s="6">
        <f>[1]Results!AD318</f>
        <v>7.8844808659999996</v>
      </c>
      <c r="AB459" s="6">
        <f>[1]Results!AE318</f>
        <v>7.9940915879999999</v>
      </c>
      <c r="AC459" s="6">
        <f>[1]Results!AF318</f>
        <v>8.1082709449999992</v>
      </c>
      <c r="AD459" s="6">
        <f>[1]Results!AG318</f>
        <v>8.2244082340000002</v>
      </c>
      <c r="AE459" s="6">
        <f>[1]Results!AH318</f>
        <v>8.3421332620000008</v>
      </c>
      <c r="AF459" s="6">
        <f>[1]Results!AI318</f>
        <v>8.4614956269999997</v>
      </c>
      <c r="AG459" s="6">
        <f>[1]Results!AJ318</f>
        <v>8.5826001230000006</v>
      </c>
      <c r="AH459" s="6">
        <f>[1]Results!AK318</f>
        <v>8.7055333939999997</v>
      </c>
      <c r="AI459" s="6">
        <f>[1]Results!AL318</f>
        <v>8.8303500489999998</v>
      </c>
      <c r="AJ459" s="6">
        <f>[1]Results!AM318</f>
        <v>8.9570736620000009</v>
      </c>
      <c r="AK459" s="6">
        <f>[1]Results!AN318</f>
        <v>9.0857025090000008</v>
      </c>
      <c r="AL459" s="6">
        <f>[1]Results!AO318</f>
        <v>9.2162167109999995</v>
      </c>
      <c r="AM459" s="6">
        <f>[1]Results!AP318</f>
        <v>9.3451920059999996</v>
      </c>
      <c r="AN459" s="6">
        <f>[1]Results!AQ318</f>
        <v>9.474724106</v>
      </c>
      <c r="AO459" s="6">
        <f>[1]Results!AR318</f>
        <v>9.6052880090000006</v>
      </c>
      <c r="AP459" s="6">
        <f>[1]Results!AS318</f>
        <v>9.7370358279999998</v>
      </c>
      <c r="AQ459" s="6">
        <f>[1]Results!AT318</f>
        <v>9.8700524590000001</v>
      </c>
      <c r="AR459" s="6">
        <f>[1]Results!AU318</f>
        <v>10.0044042</v>
      </c>
      <c r="AS459" s="6">
        <f>[1]Results!AV318</f>
        <v>10.140146639999999</v>
      </c>
      <c r="AT459" s="6">
        <f>[1]Results!AW318</f>
        <v>10.27732524</v>
      </c>
      <c r="AU459" s="6">
        <f>[1]Results!AX318</f>
        <v>10.41597535</v>
      </c>
      <c r="AV459" s="6">
        <f>[1]Results!AY318</f>
        <v>10.556122820000001</v>
      </c>
      <c r="AW459" s="6">
        <f>[1]Results!AZ318</f>
        <v>10.69809186</v>
      </c>
      <c r="AX459" s="6">
        <f>[1]Results!BA318</f>
        <v>10.841721420000001</v>
      </c>
      <c r="AY459" s="6">
        <f>[1]Results!BB318</f>
        <v>10.986985839999999</v>
      </c>
      <c r="AZ459" s="6">
        <f>[1]Results!BC318</f>
        <v>11.133882270000001</v>
      </c>
      <c r="BA459" s="6">
        <f>[1]Results!BD318</f>
        <v>11.28241703</v>
      </c>
      <c r="BB459" s="6">
        <f>[1]Results!BE318</f>
        <v>12.5681329</v>
      </c>
      <c r="BC459" s="6">
        <f>[1]Results!BF318</f>
        <v>12.78677233</v>
      </c>
      <c r="BD459" s="6">
        <f>[1]Results!BG318</f>
        <v>13.00876092</v>
      </c>
      <c r="BE459" s="6">
        <f>[1]Results!BH318</f>
        <v>13.23413545</v>
      </c>
      <c r="BF459" s="6">
        <f>[1]Results!BI318</f>
        <v>13.462935549999999</v>
      </c>
    </row>
    <row r="460" spans="1:58" x14ac:dyDescent="0.35">
      <c r="B460" s="6" t="s">
        <v>74</v>
      </c>
      <c r="C460" s="6">
        <f>C461+C462+C463</f>
        <v>62.3153900549</v>
      </c>
      <c r="D460" s="6">
        <f t="shared" ref="D460:AI460" si="274">D461+D462+D463</f>
        <v>62.583346583300006</v>
      </c>
      <c r="E460" s="6">
        <f t="shared" si="274"/>
        <v>62.795814122499998</v>
      </c>
      <c r="F460" s="6">
        <f t="shared" si="274"/>
        <v>63.082021238999999</v>
      </c>
      <c r="G460" s="6">
        <f t="shared" si="274"/>
        <v>63.470170120299997</v>
      </c>
      <c r="H460" s="6">
        <f t="shared" si="274"/>
        <v>63.9606636456</v>
      </c>
      <c r="I460" s="6">
        <f t="shared" si="274"/>
        <v>64.514941160299998</v>
      </c>
      <c r="J460" s="6">
        <f t="shared" si="274"/>
        <v>65.126747511299996</v>
      </c>
      <c r="K460" s="6">
        <f t="shared" si="274"/>
        <v>65.783745697400008</v>
      </c>
      <c r="L460" s="6">
        <f t="shared" si="274"/>
        <v>66.475115348999992</v>
      </c>
      <c r="M460" s="6">
        <f t="shared" si="274"/>
        <v>67.234859966200005</v>
      </c>
      <c r="N460" s="6">
        <f t="shared" si="274"/>
        <v>67.994732531300002</v>
      </c>
      <c r="O460" s="6">
        <f t="shared" si="274"/>
        <v>68.764468204600007</v>
      </c>
      <c r="P460" s="6">
        <f t="shared" si="274"/>
        <v>69.543923951699995</v>
      </c>
      <c r="Q460" s="6">
        <f t="shared" si="274"/>
        <v>70.331634634699995</v>
      </c>
      <c r="R460" s="6">
        <f t="shared" si="274"/>
        <v>71.126409327299996</v>
      </c>
      <c r="S460" s="6">
        <f t="shared" si="274"/>
        <v>71.927518903399999</v>
      </c>
      <c r="T460" s="6">
        <f t="shared" si="274"/>
        <v>72.734618120699992</v>
      </c>
      <c r="U460" s="6">
        <f t="shared" si="274"/>
        <v>73.547639607199997</v>
      </c>
      <c r="V460" s="6">
        <f t="shared" si="274"/>
        <v>74.366706732300003</v>
      </c>
      <c r="W460" s="6">
        <f t="shared" si="274"/>
        <v>75.1610525671</v>
      </c>
      <c r="X460" s="6">
        <f t="shared" si="274"/>
        <v>75.977021480700003</v>
      </c>
      <c r="Y460" s="6">
        <f t="shared" si="274"/>
        <v>76.804758805900008</v>
      </c>
      <c r="Z460" s="6">
        <f t="shared" si="274"/>
        <v>77.6426085712</v>
      </c>
      <c r="AA460" s="6">
        <f t="shared" si="274"/>
        <v>78.490494865299993</v>
      </c>
      <c r="AB460" s="6">
        <f t="shared" si="274"/>
        <v>79.259413428999991</v>
      </c>
      <c r="AC460" s="6">
        <f t="shared" si="274"/>
        <v>80.039553530999996</v>
      </c>
      <c r="AD460" s="6">
        <f t="shared" si="274"/>
        <v>80.821508158499995</v>
      </c>
      <c r="AE460" s="6">
        <f t="shared" si="274"/>
        <v>81.605653555399996</v>
      </c>
      <c r="AF460" s="6">
        <f t="shared" si="274"/>
        <v>82.394030798000003</v>
      </c>
      <c r="AG460" s="6">
        <f t="shared" si="274"/>
        <v>83.188680903000005</v>
      </c>
      <c r="AH460" s="6">
        <f t="shared" si="274"/>
        <v>83.991292768400001</v>
      </c>
      <c r="AI460" s="6">
        <f t="shared" si="274"/>
        <v>84.803141449099996</v>
      </c>
      <c r="AJ460" s="6">
        <f>AJ461+AJ462+AJ463</f>
        <v>85.625129179500007</v>
      </c>
      <c r="AK460" s="6">
        <f t="shared" ref="AK460" si="275">AK461+AK462+AK463</f>
        <v>86.457857177400001</v>
      </c>
      <c r="AL460" s="6">
        <f t="shared" ref="AL460:BC460" si="276">AL461+AL462+AL463</f>
        <v>87.301701184899997</v>
      </c>
      <c r="AM460" s="6">
        <f t="shared" si="276"/>
        <v>88.135527468000006</v>
      </c>
      <c r="AN460" s="6">
        <f t="shared" si="276"/>
        <v>88.969642615099986</v>
      </c>
      <c r="AO460" s="6">
        <f t="shared" si="276"/>
        <v>89.807267514599999</v>
      </c>
      <c r="AP460" s="6">
        <f t="shared" si="276"/>
        <v>90.650183676499992</v>
      </c>
      <c r="AQ460" s="6">
        <f t="shared" si="276"/>
        <v>91.499812855099989</v>
      </c>
      <c r="AR460" s="6">
        <f t="shared" si="276"/>
        <v>92.357377659899996</v>
      </c>
      <c r="AS460" s="6">
        <f t="shared" si="276"/>
        <v>93.223898306700008</v>
      </c>
      <c r="AT460" s="6">
        <f t="shared" si="276"/>
        <v>94.100176963900012</v>
      </c>
      <c r="AU460" s="6">
        <f t="shared" si="276"/>
        <v>94.986785703900011</v>
      </c>
      <c r="AV460" s="6">
        <f t="shared" si="276"/>
        <v>95.884016599700004</v>
      </c>
      <c r="AW460" s="6">
        <f t="shared" si="276"/>
        <v>96.793479594100006</v>
      </c>
      <c r="AX460" s="6">
        <f t="shared" si="276"/>
        <v>97.714495631700004</v>
      </c>
      <c r="AY460" s="6">
        <f t="shared" si="276"/>
        <v>98.646587184999987</v>
      </c>
      <c r="AZ460" s="6">
        <f t="shared" si="276"/>
        <v>99.590707772100004</v>
      </c>
      <c r="BA460" s="6">
        <f t="shared" si="276"/>
        <v>100.5475946409</v>
      </c>
      <c r="BB460" s="6">
        <f t="shared" si="276"/>
        <v>108.96271776330001</v>
      </c>
      <c r="BC460" s="6">
        <f t="shared" si="276"/>
        <v>110.34745505659998</v>
      </c>
      <c r="BD460" s="6">
        <f t="shared" ref="BD460:BF460" si="277">BD461+BD462+BD463</f>
        <v>111.7525966617</v>
      </c>
      <c r="BE460" s="6">
        <f t="shared" si="277"/>
        <v>113.1788236631</v>
      </c>
      <c r="BF460" s="6">
        <f t="shared" si="277"/>
        <v>114.6268495106</v>
      </c>
    </row>
    <row r="461" spans="1:58" x14ac:dyDescent="0.35">
      <c r="B461" s="6" t="str">
        <f>[1]Results!E321</f>
        <v>CF_toe_ccoi_0</v>
      </c>
      <c r="C461" s="6">
        <f>[1]Results!F321</f>
        <v>8.4917494900000001E-2</v>
      </c>
      <c r="D461" s="6">
        <f>[1]Results!G321</f>
        <v>8.5904173299999997E-2</v>
      </c>
      <c r="E461" s="6">
        <f>[1]Results!H321</f>
        <v>8.6975202500000001E-2</v>
      </c>
      <c r="F461" s="6">
        <f>[1]Results!I321</f>
        <v>8.8142268999999995E-2</v>
      </c>
      <c r="G461" s="6">
        <f>[1]Results!J321</f>
        <v>8.9414280299999996E-2</v>
      </c>
      <c r="H461" s="6">
        <f>[1]Results!K321</f>
        <v>9.0790635600000003E-2</v>
      </c>
      <c r="I461" s="6">
        <f>[1]Results!L321</f>
        <v>9.2207440299999999E-2</v>
      </c>
      <c r="J461" s="6">
        <f>[1]Results!M321</f>
        <v>9.3684891300000003E-2</v>
      </c>
      <c r="K461" s="6">
        <f>[1]Results!N321</f>
        <v>9.5219327399999998E-2</v>
      </c>
      <c r="L461" s="6">
        <f>[1]Results!O321</f>
        <v>9.6803458999999994E-2</v>
      </c>
      <c r="M461" s="6">
        <f>[1]Results!P321</f>
        <v>9.8529666200000005E-2</v>
      </c>
      <c r="N461" s="6">
        <f>[1]Results!Q321</f>
        <v>0.1002378513</v>
      </c>
      <c r="O461" s="6">
        <f>[1]Results!R321</f>
        <v>0.1019637946</v>
      </c>
      <c r="P461" s="6">
        <f>[1]Results!S321</f>
        <v>0.10371059169999999</v>
      </c>
      <c r="Q461" s="6">
        <f>[1]Results!T321</f>
        <v>0.10547654469999999</v>
      </c>
      <c r="R461" s="6">
        <f>[1]Results!U321</f>
        <v>0.10725994730000001</v>
      </c>
      <c r="S461" s="6">
        <f>[1]Results!V321</f>
        <v>0.1090597834</v>
      </c>
      <c r="T461" s="6">
        <f>[1]Results!W321</f>
        <v>0.1108757007</v>
      </c>
      <c r="U461" s="6">
        <f>[1]Results!X321</f>
        <v>0.1127078772</v>
      </c>
      <c r="V461" s="6">
        <f>[1]Results!Y321</f>
        <v>0.1145568923</v>
      </c>
      <c r="W461" s="6">
        <f>[1]Results!Z321</f>
        <v>0.11634893709999999</v>
      </c>
      <c r="X461" s="6">
        <f>[1]Results!AA321</f>
        <v>0.1182004707</v>
      </c>
      <c r="Y461" s="6">
        <f>[1]Results!AB321</f>
        <v>0.1200823359</v>
      </c>
      <c r="Z461" s="6">
        <f>[1]Results!AC321</f>
        <v>0.12199055120000001</v>
      </c>
      <c r="AA461" s="6">
        <f>[1]Results!AD321</f>
        <v>0.1239253453</v>
      </c>
      <c r="AB461" s="6">
        <f>[1]Results!AE321</f>
        <v>0.12567097899999999</v>
      </c>
      <c r="AC461" s="6">
        <f>[1]Results!AF321</f>
        <v>0.12745954100000001</v>
      </c>
      <c r="AD461" s="6">
        <f>[1]Results!AG321</f>
        <v>0.12925843849999999</v>
      </c>
      <c r="AE461" s="6">
        <f>[1]Results!AH321</f>
        <v>0.1310666754</v>
      </c>
      <c r="AF461" s="6">
        <f>[1]Results!AI321</f>
        <v>0.132888268</v>
      </c>
      <c r="AG461" s="6">
        <f>[1]Results!AJ321</f>
        <v>0.13472742300000001</v>
      </c>
      <c r="AH461" s="6">
        <f>[1]Results!AK321</f>
        <v>0.13658764840000001</v>
      </c>
      <c r="AI461" s="6">
        <f>[1]Results!AL321</f>
        <v>0.13847164910000001</v>
      </c>
      <c r="AJ461" s="6">
        <f>[1]Results!AM321</f>
        <v>0.1403813995</v>
      </c>
      <c r="AK461" s="6">
        <f>[1]Results!AN321</f>
        <v>0.14231825740000001</v>
      </c>
      <c r="AL461" s="6">
        <f>[1]Results!AO321</f>
        <v>0.1442830849</v>
      </c>
      <c r="AM461" s="6">
        <f>[1]Results!AP321</f>
        <v>0.14622375800000001</v>
      </c>
      <c r="AN461" s="6">
        <f>[1]Results!AQ321</f>
        <v>0.1481684751</v>
      </c>
      <c r="AO461" s="6">
        <f>[1]Results!AR321</f>
        <v>0.1501243146</v>
      </c>
      <c r="AP461" s="6">
        <f>[1]Results!AS321</f>
        <v>0.15209465650000001</v>
      </c>
      <c r="AQ461" s="6">
        <f>[1]Results!AT321</f>
        <v>0.1540821151</v>
      </c>
      <c r="AR461" s="6">
        <f>[1]Results!AU321</f>
        <v>0.15608895989999999</v>
      </c>
      <c r="AS461" s="6">
        <f>[1]Results!AV321</f>
        <v>0.15811713669999999</v>
      </c>
      <c r="AT461" s="6">
        <f>[1]Results!AW321</f>
        <v>0.1601682639</v>
      </c>
      <c r="AU461" s="6">
        <f>[1]Results!AX321</f>
        <v>0.16224365390000001</v>
      </c>
      <c r="AV461" s="6">
        <f>[1]Results!AY321</f>
        <v>0.1643443597</v>
      </c>
      <c r="AW461" s="6">
        <f>[1]Results!AZ321</f>
        <v>0.16647602410000001</v>
      </c>
      <c r="AX461" s="6">
        <f>[1]Results!BA321</f>
        <v>0.1686368617</v>
      </c>
      <c r="AY461" s="6">
        <f>[1]Results!BB321</f>
        <v>0.17082688500000001</v>
      </c>
      <c r="AZ461" s="6">
        <f>[1]Results!BC321</f>
        <v>0.1730462321</v>
      </c>
      <c r="BA461" s="6">
        <f>[1]Results!BD321</f>
        <v>0.17529506089999999</v>
      </c>
      <c r="BB461" s="6">
        <f>[1]Results!BE321</f>
        <v>0.1973296433</v>
      </c>
      <c r="BC461" s="6">
        <f>[1]Results!BF321</f>
        <v>0.2006222366</v>
      </c>
      <c r="BD461" s="6">
        <f>[1]Results!BG321</f>
        <v>0.2039584817</v>
      </c>
      <c r="BE461" s="6">
        <f>[1]Results!BH321</f>
        <v>0.20733960309999999</v>
      </c>
      <c r="BF461" s="6">
        <f>[1]Results!BI321</f>
        <v>0.21076692059999999</v>
      </c>
    </row>
    <row r="462" spans="1:58" x14ac:dyDescent="0.35">
      <c r="B462" s="6" t="str">
        <f>[1]Results!E324</f>
        <v>CF_toe_cfut_0</v>
      </c>
      <c r="C462" s="6">
        <f>[1]Results!F324</f>
        <v>47.396219520000002</v>
      </c>
      <c r="D462" s="6">
        <f>[1]Results!G324</f>
        <v>47.572488120000003</v>
      </c>
      <c r="E462" s="6">
        <f>[1]Results!H324</f>
        <v>47.715054289999998</v>
      </c>
      <c r="F462" s="6">
        <f>[1]Results!I324</f>
        <v>47.933097959999998</v>
      </c>
      <c r="G462" s="6">
        <f>[1]Results!J324</f>
        <v>48.248534429999999</v>
      </c>
      <c r="H462" s="6">
        <f>[1]Results!K324</f>
        <v>48.652318780000002</v>
      </c>
      <c r="I462" s="6">
        <f>[1]Results!L324</f>
        <v>49.110529749999998</v>
      </c>
      <c r="J462" s="6">
        <f>[1]Results!M324</f>
        <v>49.614983969999997</v>
      </c>
      <c r="K462" s="6">
        <f>[1]Results!N324</f>
        <v>50.15509342</v>
      </c>
      <c r="L462" s="6">
        <f>[1]Results!O324</f>
        <v>50.722348689999997</v>
      </c>
      <c r="M462" s="6">
        <f>[1]Results!P324</f>
        <v>51.340709910000001</v>
      </c>
      <c r="N462" s="6">
        <f>[1]Results!Q324</f>
        <v>51.961652739999998</v>
      </c>
      <c r="O462" s="6">
        <f>[1]Results!R324</f>
        <v>52.59153294</v>
      </c>
      <c r="P462" s="6">
        <f>[1]Results!S324</f>
        <v>53.229606789999998</v>
      </c>
      <c r="Q462" s="6">
        <f>[1]Results!T324</f>
        <v>53.87438066</v>
      </c>
      <c r="R462" s="6">
        <f>[1]Results!U324</f>
        <v>54.524709280000003</v>
      </c>
      <c r="S462" s="6">
        <f>[1]Results!V324</f>
        <v>55.179880920000002</v>
      </c>
      <c r="T462" s="6">
        <f>[1]Results!W324</f>
        <v>55.839527969999999</v>
      </c>
      <c r="U462" s="6">
        <f>[1]Results!X324</f>
        <v>56.50352857</v>
      </c>
      <c r="V462" s="6">
        <f>[1]Results!Y324</f>
        <v>57.171929089999999</v>
      </c>
      <c r="W462" s="6">
        <f>[1]Results!Z324</f>
        <v>57.822471810000003</v>
      </c>
      <c r="X462" s="6">
        <f>[1]Results!AA324</f>
        <v>58.488130839999997</v>
      </c>
      <c r="Y462" s="6">
        <f>[1]Results!AB324</f>
        <v>59.162029029999999</v>
      </c>
      <c r="Z462" s="6">
        <f>[1]Results!AC324</f>
        <v>59.843234639999999</v>
      </c>
      <c r="AA462" s="6">
        <f>[1]Results!AD324</f>
        <v>60.531841649999997</v>
      </c>
      <c r="AB462" s="6">
        <f>[1]Results!AE324</f>
        <v>61.163390649999997</v>
      </c>
      <c r="AC462" s="6">
        <f>[1]Results!AF324</f>
        <v>61.8018632</v>
      </c>
      <c r="AD462" s="6">
        <f>[1]Results!AG324</f>
        <v>62.440449469999997</v>
      </c>
      <c r="AE462" s="6">
        <f>[1]Results!AH324</f>
        <v>63.079769519999999</v>
      </c>
      <c r="AF462" s="6">
        <f>[1]Results!AI324</f>
        <v>63.721679999999999</v>
      </c>
      <c r="AG462" s="6">
        <f>[1]Results!AJ324</f>
        <v>64.367969049999999</v>
      </c>
      <c r="AH462" s="6">
        <f>[1]Results!AK324</f>
        <v>65.02008352</v>
      </c>
      <c r="AI462" s="6">
        <f>[1]Results!AL324</f>
        <v>65.679104269999996</v>
      </c>
      <c r="AJ462" s="6">
        <f>[1]Results!AM324</f>
        <v>66.345791840000004</v>
      </c>
      <c r="AK462" s="6">
        <f>[1]Results!AN324</f>
        <v>67.020651849999993</v>
      </c>
      <c r="AL462" s="6">
        <f>[1]Results!AO324</f>
        <v>67.704000820000005</v>
      </c>
      <c r="AM462" s="6">
        <f>[1]Results!AP324</f>
        <v>68.380444940000004</v>
      </c>
      <c r="AN462" s="6">
        <f>[1]Results!AQ324</f>
        <v>69.05720925</v>
      </c>
      <c r="AO462" s="6">
        <f>[1]Results!AR324</f>
        <v>69.73649245</v>
      </c>
      <c r="AP462" s="6">
        <f>[1]Results!AS324</f>
        <v>70.419591659999995</v>
      </c>
      <c r="AQ462" s="6">
        <f>[1]Results!AT324</f>
        <v>71.107616809999996</v>
      </c>
      <c r="AR462" s="6">
        <f>[1]Results!AU324</f>
        <v>71.801559749999996</v>
      </c>
      <c r="AS462" s="6">
        <f>[1]Results!AV324</f>
        <v>72.502267520000004</v>
      </c>
      <c r="AT462" s="6">
        <f>[1]Results!AW324</f>
        <v>73.210424040000007</v>
      </c>
      <c r="AU462" s="6">
        <f>[1]Results!AX324</f>
        <v>73.926553350000006</v>
      </c>
      <c r="AV462" s="6">
        <f>[1]Results!AY324</f>
        <v>74.651039190000006</v>
      </c>
      <c r="AW462" s="6">
        <f>[1]Results!AZ324</f>
        <v>75.38556097</v>
      </c>
      <c r="AX462" s="6">
        <f>[1]Results!BA324</f>
        <v>76.129668170000002</v>
      </c>
      <c r="AY462" s="6">
        <f>[1]Results!BB324</f>
        <v>76.883308369999995</v>
      </c>
      <c r="AZ462" s="6">
        <f>[1]Results!BC324</f>
        <v>77.646438570000001</v>
      </c>
      <c r="BA462" s="6">
        <f>[1]Results!BD324</f>
        <v>78.419003630000006</v>
      </c>
      <c r="BB462" s="6">
        <f>[1]Results!BE324</f>
        <v>85.312169370000007</v>
      </c>
      <c r="BC462" s="6">
        <f>[1]Results!BF324</f>
        <v>86.423256069999994</v>
      </c>
      <c r="BD462" s="6">
        <f>[1]Results!BG324</f>
        <v>87.550619229999995</v>
      </c>
      <c r="BE462" s="6">
        <f>[1]Results!BH324</f>
        <v>88.694809750000005</v>
      </c>
      <c r="BF462" s="6">
        <f>[1]Results!BI324</f>
        <v>89.856421949999998</v>
      </c>
    </row>
    <row r="463" spans="1:58" x14ac:dyDescent="0.35">
      <c r="B463" s="6" t="str">
        <f>[1]Results!E327</f>
        <v>CF_toe_cfuh_0</v>
      </c>
      <c r="C463" s="6">
        <f>[1]Results!F327</f>
        <v>14.83425304</v>
      </c>
      <c r="D463" s="6">
        <f>[1]Results!G327</f>
        <v>14.924954290000001</v>
      </c>
      <c r="E463" s="6">
        <f>[1]Results!H327</f>
        <v>14.99378463</v>
      </c>
      <c r="F463" s="6">
        <f>[1]Results!I327</f>
        <v>15.060781009999999</v>
      </c>
      <c r="G463" s="6">
        <f>[1]Results!J327</f>
        <v>15.13222141</v>
      </c>
      <c r="H463" s="6">
        <f>[1]Results!K327</f>
        <v>15.217554229999999</v>
      </c>
      <c r="I463" s="6">
        <f>[1]Results!L327</f>
        <v>15.312203970000001</v>
      </c>
      <c r="J463" s="6">
        <f>[1]Results!M327</f>
        <v>15.41807865</v>
      </c>
      <c r="K463" s="6">
        <f>[1]Results!N327</f>
        <v>15.53343295</v>
      </c>
      <c r="L463" s="6">
        <f>[1]Results!O327</f>
        <v>15.6559632</v>
      </c>
      <c r="M463" s="6">
        <f>[1]Results!P327</f>
        <v>15.79562039</v>
      </c>
      <c r="N463" s="6">
        <f>[1]Results!Q327</f>
        <v>15.932841939999999</v>
      </c>
      <c r="O463" s="6">
        <f>[1]Results!R327</f>
        <v>16.07097147</v>
      </c>
      <c r="P463" s="6">
        <f>[1]Results!S327</f>
        <v>16.210606569999999</v>
      </c>
      <c r="Q463" s="6">
        <f>[1]Results!T327</f>
        <v>16.351777429999999</v>
      </c>
      <c r="R463" s="6">
        <f>[1]Results!U327</f>
        <v>16.494440099999998</v>
      </c>
      <c r="S463" s="6">
        <f>[1]Results!V327</f>
        <v>16.638578200000001</v>
      </c>
      <c r="T463" s="6">
        <f>[1]Results!W327</f>
        <v>16.78421445</v>
      </c>
      <c r="U463" s="6">
        <f>[1]Results!X327</f>
        <v>16.931403159999999</v>
      </c>
      <c r="V463" s="6">
        <f>[1]Results!Y327</f>
        <v>17.080220749999999</v>
      </c>
      <c r="W463" s="6">
        <f>[1]Results!Z327</f>
        <v>17.222231820000001</v>
      </c>
      <c r="X463" s="6">
        <f>[1]Results!AA327</f>
        <v>17.37069017</v>
      </c>
      <c r="Y463" s="6">
        <f>[1]Results!AB327</f>
        <v>17.52264744</v>
      </c>
      <c r="Z463" s="6">
        <f>[1]Results!AC327</f>
        <v>17.677383379999998</v>
      </c>
      <c r="AA463" s="6">
        <f>[1]Results!AD327</f>
        <v>17.834727869999998</v>
      </c>
      <c r="AB463" s="6">
        <f>[1]Results!AE327</f>
        <v>17.9703518</v>
      </c>
      <c r="AC463" s="6">
        <f>[1]Results!AF327</f>
        <v>18.110230789999999</v>
      </c>
      <c r="AD463" s="6">
        <f>[1]Results!AG327</f>
        <v>18.251800249999999</v>
      </c>
      <c r="AE463" s="6">
        <f>[1]Results!AH327</f>
        <v>18.394817360000001</v>
      </c>
      <c r="AF463" s="6">
        <f>[1]Results!AI327</f>
        <v>18.539462530000002</v>
      </c>
      <c r="AG463" s="6">
        <f>[1]Results!AJ327</f>
        <v>18.685984430000001</v>
      </c>
      <c r="AH463" s="6">
        <f>[1]Results!AK327</f>
        <v>18.834621599999998</v>
      </c>
      <c r="AI463" s="6">
        <f>[1]Results!AL327</f>
        <v>18.985565529999999</v>
      </c>
      <c r="AJ463" s="6">
        <f>[1]Results!AM327</f>
        <v>19.138955939999999</v>
      </c>
      <c r="AK463" s="6">
        <f>[1]Results!AN327</f>
        <v>19.294887070000001</v>
      </c>
      <c r="AL463" s="6">
        <f>[1]Results!AO327</f>
        <v>19.45341728</v>
      </c>
      <c r="AM463" s="6">
        <f>[1]Results!AP327</f>
        <v>19.608858770000001</v>
      </c>
      <c r="AN463" s="6">
        <f>[1]Results!AQ327</f>
        <v>19.76426489</v>
      </c>
      <c r="AO463" s="6">
        <f>[1]Results!AR327</f>
        <v>19.92065075</v>
      </c>
      <c r="AP463" s="6">
        <f>[1]Results!AS327</f>
        <v>20.07849736</v>
      </c>
      <c r="AQ463" s="6">
        <f>[1]Results!AT327</f>
        <v>20.238113930000001</v>
      </c>
      <c r="AR463" s="6">
        <f>[1]Results!AU327</f>
        <v>20.39972895</v>
      </c>
      <c r="AS463" s="6">
        <f>[1]Results!AV327</f>
        <v>20.563513650000001</v>
      </c>
      <c r="AT463" s="6">
        <f>[1]Results!AW327</f>
        <v>20.72958466</v>
      </c>
      <c r="AU463" s="6">
        <f>[1]Results!AX327</f>
        <v>20.897988699999999</v>
      </c>
      <c r="AV463" s="6">
        <f>[1]Results!AY327</f>
        <v>21.068633049999999</v>
      </c>
      <c r="AW463" s="6">
        <f>[1]Results!AZ327</f>
        <v>21.241442599999999</v>
      </c>
      <c r="AX463" s="6">
        <f>[1]Results!BA327</f>
        <v>21.4161906</v>
      </c>
      <c r="AY463" s="6">
        <f>[1]Results!BB327</f>
        <v>21.592451929999999</v>
      </c>
      <c r="AZ463" s="6">
        <f>[1]Results!BC327</f>
        <v>21.77122297</v>
      </c>
      <c r="BA463" s="6">
        <f>[1]Results!BD327</f>
        <v>21.953295950000001</v>
      </c>
      <c r="BB463" s="6">
        <f>[1]Results!BE327</f>
        <v>23.453218750000001</v>
      </c>
      <c r="BC463" s="6">
        <f>[1]Results!BF327</f>
        <v>23.723576749999999</v>
      </c>
      <c r="BD463" s="6">
        <f>[1]Results!BG327</f>
        <v>23.998018949999999</v>
      </c>
      <c r="BE463" s="6">
        <f>[1]Results!BH327</f>
        <v>24.276674310000001</v>
      </c>
      <c r="BF463" s="6">
        <f>[1]Results!BI327</f>
        <v>24.559660640000001</v>
      </c>
    </row>
    <row r="464" spans="1:58" x14ac:dyDescent="0.35">
      <c r="B464" s="6" t="str">
        <f>[1]Results!E329</f>
        <v>CF_toe_cgas_0</v>
      </c>
      <c r="C464" s="6">
        <f>[1]Results!F329</f>
        <v>34.455909929999997</v>
      </c>
      <c r="D464" s="6">
        <f>[1]Results!G329</f>
        <v>34.735827729999997</v>
      </c>
      <c r="E464" s="6">
        <f>[1]Results!H329</f>
        <v>34.995736540000003</v>
      </c>
      <c r="F464" s="6">
        <f>[1]Results!I329</f>
        <v>35.262800059999996</v>
      </c>
      <c r="G464" s="6">
        <f>[1]Results!J329</f>
        <v>35.545407359999999</v>
      </c>
      <c r="H464" s="6">
        <f>[1]Results!K329</f>
        <v>35.85970622</v>
      </c>
      <c r="I464" s="6">
        <f>[1]Results!L329</f>
        <v>36.18981582</v>
      </c>
      <c r="J464" s="6">
        <f>[1]Results!M329</f>
        <v>36.543720520000001</v>
      </c>
      <c r="K464" s="6">
        <f>[1]Results!N329</f>
        <v>36.918847030000002</v>
      </c>
      <c r="L464" s="6">
        <f>[1]Results!O329</f>
        <v>37.31092039</v>
      </c>
      <c r="M464" s="6">
        <f>[1]Results!P329</f>
        <v>37.750746650000004</v>
      </c>
      <c r="N464" s="6">
        <f>[1]Results!Q329</f>
        <v>38.181040979999999</v>
      </c>
      <c r="O464" s="6">
        <f>[1]Results!R329</f>
        <v>38.61398234</v>
      </c>
      <c r="P464" s="6">
        <f>[1]Results!S329</f>
        <v>39.051442809999998</v>
      </c>
      <c r="Q464" s="6">
        <f>[1]Results!T329</f>
        <v>39.493438840000003</v>
      </c>
      <c r="R464" s="6">
        <f>[1]Results!U329</f>
        <v>39.939729460000002</v>
      </c>
      <c r="S464" s="6">
        <f>[1]Results!V329</f>
        <v>40.390138090000001</v>
      </c>
      <c r="T464" s="6">
        <f>[1]Results!W329</f>
        <v>40.844607400000001</v>
      </c>
      <c r="U464" s="6">
        <f>[1]Results!X329</f>
        <v>41.303192789999997</v>
      </c>
      <c r="V464" s="6">
        <f>[1]Results!Y329</f>
        <v>41.766041950000002</v>
      </c>
      <c r="W464" s="6">
        <f>[1]Results!Z329</f>
        <v>42.20831707</v>
      </c>
      <c r="X464" s="6">
        <f>[1]Results!AA329</f>
        <v>42.66986034</v>
      </c>
      <c r="Y464" s="6">
        <f>[1]Results!AB329</f>
        <v>43.140639149999998</v>
      </c>
      <c r="Z464" s="6">
        <f>[1]Results!AC329</f>
        <v>43.618656739999999</v>
      </c>
      <c r="AA464" s="6">
        <f>[1]Results!AD329</f>
        <v>44.103556339999997</v>
      </c>
      <c r="AB464" s="6">
        <f>[1]Results!AE329</f>
        <v>44.523800489999999</v>
      </c>
      <c r="AC464" s="6">
        <f>[1]Results!AF329</f>
        <v>44.958608820000002</v>
      </c>
      <c r="AD464" s="6">
        <f>[1]Results!AG329</f>
        <v>45.397820109999998</v>
      </c>
      <c r="AE464" s="6">
        <f>[1]Results!AH329</f>
        <v>45.840496790000003</v>
      </c>
      <c r="AF464" s="6">
        <f>[1]Results!AI329</f>
        <v>46.287105910000001</v>
      </c>
      <c r="AG464" s="6">
        <f>[1]Results!AJ329</f>
        <v>46.738403910000002</v>
      </c>
      <c r="AH464" s="6">
        <f>[1]Results!AK329</f>
        <v>47.195129989999998</v>
      </c>
      <c r="AI464" s="6">
        <f>[1]Results!AL329</f>
        <v>47.657907229999999</v>
      </c>
      <c r="AJ464" s="6">
        <f>[1]Results!AM329</f>
        <v>48.127221910000003</v>
      </c>
      <c r="AK464" s="6">
        <f>[1]Results!AN329</f>
        <v>48.603430539999998</v>
      </c>
      <c r="AL464" s="6">
        <f>[1]Results!AO329</f>
        <v>49.086777939999997</v>
      </c>
      <c r="AM464" s="6">
        <f>[1]Results!AP329</f>
        <v>49.560524800000003</v>
      </c>
      <c r="AN464" s="6">
        <f>[1]Results!AQ329</f>
        <v>50.034354639999997</v>
      </c>
      <c r="AO464" s="6">
        <f>[1]Results!AR329</f>
        <v>50.510984710000002</v>
      </c>
      <c r="AP464" s="6">
        <f>[1]Results!AS329</f>
        <v>50.991610729999998</v>
      </c>
      <c r="AQ464" s="6">
        <f>[1]Results!AT329</f>
        <v>51.476987549999997</v>
      </c>
      <c r="AR464" s="6">
        <f>[1]Results!AU329</f>
        <v>51.967675669999998</v>
      </c>
      <c r="AS464" s="6">
        <f>[1]Results!AV329</f>
        <v>52.464104059999997</v>
      </c>
      <c r="AT464" s="6">
        <f>[1]Results!AW329</f>
        <v>52.966582770000002</v>
      </c>
      <c r="AU464" s="6">
        <f>[1]Results!AX329</f>
        <v>53.475287020000003</v>
      </c>
      <c r="AV464" s="6">
        <f>[1]Results!AY329</f>
        <v>53.99018281</v>
      </c>
      <c r="AW464" s="6">
        <f>[1]Results!AZ329</f>
        <v>54.51220481</v>
      </c>
      <c r="AX464" s="6">
        <f>[1]Results!BA329</f>
        <v>55.039883439999997</v>
      </c>
      <c r="AY464" s="6">
        <f>[1]Results!BB329</f>
        <v>55.570551279999997</v>
      </c>
      <c r="AZ464" s="6">
        <f>[1]Results!BC329</f>
        <v>56.107931319999999</v>
      </c>
      <c r="BA464" s="6">
        <f>[1]Results!BD329</f>
        <v>56.655027349999997</v>
      </c>
      <c r="BB464" s="6">
        <f>[1]Results!BE329</f>
        <v>60.695917489999999</v>
      </c>
      <c r="BC464" s="6">
        <f>[1]Results!BF329</f>
        <v>61.493967240000003</v>
      </c>
      <c r="BD464" s="6">
        <f>[1]Results!BG329</f>
        <v>62.303657729999998</v>
      </c>
      <c r="BE464" s="6">
        <f>[1]Results!BH329</f>
        <v>63.125339080000003</v>
      </c>
      <c r="BF464" s="6">
        <f>[1]Results!BI329</f>
        <v>63.959341160000001</v>
      </c>
    </row>
    <row r="465" spans="1:58" x14ac:dyDescent="0.35">
      <c r="B465" s="6" t="str">
        <f>[1]Results!E335</f>
        <v>CF_toe_cele_0</v>
      </c>
      <c r="C465" s="6">
        <f>[1]Results!F335</f>
        <v>37.992390450000002</v>
      </c>
      <c r="D465" s="6">
        <f>[1]Results!G335</f>
        <v>38.276743850000003</v>
      </c>
      <c r="E465" s="6">
        <f>[1]Results!H335</f>
        <v>38.530684659999999</v>
      </c>
      <c r="F465" s="6">
        <f>[1]Results!I335</f>
        <v>38.797107580000002</v>
      </c>
      <c r="G465" s="6">
        <f>[1]Results!J335</f>
        <v>39.089575859999997</v>
      </c>
      <c r="H465" s="6">
        <f>[1]Results!K335</f>
        <v>39.41854953</v>
      </c>
      <c r="I465" s="6">
        <f>[1]Results!L335</f>
        <v>39.764851970000002</v>
      </c>
      <c r="J465" s="6">
        <f>[1]Results!M335</f>
        <v>40.133085770000001</v>
      </c>
      <c r="K465" s="6">
        <f>[1]Results!N335</f>
        <v>40.519239079999998</v>
      </c>
      <c r="L465" s="6">
        <f>[1]Results!O335</f>
        <v>40.918433100000001</v>
      </c>
      <c r="M465" s="6">
        <f>[1]Results!P335</f>
        <v>41.360046439999998</v>
      </c>
      <c r="N465" s="6">
        <f>[1]Results!Q335</f>
        <v>41.789856239999999</v>
      </c>
      <c r="O465" s="6">
        <f>[1]Results!R335</f>
        <v>42.21893962</v>
      </c>
      <c r="P465" s="6">
        <f>[1]Results!S335</f>
        <v>42.649196600000003</v>
      </c>
      <c r="Q465" s="6">
        <f>[1]Results!T335</f>
        <v>43.080938500000002</v>
      </c>
      <c r="R465" s="6">
        <f>[1]Results!U335</f>
        <v>43.514363170000003</v>
      </c>
      <c r="S465" s="6">
        <f>[1]Results!V335</f>
        <v>43.949823139999999</v>
      </c>
      <c r="T465" s="6">
        <f>[1]Results!W335</f>
        <v>44.387842910000003</v>
      </c>
      <c r="U465" s="6">
        <f>[1]Results!X335</f>
        <v>44.829082380000003</v>
      </c>
      <c r="V465" s="6">
        <f>[1]Results!Y335</f>
        <v>45.274291040000001</v>
      </c>
      <c r="W465" s="6">
        <f>[1]Results!Z335</f>
        <v>45.700009209999997</v>
      </c>
      <c r="X465" s="6">
        <f>[1]Results!AA335</f>
        <v>46.144843629999997</v>
      </c>
      <c r="Y465" s="6">
        <f>[1]Results!AB335</f>
        <v>46.600240390000003</v>
      </c>
      <c r="Z465" s="6">
        <f>[1]Results!AC335</f>
        <v>47.064854570000001</v>
      </c>
      <c r="AA465" s="6">
        <f>[1]Results!AD335</f>
        <v>47.53876125</v>
      </c>
      <c r="AB465" s="6">
        <f>[1]Results!AE335</f>
        <v>47.952820340000002</v>
      </c>
      <c r="AC465" s="6">
        <f>[1]Results!AF335</f>
        <v>48.382597930000003</v>
      </c>
      <c r="AD465" s="6">
        <f>[1]Results!AG335</f>
        <v>48.819584089999999</v>
      </c>
      <c r="AE465" s="6">
        <f>[1]Results!AH335</f>
        <v>49.263543339999998</v>
      </c>
      <c r="AF465" s="6">
        <f>[1]Results!AI335</f>
        <v>49.715632020000001</v>
      </c>
      <c r="AG465" s="6">
        <f>[1]Results!AJ335</f>
        <v>50.177029109999999</v>
      </c>
      <c r="AH465" s="6">
        <f>[1]Results!AK335</f>
        <v>50.648656189999997</v>
      </c>
      <c r="AI465" s="6">
        <f>[1]Results!AL335</f>
        <v>51.131139660000002</v>
      </c>
      <c r="AJ465" s="6">
        <f>[1]Results!AM335</f>
        <v>51.624838179999998</v>
      </c>
      <c r="AK465" s="6">
        <f>[1]Results!AN335</f>
        <v>52.129891010000001</v>
      </c>
      <c r="AL465" s="6">
        <f>[1]Results!AO335</f>
        <v>52.646271570000003</v>
      </c>
      <c r="AM465" s="6">
        <f>[1]Results!AP335</f>
        <v>53.157286280000001</v>
      </c>
      <c r="AN465" s="6">
        <f>[1]Results!AQ335</f>
        <v>53.671763130000002</v>
      </c>
      <c r="AO465" s="6">
        <f>[1]Results!AR335</f>
        <v>54.192208190000002</v>
      </c>
      <c r="AP465" s="6">
        <f>[1]Results!AS335</f>
        <v>54.71974771</v>
      </c>
      <c r="AQ465" s="6">
        <f>[1]Results!AT335</f>
        <v>55.255125900000003</v>
      </c>
      <c r="AR465" s="6">
        <f>[1]Results!AU335</f>
        <v>55.798907499999999</v>
      </c>
      <c r="AS465" s="6">
        <f>[1]Results!AV335</f>
        <v>56.351518660000004</v>
      </c>
      <c r="AT465" s="6">
        <f>[1]Results!AW335</f>
        <v>56.913261910000003</v>
      </c>
      <c r="AU465" s="6">
        <f>[1]Results!AX335</f>
        <v>57.484299739999997</v>
      </c>
      <c r="AV465" s="6">
        <f>[1]Results!AY335</f>
        <v>58.064578050000001</v>
      </c>
      <c r="AW465" s="6">
        <f>[1]Results!AZ335</f>
        <v>58.654896839999999</v>
      </c>
      <c r="AX465" s="6">
        <f>[1]Results!BA335</f>
        <v>59.254107269999999</v>
      </c>
      <c r="AY465" s="6">
        <f>[1]Results!BB335</f>
        <v>59.861396569999997</v>
      </c>
      <c r="AZ465" s="6">
        <f>[1]Results!BC335</f>
        <v>60.477901780000003</v>
      </c>
      <c r="BA465" s="6">
        <f>[1]Results!BD335</f>
        <v>61.104611400000003</v>
      </c>
      <c r="BB465" s="6">
        <f>[1]Results!BE335</f>
        <v>65.412551059999998</v>
      </c>
      <c r="BC465" s="6">
        <f>[1]Results!BF335</f>
        <v>66.296898889999994</v>
      </c>
      <c r="BD465" s="6">
        <f>[1]Results!BG335</f>
        <v>67.196138849999997</v>
      </c>
      <c r="BE465" s="6">
        <f>[1]Results!BH335</f>
        <v>68.110568479999998</v>
      </c>
      <c r="BF465" s="6">
        <f>[1]Results!BI335</f>
        <v>69.040456840000004</v>
      </c>
    </row>
    <row r="466" spans="1:58" x14ac:dyDescent="0.35">
      <c r="B466" s="6" t="s">
        <v>75</v>
      </c>
      <c r="C466" s="6">
        <f>SUM(C467:C469)</f>
        <v>22.078645743999999</v>
      </c>
      <c r="D466" s="6">
        <f t="shared" ref="D466:AL466" si="278">SUM(D467:D469)</f>
        <v>22.270430365999999</v>
      </c>
      <c r="E466" s="6">
        <f t="shared" si="278"/>
        <v>22.456198663000002</v>
      </c>
      <c r="F466" s="6">
        <f t="shared" si="278"/>
        <v>22.649220161999999</v>
      </c>
      <c r="G466" s="6">
        <f t="shared" si="278"/>
        <v>22.853726761000001</v>
      </c>
      <c r="H466" s="6">
        <f t="shared" si="278"/>
        <v>23.067920974000003</v>
      </c>
      <c r="I466" s="6">
        <f t="shared" si="278"/>
        <v>23.277889727000002</v>
      </c>
      <c r="J466" s="6">
        <f t="shared" si="278"/>
        <v>23.492637014</v>
      </c>
      <c r="K466" s="6">
        <f t="shared" si="278"/>
        <v>23.7136596</v>
      </c>
      <c r="L466" s="6">
        <f t="shared" si="278"/>
        <v>23.940446164000001</v>
      </c>
      <c r="M466" s="6">
        <f t="shared" si="278"/>
        <v>24.197038368999998</v>
      </c>
      <c r="N466" s="6">
        <f t="shared" si="278"/>
        <v>24.44176603</v>
      </c>
      <c r="O466" s="6">
        <f t="shared" si="278"/>
        <v>24.685427853</v>
      </c>
      <c r="P466" s="6">
        <f t="shared" si="278"/>
        <v>24.930408039</v>
      </c>
      <c r="Q466" s="6">
        <f t="shared" si="278"/>
        <v>25.177385702999999</v>
      </c>
      <c r="R466" s="6">
        <f t="shared" si="278"/>
        <v>25.426656578999999</v>
      </c>
      <c r="S466" s="6">
        <f t="shared" si="278"/>
        <v>25.678449095999998</v>
      </c>
      <c r="T466" s="6">
        <f t="shared" si="278"/>
        <v>25.933005964000003</v>
      </c>
      <c r="U466" s="6">
        <f t="shared" si="278"/>
        <v>26.190597292</v>
      </c>
      <c r="V466" s="6">
        <f t="shared" si="278"/>
        <v>26.451512158</v>
      </c>
      <c r="W466" s="6">
        <f t="shared" si="278"/>
        <v>26.698265845999998</v>
      </c>
      <c r="X466" s="6">
        <f t="shared" si="278"/>
        <v>26.960392818999999</v>
      </c>
      <c r="Y466" s="6">
        <f t="shared" si="278"/>
        <v>27.229960570999999</v>
      </c>
      <c r="Z466" s="6">
        <f t="shared" si="278"/>
        <v>27.505289336000001</v>
      </c>
      <c r="AA466" s="6">
        <f t="shared" si="278"/>
        <v>27.785996956000002</v>
      </c>
      <c r="AB466" s="6">
        <f t="shared" si="278"/>
        <v>28.021588399999999</v>
      </c>
      <c r="AC466" s="6">
        <f t="shared" si="278"/>
        <v>28.271214268000001</v>
      </c>
      <c r="AD466" s="6">
        <f t="shared" si="278"/>
        <v>28.526711687999999</v>
      </c>
      <c r="AE466" s="6">
        <f t="shared" si="278"/>
        <v>28.786944313999999</v>
      </c>
      <c r="AF466" s="6">
        <f t="shared" si="278"/>
        <v>29.051958558999999</v>
      </c>
      <c r="AG466" s="6">
        <f t="shared" si="278"/>
        <v>29.321994885999999</v>
      </c>
      <c r="AH466" s="6">
        <f t="shared" si="278"/>
        <v>29.597269331999996</v>
      </c>
      <c r="AI466" s="6">
        <f t="shared" si="278"/>
        <v>29.877922687999998</v>
      </c>
      <c r="AJ466" s="6">
        <f t="shared" si="278"/>
        <v>30.164017023</v>
      </c>
      <c r="AK466" s="6">
        <f t="shared" si="278"/>
        <v>30.455549184999999</v>
      </c>
      <c r="AL466" s="6">
        <f t="shared" si="278"/>
        <v>30.752469782999999</v>
      </c>
      <c r="AM466" s="6">
        <f t="shared" ref="AM466:BC466" si="279">SUM(AM467:AM469)</f>
        <v>31.042924585000002</v>
      </c>
      <c r="AN466" s="6">
        <f t="shared" si="279"/>
        <v>31.334350047000001</v>
      </c>
      <c r="AO466" s="6">
        <f t="shared" si="279"/>
        <v>31.628731483000003</v>
      </c>
      <c r="AP466" s="6">
        <f t="shared" si="279"/>
        <v>31.926835603999997</v>
      </c>
      <c r="AQ466" s="6">
        <f t="shared" si="279"/>
        <v>32.229077541999999</v>
      </c>
      <c r="AR466" s="6">
        <f t="shared" si="279"/>
        <v>32.535743017000001</v>
      </c>
      <c r="AS466" s="6">
        <f t="shared" si="279"/>
        <v>32.847058670999999</v>
      </c>
      <c r="AT466" s="6">
        <f t="shared" si="279"/>
        <v>33.163218826000005</v>
      </c>
      <c r="AU466" s="6">
        <f t="shared" si="279"/>
        <v>33.484404163000001</v>
      </c>
      <c r="AV466" s="6">
        <f t="shared" si="279"/>
        <v>33.810801593000001</v>
      </c>
      <c r="AW466" s="6">
        <f t="shared" si="279"/>
        <v>34.143587068000002</v>
      </c>
      <c r="AX466" s="6">
        <f t="shared" si="279"/>
        <v>34.479454293000003</v>
      </c>
      <c r="AY466" s="6">
        <f t="shared" si="279"/>
        <v>34.818111490999996</v>
      </c>
      <c r="AZ466" s="6">
        <f t="shared" si="279"/>
        <v>35.160043463000001</v>
      </c>
      <c r="BA466" s="6">
        <f t="shared" si="279"/>
        <v>35.505885776</v>
      </c>
      <c r="BB466" s="6">
        <f t="shared" si="279"/>
        <v>38.172249958999998</v>
      </c>
      <c r="BC466" s="6">
        <f t="shared" si="279"/>
        <v>38.673320986</v>
      </c>
      <c r="BD466" s="6">
        <f t="shared" ref="BD466:BF466" si="280">SUM(BD467:BD469)</f>
        <v>39.182884635000008</v>
      </c>
      <c r="BE466" s="6">
        <f t="shared" si="280"/>
        <v>39.701131445000001</v>
      </c>
      <c r="BF466" s="6">
        <f t="shared" si="280"/>
        <v>40.228225399999999</v>
      </c>
    </row>
    <row r="467" spans="1:58" x14ac:dyDescent="0.35">
      <c r="B467" s="6" t="str">
        <f>[1]Results!E345</f>
        <v>CF_toe_chea_0</v>
      </c>
      <c r="C467" s="6">
        <f>[1]Results!F345</f>
        <v>5.141788762</v>
      </c>
      <c r="D467" s="6">
        <f>[1]Results!G345</f>
        <v>5.2038577220000004</v>
      </c>
      <c r="E467" s="6">
        <f>[1]Results!H345</f>
        <v>5.272784723</v>
      </c>
      <c r="F467" s="6">
        <f>[1]Results!I345</f>
        <v>5.3464468930000004</v>
      </c>
      <c r="G467" s="6">
        <f>[1]Results!J345</f>
        <v>5.4244187999999998</v>
      </c>
      <c r="H467" s="6">
        <f>[1]Results!K345</f>
        <v>5.4986044420000004</v>
      </c>
      <c r="I467" s="6">
        <f>[1]Results!L345</f>
        <v>5.5637983809999998</v>
      </c>
      <c r="J467" s="6">
        <f>[1]Results!M345</f>
        <v>5.6246720809999999</v>
      </c>
      <c r="K467" s="6">
        <f>[1]Results!N345</f>
        <v>5.683861308</v>
      </c>
      <c r="L467" s="6">
        <f>[1]Results!O345</f>
        <v>5.7427184359999996</v>
      </c>
      <c r="M467" s="6">
        <f>[1]Results!P345</f>
        <v>5.8100617100000003</v>
      </c>
      <c r="N467" s="6">
        <f>[1]Results!Q345</f>
        <v>5.8729795840000003</v>
      </c>
      <c r="O467" s="6">
        <f>[1]Results!R345</f>
        <v>5.9345829879999998</v>
      </c>
      <c r="P467" s="6">
        <f>[1]Results!S345</f>
        <v>5.9959336949999997</v>
      </c>
      <c r="Q467" s="6">
        <f>[1]Results!T345</f>
        <v>6.0574305309999996</v>
      </c>
      <c r="R467" s="6">
        <f>[1]Results!U345</f>
        <v>6.1192295669999996</v>
      </c>
      <c r="S467" s="6">
        <f>[1]Results!V345</f>
        <v>6.1813979049999999</v>
      </c>
      <c r="T467" s="6">
        <f>[1]Results!W345</f>
        <v>6.2439746759999997</v>
      </c>
      <c r="U467" s="6">
        <f>[1]Results!X345</f>
        <v>6.3069944759999998</v>
      </c>
      <c r="V467" s="6">
        <f>[1]Results!Y345</f>
        <v>6.3704948200000002</v>
      </c>
      <c r="W467" s="6">
        <f>[1]Results!Z345</f>
        <v>6.4288668869999999</v>
      </c>
      <c r="X467" s="6">
        <f>[1]Results!AA345</f>
        <v>6.491206568</v>
      </c>
      <c r="Y467" s="6">
        <f>[1]Results!AB345</f>
        <v>6.555427516</v>
      </c>
      <c r="Z467" s="6">
        <f>[1]Results!AC345</f>
        <v>6.6208421639999999</v>
      </c>
      <c r="AA467" s="6">
        <f>[1]Results!AD345</f>
        <v>6.6872013160000003</v>
      </c>
      <c r="AB467" s="6">
        <f>[1]Results!AE345</f>
        <v>6.7386793899999997</v>
      </c>
      <c r="AC467" s="6">
        <f>[1]Results!AF345</f>
        <v>6.7930564499999999</v>
      </c>
      <c r="AD467" s="6">
        <f>[1]Results!AG345</f>
        <v>6.8487940470000002</v>
      </c>
      <c r="AE467" s="6">
        <f>[1]Results!AH345</f>
        <v>6.9055178069999998</v>
      </c>
      <c r="AF467" s="6">
        <f>[1]Results!AI345</f>
        <v>6.9631214379999999</v>
      </c>
      <c r="AG467" s="6">
        <f>[1]Results!AJ345</f>
        <v>7.0215933660000003</v>
      </c>
      <c r="AH467" s="6">
        <f>[1]Results!AK345</f>
        <v>7.0809499279999999</v>
      </c>
      <c r="AI467" s="6">
        <f>[1]Results!AL345</f>
        <v>7.1412105370000001</v>
      </c>
      <c r="AJ467" s="6">
        <f>[1]Results!AM345</f>
        <v>7.2023887809999998</v>
      </c>
      <c r="AK467" s="6">
        <f>[1]Results!AN345</f>
        <v>7.2644907109999997</v>
      </c>
      <c r="AL467" s="6">
        <f>[1]Results!AO345</f>
        <v>7.3275163430000001</v>
      </c>
      <c r="AM467" s="6">
        <f>[1]Results!AP345</f>
        <v>7.3879446580000003</v>
      </c>
      <c r="AN467" s="6">
        <f>[1]Results!AQ345</f>
        <v>7.4478828909999999</v>
      </c>
      <c r="AO467" s="6">
        <f>[1]Results!AR345</f>
        <v>7.5081001729999999</v>
      </c>
      <c r="AP467" s="6">
        <f>[1]Results!AS345</f>
        <v>7.5689294360000003</v>
      </c>
      <c r="AQ467" s="6">
        <f>[1]Results!AT345</f>
        <v>7.6305427830000001</v>
      </c>
      <c r="AR467" s="6">
        <f>[1]Results!AU345</f>
        <v>7.6930537579999996</v>
      </c>
      <c r="AS467" s="6">
        <f>[1]Results!AV345</f>
        <v>7.7565621910000004</v>
      </c>
      <c r="AT467" s="6">
        <f>[1]Results!AW345</f>
        <v>7.8211815680000001</v>
      </c>
      <c r="AU467" s="6">
        <f>[1]Results!AX345</f>
        <v>7.8870721030000004</v>
      </c>
      <c r="AV467" s="6">
        <f>[1]Results!AY345</f>
        <v>7.9545177130000004</v>
      </c>
      <c r="AW467" s="6">
        <f>[1]Results!AZ345</f>
        <v>8.0245125359999996</v>
      </c>
      <c r="AX467" s="6">
        <f>[1]Results!BA345</f>
        <v>8.0941612910000007</v>
      </c>
      <c r="AY467" s="6">
        <f>[1]Results!BB345</f>
        <v>8.1630872920000002</v>
      </c>
      <c r="AZ467" s="6">
        <f>[1]Results!BC345</f>
        <v>8.2315350580000004</v>
      </c>
      <c r="BA467" s="6">
        <f>[1]Results!BD345</f>
        <v>8.2999360459999991</v>
      </c>
      <c r="BB467" s="6">
        <f>[1]Results!BE345</f>
        <v>8.8248155520000005</v>
      </c>
      <c r="BC467" s="6">
        <f>[1]Results!BF345</f>
        <v>8.9214467200000005</v>
      </c>
      <c r="BD467" s="6">
        <f>[1]Results!BG345</f>
        <v>9.0193785480000006</v>
      </c>
      <c r="BE467" s="6">
        <f>[1]Results!BH345</f>
        <v>9.1186607859999995</v>
      </c>
      <c r="BF467" s="6">
        <f>[1]Results!BI345</f>
        <v>9.2193318049999995</v>
      </c>
    </row>
    <row r="468" spans="1:58" x14ac:dyDescent="0.35">
      <c r="B468" s="6" t="str">
        <f>[1]Results!E347</f>
        <v>CF_toe_cbio_0</v>
      </c>
      <c r="C468" s="6">
        <f>[1]Results!F347</f>
        <v>8.2066322189999994</v>
      </c>
      <c r="D468" s="6">
        <f>[1]Results!G347</f>
        <v>8.2272731690000001</v>
      </c>
      <c r="E468" s="6">
        <f>[1]Results!H347</f>
        <v>8.2228348679999996</v>
      </c>
      <c r="F468" s="6">
        <f>[1]Results!I347</f>
        <v>8.2111086899999997</v>
      </c>
      <c r="G468" s="6">
        <f>[1]Results!J347</f>
        <v>8.1980360660000002</v>
      </c>
      <c r="H468" s="6">
        <f>[1]Results!K347</f>
        <v>8.1912228660000004</v>
      </c>
      <c r="I468" s="6">
        <f>[1]Results!L347</f>
        <v>8.1896895779999994</v>
      </c>
      <c r="J468" s="6">
        <f>[1]Results!M347</f>
        <v>8.1943002319999998</v>
      </c>
      <c r="K468" s="6">
        <f>[1]Results!N347</f>
        <v>8.2038736360000009</v>
      </c>
      <c r="L468" s="6">
        <f>[1]Results!O347</f>
        <v>8.2169014300000001</v>
      </c>
      <c r="M468" s="6">
        <f>[1]Results!P347</f>
        <v>8.2375590790000004</v>
      </c>
      <c r="N468" s="6">
        <f>[1]Results!Q347</f>
        <v>8.2567148059999997</v>
      </c>
      <c r="O468" s="6">
        <f>[1]Results!R347</f>
        <v>8.2757272949999994</v>
      </c>
      <c r="P468" s="6">
        <f>[1]Results!S347</f>
        <v>8.2949545039999997</v>
      </c>
      <c r="Q468" s="6">
        <f>[1]Results!T347</f>
        <v>8.3144870219999998</v>
      </c>
      <c r="R468" s="6">
        <f>[1]Results!U347</f>
        <v>8.3343495020000002</v>
      </c>
      <c r="S468" s="6">
        <f>[1]Results!V347</f>
        <v>8.3545609209999991</v>
      </c>
      <c r="T468" s="6">
        <f>[1]Results!W347</f>
        <v>8.3751510580000001</v>
      </c>
      <c r="U468" s="6">
        <f>[1]Results!X347</f>
        <v>8.3961620460000006</v>
      </c>
      <c r="V468" s="6">
        <f>[1]Results!Y347</f>
        <v>8.4176450880000004</v>
      </c>
      <c r="W468" s="6">
        <f>[1]Results!Z347</f>
        <v>8.4359666789999999</v>
      </c>
      <c r="X468" s="6">
        <f>[1]Results!AA347</f>
        <v>8.4569724110000006</v>
      </c>
      <c r="Y468" s="6">
        <f>[1]Results!AB347</f>
        <v>8.4794335749999998</v>
      </c>
      <c r="Z468" s="6">
        <f>[1]Results!AC347</f>
        <v>8.5029590020000008</v>
      </c>
      <c r="AA468" s="6">
        <f>[1]Results!AD347</f>
        <v>8.5274204600000001</v>
      </c>
      <c r="AB468" s="6">
        <f>[1]Results!AE347</f>
        <v>8.5424752300000009</v>
      </c>
      <c r="AC468" s="6">
        <f>[1]Results!AF347</f>
        <v>8.5594170779999992</v>
      </c>
      <c r="AD468" s="6">
        <f>[1]Results!AG347</f>
        <v>8.5773863810000002</v>
      </c>
      <c r="AE468" s="6">
        <f>[1]Results!AH347</f>
        <v>8.5962145270000008</v>
      </c>
      <c r="AF468" s="6">
        <f>[1]Results!AI347</f>
        <v>8.6159032510000007</v>
      </c>
      <c r="AG468" s="6">
        <f>[1]Results!AJ347</f>
        <v>8.6364932200000002</v>
      </c>
      <c r="AH468" s="6">
        <f>[1]Results!AK347</f>
        <v>8.6580247139999997</v>
      </c>
      <c r="AI468" s="6">
        <f>[1]Results!AL347</f>
        <v>8.6805255409999997</v>
      </c>
      <c r="AJ468" s="6">
        <f>[1]Results!AM347</f>
        <v>8.7040090219999993</v>
      </c>
      <c r="AK468" s="6">
        <f>[1]Results!AN347</f>
        <v>8.7284760539999997</v>
      </c>
      <c r="AL468" s="6">
        <f>[1]Results!AO347</f>
        <v>8.7539185699999997</v>
      </c>
      <c r="AM468" s="6">
        <f>[1]Results!AP347</f>
        <v>8.7779995470000003</v>
      </c>
      <c r="AN468" s="6">
        <f>[1]Results!AQ347</f>
        <v>8.8020075860000002</v>
      </c>
      <c r="AO468" s="6">
        <f>[1]Results!AR347</f>
        <v>8.8264244200000004</v>
      </c>
      <c r="AP468" s="6">
        <f>[1]Results!AS347</f>
        <v>8.8514643179999997</v>
      </c>
      <c r="AQ468" s="6">
        <f>[1]Results!AT347</f>
        <v>8.8772394390000002</v>
      </c>
      <c r="AR468" s="6">
        <f>[1]Results!AU347</f>
        <v>8.9038170389999998</v>
      </c>
      <c r="AS468" s="6">
        <f>[1]Results!AV347</f>
        <v>8.9312391200000008</v>
      </c>
      <c r="AT468" s="6">
        <f>[1]Results!AW347</f>
        <v>8.959522518</v>
      </c>
      <c r="AU468" s="6">
        <f>[1]Results!AX347</f>
        <v>8.9886435500000008</v>
      </c>
      <c r="AV468" s="6">
        <f>[1]Results!AY347</f>
        <v>9.0184772899999999</v>
      </c>
      <c r="AW468" s="6">
        <f>[1]Results!AZ347</f>
        <v>9.0486459420000003</v>
      </c>
      <c r="AX468" s="6">
        <f>[1]Results!BA347</f>
        <v>9.0791002019999993</v>
      </c>
      <c r="AY468" s="6">
        <f>[1]Results!BB347</f>
        <v>9.1099881790000001</v>
      </c>
      <c r="AZ468" s="6">
        <f>[1]Results!BC347</f>
        <v>9.1415747849999995</v>
      </c>
      <c r="BA468" s="6">
        <f>[1]Results!BD347</f>
        <v>9.1740776200000003</v>
      </c>
      <c r="BB468" s="6">
        <f>[1]Results!BE347</f>
        <v>9.484807537</v>
      </c>
      <c r="BC468" s="6">
        <f>[1]Results!BF347</f>
        <v>9.5424931760000007</v>
      </c>
      <c r="BD468" s="6">
        <f>[1]Results!BG347</f>
        <v>9.6013940170000005</v>
      </c>
      <c r="BE468" s="6">
        <f>[1]Results!BH347</f>
        <v>9.6615604289999997</v>
      </c>
      <c r="BF468" s="6">
        <f>[1]Results!BI347</f>
        <v>9.7230260650000009</v>
      </c>
    </row>
    <row r="469" spans="1:58" x14ac:dyDescent="0.35">
      <c r="B469" s="6" t="str">
        <f>[1]Results!E350</f>
        <v>CF_toe_cote_0</v>
      </c>
      <c r="C469" s="6">
        <f>[1]Results!F350</f>
        <v>8.7302247630000007</v>
      </c>
      <c r="D469" s="6">
        <f>[1]Results!G350</f>
        <v>8.8392994750000007</v>
      </c>
      <c r="E469" s="6">
        <f>[1]Results!H350</f>
        <v>8.9605790719999998</v>
      </c>
      <c r="F469" s="6">
        <f>[1]Results!I350</f>
        <v>9.0916645789999997</v>
      </c>
      <c r="G469" s="6">
        <f>[1]Results!J350</f>
        <v>9.2312718950000008</v>
      </c>
      <c r="H469" s="6">
        <f>[1]Results!K350</f>
        <v>9.3780936659999998</v>
      </c>
      <c r="I469" s="6">
        <f>[1]Results!L350</f>
        <v>9.5244017680000006</v>
      </c>
      <c r="J469" s="6">
        <f>[1]Results!M350</f>
        <v>9.6736647009999999</v>
      </c>
      <c r="K469" s="6">
        <f>[1]Results!N350</f>
        <v>9.8259246559999998</v>
      </c>
      <c r="L469" s="6">
        <f>[1]Results!O350</f>
        <v>9.9808262980000002</v>
      </c>
      <c r="M469" s="6">
        <f>[1]Results!P350</f>
        <v>10.14941758</v>
      </c>
      <c r="N469" s="6">
        <f>[1]Results!Q350</f>
        <v>10.312071639999999</v>
      </c>
      <c r="O469" s="6">
        <f>[1]Results!R350</f>
        <v>10.47511757</v>
      </c>
      <c r="P469" s="6">
        <f>[1]Results!S350</f>
        <v>10.63951984</v>
      </c>
      <c r="Q469" s="6">
        <f>[1]Results!T350</f>
        <v>10.805468149999999</v>
      </c>
      <c r="R469" s="6">
        <f>[1]Results!U350</f>
        <v>10.97307751</v>
      </c>
      <c r="S469" s="6">
        <f>[1]Results!V350</f>
        <v>11.14249027</v>
      </c>
      <c r="T469" s="6">
        <f>[1]Results!W350</f>
        <v>11.313880230000001</v>
      </c>
      <c r="U469" s="6">
        <f>[1]Results!X350</f>
        <v>11.487440769999999</v>
      </c>
      <c r="V469" s="6">
        <f>[1]Results!Y350</f>
        <v>11.66337225</v>
      </c>
      <c r="W469" s="6">
        <f>[1]Results!Z350</f>
        <v>11.83343228</v>
      </c>
      <c r="X469" s="6">
        <f>[1]Results!AA350</f>
        <v>12.012213839999999</v>
      </c>
      <c r="Y469" s="6">
        <f>[1]Results!AB350</f>
        <v>12.19509948</v>
      </c>
      <c r="Z469" s="6">
        <f>[1]Results!AC350</f>
        <v>12.381488170000001</v>
      </c>
      <c r="AA469" s="6">
        <f>[1]Results!AD350</f>
        <v>12.57137518</v>
      </c>
      <c r="AB469" s="6">
        <f>[1]Results!AE350</f>
        <v>12.74043378</v>
      </c>
      <c r="AC469" s="6">
        <f>[1]Results!AF350</f>
        <v>12.91874074</v>
      </c>
      <c r="AD469" s="6">
        <f>[1]Results!AG350</f>
        <v>13.10053126</v>
      </c>
      <c r="AE469" s="6">
        <f>[1]Results!AH350</f>
        <v>13.28521198</v>
      </c>
      <c r="AF469" s="6">
        <f>[1]Results!AI350</f>
        <v>13.47293387</v>
      </c>
      <c r="AG469" s="6">
        <f>[1]Results!AJ350</f>
        <v>13.663908299999999</v>
      </c>
      <c r="AH469" s="6">
        <f>[1]Results!AK350</f>
        <v>13.858294689999999</v>
      </c>
      <c r="AI469" s="6">
        <f>[1]Results!AL350</f>
        <v>14.056186609999999</v>
      </c>
      <c r="AJ469" s="6">
        <f>[1]Results!AM350</f>
        <v>14.25761922</v>
      </c>
      <c r="AK469" s="6">
        <f>[1]Results!AN350</f>
        <v>14.46258242</v>
      </c>
      <c r="AL469" s="6">
        <f>[1]Results!AO350</f>
        <v>14.67103487</v>
      </c>
      <c r="AM469" s="6">
        <f>[1]Results!AP350</f>
        <v>14.876980379999999</v>
      </c>
      <c r="AN469" s="6">
        <f>[1]Results!AQ350</f>
        <v>15.08445957</v>
      </c>
      <c r="AO469" s="6">
        <f>[1]Results!AR350</f>
        <v>15.29420689</v>
      </c>
      <c r="AP469" s="6">
        <f>[1]Results!AS350</f>
        <v>15.50644185</v>
      </c>
      <c r="AQ469" s="6">
        <f>[1]Results!AT350</f>
        <v>15.721295319999999</v>
      </c>
      <c r="AR469" s="6">
        <f>[1]Results!AU350</f>
        <v>15.93887222</v>
      </c>
      <c r="AS469" s="6">
        <f>[1]Results!AV350</f>
        <v>16.159257360000002</v>
      </c>
      <c r="AT469" s="6">
        <f>[1]Results!AW350</f>
        <v>16.382514740000001</v>
      </c>
      <c r="AU469" s="6">
        <f>[1]Results!AX350</f>
        <v>16.60868851</v>
      </c>
      <c r="AV469" s="6">
        <f>[1]Results!AY350</f>
        <v>16.83780659</v>
      </c>
      <c r="AW469" s="6">
        <f>[1]Results!AZ350</f>
        <v>17.070428589999999</v>
      </c>
      <c r="AX469" s="6">
        <f>[1]Results!BA350</f>
        <v>17.306192800000002</v>
      </c>
      <c r="AY469" s="6">
        <f>[1]Results!BB350</f>
        <v>17.545036020000001</v>
      </c>
      <c r="AZ469" s="6">
        <f>[1]Results!BC350</f>
        <v>17.786933619999999</v>
      </c>
      <c r="BA469" s="6">
        <f>[1]Results!BD350</f>
        <v>18.031872109999998</v>
      </c>
      <c r="BB469" s="6">
        <f>[1]Results!BE350</f>
        <v>19.86262687</v>
      </c>
      <c r="BC469" s="6">
        <f>[1]Results!BF350</f>
        <v>20.209381090000001</v>
      </c>
      <c r="BD469" s="6">
        <f>[1]Results!BG350</f>
        <v>20.562112070000001</v>
      </c>
      <c r="BE469" s="6">
        <f>[1]Results!BH350</f>
        <v>20.92091023</v>
      </c>
      <c r="BF469" s="6">
        <f>[1]Results!BI350</f>
        <v>21.285867530000001</v>
      </c>
    </row>
    <row r="471" spans="1:58" x14ac:dyDescent="0.35">
      <c r="C471" s="2">
        <v>42005</v>
      </c>
      <c r="D471" s="2">
        <v>42370</v>
      </c>
      <c r="E471" s="2">
        <v>42736</v>
      </c>
      <c r="F471" s="2">
        <v>43101</v>
      </c>
      <c r="G471" s="2">
        <v>43466</v>
      </c>
      <c r="H471" s="2">
        <v>43831</v>
      </c>
      <c r="I471" s="2">
        <v>44197</v>
      </c>
      <c r="J471" s="2">
        <v>44562</v>
      </c>
      <c r="K471" s="2">
        <v>44927</v>
      </c>
      <c r="L471" s="2">
        <v>45292</v>
      </c>
      <c r="M471" s="2">
        <v>45658</v>
      </c>
      <c r="N471" s="2">
        <v>46023</v>
      </c>
      <c r="O471" s="2">
        <v>46388</v>
      </c>
      <c r="P471" s="2">
        <v>46753</v>
      </c>
      <c r="Q471" s="2">
        <v>47119</v>
      </c>
      <c r="R471" s="2">
        <v>47484</v>
      </c>
      <c r="S471" s="2">
        <v>47849</v>
      </c>
      <c r="T471" s="2">
        <v>48214</v>
      </c>
      <c r="U471" s="2">
        <v>48580</v>
      </c>
      <c r="V471" s="2">
        <v>48945</v>
      </c>
      <c r="W471" s="2">
        <v>49310</v>
      </c>
      <c r="X471" s="2">
        <v>49675</v>
      </c>
      <c r="Y471" s="2">
        <v>50041</v>
      </c>
      <c r="Z471" s="2">
        <v>50406</v>
      </c>
      <c r="AA471" s="2">
        <v>50771</v>
      </c>
      <c r="AB471" s="2">
        <v>51136</v>
      </c>
      <c r="AC471" s="2">
        <v>51502</v>
      </c>
      <c r="AD471" s="2">
        <v>51867</v>
      </c>
      <c r="AE471" s="2">
        <v>52232</v>
      </c>
      <c r="AF471" s="2">
        <v>52597</v>
      </c>
      <c r="AG471" s="2">
        <v>52963</v>
      </c>
      <c r="AH471" s="2">
        <v>53328</v>
      </c>
      <c r="AI471" s="2">
        <v>53693</v>
      </c>
      <c r="AJ471" s="2">
        <v>54058</v>
      </c>
      <c r="AK471" s="2">
        <v>54424</v>
      </c>
      <c r="AL471" s="2">
        <v>54789</v>
      </c>
      <c r="AM471" s="2">
        <v>54790</v>
      </c>
      <c r="AN471" s="2">
        <v>54791</v>
      </c>
      <c r="AO471" s="2">
        <v>54792</v>
      </c>
      <c r="AP471" s="2">
        <v>54793</v>
      </c>
      <c r="AQ471" s="2">
        <v>54794</v>
      </c>
      <c r="AR471" s="2">
        <v>54795</v>
      </c>
      <c r="AS471" s="2">
        <v>54796</v>
      </c>
      <c r="AT471" s="2">
        <v>54797</v>
      </c>
      <c r="AU471" s="2">
        <v>54798</v>
      </c>
      <c r="AV471" s="2">
        <v>54799</v>
      </c>
      <c r="AW471" s="2">
        <v>54800</v>
      </c>
      <c r="AX471" s="2">
        <v>54801</v>
      </c>
      <c r="AY471" s="2">
        <v>54802</v>
      </c>
      <c r="AZ471" s="2">
        <v>54803</v>
      </c>
      <c r="BA471" s="2">
        <v>54804</v>
      </c>
      <c r="BB471" s="2">
        <v>54805</v>
      </c>
      <c r="BC471" s="2">
        <v>54806</v>
      </c>
      <c r="BD471" s="2">
        <v>54807</v>
      </c>
      <c r="BE471" s="2">
        <v>54808</v>
      </c>
      <c r="BF471" s="2">
        <v>54809</v>
      </c>
    </row>
    <row r="472" spans="1:58" x14ac:dyDescent="0.35">
      <c r="A472" s="12" t="s">
        <v>93</v>
      </c>
      <c r="B472" t="s">
        <v>77</v>
      </c>
      <c r="C472" s="4">
        <f>C445/C458-1</f>
        <v>-1.1202409170648298E-2</v>
      </c>
      <c r="D472" s="4">
        <f t="shared" ref="D472:AL472" si="281">D445/D458-1</f>
        <v>-1.5157542346658337E-2</v>
      </c>
      <c r="E472" s="4">
        <f t="shared" si="281"/>
        <v>-1.8092401524873125E-2</v>
      </c>
      <c r="F472" s="4">
        <f t="shared" si="281"/>
        <v>-2.0668070090617219E-2</v>
      </c>
      <c r="G472" s="4">
        <f t="shared" si="281"/>
        <v>-2.2850795454323114E-2</v>
      </c>
      <c r="H472" s="4">
        <f t="shared" si="281"/>
        <v>-2.4774772614679308E-2</v>
      </c>
      <c r="I472" s="4">
        <f t="shared" si="281"/>
        <v>-2.6547765371113696E-2</v>
      </c>
      <c r="J472" s="4">
        <f t="shared" si="281"/>
        <v>-2.8209976203475762E-2</v>
      </c>
      <c r="K472" s="4">
        <f t="shared" si="281"/>
        <v>-2.9787957721342018E-2</v>
      </c>
      <c r="L472" s="4">
        <f t="shared" si="281"/>
        <v>-3.1302236253093696E-2</v>
      </c>
      <c r="M472" s="4">
        <f t="shared" si="281"/>
        <v>-3.3655934505079754E-2</v>
      </c>
      <c r="N472" s="4">
        <f t="shared" si="281"/>
        <v>-3.4823147235879981E-2</v>
      </c>
      <c r="O472" s="4">
        <f t="shared" si="281"/>
        <v>-3.5682081513809472E-2</v>
      </c>
      <c r="P472" s="4">
        <f t="shared" si="281"/>
        <v>-3.6393393980388988E-2</v>
      </c>
      <c r="Q472" s="4">
        <f t="shared" si="281"/>
        <v>-3.7009452518554697E-2</v>
      </c>
      <c r="R472" s="4">
        <f t="shared" si="281"/>
        <v>-3.7563445156284181E-2</v>
      </c>
      <c r="S472" s="4">
        <f t="shared" si="281"/>
        <v>-3.8116199692900365E-2</v>
      </c>
      <c r="T472" s="4">
        <f t="shared" si="281"/>
        <v>-3.8668743040624509E-2</v>
      </c>
      <c r="U472" s="4">
        <f t="shared" si="281"/>
        <v>-3.9237665507137809E-2</v>
      </c>
      <c r="V472" s="4">
        <f t="shared" si="281"/>
        <v>-3.9838291741510212E-2</v>
      </c>
      <c r="W472" s="4">
        <f t="shared" si="281"/>
        <v>-4.0476957774618794E-2</v>
      </c>
      <c r="X472" s="4">
        <f t="shared" si="281"/>
        <v>-4.1170280167390993E-2</v>
      </c>
      <c r="Y472" s="4">
        <f t="shared" si="281"/>
        <v>-4.191785495129563E-2</v>
      </c>
      <c r="Z472" s="4">
        <f t="shared" si="281"/>
        <v>-4.2720894346829574E-2</v>
      </c>
      <c r="AA472" s="4">
        <f t="shared" si="281"/>
        <v>-4.3578541367955914E-2</v>
      </c>
      <c r="AB472" s="4">
        <f t="shared" si="281"/>
        <v>-4.4470857586564883E-2</v>
      </c>
      <c r="AC472" s="4">
        <f t="shared" si="281"/>
        <v>-4.5401940569334442E-2</v>
      </c>
      <c r="AD472" s="4">
        <f t="shared" si="281"/>
        <v>-4.6368741688888271E-2</v>
      </c>
      <c r="AE472" s="4">
        <f t="shared" si="281"/>
        <v>-4.7366281794568144E-2</v>
      </c>
      <c r="AF472" s="4">
        <f t="shared" si="281"/>
        <v>-4.8388519356208803E-2</v>
      </c>
      <c r="AG472" s="4">
        <f t="shared" si="281"/>
        <v>-4.9430436767289976E-2</v>
      </c>
      <c r="AH472" s="4">
        <f t="shared" si="281"/>
        <v>-5.0479542703803615E-2</v>
      </c>
      <c r="AI472" s="4">
        <f t="shared" si="281"/>
        <v>-5.1538231379763877E-2</v>
      </c>
      <c r="AJ472" s="4">
        <f t="shared" si="281"/>
        <v>-5.2604938466613183E-2</v>
      </c>
      <c r="AK472" s="4">
        <f t="shared" si="281"/>
        <v>-5.3677214938018025E-2</v>
      </c>
      <c r="AL472" s="4">
        <f t="shared" si="281"/>
        <v>-5.4752789099184795E-2</v>
      </c>
      <c r="AM472" s="4">
        <f t="shared" ref="AM472:BC472" si="282">AM445/AM458-1</f>
        <v>-5.5750661551688174E-2</v>
      </c>
      <c r="AN472" s="4">
        <f t="shared" si="282"/>
        <v>-5.6725367317165154E-2</v>
      </c>
      <c r="AO472" s="4">
        <f t="shared" si="282"/>
        <v>-5.7683032093766462E-2</v>
      </c>
      <c r="AP472" s="4">
        <f t="shared" si="282"/>
        <v>-5.8624845511034085E-2</v>
      </c>
      <c r="AQ472" s="4">
        <f t="shared" si="282"/>
        <v>-5.9553101127862829E-2</v>
      </c>
      <c r="AR472" s="4">
        <f t="shared" si="282"/>
        <v>-6.0459123604715392E-2</v>
      </c>
      <c r="AS472" s="4">
        <f t="shared" si="282"/>
        <v>-6.1354788601542642E-2</v>
      </c>
      <c r="AT472" s="4">
        <f t="shared" si="282"/>
        <v>-6.2244674190396143E-2</v>
      </c>
      <c r="AU472" s="4">
        <f t="shared" si="282"/>
        <v>-6.3131810094533503E-2</v>
      </c>
      <c r="AV472" s="4">
        <f t="shared" si="282"/>
        <v>-6.4017606333771071E-2</v>
      </c>
      <c r="AW472" s="4">
        <f t="shared" si="282"/>
        <v>-6.4857113068889527E-2</v>
      </c>
      <c r="AX472" s="4">
        <f t="shared" si="282"/>
        <v>-6.566706986710813E-2</v>
      </c>
      <c r="AY472" s="4">
        <f t="shared" si="282"/>
        <v>-6.6441317756492868E-2</v>
      </c>
      <c r="AZ472" s="4">
        <f t="shared" si="282"/>
        <v>-6.7207063440333004E-2</v>
      </c>
      <c r="BA472" s="4">
        <f t="shared" si="282"/>
        <v>-6.7986715500191086E-2</v>
      </c>
      <c r="BB472" s="4">
        <f t="shared" si="282"/>
        <v>-6.458486285795928E-3</v>
      </c>
      <c r="BC472" s="4">
        <f t="shared" si="282"/>
        <v>-6.4784218630451473E-3</v>
      </c>
      <c r="BD472" s="4">
        <f t="shared" ref="BD472:BF472" si="283">BD445/BD458-1</f>
        <v>-6.4910318430363434E-3</v>
      </c>
      <c r="BE472" s="4">
        <f t="shared" si="283"/>
        <v>-6.4976697909722159E-3</v>
      </c>
      <c r="BF472" s="4">
        <f t="shared" si="283"/>
        <v>-6.4989958932348824E-3</v>
      </c>
    </row>
    <row r="473" spans="1:58" x14ac:dyDescent="0.35">
      <c r="A473" t="s">
        <v>88</v>
      </c>
      <c r="B473" t="s">
        <v>76</v>
      </c>
      <c r="C473" s="4">
        <f>(C446-C459)/C$458</f>
        <v>-8.5260728242941321E-4</v>
      </c>
      <c r="D473" s="4">
        <f t="shared" ref="D473:AL473" si="284">(D446-D459)/D$458</f>
        <v>-1.1232724455969871E-3</v>
      </c>
      <c r="E473" s="4">
        <f t="shared" si="284"/>
        <v>-1.2857867590666408E-3</v>
      </c>
      <c r="F473" s="4">
        <f t="shared" si="284"/>
        <v>-1.4220574241265518E-3</v>
      </c>
      <c r="G473" s="4">
        <f t="shared" si="284"/>
        <v>-1.5474686342463264E-3</v>
      </c>
      <c r="H473" s="4">
        <f t="shared" si="284"/>
        <v>-1.6661028881201506E-3</v>
      </c>
      <c r="I473" s="4">
        <f t="shared" si="284"/>
        <v>-1.780768999579897E-3</v>
      </c>
      <c r="J473" s="4">
        <f t="shared" si="284"/>
        <v>-1.8921731580191484E-3</v>
      </c>
      <c r="K473" s="4">
        <f t="shared" si="284"/>
        <v>-2.0014132156528056E-3</v>
      </c>
      <c r="L473" s="4">
        <f t="shared" si="284"/>
        <v>-2.1096266850027076E-3</v>
      </c>
      <c r="M473" s="4">
        <f t="shared" si="284"/>
        <v>-2.2827498753033009E-3</v>
      </c>
      <c r="N473" s="4">
        <f t="shared" si="284"/>
        <v>-2.3659160646990161E-3</v>
      </c>
      <c r="O473" s="4">
        <f t="shared" si="284"/>
        <v>-2.4315878084258096E-3</v>
      </c>
      <c r="P473" s="4">
        <f t="shared" si="284"/>
        <v>-2.4939659430116348E-3</v>
      </c>
      <c r="Q473" s="4">
        <f t="shared" si="284"/>
        <v>-2.5563835601602699E-3</v>
      </c>
      <c r="R473" s="4">
        <f t="shared" si="284"/>
        <v>-2.6199760610524018E-3</v>
      </c>
      <c r="S473" s="4">
        <f t="shared" si="284"/>
        <v>-2.6882288757848591E-3</v>
      </c>
      <c r="T473" s="4">
        <f t="shared" si="284"/>
        <v>-2.7592732876994988E-3</v>
      </c>
      <c r="U473" s="4">
        <f t="shared" si="284"/>
        <v>-2.8329116000159298E-3</v>
      </c>
      <c r="V473" s="4">
        <f t="shared" si="284"/>
        <v>-2.9091563784989761E-3</v>
      </c>
      <c r="W473" s="4">
        <f t="shared" si="284"/>
        <v>-2.9875016433848602E-3</v>
      </c>
      <c r="X473" s="4">
        <f t="shared" si="284"/>
        <v>-3.0687834289963782E-3</v>
      </c>
      <c r="Y473" s="4">
        <f t="shared" si="284"/>
        <v>-3.1523534342932421E-3</v>
      </c>
      <c r="Z473" s="4">
        <f t="shared" si="284"/>
        <v>-3.2379329837929046E-3</v>
      </c>
      <c r="AA473" s="4">
        <f t="shared" si="284"/>
        <v>-3.3252624484400675E-3</v>
      </c>
      <c r="AB473" s="4">
        <f t="shared" si="284"/>
        <v>-3.4126068388356024E-3</v>
      </c>
      <c r="AC473" s="4">
        <f t="shared" si="284"/>
        <v>-3.5006665359761839E-3</v>
      </c>
      <c r="AD473" s="4">
        <f t="shared" si="284"/>
        <v>-3.5894421458096157E-3</v>
      </c>
      <c r="AE473" s="4">
        <f t="shared" si="284"/>
        <v>-3.6786986345726412E-3</v>
      </c>
      <c r="AF473" s="4">
        <f t="shared" si="284"/>
        <v>-3.7681974344346775E-3</v>
      </c>
      <c r="AG473" s="4">
        <f t="shared" si="284"/>
        <v>-3.8577226306393715E-3</v>
      </c>
      <c r="AH473" s="4">
        <f t="shared" si="284"/>
        <v>-3.9463447785143286E-3</v>
      </c>
      <c r="AI473" s="4">
        <f t="shared" si="284"/>
        <v>-4.0344608399015131E-3</v>
      </c>
      <c r="AJ473" s="4">
        <f t="shared" si="284"/>
        <v>-4.1220423533409895E-3</v>
      </c>
      <c r="AK473" s="4">
        <f t="shared" si="284"/>
        <v>-4.2090123292746265E-3</v>
      </c>
      <c r="AL473" s="4">
        <f t="shared" si="284"/>
        <v>-4.2953073282517469E-3</v>
      </c>
      <c r="AM473" s="4">
        <f t="shared" ref="AM473:BC473" si="285">(AM446-AM459)/AM$458</f>
        <v>-4.3738347977555127E-3</v>
      </c>
      <c r="AN473" s="4">
        <f t="shared" si="285"/>
        <v>-4.4500757628436012E-3</v>
      </c>
      <c r="AO473" s="4">
        <f t="shared" si="285"/>
        <v>-4.5249883409889356E-3</v>
      </c>
      <c r="AP473" s="4">
        <f t="shared" si="285"/>
        <v>-4.5988031170466582E-3</v>
      </c>
      <c r="AQ473" s="4">
        <f t="shared" si="285"/>
        <v>-4.6716540853484366E-3</v>
      </c>
      <c r="AR473" s="4">
        <f t="shared" si="285"/>
        <v>-4.7425822981617032E-3</v>
      </c>
      <c r="AS473" s="4">
        <f t="shared" si="285"/>
        <v>-4.8125170724233231E-3</v>
      </c>
      <c r="AT473" s="4">
        <f t="shared" si="285"/>
        <v>-4.8817213863479566E-3</v>
      </c>
      <c r="AU473" s="4">
        <f t="shared" si="285"/>
        <v>-4.9503404270790727E-3</v>
      </c>
      <c r="AV473" s="4">
        <f t="shared" si="285"/>
        <v>-5.0184959573440421E-3</v>
      </c>
      <c r="AW473" s="4">
        <f t="shared" si="285"/>
        <v>-5.0826502990337285E-3</v>
      </c>
      <c r="AX473" s="4">
        <f t="shared" si="285"/>
        <v>-5.1457579091112541E-3</v>
      </c>
      <c r="AY473" s="4">
        <f t="shared" si="285"/>
        <v>-5.2085096067789145E-3</v>
      </c>
      <c r="AZ473" s="4">
        <f t="shared" si="285"/>
        <v>-5.2709833602284607E-3</v>
      </c>
      <c r="BA473" s="4">
        <f t="shared" si="285"/>
        <v>-5.3332043431065486E-3</v>
      </c>
      <c r="BB473" s="4">
        <f t="shared" si="285"/>
        <v>6.0997985661663914E-5</v>
      </c>
      <c r="BC473" s="4">
        <f t="shared" si="285"/>
        <v>6.4757018895901747E-5</v>
      </c>
      <c r="BD473" s="4">
        <f t="shared" ref="BD473:BF473" si="286">(BD446-BD459)/BD$458</f>
        <v>6.8663483785173939E-5</v>
      </c>
      <c r="BE473" s="4">
        <f t="shared" si="286"/>
        <v>7.2721338954668705E-5</v>
      </c>
      <c r="BF473" s="4">
        <f t="shared" si="286"/>
        <v>7.6927149163177053E-5</v>
      </c>
    </row>
    <row r="474" spans="1:58" x14ac:dyDescent="0.35">
      <c r="B474" t="s">
        <v>74</v>
      </c>
      <c r="C474" s="4">
        <f>(C447-C460)/C$458</f>
        <v>-3.2984979729405286E-3</v>
      </c>
      <c r="D474" s="4">
        <f t="shared" ref="D474:AL474" si="287">(D447-D460)/D$458</f>
        <v>-4.5822866706373769E-3</v>
      </c>
      <c r="E474" s="4">
        <f t="shared" si="287"/>
        <v>-5.6492370414621918E-3</v>
      </c>
      <c r="F474" s="4">
        <f t="shared" si="287"/>
        <v>-6.6629843542943953E-3</v>
      </c>
      <c r="G474" s="4">
        <f t="shared" si="287"/>
        <v>-7.5920662100744888E-3</v>
      </c>
      <c r="H474" s="4">
        <f t="shared" si="287"/>
        <v>-8.4552857735403306E-3</v>
      </c>
      <c r="I474" s="4">
        <f t="shared" si="287"/>
        <v>-9.2654921194749371E-3</v>
      </c>
      <c r="J474" s="4">
        <f t="shared" si="287"/>
        <v>-1.0023416438647377E-2</v>
      </c>
      <c r="K474" s="4">
        <f t="shared" si="287"/>
        <v>-1.0732136708931127E-2</v>
      </c>
      <c r="L474" s="4">
        <f t="shared" si="287"/>
        <v>-1.1397426118247322E-2</v>
      </c>
      <c r="M474" s="4">
        <f t="shared" si="287"/>
        <v>-1.2299547112338126E-2</v>
      </c>
      <c r="N474" s="4">
        <f t="shared" si="287"/>
        <v>-1.2824288197160773E-2</v>
      </c>
      <c r="O474" s="4">
        <f t="shared" si="287"/>
        <v>-1.3230098578794411E-2</v>
      </c>
      <c r="P474" s="4">
        <f t="shared" si="287"/>
        <v>-1.3565290594481919E-2</v>
      </c>
      <c r="Q474" s="4">
        <f t="shared" si="287"/>
        <v>-1.3846611387542639E-2</v>
      </c>
      <c r="R474" s="4">
        <f t="shared" si="287"/>
        <v>-1.4086148176499197E-2</v>
      </c>
      <c r="S474" s="4">
        <f t="shared" si="287"/>
        <v>-1.430389237214379E-2</v>
      </c>
      <c r="T474" s="4">
        <f t="shared" si="287"/>
        <v>-1.4504624503960738E-2</v>
      </c>
      <c r="U474" s="4">
        <f t="shared" si="287"/>
        <v>-1.4696417238180758E-2</v>
      </c>
      <c r="V474" s="4">
        <f t="shared" si="287"/>
        <v>-1.4886607290194195E-2</v>
      </c>
      <c r="W474" s="4">
        <f t="shared" si="287"/>
        <v>-1.5080852426399075E-2</v>
      </c>
      <c r="X474" s="4">
        <f t="shared" si="287"/>
        <v>-1.5283964630698714E-2</v>
      </c>
      <c r="Y474" s="4">
        <f t="shared" si="287"/>
        <v>-1.5498535631014335E-2</v>
      </c>
      <c r="Z474" s="4">
        <f t="shared" si="287"/>
        <v>-1.5726816060695367E-2</v>
      </c>
      <c r="AA474" s="4">
        <f t="shared" si="287"/>
        <v>-1.5970062399920718E-2</v>
      </c>
      <c r="AB474" s="4">
        <f t="shared" si="287"/>
        <v>-1.6227037938815216E-2</v>
      </c>
      <c r="AC474" s="4">
        <f t="shared" si="287"/>
        <v>-1.6495592584058017E-2</v>
      </c>
      <c r="AD474" s="4">
        <f t="shared" si="287"/>
        <v>-1.6775617941581486E-2</v>
      </c>
      <c r="AE474" s="4">
        <f t="shared" si="287"/>
        <v>-1.7066407382130288E-2</v>
      </c>
      <c r="AF474" s="4">
        <f t="shared" si="287"/>
        <v>-1.7366848311933265E-2</v>
      </c>
      <c r="AG474" s="4">
        <f t="shared" si="287"/>
        <v>-1.7675830318171302E-2</v>
      </c>
      <c r="AH474" s="4">
        <f t="shared" si="287"/>
        <v>-1.7990103718709481E-2</v>
      </c>
      <c r="AI474" s="4">
        <f t="shared" si="287"/>
        <v>-1.8310105937517557E-2</v>
      </c>
      <c r="AJ474" s="4">
        <f t="shared" si="287"/>
        <v>-1.8635474866282056E-2</v>
      </c>
      <c r="AK474" s="4">
        <f t="shared" si="287"/>
        <v>-1.8965554500138215E-2</v>
      </c>
      <c r="AL474" s="4">
        <f t="shared" si="287"/>
        <v>-1.9299686059908613E-2</v>
      </c>
      <c r="AM474" s="4">
        <f t="shared" ref="AM474:BC474" si="288">(AM447-AM460)/AM$458</f>
        <v>-1.9616400487699616E-2</v>
      </c>
      <c r="AN474" s="4">
        <f t="shared" si="288"/>
        <v>-1.9927839589513035E-2</v>
      </c>
      <c r="AO474" s="4">
        <f t="shared" si="288"/>
        <v>-2.0235475952283324E-2</v>
      </c>
      <c r="AP474" s="4">
        <f t="shared" si="288"/>
        <v>-2.0539815689243675E-2</v>
      </c>
      <c r="AQ474" s="4">
        <f t="shared" si="288"/>
        <v>-2.0841694999032812E-2</v>
      </c>
      <c r="AR474" s="4">
        <f t="shared" si="288"/>
        <v>-2.1138942205659848E-2</v>
      </c>
      <c r="AS474" s="4">
        <f t="shared" si="288"/>
        <v>-2.1434630331411905E-2</v>
      </c>
      <c r="AT474" s="4">
        <f t="shared" si="288"/>
        <v>-2.1730187638561431E-2</v>
      </c>
      <c r="AU474" s="4">
        <f t="shared" si="288"/>
        <v>-2.2026659537283087E-2</v>
      </c>
      <c r="AV474" s="4">
        <f t="shared" si="288"/>
        <v>-2.2324617574962551E-2</v>
      </c>
      <c r="AW474" s="4">
        <f t="shared" si="288"/>
        <v>-2.2611837369015626E-2</v>
      </c>
      <c r="AX474" s="4">
        <f t="shared" si="288"/>
        <v>-2.2896282580165114E-2</v>
      </c>
      <c r="AY474" s="4">
        <f t="shared" si="288"/>
        <v>-2.3179092017339264E-2</v>
      </c>
      <c r="AZ474" s="4">
        <f t="shared" si="288"/>
        <v>-2.3464945286914791E-2</v>
      </c>
      <c r="BA474" s="4">
        <f t="shared" si="288"/>
        <v>-2.3757546183080572E-2</v>
      </c>
      <c r="BB474" s="4">
        <f t="shared" si="288"/>
        <v>2.3950669873721675E-4</v>
      </c>
      <c r="BC474" s="4">
        <f t="shared" si="288"/>
        <v>2.8874343578292038E-4</v>
      </c>
      <c r="BD474" s="4">
        <f t="shared" ref="BD474:BF474" si="289">(BD447-BD460)/BD$458</f>
        <v>3.3972792941266245E-4</v>
      </c>
      <c r="BE474" s="4">
        <f t="shared" si="289"/>
        <v>3.9240162248381299E-4</v>
      </c>
      <c r="BF474" s="4">
        <f t="shared" si="289"/>
        <v>4.4679491753305683E-4</v>
      </c>
    </row>
    <row r="475" spans="1:58" x14ac:dyDescent="0.35">
      <c r="B475" t="s">
        <v>54</v>
      </c>
      <c r="C475" s="4">
        <f>(C451-C464)/C$458</f>
        <v>-2.465567920392884E-3</v>
      </c>
      <c r="D475" s="4">
        <f t="shared" ref="D475:AL475" si="290">(D451-D464)/D$458</f>
        <v>-3.1945951969750172E-3</v>
      </c>
      <c r="E475" s="4">
        <f t="shared" si="290"/>
        <v>-3.7832467048357966E-3</v>
      </c>
      <c r="F475" s="4">
        <f t="shared" si="290"/>
        <v>-4.3342752946484648E-3</v>
      </c>
      <c r="G475" s="4">
        <f t="shared" si="290"/>
        <v>-4.798808638854765E-3</v>
      </c>
      <c r="H475" s="4">
        <f t="shared" si="290"/>
        <v>-5.2319632775669998E-3</v>
      </c>
      <c r="I475" s="4">
        <f t="shared" si="290"/>
        <v>-5.6611594024856991E-3</v>
      </c>
      <c r="J475" s="4">
        <f t="shared" si="290"/>
        <v>-6.0871961067204714E-3</v>
      </c>
      <c r="K475" s="4">
        <f t="shared" si="290"/>
        <v>-6.5058274443199745E-3</v>
      </c>
      <c r="L475" s="4">
        <f t="shared" si="290"/>
        <v>-6.9149278857855096E-3</v>
      </c>
      <c r="M475" s="4">
        <f t="shared" si="290"/>
        <v>-7.5060526334931989E-3</v>
      </c>
      <c r="N475" s="4">
        <f t="shared" si="290"/>
        <v>-7.8429887386906941E-3</v>
      </c>
      <c r="O475" s="4">
        <f t="shared" si="290"/>
        <v>-8.1063194800629033E-3</v>
      </c>
      <c r="P475" s="4">
        <f t="shared" si="290"/>
        <v>-8.3257024017330764E-3</v>
      </c>
      <c r="Q475" s="4">
        <f t="shared" si="290"/>
        <v>-8.5124222485043199E-3</v>
      </c>
      <c r="R475" s="4">
        <f t="shared" si="290"/>
        <v>-8.6737699919128951E-3</v>
      </c>
      <c r="S475" s="4">
        <f t="shared" si="290"/>
        <v>-8.8225853517407572E-3</v>
      </c>
      <c r="T475" s="4">
        <f t="shared" si="290"/>
        <v>-8.9594671553098956E-3</v>
      </c>
      <c r="U475" s="4">
        <f t="shared" si="290"/>
        <v>-9.0891552408771774E-3</v>
      </c>
      <c r="V475" s="4">
        <f t="shared" si="290"/>
        <v>-9.2163896635482252E-3</v>
      </c>
      <c r="W475" s="4">
        <f t="shared" si="290"/>
        <v>-9.343397524027755E-3</v>
      </c>
      <c r="X475" s="4">
        <f t="shared" si="290"/>
        <v>-9.476254034665111E-3</v>
      </c>
      <c r="Y475" s="4">
        <f t="shared" si="290"/>
        <v>-9.6158901328448152E-3</v>
      </c>
      <c r="Z475" s="4">
        <f t="shared" si="290"/>
        <v>-9.7637145748659584E-3</v>
      </c>
      <c r="AA475" s="4">
        <f t="shared" si="290"/>
        <v>-9.9205905164286654E-3</v>
      </c>
      <c r="AB475" s="4">
        <f t="shared" si="290"/>
        <v>-1.0081355511587228E-2</v>
      </c>
      <c r="AC475" s="4">
        <f t="shared" si="290"/>
        <v>-1.0249776857741134E-2</v>
      </c>
      <c r="AD475" s="4">
        <f t="shared" si="290"/>
        <v>-1.0425380297748768E-2</v>
      </c>
      <c r="AE475" s="4">
        <f t="shared" si="290"/>
        <v>-1.0607212509736324E-2</v>
      </c>
      <c r="AF475" s="4">
        <f t="shared" si="290"/>
        <v>-1.0793504118048882E-2</v>
      </c>
      <c r="AG475" s="4">
        <f t="shared" si="290"/>
        <v>-1.0983059447860434E-2</v>
      </c>
      <c r="AH475" s="4">
        <f t="shared" si="290"/>
        <v>-1.1173475827990562E-2</v>
      </c>
      <c r="AI475" s="4">
        <f t="shared" si="290"/>
        <v>-1.1365824692839564E-2</v>
      </c>
      <c r="AJ475" s="4">
        <f t="shared" si="290"/>
        <v>-1.1560342917353479E-2</v>
      </c>
      <c r="AK475" s="4">
        <f t="shared" si="290"/>
        <v>-1.1756708933509474E-2</v>
      </c>
      <c r="AL475" s="4">
        <f t="shared" si="290"/>
        <v>-1.1954473188143046E-2</v>
      </c>
      <c r="AM475" s="4">
        <f t="shared" ref="AM475:BC475" si="291">(AM451-AM464)/AM$458</f>
        <v>-1.213709816341664E-2</v>
      </c>
      <c r="AN475" s="4">
        <f t="shared" si="291"/>
        <v>-1.231678094278967E-2</v>
      </c>
      <c r="AO475" s="4">
        <f t="shared" si="291"/>
        <v>-1.2493804950382633E-2</v>
      </c>
      <c r="AP475" s="4">
        <f t="shared" si="291"/>
        <v>-1.2667416156944325E-2</v>
      </c>
      <c r="AQ475" s="4">
        <f t="shared" si="291"/>
        <v>-1.2837387508290988E-2</v>
      </c>
      <c r="AR475" s="4">
        <f t="shared" si="291"/>
        <v>-1.3001623750637226E-2</v>
      </c>
      <c r="AS475" s="4">
        <f t="shared" si="291"/>
        <v>-1.3162454632540847E-2</v>
      </c>
      <c r="AT475" s="4">
        <f t="shared" si="291"/>
        <v>-1.3320481628823631E-2</v>
      </c>
      <c r="AU475" s="4">
        <f t="shared" si="291"/>
        <v>-1.3475914827982261E-2</v>
      </c>
      <c r="AV475" s="4">
        <f t="shared" si="291"/>
        <v>-1.362842969503259E-2</v>
      </c>
      <c r="AW475" s="4">
        <f t="shared" si="291"/>
        <v>-1.3768039095282715E-2</v>
      </c>
      <c r="AX475" s="4">
        <f t="shared" si="291"/>
        <v>-1.3898847846814151E-2</v>
      </c>
      <c r="AY475" s="4">
        <f t="shared" si="291"/>
        <v>-1.4012334468201763E-2</v>
      </c>
      <c r="AZ475" s="4">
        <f t="shared" si="291"/>
        <v>-1.4123098678561943E-2</v>
      </c>
      <c r="BA475" s="4">
        <f t="shared" si="291"/>
        <v>-1.4242562715773108E-2</v>
      </c>
      <c r="BB475" s="4">
        <f t="shared" si="291"/>
        <v>-8.661421253622131E-4</v>
      </c>
      <c r="BC475" s="4">
        <f t="shared" si="291"/>
        <v>-8.3995684306484059E-4</v>
      </c>
      <c r="BD475" s="4">
        <f t="shared" ref="BD475:BF475" si="292">(BD451-BD464)/BD$458</f>
        <v>-8.1262219868272971E-4</v>
      </c>
      <c r="BE475" s="4">
        <f t="shared" si="292"/>
        <v>-7.8445734484772862E-4</v>
      </c>
      <c r="BF475" s="4">
        <f t="shared" si="292"/>
        <v>-7.5553111557959596E-4</v>
      </c>
    </row>
    <row r="476" spans="1:58" x14ac:dyDescent="0.35">
      <c r="B476" t="s">
        <v>11</v>
      </c>
      <c r="C476" s="4">
        <f>(C452-C465)/C$458</f>
        <v>-2.6192985707299042E-3</v>
      </c>
      <c r="D476" s="4">
        <f t="shared" ref="D476:AL476" si="293">(D452-D465)/D$458</f>
        <v>-3.4586294913352051E-3</v>
      </c>
      <c r="E476" s="4">
        <f t="shared" si="293"/>
        <v>-4.0830221639632904E-3</v>
      </c>
      <c r="F476" s="4">
        <f t="shared" si="293"/>
        <v>-4.6048620987968417E-3</v>
      </c>
      <c r="G476" s="4">
        <f t="shared" si="293"/>
        <v>-4.9967110588989847E-3</v>
      </c>
      <c r="H476" s="4">
        <f t="shared" si="293"/>
        <v>-5.3028259725606212E-3</v>
      </c>
      <c r="I476" s="4">
        <f t="shared" si="293"/>
        <v>-5.5586912381906765E-3</v>
      </c>
      <c r="J476" s="4">
        <f t="shared" si="293"/>
        <v>-5.7807013927084067E-3</v>
      </c>
      <c r="K476" s="4">
        <f t="shared" si="293"/>
        <v>-5.9794359598567748E-3</v>
      </c>
      <c r="L476" s="4">
        <f t="shared" si="293"/>
        <v>-6.1637654787542765E-3</v>
      </c>
      <c r="M476" s="4">
        <f t="shared" si="293"/>
        <v>-6.5462062369024618E-3</v>
      </c>
      <c r="N476" s="4">
        <f t="shared" si="293"/>
        <v>-6.6658111827690063E-3</v>
      </c>
      <c r="O476" s="4">
        <f t="shared" si="293"/>
        <v>-6.7172267159887724E-3</v>
      </c>
      <c r="P476" s="4">
        <f t="shared" si="293"/>
        <v>-6.7418334582998339E-3</v>
      </c>
      <c r="Q476" s="4">
        <f t="shared" si="293"/>
        <v>-6.7552715779303704E-3</v>
      </c>
      <c r="R476" s="4">
        <f t="shared" si="293"/>
        <v>-6.7681088114900194E-3</v>
      </c>
      <c r="S476" s="4">
        <f t="shared" si="293"/>
        <v>-6.7960635034183137E-3</v>
      </c>
      <c r="T476" s="4">
        <f t="shared" si="293"/>
        <v>-6.8404058329632079E-3</v>
      </c>
      <c r="U476" s="4">
        <f t="shared" si="293"/>
        <v>-6.9051359571624506E-3</v>
      </c>
      <c r="V476" s="4">
        <f t="shared" si="293"/>
        <v>-6.9932182555234113E-3</v>
      </c>
      <c r="W476" s="4">
        <f t="shared" si="293"/>
        <v>-7.104934343124941E-3</v>
      </c>
      <c r="X476" s="4">
        <f t="shared" si="293"/>
        <v>-7.242525971974354E-3</v>
      </c>
      <c r="Y476" s="4">
        <f t="shared" si="293"/>
        <v>-7.4043897516739903E-3</v>
      </c>
      <c r="Z476" s="4">
        <f t="shared" si="293"/>
        <v>-7.5890276190663884E-3</v>
      </c>
      <c r="AA476" s="4">
        <f t="shared" si="293"/>
        <v>-7.794461437723668E-3</v>
      </c>
      <c r="AB476" s="4">
        <f t="shared" si="293"/>
        <v>-8.0142547348404942E-3</v>
      </c>
      <c r="AC476" s="4">
        <f t="shared" si="293"/>
        <v>-8.2474058698601208E-3</v>
      </c>
      <c r="AD476" s="4">
        <f t="shared" si="293"/>
        <v>-8.49200347376311E-3</v>
      </c>
      <c r="AE476" s="4">
        <f t="shared" si="293"/>
        <v>-8.7455269623502342E-3</v>
      </c>
      <c r="AF476" s="4">
        <f t="shared" si="293"/>
        <v>-9.0056967839849469E-3</v>
      </c>
      <c r="AG476" s="4">
        <f t="shared" si="293"/>
        <v>-9.2706187298556945E-3</v>
      </c>
      <c r="AH476" s="4">
        <f t="shared" si="293"/>
        <v>-9.5367622954645459E-3</v>
      </c>
      <c r="AI476" s="4">
        <f t="shared" si="293"/>
        <v>-9.8038893361521804E-3</v>
      </c>
      <c r="AJ476" s="4">
        <f t="shared" si="293"/>
        <v>-1.0070815959066956E-2</v>
      </c>
      <c r="AK476" s="4">
        <f t="shared" si="293"/>
        <v>-1.0336442280733391E-2</v>
      </c>
      <c r="AL476" s="4">
        <f t="shared" si="293"/>
        <v>-1.0599909502144386E-2</v>
      </c>
      <c r="AM476" s="4">
        <f t="shared" ref="AM476:BC476" si="294">(AM452-AM465)/AM$458</f>
        <v>-1.0842819462953639E-2</v>
      </c>
      <c r="AN476" s="4">
        <f t="shared" si="294"/>
        <v>-1.1077184415589974E-2</v>
      </c>
      <c r="AO476" s="4">
        <f t="shared" si="294"/>
        <v>-1.1304054165469351E-2</v>
      </c>
      <c r="AP476" s="4">
        <f t="shared" si="294"/>
        <v>-1.1523598713746749E-2</v>
      </c>
      <c r="AQ476" s="4">
        <f t="shared" si="294"/>
        <v>-1.1736538312714109E-2</v>
      </c>
      <c r="AR476" s="4">
        <f t="shared" si="294"/>
        <v>-1.1941297886542006E-2</v>
      </c>
      <c r="AS476" s="4">
        <f t="shared" si="294"/>
        <v>-1.2140921170956815E-2</v>
      </c>
      <c r="AT476" s="4">
        <f t="shared" si="294"/>
        <v>-1.2336710092648535E-2</v>
      </c>
      <c r="AU476" s="4">
        <f t="shared" si="294"/>
        <v>-1.252949956299612E-2</v>
      </c>
      <c r="AV476" s="4">
        <f t="shared" si="294"/>
        <v>-1.2719499186236998E-2</v>
      </c>
      <c r="AW476" s="4">
        <f t="shared" si="294"/>
        <v>-1.289557607307283E-2</v>
      </c>
      <c r="AX476" s="4">
        <f t="shared" si="294"/>
        <v>-1.3063387611699657E-2</v>
      </c>
      <c r="AY476" s="4">
        <f t="shared" si="294"/>
        <v>-1.3222214913138935E-2</v>
      </c>
      <c r="AZ476" s="4">
        <f t="shared" si="294"/>
        <v>-1.3377236896335843E-2</v>
      </c>
      <c r="BA476" s="4">
        <f t="shared" si="294"/>
        <v>-1.3532842542069176E-2</v>
      </c>
      <c r="BB476" s="4">
        <f t="shared" si="294"/>
        <v>-3.684713823683807E-3</v>
      </c>
      <c r="BC476" s="4">
        <f t="shared" si="294"/>
        <v>-3.753445307622707E-3</v>
      </c>
      <c r="BD476" s="4">
        <f t="shared" ref="BD476:BF476" si="295">(BD452-BD465)/BD$458</f>
        <v>-3.8196067454071307E-3</v>
      </c>
      <c r="BE476" s="4">
        <f t="shared" si="295"/>
        <v>-3.8837634685695037E-3</v>
      </c>
      <c r="BF476" s="4">
        <f t="shared" si="295"/>
        <v>-3.9463448772560899E-3</v>
      </c>
    </row>
    <row r="477" spans="1:58" x14ac:dyDescent="0.35">
      <c r="B477" t="s">
        <v>75</v>
      </c>
      <c r="C477" s="4">
        <f>(C453-C466)/C$458</f>
        <v>-1.9664372682958366E-3</v>
      </c>
      <c r="D477" s="4">
        <f t="shared" ref="D477:AL477" si="296">(D453-D466)/D$458</f>
        <v>-2.7987583677117891E-3</v>
      </c>
      <c r="E477" s="4">
        <f t="shared" si="296"/>
        <v>-3.2911091389982551E-3</v>
      </c>
      <c r="F477" s="4">
        <f t="shared" si="296"/>
        <v>-3.6438907344532746E-3</v>
      </c>
      <c r="G477" s="4">
        <f t="shared" si="296"/>
        <v>-3.9157408426811514E-3</v>
      </c>
      <c r="H477" s="4">
        <f t="shared" si="296"/>
        <v>-4.1185951185133459E-3</v>
      </c>
      <c r="I477" s="4">
        <f t="shared" si="296"/>
        <v>-4.2816533438690893E-3</v>
      </c>
      <c r="J477" s="4">
        <f t="shared" si="296"/>
        <v>-4.426488851180633E-3</v>
      </c>
      <c r="K477" s="4">
        <f t="shared" si="296"/>
        <v>-4.5691448206993113E-3</v>
      </c>
      <c r="L477" s="4">
        <f t="shared" si="296"/>
        <v>-4.716490300298617E-3</v>
      </c>
      <c r="M477" s="4">
        <f t="shared" si="296"/>
        <v>-5.0213789822805043E-3</v>
      </c>
      <c r="N477" s="4">
        <f t="shared" si="296"/>
        <v>-5.1241432415399177E-3</v>
      </c>
      <c r="O477" s="4">
        <f t="shared" si="296"/>
        <v>-5.1968486601223435E-3</v>
      </c>
      <c r="P477" s="4">
        <f t="shared" si="296"/>
        <v>-5.2666017819562368E-3</v>
      </c>
      <c r="Q477" s="4">
        <f t="shared" si="296"/>
        <v>-5.3387639570316075E-3</v>
      </c>
      <c r="R477" s="4">
        <f t="shared" si="296"/>
        <v>-5.4154419729857874E-3</v>
      </c>
      <c r="S477" s="4">
        <f t="shared" si="296"/>
        <v>-5.5054297650210977E-3</v>
      </c>
      <c r="T477" s="4">
        <f t="shared" si="296"/>
        <v>-5.6049719920779617E-3</v>
      </c>
      <c r="U477" s="4">
        <f t="shared" si="296"/>
        <v>-5.7140452808071935E-3</v>
      </c>
      <c r="V477" s="4">
        <f t="shared" si="296"/>
        <v>-5.8329205641730088E-3</v>
      </c>
      <c r="W477" s="4">
        <f t="shared" si="296"/>
        <v>-5.960271787981696E-3</v>
      </c>
      <c r="X477" s="4">
        <f t="shared" si="296"/>
        <v>-6.098752241060915E-3</v>
      </c>
      <c r="Y477" s="4">
        <f t="shared" si="296"/>
        <v>-6.2466857790481316E-3</v>
      </c>
      <c r="Z477" s="4">
        <f t="shared" si="296"/>
        <v>-6.4034035396582341E-3</v>
      </c>
      <c r="AA477" s="4">
        <f t="shared" si="296"/>
        <v>-6.5681643234641856E-3</v>
      </c>
      <c r="AB477" s="4">
        <f t="shared" si="296"/>
        <v>-6.7356023786129459E-3</v>
      </c>
      <c r="AC477" s="4">
        <f t="shared" si="296"/>
        <v>-6.9084989176368891E-3</v>
      </c>
      <c r="AD477" s="4">
        <f t="shared" si="296"/>
        <v>-7.0862979513318476E-3</v>
      </c>
      <c r="AE477" s="4">
        <f t="shared" si="296"/>
        <v>-7.2684361799828633E-3</v>
      </c>
      <c r="AF477" s="4">
        <f t="shared" si="296"/>
        <v>-7.4542726573230593E-3</v>
      </c>
      <c r="AG477" s="4">
        <f t="shared" si="296"/>
        <v>-7.6432059590991934E-3</v>
      </c>
      <c r="AH477" s="4">
        <f t="shared" si="296"/>
        <v>-7.8328561703426038E-3</v>
      </c>
      <c r="AI477" s="4">
        <f t="shared" si="296"/>
        <v>-8.0239506214861405E-3</v>
      </c>
      <c r="AJ477" s="4">
        <f t="shared" si="296"/>
        <v>-8.216262751864413E-3</v>
      </c>
      <c r="AK477" s="4">
        <f t="shared" si="296"/>
        <v>-8.4094971179738114E-3</v>
      </c>
      <c r="AL477" s="4">
        <f t="shared" si="296"/>
        <v>-8.6034128224866547E-3</v>
      </c>
      <c r="AM477" s="4">
        <f t="shared" ref="AM477:BC477" si="297">(AM453-AM466)/AM$458</f>
        <v>-8.7805086208350841E-3</v>
      </c>
      <c r="AN477" s="4">
        <f t="shared" si="297"/>
        <v>-8.953486955487899E-3</v>
      </c>
      <c r="AO477" s="4">
        <f t="shared" si="297"/>
        <v>-9.1247087605719219E-3</v>
      </c>
      <c r="AP477" s="4">
        <f t="shared" si="297"/>
        <v>-9.2952117613713334E-3</v>
      </c>
      <c r="AQ477" s="4">
        <f t="shared" si="297"/>
        <v>-9.4658262108258413E-3</v>
      </c>
      <c r="AR477" s="4">
        <f t="shared" si="297"/>
        <v>-9.6346778609715158E-3</v>
      </c>
      <c r="AS477" s="4">
        <f t="shared" si="297"/>
        <v>-9.8042652460625553E-3</v>
      </c>
      <c r="AT477" s="4">
        <f t="shared" si="297"/>
        <v>-9.9755734290603668E-3</v>
      </c>
      <c r="AU477" s="4">
        <f t="shared" si="297"/>
        <v>-1.0149395818441553E-2</v>
      </c>
      <c r="AV477" s="4">
        <f t="shared" si="297"/>
        <v>-1.0326563971323406E-2</v>
      </c>
      <c r="AW477" s="4">
        <f t="shared" si="297"/>
        <v>-1.0499010094730711E-2</v>
      </c>
      <c r="AX477" s="4">
        <f t="shared" si="297"/>
        <v>-1.066279374716516E-2</v>
      </c>
      <c r="AY477" s="4">
        <f t="shared" si="297"/>
        <v>-1.0819166570953297E-2</v>
      </c>
      <c r="AZ477" s="4">
        <f t="shared" si="297"/>
        <v>-1.0970799356212218E-2</v>
      </c>
      <c r="BA477" s="4">
        <f t="shared" si="297"/>
        <v>-1.1120559807449519E-2</v>
      </c>
      <c r="BB477" s="4">
        <f t="shared" si="297"/>
        <v>-2.2081348168183248E-3</v>
      </c>
      <c r="BC477" s="4">
        <f t="shared" si="297"/>
        <v>-2.2385202975619312E-3</v>
      </c>
      <c r="BD477" s="4">
        <f t="shared" ref="BD477:BF477" si="298">(BD453-BD466)/BD$458</f>
        <v>-2.2671941938934635E-3</v>
      </c>
      <c r="BE477" s="4">
        <f t="shared" si="298"/>
        <v>-2.2945721350586448E-3</v>
      </c>
      <c r="BF477" s="4">
        <f t="shared" si="298"/>
        <v>-2.3208418263801216E-3</v>
      </c>
    </row>
    <row r="479" spans="1:58" x14ac:dyDescent="0.35">
      <c r="A479" s="12" t="s">
        <v>94</v>
      </c>
      <c r="B479" s="3" t="str">
        <f>[1]Results!E205</f>
        <v>YG_toe_2</v>
      </c>
      <c r="C479" s="3">
        <f>[1]Results!F205</f>
        <v>146.19502299999999</v>
      </c>
      <c r="D479" s="3">
        <f>[1]Results!G205</f>
        <v>146.8057226</v>
      </c>
      <c r="E479" s="3">
        <f>[1]Results!H205</f>
        <v>147.457334</v>
      </c>
      <c r="F479" s="3">
        <f>[1]Results!I205</f>
        <v>148.21992499999999</v>
      </c>
      <c r="G479" s="3">
        <f>[1]Results!J205</f>
        <v>149.1417252</v>
      </c>
      <c r="H479" s="3">
        <f>[1]Results!K205</f>
        <v>150.22345229999999</v>
      </c>
      <c r="I479" s="3">
        <f>[1]Results!L205</f>
        <v>151.3565121</v>
      </c>
      <c r="J479" s="3">
        <f>[1]Results!M205</f>
        <v>152.57176530000001</v>
      </c>
      <c r="K479" s="3">
        <f>[1]Results!N205</f>
        <v>153.85228849999999</v>
      </c>
      <c r="L479" s="3">
        <f>[1]Results!O205</f>
        <v>155.18015460000001</v>
      </c>
      <c r="M479" s="3">
        <f>[1]Results!P205</f>
        <v>156.47031920000001</v>
      </c>
      <c r="N479" s="3">
        <f>[1]Results!Q205</f>
        <v>157.99626369999999</v>
      </c>
      <c r="O479" s="3">
        <f>[1]Results!R205</f>
        <v>159.55949279999999</v>
      </c>
      <c r="P479" s="3">
        <f>[1]Results!S205</f>
        <v>161.1451026</v>
      </c>
      <c r="Q479" s="3">
        <f>[1]Results!T205</f>
        <v>162.74732950000001</v>
      </c>
      <c r="R479" s="3">
        <f>[1]Results!U205</f>
        <v>164.36252920000001</v>
      </c>
      <c r="S479" s="3">
        <f>[1]Results!V205</f>
        <v>165.9783606</v>
      </c>
      <c r="T479" s="3">
        <f>[1]Results!W205</f>
        <v>167.60121760000001</v>
      </c>
      <c r="U479" s="3">
        <f>[1]Results!X205</f>
        <v>169.23066299999999</v>
      </c>
      <c r="V479" s="3">
        <f>[1]Results!Y205</f>
        <v>170.86655959999999</v>
      </c>
      <c r="W479" s="3">
        <f>[1]Results!Z205</f>
        <v>172.4074799</v>
      </c>
      <c r="X479" s="3">
        <f>[1]Results!AA205</f>
        <v>174.02687560000001</v>
      </c>
      <c r="Y479" s="3">
        <f>[1]Results!AB205</f>
        <v>175.66861639999999</v>
      </c>
      <c r="Z479" s="3">
        <f>[1]Results!AC205</f>
        <v>177.32749240000001</v>
      </c>
      <c r="AA479" s="3">
        <f>[1]Results!AD205</f>
        <v>179.00307309999999</v>
      </c>
      <c r="AB479" s="3">
        <f>[1]Results!AE205</f>
        <v>180.40716549999999</v>
      </c>
      <c r="AC479" s="3">
        <f>[1]Results!AF205</f>
        <v>181.89855679999999</v>
      </c>
      <c r="AD479" s="3">
        <f>[1]Results!AG205</f>
        <v>183.40444310000001</v>
      </c>
      <c r="AE479" s="3">
        <f>[1]Results!AH205</f>
        <v>184.92385279999999</v>
      </c>
      <c r="AF479" s="3">
        <f>[1]Results!AI205</f>
        <v>186.45986250000001</v>
      </c>
      <c r="AG479" s="3">
        <f>[1]Results!AJ205</f>
        <v>188.01583189999999</v>
      </c>
      <c r="AH479" s="3">
        <f>[1]Results!AK205</f>
        <v>189.59744409999999</v>
      </c>
      <c r="AI479" s="3">
        <f>[1]Results!AL205</f>
        <v>191.20435570000001</v>
      </c>
      <c r="AJ479" s="3">
        <f>[1]Results!AM205</f>
        <v>192.8377375</v>
      </c>
      <c r="AK479" s="3">
        <f>[1]Results!AN205</f>
        <v>194.49835160000001</v>
      </c>
      <c r="AL479" s="3">
        <f>[1]Results!AO205</f>
        <v>196.18652969999999</v>
      </c>
      <c r="AM479" s="3">
        <f>[1]Results!AP205</f>
        <v>197.8620239</v>
      </c>
      <c r="AN479" s="3">
        <f>[1]Results!AQ205</f>
        <v>199.54799919999999</v>
      </c>
      <c r="AO479" s="3">
        <f>[1]Results!AR205</f>
        <v>201.25117309999999</v>
      </c>
      <c r="AP479" s="3">
        <f>[1]Results!AS205</f>
        <v>202.97475259999999</v>
      </c>
      <c r="AQ479" s="3">
        <f>[1]Results!AT205</f>
        <v>204.72044919999999</v>
      </c>
      <c r="AR479" s="3">
        <f>[1]Results!AU205</f>
        <v>206.4938502</v>
      </c>
      <c r="AS479" s="3">
        <f>[1]Results!AV205</f>
        <v>208.29165620000001</v>
      </c>
      <c r="AT479" s="3">
        <f>[1]Results!AW205</f>
        <v>210.11390320000001</v>
      </c>
      <c r="AU479" s="3">
        <f>[1]Results!AX205</f>
        <v>211.9605722</v>
      </c>
      <c r="AV479" s="3">
        <f>[1]Results!AY205</f>
        <v>213.83148420000001</v>
      </c>
      <c r="AW479" s="3">
        <f>[1]Results!AZ205</f>
        <v>215.7488381</v>
      </c>
      <c r="AX479" s="3">
        <f>[1]Results!BA205</f>
        <v>217.69453139999999</v>
      </c>
      <c r="AY479" s="3">
        <f>[1]Results!BB205</f>
        <v>219.66674470000001</v>
      </c>
      <c r="AZ479" s="3">
        <f>[1]Results!BC205</f>
        <v>221.66460649999999</v>
      </c>
      <c r="BA479" s="3">
        <f>[1]Results!BD205</f>
        <v>223.687397</v>
      </c>
      <c r="BB479" s="3">
        <f>[1]Results!BE205</f>
        <v>260.51870730000002</v>
      </c>
      <c r="BC479" s="3">
        <f>[1]Results!BF205</f>
        <v>264.01853419999998</v>
      </c>
      <c r="BD479" s="3">
        <f>[1]Results!BG205</f>
        <v>267.57925560000001</v>
      </c>
      <c r="BE479" s="3">
        <f>[1]Results!BH205</f>
        <v>271.20175319999998</v>
      </c>
      <c r="BF479" s="3">
        <f>[1]Results!BI205</f>
        <v>274.88702260000002</v>
      </c>
    </row>
    <row r="480" spans="1:58" x14ac:dyDescent="0.35">
      <c r="A480" t="s">
        <v>39</v>
      </c>
      <c r="B480" s="3" t="str">
        <f>[1]Results!E206</f>
        <v>YG_toe_ccoa_2</v>
      </c>
      <c r="C480" s="3">
        <f>[1]Results!F206</f>
        <v>2.3327737239999999</v>
      </c>
      <c r="D480" s="3">
        <f>[1]Results!G206</f>
        <v>2.3388464120000001</v>
      </c>
      <c r="E480" s="3">
        <f>[1]Results!H206</f>
        <v>2.35445327</v>
      </c>
      <c r="F480" s="3">
        <f>[1]Results!I206</f>
        <v>2.374078876</v>
      </c>
      <c r="G480" s="3">
        <f>[1]Results!J206</f>
        <v>2.3965825540000001</v>
      </c>
      <c r="H480" s="3">
        <f>[1]Results!K206</f>
        <v>2.4214178620000002</v>
      </c>
      <c r="I480" s="3">
        <f>[1]Results!L206</f>
        <v>2.4466300969999999</v>
      </c>
      <c r="J480" s="3">
        <f>[1]Results!M206</f>
        <v>2.4729111079999999</v>
      </c>
      <c r="K480" s="3">
        <f>[1]Results!N206</f>
        <v>2.500204895</v>
      </c>
      <c r="L480" s="3">
        <f>[1]Results!O206</f>
        <v>2.528347589</v>
      </c>
      <c r="M480" s="3">
        <f>[1]Results!P206</f>
        <v>2.5544655079999998</v>
      </c>
      <c r="N480" s="3">
        <f>[1]Results!Q206</f>
        <v>2.586775287</v>
      </c>
      <c r="O480" s="3">
        <f>[1]Results!R206</f>
        <v>2.6207431589999999</v>
      </c>
      <c r="P480" s="3">
        <f>[1]Results!S206</f>
        <v>2.6554404479999998</v>
      </c>
      <c r="Q480" s="3">
        <f>[1]Results!T206</f>
        <v>2.690650153</v>
      </c>
      <c r="R480" s="3">
        <f>[1]Results!U206</f>
        <v>2.7263081329999999</v>
      </c>
      <c r="S480" s="3">
        <f>[1]Results!V206</f>
        <v>2.762143118</v>
      </c>
      <c r="T480" s="3">
        <f>[1]Results!W206</f>
        <v>2.798334986</v>
      </c>
      <c r="U480" s="3">
        <f>[1]Results!X206</f>
        <v>2.8349189639999999</v>
      </c>
      <c r="V480" s="3">
        <f>[1]Results!Y206</f>
        <v>2.8719065920000002</v>
      </c>
      <c r="W480" s="3">
        <f>[1]Results!Z206</f>
        <v>2.9075239279999998</v>
      </c>
      <c r="X480" s="3">
        <f>[1]Results!AA206</f>
        <v>2.9447930210000002</v>
      </c>
      <c r="Y480" s="3">
        <f>[1]Results!AB206</f>
        <v>2.9827730059999999</v>
      </c>
      <c r="Z480" s="3">
        <f>[1]Results!AC206</f>
        <v>3.0212912670000001</v>
      </c>
      <c r="AA480" s="3">
        <f>[1]Results!AD206</f>
        <v>3.0603276190000002</v>
      </c>
      <c r="AB480" s="3">
        <f>[1]Results!AE206</f>
        <v>3.0947856389999999</v>
      </c>
      <c r="AC480" s="3">
        <f>[1]Results!AF206</f>
        <v>3.1309788080000001</v>
      </c>
      <c r="AD480" s="3">
        <f>[1]Results!AG206</f>
        <v>3.1677213100000001</v>
      </c>
      <c r="AE480" s="3">
        <f>[1]Results!AH206</f>
        <v>3.2048232890000001</v>
      </c>
      <c r="AF480" s="3">
        <f>[1]Results!AI206</f>
        <v>3.2422891680000001</v>
      </c>
      <c r="AG480" s="3">
        <f>[1]Results!AJ206</f>
        <v>3.2801540249999999</v>
      </c>
      <c r="AH480" s="3">
        <f>[1]Results!AK206</f>
        <v>3.3185237559999998</v>
      </c>
      <c r="AI480" s="3">
        <f>[1]Results!AL206</f>
        <v>3.3573654400000001</v>
      </c>
      <c r="AJ480" s="3">
        <f>[1]Results!AM206</f>
        <v>3.3966804050000001</v>
      </c>
      <c r="AK480" s="3">
        <f>[1]Results!AN206</f>
        <v>3.4364704170000002</v>
      </c>
      <c r="AL480" s="3">
        <f>[1]Results!AO206</f>
        <v>3.4767328019999999</v>
      </c>
      <c r="AM480" s="3">
        <f>[1]Results!AP206</f>
        <v>3.5169451669999998</v>
      </c>
      <c r="AN480" s="3">
        <f>[1]Results!AQ206</f>
        <v>3.5573834930000001</v>
      </c>
      <c r="AO480" s="3">
        <f>[1]Results!AR206</f>
        <v>3.5981183680000002</v>
      </c>
      <c r="AP480" s="3">
        <f>[1]Results!AS206</f>
        <v>3.6391721590000001</v>
      </c>
      <c r="AQ480" s="3">
        <f>[1]Results!AT206</f>
        <v>3.6805569419999999</v>
      </c>
      <c r="AR480" s="3">
        <f>[1]Results!AU206</f>
        <v>3.7224011799999999</v>
      </c>
      <c r="AS480" s="3">
        <f>[1]Results!AV206</f>
        <v>3.764624296</v>
      </c>
      <c r="AT480" s="3">
        <f>[1]Results!AW206</f>
        <v>3.8072155780000001</v>
      </c>
      <c r="AU480" s="3">
        <f>[1]Results!AX206</f>
        <v>3.8501745829999998</v>
      </c>
      <c r="AV480" s="3">
        <f>[1]Results!AY206</f>
        <v>3.8935006589999999</v>
      </c>
      <c r="AW480" s="3">
        <f>[1]Results!AZ206</f>
        <v>3.9377251050000002</v>
      </c>
      <c r="AX480" s="3">
        <f>[1]Results!BA206</f>
        <v>3.9824542859999998</v>
      </c>
      <c r="AY480" s="3">
        <f>[1]Results!BB206</f>
        <v>4.0276080849999998</v>
      </c>
      <c r="AZ480" s="3">
        <f>[1]Results!BC206</f>
        <v>4.0731640110000003</v>
      </c>
      <c r="BA480" s="3">
        <f>[1]Results!BD206</f>
        <v>4.1191110059999998</v>
      </c>
      <c r="BB480" s="3">
        <f>[1]Results!BE206</f>
        <v>5.3030612970000002</v>
      </c>
      <c r="BC480" s="3">
        <f>[1]Results!BF206</f>
        <v>5.3926175350000003</v>
      </c>
      <c r="BD480" s="3">
        <f>[1]Results!BG206</f>
        <v>5.4835762130000001</v>
      </c>
      <c r="BE480" s="3">
        <f>[1]Results!BH206</f>
        <v>5.5759606100000001</v>
      </c>
      <c r="BF480" s="3">
        <f>[1]Results!BI206</f>
        <v>5.6697948240000002</v>
      </c>
    </row>
    <row r="481" spans="1:58" x14ac:dyDescent="0.35">
      <c r="B481" s="3" t="s">
        <v>74</v>
      </c>
      <c r="C481" s="3">
        <f>SUM(C482:C484)</f>
        <v>50.585088682999995</v>
      </c>
      <c r="D481" s="3">
        <f t="shared" ref="D481:AL481" si="299">SUM(D482:D484)</f>
        <v>50.714490015999999</v>
      </c>
      <c r="E481" s="3">
        <f t="shared" si="299"/>
        <v>50.848124253999998</v>
      </c>
      <c r="F481" s="3">
        <f t="shared" si="299"/>
        <v>51.038202883000004</v>
      </c>
      <c r="G481" s="3">
        <f t="shared" si="299"/>
        <v>51.304946717999997</v>
      </c>
      <c r="H481" s="3">
        <f t="shared" si="299"/>
        <v>51.645386016000003</v>
      </c>
      <c r="I481" s="3">
        <f t="shared" si="299"/>
        <v>52.022114868999999</v>
      </c>
      <c r="J481" s="3">
        <f t="shared" si="299"/>
        <v>52.440584051000002</v>
      </c>
      <c r="K481" s="3">
        <f t="shared" si="299"/>
        <v>52.892448556000005</v>
      </c>
      <c r="L481" s="3">
        <f t="shared" si="299"/>
        <v>53.370106755999998</v>
      </c>
      <c r="M481" s="3">
        <f t="shared" si="299"/>
        <v>53.838184669</v>
      </c>
      <c r="N481" s="3">
        <f t="shared" si="299"/>
        <v>54.397775429999996</v>
      </c>
      <c r="O481" s="3">
        <f t="shared" si="299"/>
        <v>54.978609781000003</v>
      </c>
      <c r="P481" s="3">
        <f t="shared" si="299"/>
        <v>55.574211005999999</v>
      </c>
      <c r="Q481" s="3">
        <f t="shared" si="299"/>
        <v>56.18173638799999</v>
      </c>
      <c r="R481" s="3">
        <f t="shared" si="299"/>
        <v>56.799213116000004</v>
      </c>
      <c r="S481" s="3">
        <f t="shared" si="299"/>
        <v>57.421843881000001</v>
      </c>
      <c r="T481" s="3">
        <f t="shared" si="299"/>
        <v>58.050996578000003</v>
      </c>
      <c r="U481" s="3">
        <f t="shared" si="299"/>
        <v>58.685816754999998</v>
      </c>
      <c r="V481" s="3">
        <f t="shared" si="299"/>
        <v>59.325568665000006</v>
      </c>
      <c r="W481" s="3">
        <f t="shared" si="299"/>
        <v>59.938682034999999</v>
      </c>
      <c r="X481" s="3">
        <f t="shared" si="299"/>
        <v>60.576926943999993</v>
      </c>
      <c r="Y481" s="3">
        <f t="shared" si="299"/>
        <v>61.222259529000006</v>
      </c>
      <c r="Z481" s="3">
        <f t="shared" si="299"/>
        <v>61.873162646999994</v>
      </c>
      <c r="AA481" s="3">
        <f t="shared" si="299"/>
        <v>62.529356179000004</v>
      </c>
      <c r="AB481" s="3">
        <f t="shared" si="299"/>
        <v>63.102213011000003</v>
      </c>
      <c r="AC481" s="3">
        <f t="shared" si="299"/>
        <v>63.700172717000001</v>
      </c>
      <c r="AD481" s="3">
        <f t="shared" si="299"/>
        <v>64.298932285999996</v>
      </c>
      <c r="AE481" s="3">
        <f t="shared" si="299"/>
        <v>64.898485192999999</v>
      </c>
      <c r="AF481" s="3">
        <f t="shared" si="299"/>
        <v>65.500117595000006</v>
      </c>
      <c r="AG481" s="3">
        <f t="shared" si="299"/>
        <v>66.105168794999997</v>
      </c>
      <c r="AH481" s="3">
        <f t="shared" si="299"/>
        <v>66.715714554000002</v>
      </c>
      <c r="AI481" s="3">
        <f t="shared" si="299"/>
        <v>67.331828467999998</v>
      </c>
      <c r="AJ481" s="3">
        <f t="shared" si="299"/>
        <v>67.954061319000004</v>
      </c>
      <c r="AK481" s="3">
        <f t="shared" si="299"/>
        <v>68.582827252000001</v>
      </c>
      <c r="AL481" s="3">
        <f t="shared" si="299"/>
        <v>69.218405735000005</v>
      </c>
      <c r="AM481" s="3">
        <f t="shared" ref="AM481:BC481" si="300">SUM(AM482:AM484)</f>
        <v>69.849096555999992</v>
      </c>
      <c r="AN481" s="3">
        <f t="shared" si="300"/>
        <v>70.481548500000002</v>
      </c>
      <c r="AO481" s="3">
        <f t="shared" si="300"/>
        <v>71.117469092000007</v>
      </c>
      <c r="AP481" s="3">
        <f t="shared" si="300"/>
        <v>71.757838320000005</v>
      </c>
      <c r="AQ481" s="3">
        <f t="shared" si="300"/>
        <v>72.403375838000002</v>
      </c>
      <c r="AR481" s="3">
        <f t="shared" si="300"/>
        <v>73.056180265999998</v>
      </c>
      <c r="AS481" s="3">
        <f t="shared" si="300"/>
        <v>73.715427886000001</v>
      </c>
      <c r="AT481" s="3">
        <f t="shared" si="300"/>
        <v>74.381352918000005</v>
      </c>
      <c r="AU481" s="3">
        <f t="shared" si="300"/>
        <v>75.054125787999993</v>
      </c>
      <c r="AV481" s="3">
        <f t="shared" si="300"/>
        <v>75.733822891000003</v>
      </c>
      <c r="AW481" s="3">
        <f t="shared" si="300"/>
        <v>76.42778078500001</v>
      </c>
      <c r="AX481" s="3">
        <f t="shared" si="300"/>
        <v>77.130206225000009</v>
      </c>
      <c r="AY481" s="3">
        <f t="shared" si="300"/>
        <v>77.840561913999991</v>
      </c>
      <c r="AZ481" s="3">
        <f t="shared" si="300"/>
        <v>78.558560587000002</v>
      </c>
      <c r="BA481" s="3">
        <f t="shared" si="300"/>
        <v>79.283941446</v>
      </c>
      <c r="BB481" s="3">
        <f t="shared" si="300"/>
        <v>95.014426126000018</v>
      </c>
      <c r="BC481" s="3">
        <f t="shared" si="300"/>
        <v>96.327141432000005</v>
      </c>
      <c r="BD481" s="3">
        <f t="shared" ref="BD481:BF481" si="301">SUM(BD482:BD484)</f>
        <v>97.660754142000002</v>
      </c>
      <c r="BE481" s="3">
        <f t="shared" si="301"/>
        <v>99.01581788099999</v>
      </c>
      <c r="BF481" s="3">
        <f t="shared" si="301"/>
        <v>100.392923688</v>
      </c>
    </row>
    <row r="482" spans="1:58" x14ac:dyDescent="0.35">
      <c r="B482" s="3" t="str">
        <f>[1]Results!E209</f>
        <v>YG_toe_ccoi_2</v>
      </c>
      <c r="C482" s="3">
        <f>[1]Results!F209</f>
        <v>1.076771564</v>
      </c>
      <c r="D482" s="3">
        <f>[1]Results!G209</f>
        <v>1.0786092039999999</v>
      </c>
      <c r="E482" s="3">
        <f>[1]Results!H209</f>
        <v>1.0819997180000001</v>
      </c>
      <c r="F482" s="3">
        <f>[1]Results!I209</f>
        <v>1.0866351080000001</v>
      </c>
      <c r="G482" s="3">
        <f>[1]Results!J209</f>
        <v>1.092779551</v>
      </c>
      <c r="H482" s="3">
        <f>[1]Results!K209</f>
        <v>1.100389855</v>
      </c>
      <c r="I482" s="3">
        <f>[1]Results!L209</f>
        <v>1.108677903</v>
      </c>
      <c r="J482" s="3">
        <f>[1]Results!M209</f>
        <v>1.117745379</v>
      </c>
      <c r="K482" s="3">
        <f>[1]Results!N209</f>
        <v>1.127460691</v>
      </c>
      <c r="L482" s="3">
        <f>[1]Results!O209</f>
        <v>1.1376723070000001</v>
      </c>
      <c r="M482" s="3">
        <f>[1]Results!P209</f>
        <v>1.1474608900000001</v>
      </c>
      <c r="N482" s="3">
        <f>[1]Results!Q209</f>
        <v>1.15932959</v>
      </c>
      <c r="O482" s="3">
        <f>[1]Results!R209</f>
        <v>1.171818899</v>
      </c>
      <c r="P482" s="3">
        <f>[1]Results!S209</f>
        <v>1.1846068670000001</v>
      </c>
      <c r="Q482" s="3">
        <f>[1]Results!T209</f>
        <v>1.197609226</v>
      </c>
      <c r="R482" s="3">
        <f>[1]Results!U209</f>
        <v>1.2107892979999999</v>
      </c>
      <c r="S482" s="3">
        <f>[1]Results!V209</f>
        <v>1.224045534</v>
      </c>
      <c r="T482" s="3">
        <f>[1]Results!W209</f>
        <v>1.237416686</v>
      </c>
      <c r="U482" s="3">
        <f>[1]Results!X209</f>
        <v>1.250899253</v>
      </c>
      <c r="V482" s="3">
        <f>[1]Results!Y209</f>
        <v>1.2644846350000001</v>
      </c>
      <c r="W482" s="3">
        <f>[1]Results!Z209</f>
        <v>1.277497447</v>
      </c>
      <c r="X482" s="3">
        <f>[1]Results!AA209</f>
        <v>1.2910216050000001</v>
      </c>
      <c r="Y482" s="3">
        <f>[1]Results!AB209</f>
        <v>1.3047548950000001</v>
      </c>
      <c r="Z482" s="3">
        <f>[1]Results!AC209</f>
        <v>1.3186261530000001</v>
      </c>
      <c r="AA482" s="3">
        <f>[1]Results!AD209</f>
        <v>1.3326226459999999</v>
      </c>
      <c r="AB482" s="3">
        <f>[1]Results!AE209</f>
        <v>1.3448363210000001</v>
      </c>
      <c r="AC482" s="3">
        <f>[1]Results!AF209</f>
        <v>1.357504308</v>
      </c>
      <c r="AD482" s="3">
        <f>[1]Results!AG209</f>
        <v>1.370292713</v>
      </c>
      <c r="AE482" s="3">
        <f>[1]Results!AH209</f>
        <v>1.3831446140000001</v>
      </c>
      <c r="AF482" s="3">
        <f>[1]Results!AI209</f>
        <v>1.396071587</v>
      </c>
      <c r="AG482" s="3">
        <f>[1]Results!AJ209</f>
        <v>1.409096092</v>
      </c>
      <c r="AH482" s="3">
        <f>[1]Results!AK209</f>
        <v>1.4222613930000001</v>
      </c>
      <c r="AI482" s="3">
        <f>[1]Results!AL209</f>
        <v>1.4355661179999999</v>
      </c>
      <c r="AJ482" s="3">
        <f>[1]Results!AM209</f>
        <v>1.449017599</v>
      </c>
      <c r="AK482" s="3">
        <f>[1]Results!AN209</f>
        <v>1.4626224720000001</v>
      </c>
      <c r="AL482" s="3">
        <f>[1]Results!AO209</f>
        <v>1.476385115</v>
      </c>
      <c r="AM482" s="3">
        <f>[1]Results!AP209</f>
        <v>1.490074906</v>
      </c>
      <c r="AN482" s="3">
        <f>[1]Results!AQ209</f>
        <v>1.5038072899999999</v>
      </c>
      <c r="AO482" s="3">
        <f>[1]Results!AR209</f>
        <v>1.517628612</v>
      </c>
      <c r="AP482" s="3">
        <f>[1]Results!AS209</f>
        <v>1.5315606799999999</v>
      </c>
      <c r="AQ482" s="3">
        <f>[1]Results!AT209</f>
        <v>1.545617078</v>
      </c>
      <c r="AR482" s="3">
        <f>[1]Results!AU209</f>
        <v>1.559844426</v>
      </c>
      <c r="AS482" s="3">
        <f>[1]Results!AV209</f>
        <v>1.574222676</v>
      </c>
      <c r="AT482" s="3">
        <f>[1]Results!AW209</f>
        <v>1.588751748</v>
      </c>
      <c r="AU482" s="3">
        <f>[1]Results!AX209</f>
        <v>1.603433678</v>
      </c>
      <c r="AV482" s="3">
        <f>[1]Results!AY209</f>
        <v>1.6182693509999999</v>
      </c>
      <c r="AW482" s="3">
        <f>[1]Results!AZ209</f>
        <v>1.633429875</v>
      </c>
      <c r="AX482" s="3">
        <f>[1]Results!BA209</f>
        <v>1.6487918050000001</v>
      </c>
      <c r="AY482" s="3">
        <f>[1]Results!BB209</f>
        <v>1.6643282939999999</v>
      </c>
      <c r="AZ482" s="3">
        <f>[1]Results!BC209</f>
        <v>1.680031227</v>
      </c>
      <c r="BA482" s="3">
        <f>[1]Results!BD209</f>
        <v>1.6958953960000001</v>
      </c>
      <c r="BB482" s="3">
        <f>[1]Results!BE209</f>
        <v>2.0573651060000002</v>
      </c>
      <c r="BC482" s="3">
        <f>[1]Results!BF209</f>
        <v>2.086709532</v>
      </c>
      <c r="BD482" s="3">
        <f>[1]Results!BG209</f>
        <v>2.1165431620000001</v>
      </c>
      <c r="BE482" s="3">
        <f>[1]Results!BH209</f>
        <v>2.146877581</v>
      </c>
      <c r="BF482" s="3">
        <f>[1]Results!BI209</f>
        <v>2.1777251980000001</v>
      </c>
    </row>
    <row r="483" spans="1:58" x14ac:dyDescent="0.35">
      <c r="B483" s="3" t="str">
        <f>[1]Results!E212</f>
        <v>YG_toe_cfut_2</v>
      </c>
      <c r="C483" s="3">
        <f>[1]Results!F212</f>
        <v>41.653186329999997</v>
      </c>
      <c r="D483" s="3">
        <f>[1]Results!G212</f>
        <v>41.743133309999997</v>
      </c>
      <c r="E483" s="3">
        <f>[1]Results!H212</f>
        <v>41.841426319999997</v>
      </c>
      <c r="F483" s="3">
        <f>[1]Results!I212</f>
        <v>41.994106250000002</v>
      </c>
      <c r="G483" s="3">
        <f>[1]Results!J212</f>
        <v>42.216483359999998</v>
      </c>
      <c r="H483" s="3">
        <f>[1]Results!K212</f>
        <v>42.503969230000003</v>
      </c>
      <c r="I483" s="3">
        <f>[1]Results!L212</f>
        <v>42.824070759999998</v>
      </c>
      <c r="J483" s="3">
        <f>[1]Results!M212</f>
        <v>43.180674410000002</v>
      </c>
      <c r="K483" s="3">
        <f>[1]Results!N212</f>
        <v>43.566084070000002</v>
      </c>
      <c r="L483" s="3">
        <f>[1]Results!O212</f>
        <v>43.973678839999998</v>
      </c>
      <c r="M483" s="3">
        <f>[1]Results!P212</f>
        <v>44.370639320000002</v>
      </c>
      <c r="N483" s="3">
        <f>[1]Results!Q212</f>
        <v>44.848890390000001</v>
      </c>
      <c r="O483" s="3">
        <f>[1]Results!R212</f>
        <v>45.345147449999999</v>
      </c>
      <c r="P483" s="3">
        <f>[1]Results!S212</f>
        <v>45.85391929</v>
      </c>
      <c r="Q483" s="3">
        <f>[1]Results!T212</f>
        <v>46.372758249999997</v>
      </c>
      <c r="R483" s="3">
        <f>[1]Results!U212</f>
        <v>46.899953369999999</v>
      </c>
      <c r="S483" s="3">
        <f>[1]Results!V212</f>
        <v>47.431234150000002</v>
      </c>
      <c r="T483" s="3">
        <f>[1]Results!W212</f>
        <v>47.967868019999997</v>
      </c>
      <c r="U483" s="3">
        <f>[1]Results!X212</f>
        <v>48.509103439999997</v>
      </c>
      <c r="V483" s="3">
        <f>[1]Results!Y212</f>
        <v>49.054304950000002</v>
      </c>
      <c r="W483" s="3">
        <f>[1]Results!Z212</f>
        <v>49.577425609999999</v>
      </c>
      <c r="X483" s="3">
        <f>[1]Results!AA212</f>
        <v>50.121558589999999</v>
      </c>
      <c r="Y483" s="3">
        <f>[1]Results!AB212</f>
        <v>50.671029820000001</v>
      </c>
      <c r="Z483" s="3">
        <f>[1]Results!AC212</f>
        <v>51.224802169999997</v>
      </c>
      <c r="AA483" s="3">
        <f>[1]Results!AD212</f>
        <v>51.782719120000003</v>
      </c>
      <c r="AB483" s="3">
        <f>[1]Results!AE212</f>
        <v>52.271674240000003</v>
      </c>
      <c r="AC483" s="3">
        <f>[1]Results!AF212</f>
        <v>52.782488260000001</v>
      </c>
      <c r="AD483" s="3">
        <f>[1]Results!AG212</f>
        <v>53.293339269999997</v>
      </c>
      <c r="AE483" s="3">
        <f>[1]Results!AH212</f>
        <v>53.804382850000003</v>
      </c>
      <c r="AF483" s="3">
        <f>[1]Results!AI212</f>
        <v>54.316746680000001</v>
      </c>
      <c r="AG483" s="3">
        <f>[1]Results!AJ212</f>
        <v>54.831575960000002</v>
      </c>
      <c r="AH483" s="3">
        <f>[1]Results!AK212</f>
        <v>55.350682319999997</v>
      </c>
      <c r="AI483" s="3">
        <f>[1]Results!AL212</f>
        <v>55.874094390000003</v>
      </c>
      <c r="AJ483" s="3">
        <f>[1]Results!AM212</f>
        <v>56.402310810000003</v>
      </c>
      <c r="AK483" s="3">
        <f>[1]Results!AN212</f>
        <v>56.93569497</v>
      </c>
      <c r="AL483" s="3">
        <f>[1]Results!AO212</f>
        <v>57.474489480000003</v>
      </c>
      <c r="AM483" s="3">
        <f>[1]Results!AP212</f>
        <v>58.009661909999998</v>
      </c>
      <c r="AN483" s="3">
        <f>[1]Results!AQ212</f>
        <v>58.546424989999998</v>
      </c>
      <c r="AO483" s="3">
        <f>[1]Results!AR212</f>
        <v>59.085953850000003</v>
      </c>
      <c r="AP483" s="3">
        <f>[1]Results!AS212</f>
        <v>59.628959160000001</v>
      </c>
      <c r="AQ483" s="3">
        <f>[1]Results!AT212</f>
        <v>60.176001130000003</v>
      </c>
      <c r="AR483" s="3">
        <f>[1]Results!AU212</f>
        <v>60.728918219999997</v>
      </c>
      <c r="AS483" s="3">
        <f>[1]Results!AV212</f>
        <v>61.286941830000004</v>
      </c>
      <c r="AT483" s="3">
        <f>[1]Results!AW212</f>
        <v>61.850277609999999</v>
      </c>
      <c r="AU483" s="3">
        <f>[1]Results!AX212</f>
        <v>62.41907604</v>
      </c>
      <c r="AV483" s="3">
        <f>[1]Results!AY212</f>
        <v>62.993407769999997</v>
      </c>
      <c r="AW483" s="3">
        <f>[1]Results!AZ212</f>
        <v>63.579722930000003</v>
      </c>
      <c r="AX483" s="3">
        <f>[1]Results!BA212</f>
        <v>64.172852320000004</v>
      </c>
      <c r="AY483" s="3">
        <f>[1]Results!BB212</f>
        <v>64.772358069999996</v>
      </c>
      <c r="AZ483" s="3">
        <f>[1]Results!BC212</f>
        <v>65.377989810000003</v>
      </c>
      <c r="BA483" s="3">
        <f>[1]Results!BD212</f>
        <v>65.989517520000007</v>
      </c>
      <c r="BB483" s="3">
        <f>[1]Results!BE212</f>
        <v>79.759657880000006</v>
      </c>
      <c r="BC483" s="3">
        <f>[1]Results!BF212</f>
        <v>80.877687420000001</v>
      </c>
      <c r="BD483" s="3">
        <f>[1]Results!BG212</f>
        <v>82.013431510000004</v>
      </c>
      <c r="BE483" s="3">
        <f>[1]Results!BH212</f>
        <v>83.167382599999996</v>
      </c>
      <c r="BF483" s="3">
        <f>[1]Results!BI212</f>
        <v>84.340058659999997</v>
      </c>
    </row>
    <row r="484" spans="1:58" x14ac:dyDescent="0.35">
      <c r="B484" s="3" t="str">
        <f>[1]Results!E215</f>
        <v>YG_toe_cfuh_2</v>
      </c>
      <c r="C484" s="3">
        <f>[1]Results!F215</f>
        <v>7.8551307890000004</v>
      </c>
      <c r="D484" s="3">
        <f>[1]Results!G215</f>
        <v>7.8927475019999997</v>
      </c>
      <c r="E484" s="3">
        <f>[1]Results!H215</f>
        <v>7.9246982160000004</v>
      </c>
      <c r="F484" s="3">
        <f>[1]Results!I215</f>
        <v>7.9574615250000003</v>
      </c>
      <c r="G484" s="3">
        <f>[1]Results!J215</f>
        <v>7.9956838069999998</v>
      </c>
      <c r="H484" s="3">
        <f>[1]Results!K215</f>
        <v>8.0410269309999993</v>
      </c>
      <c r="I484" s="3">
        <f>[1]Results!L215</f>
        <v>8.0893662059999993</v>
      </c>
      <c r="J484" s="3">
        <f>[1]Results!M215</f>
        <v>8.1421642619999997</v>
      </c>
      <c r="K484" s="3">
        <f>[1]Results!N215</f>
        <v>8.1989037949999997</v>
      </c>
      <c r="L484" s="3">
        <f>[1]Results!O215</f>
        <v>8.2587556089999996</v>
      </c>
      <c r="M484" s="3">
        <f>[1]Results!P215</f>
        <v>8.3200844590000003</v>
      </c>
      <c r="N484" s="3">
        <f>[1]Results!Q215</f>
        <v>8.3895554499999996</v>
      </c>
      <c r="O484" s="3">
        <f>[1]Results!R215</f>
        <v>8.4616434320000007</v>
      </c>
      <c r="P484" s="3">
        <f>[1]Results!S215</f>
        <v>8.5356848490000008</v>
      </c>
      <c r="Q484" s="3">
        <f>[1]Results!T215</f>
        <v>8.6113689119999997</v>
      </c>
      <c r="R484" s="3">
        <f>[1]Results!U215</f>
        <v>8.6884704480000003</v>
      </c>
      <c r="S484" s="3">
        <f>[1]Results!V215</f>
        <v>8.7665641969999992</v>
      </c>
      <c r="T484" s="3">
        <f>[1]Results!W215</f>
        <v>8.8457118720000008</v>
      </c>
      <c r="U484" s="3">
        <f>[1]Results!X215</f>
        <v>8.9258140620000006</v>
      </c>
      <c r="V484" s="3">
        <f>[1]Results!Y215</f>
        <v>9.0067790799999994</v>
      </c>
      <c r="W484" s="3">
        <f>[1]Results!Z215</f>
        <v>9.0837589780000005</v>
      </c>
      <c r="X484" s="3">
        <f>[1]Results!AA215</f>
        <v>9.1643467489999999</v>
      </c>
      <c r="Y484" s="3">
        <f>[1]Results!AB215</f>
        <v>9.2464748140000008</v>
      </c>
      <c r="Z484" s="3">
        <f>[1]Results!AC215</f>
        <v>9.3297343240000004</v>
      </c>
      <c r="AA484" s="3">
        <f>[1]Results!AD215</f>
        <v>9.4140144130000003</v>
      </c>
      <c r="AB484" s="3">
        <f>[1]Results!AE215</f>
        <v>9.4857024499999998</v>
      </c>
      <c r="AC484" s="3">
        <f>[1]Results!AF215</f>
        <v>9.5601801490000007</v>
      </c>
      <c r="AD484" s="3">
        <f>[1]Results!AG215</f>
        <v>9.6353003029999993</v>
      </c>
      <c r="AE484" s="3">
        <f>[1]Results!AH215</f>
        <v>9.7109577290000004</v>
      </c>
      <c r="AF484" s="3">
        <f>[1]Results!AI215</f>
        <v>9.7872993279999996</v>
      </c>
      <c r="AG484" s="3">
        <f>[1]Results!AJ215</f>
        <v>9.8644967430000001</v>
      </c>
      <c r="AH484" s="3">
        <f>[1]Results!AK215</f>
        <v>9.9427708409999997</v>
      </c>
      <c r="AI484" s="3">
        <f>[1]Results!AL215</f>
        <v>10.022167960000001</v>
      </c>
      <c r="AJ484" s="3">
        <f>[1]Results!AM215</f>
        <v>10.10273291</v>
      </c>
      <c r="AK484" s="3">
        <f>[1]Results!AN215</f>
        <v>10.18450981</v>
      </c>
      <c r="AL484" s="3">
        <f>[1]Results!AO215</f>
        <v>10.267531139999999</v>
      </c>
      <c r="AM484" s="3">
        <f>[1]Results!AP215</f>
        <v>10.349359740000001</v>
      </c>
      <c r="AN484" s="3">
        <f>[1]Results!AQ215</f>
        <v>10.431316219999999</v>
      </c>
      <c r="AO484" s="3">
        <f>[1]Results!AR215</f>
        <v>10.51388663</v>
      </c>
      <c r="AP484" s="3">
        <f>[1]Results!AS215</f>
        <v>10.59731848</v>
      </c>
      <c r="AQ484" s="3">
        <f>[1]Results!AT215</f>
        <v>10.68175763</v>
      </c>
      <c r="AR484" s="3">
        <f>[1]Results!AU215</f>
        <v>10.76741762</v>
      </c>
      <c r="AS484" s="3">
        <f>[1]Results!AV215</f>
        <v>10.854263380000001</v>
      </c>
      <c r="AT484" s="3">
        <f>[1]Results!AW215</f>
        <v>10.94232356</v>
      </c>
      <c r="AU484" s="3">
        <f>[1]Results!AX215</f>
        <v>11.03161607</v>
      </c>
      <c r="AV484" s="3">
        <f>[1]Results!AY215</f>
        <v>11.122145769999999</v>
      </c>
      <c r="AW484" s="3">
        <f>[1]Results!AZ215</f>
        <v>11.214627979999999</v>
      </c>
      <c r="AX484" s="3">
        <f>[1]Results!BA215</f>
        <v>11.3085621</v>
      </c>
      <c r="AY484" s="3">
        <f>[1]Results!BB215</f>
        <v>11.40387555</v>
      </c>
      <c r="AZ484" s="3">
        <f>[1]Results!BC215</f>
        <v>11.500539549999999</v>
      </c>
      <c r="BA484" s="3">
        <f>[1]Results!BD215</f>
        <v>11.598528529999999</v>
      </c>
      <c r="BB484" s="3">
        <f>[1]Results!BE215</f>
        <v>13.19740314</v>
      </c>
      <c r="BC484" s="3">
        <f>[1]Results!BF215</f>
        <v>13.36274448</v>
      </c>
      <c r="BD484" s="3">
        <f>[1]Results!BG215</f>
        <v>13.530779470000001</v>
      </c>
      <c r="BE484" s="3">
        <f>[1]Results!BH215</f>
        <v>13.7015577</v>
      </c>
      <c r="BF484" s="3">
        <f>[1]Results!BI215</f>
        <v>13.87513983</v>
      </c>
    </row>
    <row r="485" spans="1:58" x14ac:dyDescent="0.35">
      <c r="B485" s="3" t="str">
        <f>[1]Results!E217</f>
        <v>YG_toe_cgas_2</v>
      </c>
      <c r="C485" s="3">
        <f>[1]Results!F217</f>
        <v>6.4247130190000004</v>
      </c>
      <c r="D485" s="3">
        <f>[1]Results!G217</f>
        <v>6.5025745050000001</v>
      </c>
      <c r="E485" s="3">
        <f>[1]Results!H217</f>
        <v>6.5391464199999998</v>
      </c>
      <c r="F485" s="3">
        <f>[1]Results!I217</f>
        <v>6.5548236360000001</v>
      </c>
      <c r="G485" s="3">
        <f>[1]Results!J217</f>
        <v>6.5592073910000002</v>
      </c>
      <c r="H485" s="3">
        <f>[1]Results!K217</f>
        <v>6.5568444469999996</v>
      </c>
      <c r="I485" s="3">
        <f>[1]Results!L217</f>
        <v>6.5453927500000004</v>
      </c>
      <c r="J485" s="3">
        <f>[1]Results!M217</f>
        <v>6.5311477900000003</v>
      </c>
      <c r="K485" s="3">
        <f>[1]Results!N217</f>
        <v>6.5147865850000004</v>
      </c>
      <c r="L485" s="3">
        <f>[1]Results!O217</f>
        <v>6.4967291710000001</v>
      </c>
      <c r="M485" s="3">
        <f>[1]Results!P217</f>
        <v>6.4702680340000001</v>
      </c>
      <c r="N485" s="3">
        <f>[1]Results!Q217</f>
        <v>6.4603692239999999</v>
      </c>
      <c r="O485" s="3">
        <f>[1]Results!R217</f>
        <v>6.4473283910000001</v>
      </c>
      <c r="P485" s="3">
        <f>[1]Results!S217</f>
        <v>6.4336126629999999</v>
      </c>
      <c r="Q485" s="3">
        <f>[1]Results!T217</f>
        <v>6.4200011860000004</v>
      </c>
      <c r="R485" s="3">
        <f>[1]Results!U217</f>
        <v>6.4070391029999998</v>
      </c>
      <c r="S485" s="3">
        <f>[1]Results!V217</f>
        <v>6.3943970869999998</v>
      </c>
      <c r="T485" s="3">
        <f>[1]Results!W217</f>
        <v>6.3832636630000001</v>
      </c>
      <c r="U485" s="3">
        <f>[1]Results!X217</f>
        <v>6.3736975359999999</v>
      </c>
      <c r="V485" s="3">
        <f>[1]Results!Y217</f>
        <v>6.3656707590000003</v>
      </c>
      <c r="W485" s="3">
        <f>[1]Results!Z217</f>
        <v>6.3541678460000002</v>
      </c>
      <c r="X485" s="3">
        <f>[1]Results!AA217</f>
        <v>6.3495406589999996</v>
      </c>
      <c r="Y485" s="3">
        <f>[1]Results!AB217</f>
        <v>6.3459542549999997</v>
      </c>
      <c r="Z485" s="3">
        <f>[1]Results!AC217</f>
        <v>6.3432806680000002</v>
      </c>
      <c r="AA485" s="3">
        <f>[1]Results!AD217</f>
        <v>6.3412490869999996</v>
      </c>
      <c r="AB485" s="3">
        <f>[1]Results!AE217</f>
        <v>6.3260138750000001</v>
      </c>
      <c r="AC485" s="3">
        <f>[1]Results!AF217</f>
        <v>6.3207355090000004</v>
      </c>
      <c r="AD485" s="3">
        <f>[1]Results!AG217</f>
        <v>6.3161686460000004</v>
      </c>
      <c r="AE485" s="3">
        <f>[1]Results!AH217</f>
        <v>6.3123305470000002</v>
      </c>
      <c r="AF485" s="3">
        <f>[1]Results!AI217</f>
        <v>6.308872633</v>
      </c>
      <c r="AG485" s="3">
        <f>[1]Results!AJ217</f>
        <v>6.3054691170000003</v>
      </c>
      <c r="AH485" s="3">
        <f>[1]Results!AK217</f>
        <v>6.30209346</v>
      </c>
      <c r="AI485" s="3">
        <f>[1]Results!AL217</f>
        <v>6.2982515440000002</v>
      </c>
      <c r="AJ485" s="3">
        <f>[1]Results!AM217</f>
        <v>6.2937753430000001</v>
      </c>
      <c r="AK485" s="3">
        <f>[1]Results!AN217</f>
        <v>6.2885843289999999</v>
      </c>
      <c r="AL485" s="3">
        <f>[1]Results!AO217</f>
        <v>6.2826517429999997</v>
      </c>
      <c r="AM485" s="3">
        <f>[1]Results!AP217</f>
        <v>6.2750697830000002</v>
      </c>
      <c r="AN485" s="3">
        <f>[1]Results!AQ217</f>
        <v>6.2668374949999999</v>
      </c>
      <c r="AO485" s="3">
        <f>[1]Results!AR217</f>
        <v>6.2580985619999998</v>
      </c>
      <c r="AP485" s="3">
        <f>[1]Results!AS217</f>
        <v>6.2489690370000002</v>
      </c>
      <c r="AQ485" s="3">
        <f>[1]Results!AT217</f>
        <v>6.2394829789999999</v>
      </c>
      <c r="AR485" s="3">
        <f>[1]Results!AU217</f>
        <v>6.2299936139999996</v>
      </c>
      <c r="AS485" s="3">
        <f>[1]Results!AV217</f>
        <v>6.2200349079999997</v>
      </c>
      <c r="AT485" s="3">
        <f>[1]Results!AW217</f>
        <v>6.2096227470000001</v>
      </c>
      <c r="AU485" s="3">
        <f>[1]Results!AX217</f>
        <v>6.1987679020000002</v>
      </c>
      <c r="AV485" s="3">
        <f>[1]Results!AY217</f>
        <v>6.187488117</v>
      </c>
      <c r="AW485" s="3">
        <f>[1]Results!AZ217</f>
        <v>6.1773711349999996</v>
      </c>
      <c r="AX485" s="3">
        <f>[1]Results!BA217</f>
        <v>6.1665582030000001</v>
      </c>
      <c r="AY485" s="3">
        <f>[1]Results!BB217</f>
        <v>6.155219185</v>
      </c>
      <c r="AZ485" s="3">
        <f>[1]Results!BC217</f>
        <v>6.1434546680000004</v>
      </c>
      <c r="BA485" s="3">
        <f>[1]Results!BD217</f>
        <v>6.1313453879999997</v>
      </c>
      <c r="BB485" s="3">
        <f>[1]Results!BE217</f>
        <v>6.2656216210000002</v>
      </c>
      <c r="BC485" s="3">
        <f>[1]Results!BF217</f>
        <v>6.2765990770000002</v>
      </c>
      <c r="BD485" s="3">
        <f>[1]Results!BG217</f>
        <v>6.2882836400000004</v>
      </c>
      <c r="BE485" s="3">
        <f>[1]Results!BH217</f>
        <v>6.3006207659999998</v>
      </c>
      <c r="BF485" s="3">
        <f>[1]Results!BI217</f>
        <v>6.3135823980000003</v>
      </c>
    </row>
    <row r="486" spans="1:58" x14ac:dyDescent="0.35">
      <c r="B486" s="3" t="str">
        <f>[1]Results!E223</f>
        <v>YG_toe_cele_2</v>
      </c>
      <c r="C486" s="3">
        <f>[1]Results!F223</f>
        <v>56.621799979999999</v>
      </c>
      <c r="D486" s="3">
        <f>[1]Results!G223</f>
        <v>56.899055920000002</v>
      </c>
      <c r="E486" s="3">
        <f>[1]Results!H223</f>
        <v>57.196645699999998</v>
      </c>
      <c r="F486" s="3">
        <f>[1]Results!I223</f>
        <v>57.535402310000002</v>
      </c>
      <c r="G486" s="3">
        <f>[1]Results!J223</f>
        <v>57.937217879999999</v>
      </c>
      <c r="H486" s="3">
        <f>[1]Results!K223</f>
        <v>58.404650779999997</v>
      </c>
      <c r="I486" s="3">
        <f>[1]Results!L223</f>
        <v>58.896421719999999</v>
      </c>
      <c r="J486" s="3">
        <f>[1]Results!M223</f>
        <v>59.42091319</v>
      </c>
      <c r="K486" s="3">
        <f>[1]Results!N223</f>
        <v>59.970176129999999</v>
      </c>
      <c r="L486" s="3">
        <f>[1]Results!O223</f>
        <v>60.535697229999997</v>
      </c>
      <c r="M486" s="3">
        <f>[1]Results!P223</f>
        <v>61.088491060000003</v>
      </c>
      <c r="N486" s="3">
        <f>[1]Results!Q223</f>
        <v>61.718747489999998</v>
      </c>
      <c r="O486" s="3">
        <f>[1]Results!R223</f>
        <v>62.361629809999997</v>
      </c>
      <c r="P486" s="3">
        <f>[1]Results!S223</f>
        <v>63.00963497</v>
      </c>
      <c r="Q486" s="3">
        <f>[1]Results!T223</f>
        <v>63.659614210000001</v>
      </c>
      <c r="R486" s="3">
        <f>[1]Results!U223</f>
        <v>64.309593140000004</v>
      </c>
      <c r="S486" s="3">
        <f>[1]Results!V223</f>
        <v>64.955041820000005</v>
      </c>
      <c r="T486" s="3">
        <f>[1]Results!W223</f>
        <v>65.598016479999998</v>
      </c>
      <c r="U486" s="3">
        <f>[1]Results!X223</f>
        <v>66.238683199999997</v>
      </c>
      <c r="V486" s="3">
        <f>[1]Results!Y223</f>
        <v>66.877522440000007</v>
      </c>
      <c r="W486" s="3">
        <f>[1]Results!Z223</f>
        <v>67.476174900000004</v>
      </c>
      <c r="X486" s="3">
        <f>[1]Results!AA223</f>
        <v>68.100617959999994</v>
      </c>
      <c r="Y486" s="3">
        <f>[1]Results!AB223</f>
        <v>68.732397770000006</v>
      </c>
      <c r="Z486" s="3">
        <f>[1]Results!AC223</f>
        <v>69.370113450000005</v>
      </c>
      <c r="AA486" s="3">
        <f>[1]Results!AD223</f>
        <v>70.014365670000004</v>
      </c>
      <c r="AB486" s="3">
        <f>[1]Results!AE223</f>
        <v>70.554692470000006</v>
      </c>
      <c r="AC486" s="3">
        <f>[1]Results!AF223</f>
        <v>71.125225</v>
      </c>
      <c r="AD486" s="3">
        <f>[1]Results!AG223</f>
        <v>71.703238440000007</v>
      </c>
      <c r="AE486" s="3">
        <f>[1]Results!AH223</f>
        <v>72.289085279999995</v>
      </c>
      <c r="AF486" s="3">
        <f>[1]Results!AI223</f>
        <v>72.884798520000004</v>
      </c>
      <c r="AG486" s="3">
        <f>[1]Results!AJ223</f>
        <v>73.492345560000004</v>
      </c>
      <c r="AH486" s="3">
        <f>[1]Results!AK223</f>
        <v>74.114261020000001</v>
      </c>
      <c r="AI486" s="3">
        <f>[1]Results!AL223</f>
        <v>74.750902310000001</v>
      </c>
      <c r="AJ486" s="3">
        <f>[1]Results!AM223</f>
        <v>75.402940520000001</v>
      </c>
      <c r="AK486" s="3">
        <f>[1]Results!AN223</f>
        <v>76.070738309999996</v>
      </c>
      <c r="AL486" s="3">
        <f>[1]Results!AO223</f>
        <v>76.754375699999997</v>
      </c>
      <c r="AM486" s="3">
        <f>[1]Results!AP223</f>
        <v>77.436715500000005</v>
      </c>
      <c r="AN486" s="3">
        <f>[1]Results!AQ223</f>
        <v>78.126886929999998</v>
      </c>
      <c r="AO486" s="3">
        <f>[1]Results!AR223</f>
        <v>78.827807289999996</v>
      </c>
      <c r="AP486" s="3">
        <f>[1]Results!AS223</f>
        <v>79.540840540000005</v>
      </c>
      <c r="AQ486" s="3">
        <f>[1]Results!AT223</f>
        <v>80.266649009999995</v>
      </c>
      <c r="AR486" s="3">
        <f>[1]Results!AU223</f>
        <v>81.007080040000005</v>
      </c>
      <c r="AS486" s="3">
        <f>[1]Results!AV223</f>
        <v>81.760981599999994</v>
      </c>
      <c r="AT486" s="3">
        <f>[1]Results!AW223</f>
        <v>82.528231669999997</v>
      </c>
      <c r="AU486" s="3">
        <f>[1]Results!AX223</f>
        <v>83.308685609999998</v>
      </c>
      <c r="AV486" s="3">
        <f>[1]Results!AY223</f>
        <v>84.102133949999995</v>
      </c>
      <c r="AW486" s="3">
        <f>[1]Results!AZ223</f>
        <v>84.916240310000006</v>
      </c>
      <c r="AX486" s="3">
        <f>[1]Results!BA223</f>
        <v>85.744886280000003</v>
      </c>
      <c r="AY486" s="3">
        <f>[1]Results!BB223</f>
        <v>86.587268399999999</v>
      </c>
      <c r="AZ486" s="3">
        <f>[1]Results!BC223</f>
        <v>87.442986610000005</v>
      </c>
      <c r="BA486" s="3">
        <f>[1]Results!BD223</f>
        <v>88.311690609999999</v>
      </c>
      <c r="BB486" s="3">
        <f>[1]Results!BE223</f>
        <v>100.3150411</v>
      </c>
      <c r="BC486" s="3">
        <f>[1]Results!BF223</f>
        <v>101.6970796</v>
      </c>
      <c r="BD486" s="3">
        <f>[1]Results!BG223</f>
        <v>103.1047011</v>
      </c>
      <c r="BE486" s="3">
        <f>[1]Results!BH223</f>
        <v>104.53813890000001</v>
      </c>
      <c r="BF486" s="3">
        <f>[1]Results!BI223</f>
        <v>105.99762610000001</v>
      </c>
    </row>
    <row r="487" spans="1:58" x14ac:dyDescent="0.35">
      <c r="B487" s="3" t="s">
        <v>75</v>
      </c>
      <c r="C487" s="3">
        <f>SUM(C488:C490)</f>
        <v>30.230647582000003</v>
      </c>
      <c r="D487" s="3">
        <f t="shared" ref="D487:AL487" si="302">SUM(D488:D490)</f>
        <v>30.350755771999999</v>
      </c>
      <c r="E487" s="3">
        <f t="shared" si="302"/>
        <v>30.518964298999997</v>
      </c>
      <c r="F487" s="3">
        <f t="shared" si="302"/>
        <v>30.717417289000004</v>
      </c>
      <c r="G487" s="3">
        <f t="shared" si="302"/>
        <v>30.943770647000001</v>
      </c>
      <c r="H487" s="3">
        <f t="shared" si="302"/>
        <v>31.195153236000003</v>
      </c>
      <c r="I487" s="3">
        <f t="shared" si="302"/>
        <v>31.445952610999999</v>
      </c>
      <c r="J487" s="3">
        <f t="shared" si="302"/>
        <v>31.706209132999998</v>
      </c>
      <c r="K487" s="3">
        <f t="shared" si="302"/>
        <v>31.974672339000001</v>
      </c>
      <c r="L487" s="3">
        <f t="shared" si="302"/>
        <v>32.249273864000003</v>
      </c>
      <c r="M487" s="3">
        <f t="shared" si="302"/>
        <v>32.518909932</v>
      </c>
      <c r="N487" s="3">
        <f t="shared" si="302"/>
        <v>32.83259623</v>
      </c>
      <c r="O487" s="3">
        <f t="shared" si="302"/>
        <v>33.151181682000001</v>
      </c>
      <c r="P487" s="3">
        <f t="shared" si="302"/>
        <v>33.472203499999999</v>
      </c>
      <c r="Q487" s="3">
        <f t="shared" si="302"/>
        <v>33.795327534999998</v>
      </c>
      <c r="R487" s="3">
        <f t="shared" si="302"/>
        <v>34.120375757999994</v>
      </c>
      <c r="S487" s="3">
        <f t="shared" si="302"/>
        <v>34.444934661000005</v>
      </c>
      <c r="T487" s="3">
        <f t="shared" si="302"/>
        <v>34.7706059</v>
      </c>
      <c r="U487" s="3">
        <f t="shared" si="302"/>
        <v>35.097546512000001</v>
      </c>
      <c r="V487" s="3">
        <f t="shared" si="302"/>
        <v>35.425891187000005</v>
      </c>
      <c r="W487" s="3">
        <f t="shared" si="302"/>
        <v>35.730931167999998</v>
      </c>
      <c r="X487" s="3">
        <f t="shared" si="302"/>
        <v>36.054997056000005</v>
      </c>
      <c r="Y487" s="3">
        <f t="shared" si="302"/>
        <v>36.385231838999999</v>
      </c>
      <c r="Z487" s="3">
        <f t="shared" si="302"/>
        <v>36.719644342999999</v>
      </c>
      <c r="AA487" s="3">
        <f t="shared" si="302"/>
        <v>37.057774539999997</v>
      </c>
      <c r="AB487" s="3">
        <f t="shared" si="302"/>
        <v>37.329460513000001</v>
      </c>
      <c r="AC487" s="3">
        <f t="shared" si="302"/>
        <v>37.621444791000002</v>
      </c>
      <c r="AD487" s="3">
        <f t="shared" si="302"/>
        <v>37.918382438999998</v>
      </c>
      <c r="AE487" s="3">
        <f t="shared" si="302"/>
        <v>38.219128503</v>
      </c>
      <c r="AF487" s="3">
        <f t="shared" si="302"/>
        <v>38.523784599999999</v>
      </c>
      <c r="AG487" s="3">
        <f t="shared" si="302"/>
        <v>38.832694357999998</v>
      </c>
      <c r="AH487" s="3">
        <f t="shared" si="302"/>
        <v>39.146851306000002</v>
      </c>
      <c r="AI487" s="3">
        <f t="shared" si="302"/>
        <v>39.466007947999998</v>
      </c>
      <c r="AJ487" s="3">
        <f t="shared" si="302"/>
        <v>39.790279937999998</v>
      </c>
      <c r="AK487" s="3">
        <f t="shared" si="302"/>
        <v>40.119731322</v>
      </c>
      <c r="AL487" s="3">
        <f t="shared" si="302"/>
        <v>40.454363709999996</v>
      </c>
      <c r="AM487" s="3">
        <f t="shared" ref="AM487:BC487" si="303">SUM(AM488:AM490)</f>
        <v>40.784196842</v>
      </c>
      <c r="AN487" s="3">
        <f t="shared" si="303"/>
        <v>41.115342780000006</v>
      </c>
      <c r="AO487" s="3">
        <f t="shared" si="303"/>
        <v>41.449679779999997</v>
      </c>
      <c r="AP487" s="3">
        <f t="shared" si="303"/>
        <v>41.787932509999997</v>
      </c>
      <c r="AQ487" s="3">
        <f t="shared" si="303"/>
        <v>42.130384433000003</v>
      </c>
      <c r="AR487" s="3">
        <f t="shared" si="303"/>
        <v>42.478195064999994</v>
      </c>
      <c r="AS487" s="3">
        <f t="shared" si="303"/>
        <v>42.830587516999998</v>
      </c>
      <c r="AT487" s="3">
        <f t="shared" si="303"/>
        <v>43.187480331000003</v>
      </c>
      <c r="AU487" s="3">
        <f t="shared" si="303"/>
        <v>43.548818327000006</v>
      </c>
      <c r="AV487" s="3">
        <f t="shared" si="303"/>
        <v>43.914538582999995</v>
      </c>
      <c r="AW487" s="3">
        <f t="shared" si="303"/>
        <v>44.289720794000004</v>
      </c>
      <c r="AX487" s="3">
        <f t="shared" si="303"/>
        <v>44.670426341999999</v>
      </c>
      <c r="AY487" s="3">
        <f t="shared" si="303"/>
        <v>45.056087082999994</v>
      </c>
      <c r="AZ487" s="3">
        <f t="shared" si="303"/>
        <v>45.446440585000005</v>
      </c>
      <c r="BA487" s="3">
        <f t="shared" si="303"/>
        <v>45.841308513999998</v>
      </c>
      <c r="BB487" s="3">
        <f t="shared" si="303"/>
        <v>53.620557218000002</v>
      </c>
      <c r="BC487" s="3">
        <f t="shared" si="303"/>
        <v>54.325096646000006</v>
      </c>
      <c r="BD487" s="3">
        <f t="shared" ref="BD487:BF487" si="304">SUM(BD488:BD490)</f>
        <v>55.041940492999998</v>
      </c>
      <c r="BE487" s="3">
        <f t="shared" si="304"/>
        <v>55.771215057999996</v>
      </c>
      <c r="BF487" s="3">
        <f t="shared" si="304"/>
        <v>56.513095601000003</v>
      </c>
    </row>
    <row r="488" spans="1:58" x14ac:dyDescent="0.35">
      <c r="B488" s="3" t="str">
        <f>[1]Results!E233</f>
        <v>YG_toe_chea_2</v>
      </c>
      <c r="C488" s="3">
        <f>[1]Results!F233</f>
        <v>5.6660130520000003</v>
      </c>
      <c r="D488" s="3">
        <f>[1]Results!G233</f>
        <v>5.7223441920000004</v>
      </c>
      <c r="E488" s="3">
        <f>[1]Results!H233</f>
        <v>5.7850004889999997</v>
      </c>
      <c r="F488" s="3">
        <f>[1]Results!I233</f>
        <v>5.849364639</v>
      </c>
      <c r="G488" s="3">
        <f>[1]Results!J233</f>
        <v>5.9155752069999998</v>
      </c>
      <c r="H488" s="3">
        <f>[1]Results!K233</f>
        <v>5.9842091960000001</v>
      </c>
      <c r="I488" s="3">
        <f>[1]Results!L233</f>
        <v>6.0502161110000001</v>
      </c>
      <c r="J488" s="3">
        <f>[1]Results!M233</f>
        <v>6.1167686229999996</v>
      </c>
      <c r="K488" s="3">
        <f>[1]Results!N233</f>
        <v>6.1847795989999996</v>
      </c>
      <c r="L488" s="3">
        <f>[1]Results!O233</f>
        <v>6.2543099340000001</v>
      </c>
      <c r="M488" s="3">
        <f>[1]Results!P233</f>
        <v>6.3301224520000003</v>
      </c>
      <c r="N488" s="3">
        <f>[1]Results!Q233</f>
        <v>6.4066083899999997</v>
      </c>
      <c r="O488" s="3">
        <f>[1]Results!R233</f>
        <v>6.4828846020000004</v>
      </c>
      <c r="P488" s="3">
        <f>[1]Results!S233</f>
        <v>6.5591156799999997</v>
      </c>
      <c r="Q488" s="3">
        <f>[1]Results!T233</f>
        <v>6.6353782649999999</v>
      </c>
      <c r="R488" s="3">
        <f>[1]Results!U233</f>
        <v>6.711639828</v>
      </c>
      <c r="S488" s="3">
        <f>[1]Results!V233</f>
        <v>6.7876902509999999</v>
      </c>
      <c r="T488" s="3">
        <f>[1]Results!W233</f>
        <v>6.8635833999999996</v>
      </c>
      <c r="U488" s="3">
        <f>[1]Results!X233</f>
        <v>6.9392874520000003</v>
      </c>
      <c r="V488" s="3">
        <f>[1]Results!Y233</f>
        <v>7.0147906569999998</v>
      </c>
      <c r="W488" s="3">
        <f>[1]Results!Z233</f>
        <v>7.083944668</v>
      </c>
      <c r="X488" s="3">
        <f>[1]Results!AA233</f>
        <v>7.156666446</v>
      </c>
      <c r="Y488" s="3">
        <f>[1]Results!AB233</f>
        <v>7.2307098390000002</v>
      </c>
      <c r="Z488" s="3">
        <f>[1]Results!AC233</f>
        <v>7.3053472230000001</v>
      </c>
      <c r="AA488" s="3">
        <f>[1]Results!AD233</f>
        <v>7.3803432899999999</v>
      </c>
      <c r="AB488" s="3">
        <f>[1]Results!AE233</f>
        <v>7.4385063130000004</v>
      </c>
      <c r="AC488" s="3">
        <f>[1]Results!AF233</f>
        <v>7.4992853909999999</v>
      </c>
      <c r="AD488" s="3">
        <f>[1]Results!AG233</f>
        <v>7.5610227590000001</v>
      </c>
      <c r="AE488" s="3">
        <f>[1]Results!AH233</f>
        <v>7.6233390429999996</v>
      </c>
      <c r="AF488" s="3">
        <f>[1]Results!AI233</f>
        <v>7.6861657299999999</v>
      </c>
      <c r="AG488" s="3">
        <f>[1]Results!AJ233</f>
        <v>7.7495237680000004</v>
      </c>
      <c r="AH488" s="3">
        <f>[1]Results!AK233</f>
        <v>7.8134990159999997</v>
      </c>
      <c r="AI488" s="3">
        <f>[1]Results!AL233</f>
        <v>7.8781029279999997</v>
      </c>
      <c r="AJ488" s="3">
        <f>[1]Results!AM233</f>
        <v>7.9433712080000003</v>
      </c>
      <c r="AK488" s="3">
        <f>[1]Results!AN233</f>
        <v>8.0093309020000003</v>
      </c>
      <c r="AL488" s="3">
        <f>[1]Results!AO233</f>
        <v>8.0759962600000001</v>
      </c>
      <c r="AM488" s="3">
        <f>[1]Results!AP233</f>
        <v>8.1399451119999995</v>
      </c>
      <c r="AN488" s="3">
        <f>[1]Results!AQ233</f>
        <v>8.2031236700000001</v>
      </c>
      <c r="AO488" s="3">
        <f>[1]Results!AR233</f>
        <v>8.2663547499999996</v>
      </c>
      <c r="AP488" s="3">
        <f>[1]Results!AS233</f>
        <v>8.3299974100000007</v>
      </c>
      <c r="AQ488" s="3">
        <f>[1]Results!AT233</f>
        <v>8.394200863</v>
      </c>
      <c r="AR488" s="3">
        <f>[1]Results!AU233</f>
        <v>8.4590838149999996</v>
      </c>
      <c r="AS488" s="3">
        <f>[1]Results!AV233</f>
        <v>8.5246045370000001</v>
      </c>
      <c r="AT488" s="3">
        <f>[1]Results!AW233</f>
        <v>8.5907573809999995</v>
      </c>
      <c r="AU488" s="3">
        <f>[1]Results!AX233</f>
        <v>8.6575346470000003</v>
      </c>
      <c r="AV488" s="3">
        <f>[1]Results!AY233</f>
        <v>8.7249237229999999</v>
      </c>
      <c r="AW488" s="3">
        <f>[1]Results!AZ233</f>
        <v>8.7934610339999999</v>
      </c>
      <c r="AX488" s="3">
        <f>[1]Results!BA233</f>
        <v>8.862746692</v>
      </c>
      <c r="AY488" s="3">
        <f>[1]Results!BB233</f>
        <v>8.9326941729999998</v>
      </c>
      <c r="AZ488" s="3">
        <f>[1]Results!BC233</f>
        <v>9.0032753250000006</v>
      </c>
      <c r="BA488" s="3">
        <f>[1]Results!BD233</f>
        <v>9.0744700839999997</v>
      </c>
      <c r="BB488" s="3">
        <f>[1]Results!BE233</f>
        <v>9.5287003880000007</v>
      </c>
      <c r="BC488" s="3">
        <f>[1]Results!BF233</f>
        <v>9.6281772360000009</v>
      </c>
      <c r="BD488" s="3">
        <f>[1]Results!BG233</f>
        <v>9.7291266630000006</v>
      </c>
      <c r="BE488" s="3">
        <f>[1]Results!BH233</f>
        <v>9.831553778</v>
      </c>
      <c r="BF488" s="3">
        <f>[1]Results!BI233</f>
        <v>9.9354808410000004</v>
      </c>
    </row>
    <row r="489" spans="1:58" x14ac:dyDescent="0.35">
      <c r="B489" s="3" t="str">
        <f>[1]Results!E235</f>
        <v>YG_toe_cbio_2</v>
      </c>
      <c r="C489" s="3">
        <f>[1]Results!F235</f>
        <v>11.105718449999999</v>
      </c>
      <c r="D489" s="3">
        <f>[1]Results!G235</f>
        <v>11.08697991</v>
      </c>
      <c r="E489" s="3">
        <f>[1]Results!H235</f>
        <v>11.07434731</v>
      </c>
      <c r="F489" s="3">
        <f>[1]Results!I235</f>
        <v>11.075469330000001</v>
      </c>
      <c r="G489" s="3">
        <f>[1]Results!J235</f>
        <v>11.09021751</v>
      </c>
      <c r="H489" s="3">
        <f>[1]Results!K235</f>
        <v>11.116616110000001</v>
      </c>
      <c r="I489" s="3">
        <f>[1]Results!L235</f>
        <v>11.146716809999999</v>
      </c>
      <c r="J489" s="3">
        <f>[1]Results!M235</f>
        <v>11.18067705</v>
      </c>
      <c r="K489" s="3">
        <f>[1]Results!N235</f>
        <v>11.21690667</v>
      </c>
      <c r="L489" s="3">
        <f>[1]Results!O235</f>
        <v>11.25425156</v>
      </c>
      <c r="M489" s="3">
        <f>[1]Results!P235</f>
        <v>11.294926390000001</v>
      </c>
      <c r="N489" s="3">
        <f>[1]Results!Q235</f>
        <v>11.33840067</v>
      </c>
      <c r="O489" s="3">
        <f>[1]Results!R235</f>
        <v>11.38157898</v>
      </c>
      <c r="P489" s="3">
        <f>[1]Results!S235</f>
        <v>11.424714610000001</v>
      </c>
      <c r="Q489" s="3">
        <f>[1]Results!T235</f>
        <v>11.46808794</v>
      </c>
      <c r="R489" s="3">
        <f>[1]Results!U235</f>
        <v>11.511818269999999</v>
      </c>
      <c r="S489" s="3">
        <f>[1]Results!V235</f>
        <v>11.555486330000001</v>
      </c>
      <c r="T489" s="3">
        <f>[1]Results!W235</f>
        <v>11.599250359999999</v>
      </c>
      <c r="U489" s="3">
        <f>[1]Results!X235</f>
        <v>11.643168660000001</v>
      </c>
      <c r="V489" s="3">
        <f>[1]Results!Y235</f>
        <v>11.687288730000001</v>
      </c>
      <c r="W489" s="3">
        <f>[1]Results!Z235</f>
        <v>11.725598639999999</v>
      </c>
      <c r="X489" s="3">
        <f>[1]Results!AA235</f>
        <v>11.7676605</v>
      </c>
      <c r="Y489" s="3">
        <f>[1]Results!AB235</f>
        <v>11.81144076</v>
      </c>
      <c r="Z489" s="3">
        <f>[1]Results!AC235</f>
        <v>11.85625735</v>
      </c>
      <c r="AA489" s="3">
        <f>[1]Results!AD235</f>
        <v>11.901875009999999</v>
      </c>
      <c r="AB489" s="3">
        <f>[1]Results!AE235</f>
        <v>11.93139077</v>
      </c>
      <c r="AC489" s="3">
        <f>[1]Results!AF235</f>
        <v>11.96357038</v>
      </c>
      <c r="AD489" s="3">
        <f>[1]Results!AG235</f>
        <v>11.997013859999999</v>
      </c>
      <c r="AE489" s="3">
        <f>[1]Results!AH235</f>
        <v>12.03143515</v>
      </c>
      <c r="AF489" s="3">
        <f>[1]Results!AI235</f>
        <v>12.066804879999999</v>
      </c>
      <c r="AG489" s="3">
        <f>[1]Results!AJ235</f>
        <v>12.10317936</v>
      </c>
      <c r="AH489" s="3">
        <f>[1]Results!AK235</f>
        <v>12.14075519</v>
      </c>
      <c r="AI489" s="3">
        <f>[1]Results!AL235</f>
        <v>12.179544460000001</v>
      </c>
      <c r="AJ489" s="3">
        <f>[1]Results!AM235</f>
        <v>12.21956759</v>
      </c>
      <c r="AK489" s="3">
        <f>[1]Results!AN235</f>
        <v>12.260827799999999</v>
      </c>
      <c r="AL489" s="3">
        <f>[1]Results!AO235</f>
        <v>12.30331327</v>
      </c>
      <c r="AM489" s="3">
        <f>[1]Results!AP235</f>
        <v>12.34438602</v>
      </c>
      <c r="AN489" s="3">
        <f>[1]Results!AQ235</f>
        <v>12.3856579</v>
      </c>
      <c r="AO489" s="3">
        <f>[1]Results!AR235</f>
        <v>12.42770765</v>
      </c>
      <c r="AP489" s="3">
        <f>[1]Results!AS235</f>
        <v>12.470707129999999</v>
      </c>
      <c r="AQ489" s="3">
        <f>[1]Results!AT235</f>
        <v>12.514687739999999</v>
      </c>
      <c r="AR489" s="3">
        <f>[1]Results!AU235</f>
        <v>12.5598343</v>
      </c>
      <c r="AS489" s="3">
        <f>[1]Results!AV235</f>
        <v>12.60605269</v>
      </c>
      <c r="AT489" s="3">
        <f>[1]Results!AW235</f>
        <v>12.65329551</v>
      </c>
      <c r="AU489" s="3">
        <f>[1]Results!AX235</f>
        <v>12.70152156</v>
      </c>
      <c r="AV489" s="3">
        <f>[1]Results!AY235</f>
        <v>12.75069427</v>
      </c>
      <c r="AW489" s="3">
        <f>[1]Results!AZ235</f>
        <v>12.80177919</v>
      </c>
      <c r="AX489" s="3">
        <f>[1]Results!BA235</f>
        <v>12.85428478</v>
      </c>
      <c r="AY489" s="3">
        <f>[1]Results!BB235</f>
        <v>12.90800142</v>
      </c>
      <c r="AZ489" s="3">
        <f>[1]Results!BC235</f>
        <v>12.96278306</v>
      </c>
      <c r="BA489" s="3">
        <f>[1]Results!BD235</f>
        <v>13.01852581</v>
      </c>
      <c r="BB489" s="3">
        <f>[1]Results!BE235</f>
        <v>14.15840839</v>
      </c>
      <c r="BC489" s="3">
        <f>[1]Results!BF235</f>
        <v>14.268085299999999</v>
      </c>
      <c r="BD489" s="3">
        <f>[1]Results!BG235</f>
        <v>14.38012975</v>
      </c>
      <c r="BE489" s="3">
        <f>[1]Results!BH235</f>
        <v>14.49452866</v>
      </c>
      <c r="BF489" s="3">
        <f>[1]Results!BI235</f>
        <v>14.61129745</v>
      </c>
    </row>
    <row r="490" spans="1:58" x14ac:dyDescent="0.35">
      <c r="B490" s="3" t="str">
        <f>[1]Results!E238</f>
        <v>YG_toe_cote_2</v>
      </c>
      <c r="C490" s="3">
        <f>[1]Results!F238</f>
        <v>13.45891608</v>
      </c>
      <c r="D490" s="3">
        <f>[1]Results!G238</f>
        <v>13.54143167</v>
      </c>
      <c r="E490" s="3">
        <f>[1]Results!H238</f>
        <v>13.6596165</v>
      </c>
      <c r="F490" s="3">
        <f>[1]Results!I238</f>
        <v>13.79258332</v>
      </c>
      <c r="G490" s="3">
        <f>[1]Results!J238</f>
        <v>13.937977930000001</v>
      </c>
      <c r="H490" s="3">
        <f>[1]Results!K238</f>
        <v>14.09432793</v>
      </c>
      <c r="I490" s="3">
        <f>[1]Results!L238</f>
        <v>14.249019690000001</v>
      </c>
      <c r="J490" s="3">
        <f>[1]Results!M238</f>
        <v>14.408763459999999</v>
      </c>
      <c r="K490" s="3">
        <f>[1]Results!N238</f>
        <v>14.572986070000001</v>
      </c>
      <c r="L490" s="3">
        <f>[1]Results!O238</f>
        <v>14.740712370000001</v>
      </c>
      <c r="M490" s="3">
        <f>[1]Results!P238</f>
        <v>14.89386109</v>
      </c>
      <c r="N490" s="3">
        <f>[1]Results!Q238</f>
        <v>15.087587170000001</v>
      </c>
      <c r="O490" s="3">
        <f>[1]Results!R238</f>
        <v>15.2867181</v>
      </c>
      <c r="P490" s="3">
        <f>[1]Results!S238</f>
        <v>15.488373210000001</v>
      </c>
      <c r="Q490" s="3">
        <f>[1]Results!T238</f>
        <v>15.69186133</v>
      </c>
      <c r="R490" s="3">
        <f>[1]Results!U238</f>
        <v>15.89691766</v>
      </c>
      <c r="S490" s="3">
        <f>[1]Results!V238</f>
        <v>16.10175808</v>
      </c>
      <c r="T490" s="3">
        <f>[1]Results!W238</f>
        <v>16.307772140000001</v>
      </c>
      <c r="U490" s="3">
        <f>[1]Results!X238</f>
        <v>16.515090399999998</v>
      </c>
      <c r="V490" s="3">
        <f>[1]Results!Y238</f>
        <v>16.7238118</v>
      </c>
      <c r="W490" s="3">
        <f>[1]Results!Z238</f>
        <v>16.921387859999999</v>
      </c>
      <c r="X490" s="3">
        <f>[1]Results!AA238</f>
        <v>17.130670110000001</v>
      </c>
      <c r="Y490" s="3">
        <f>[1]Results!AB238</f>
        <v>17.34308124</v>
      </c>
      <c r="Z490" s="3">
        <f>[1]Results!AC238</f>
        <v>17.558039770000001</v>
      </c>
      <c r="AA490" s="3">
        <f>[1]Results!AD238</f>
        <v>17.77555624</v>
      </c>
      <c r="AB490" s="3">
        <f>[1]Results!AE238</f>
        <v>17.959563429999999</v>
      </c>
      <c r="AC490" s="3">
        <f>[1]Results!AF238</f>
        <v>18.158589020000001</v>
      </c>
      <c r="AD490" s="3">
        <f>[1]Results!AG238</f>
        <v>18.360345819999999</v>
      </c>
      <c r="AE490" s="3">
        <f>[1]Results!AH238</f>
        <v>18.564354309999999</v>
      </c>
      <c r="AF490" s="3">
        <f>[1]Results!AI238</f>
        <v>18.770813990000001</v>
      </c>
      <c r="AG490" s="3">
        <f>[1]Results!AJ238</f>
        <v>18.97999123</v>
      </c>
      <c r="AH490" s="3">
        <f>[1]Results!AK238</f>
        <v>19.1925971</v>
      </c>
      <c r="AI490" s="3">
        <f>[1]Results!AL238</f>
        <v>19.408360559999998</v>
      </c>
      <c r="AJ490" s="3">
        <f>[1]Results!AM238</f>
        <v>19.627341139999999</v>
      </c>
      <c r="AK490" s="3">
        <f>[1]Results!AN238</f>
        <v>19.84957262</v>
      </c>
      <c r="AL490" s="3">
        <f>[1]Results!AO238</f>
        <v>20.075054179999999</v>
      </c>
      <c r="AM490" s="3">
        <f>[1]Results!AP238</f>
        <v>20.299865709999999</v>
      </c>
      <c r="AN490" s="3">
        <f>[1]Results!AQ238</f>
        <v>20.526561210000001</v>
      </c>
      <c r="AO490" s="3">
        <f>[1]Results!AR238</f>
        <v>20.75561738</v>
      </c>
      <c r="AP490" s="3">
        <f>[1]Results!AS238</f>
        <v>20.987227969999999</v>
      </c>
      <c r="AQ490" s="3">
        <f>[1]Results!AT238</f>
        <v>21.221495829999999</v>
      </c>
      <c r="AR490" s="3">
        <f>[1]Results!AU238</f>
        <v>21.45927695</v>
      </c>
      <c r="AS490" s="3">
        <f>[1]Results!AV238</f>
        <v>21.699930290000001</v>
      </c>
      <c r="AT490" s="3">
        <f>[1]Results!AW238</f>
        <v>21.943427440000001</v>
      </c>
      <c r="AU490" s="3">
        <f>[1]Results!AX238</f>
        <v>22.189762120000001</v>
      </c>
      <c r="AV490" s="3">
        <f>[1]Results!AY238</f>
        <v>22.438920589999999</v>
      </c>
      <c r="AW490" s="3">
        <f>[1]Results!AZ238</f>
        <v>22.69448057</v>
      </c>
      <c r="AX490" s="3">
        <f>[1]Results!BA238</f>
        <v>22.95339487</v>
      </c>
      <c r="AY490" s="3">
        <f>[1]Results!BB238</f>
        <v>23.215391489999998</v>
      </c>
      <c r="AZ490" s="3">
        <f>[1]Results!BC238</f>
        <v>23.480382200000001</v>
      </c>
      <c r="BA490" s="3">
        <f>[1]Results!BD238</f>
        <v>23.74831262</v>
      </c>
      <c r="BB490" s="3">
        <f>[1]Results!BE238</f>
        <v>29.933448439999999</v>
      </c>
      <c r="BC490" s="3">
        <f>[1]Results!BF238</f>
        <v>30.42883411</v>
      </c>
      <c r="BD490" s="3">
        <f>[1]Results!BG238</f>
        <v>30.932684080000001</v>
      </c>
      <c r="BE490" s="3">
        <f>[1]Results!BH238</f>
        <v>31.445132619999999</v>
      </c>
      <c r="BF490" s="3">
        <f>[1]Results!BI238</f>
        <v>31.966317310000001</v>
      </c>
    </row>
    <row r="491" spans="1:58" x14ac:dyDescent="0.35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</row>
    <row r="492" spans="1:58" x14ac:dyDescent="0.35">
      <c r="A492" s="12" t="s">
        <v>94</v>
      </c>
      <c r="B492" s="3" t="str">
        <f>[1]Results!E241</f>
        <v>YG_toe_0</v>
      </c>
      <c r="C492" s="3">
        <f>[1]Results!F241</f>
        <v>148.7539031</v>
      </c>
      <c r="D492" s="3">
        <f>[1]Results!G241</f>
        <v>149.9412342</v>
      </c>
      <c r="E492" s="3">
        <f>[1]Results!H241</f>
        <v>151.04358999999999</v>
      </c>
      <c r="F492" s="3">
        <f>[1]Results!I241</f>
        <v>152.21546219999999</v>
      </c>
      <c r="G492" s="3">
        <f>[1]Results!J241</f>
        <v>153.5049544</v>
      </c>
      <c r="H492" s="3">
        <f>[1]Results!K241</f>
        <v>154.9279942</v>
      </c>
      <c r="I492" s="3">
        <f>[1]Results!L241</f>
        <v>156.3904393</v>
      </c>
      <c r="J492" s="3">
        <f>[1]Results!M241</f>
        <v>157.9308772</v>
      </c>
      <c r="K492" s="3">
        <f>[1]Results!N241</f>
        <v>159.53738469999999</v>
      </c>
      <c r="L492" s="3">
        <f>[1]Results!O241</f>
        <v>161.19526300000001</v>
      </c>
      <c r="M492" s="3">
        <f>[1]Results!P241</f>
        <v>163.04248129999999</v>
      </c>
      <c r="N492" s="3">
        <f>[1]Results!Q241</f>
        <v>164.8173654</v>
      </c>
      <c r="O492" s="3">
        <f>[1]Results!R241</f>
        <v>166.59956059999999</v>
      </c>
      <c r="P492" s="3">
        <f>[1]Results!S241</f>
        <v>168.39561670000001</v>
      </c>
      <c r="Q492" s="3">
        <f>[1]Results!T241</f>
        <v>170.2067753</v>
      </c>
      <c r="R492" s="3">
        <f>[1]Results!U241</f>
        <v>172.0335111</v>
      </c>
      <c r="S492" s="3">
        <f>[1]Results!V241</f>
        <v>173.87654760000001</v>
      </c>
      <c r="T492" s="3">
        <f>[1]Results!W241</f>
        <v>175.73701080000001</v>
      </c>
      <c r="U492" s="3">
        <f>[1]Results!X241</f>
        <v>177.616364</v>
      </c>
      <c r="V492" s="3">
        <f>[1]Results!Y241</f>
        <v>179.5162976</v>
      </c>
      <c r="W492" s="3">
        <f>[1]Results!Z241</f>
        <v>181.32944319999999</v>
      </c>
      <c r="X492" s="3">
        <f>[1]Results!AA241</f>
        <v>183.2430426</v>
      </c>
      <c r="Y492" s="3">
        <f>[1]Results!AB241</f>
        <v>185.19625569999999</v>
      </c>
      <c r="Z492" s="3">
        <f>[1]Results!AC241</f>
        <v>187.18375610000001</v>
      </c>
      <c r="AA492" s="3">
        <f>[1]Results!AD241</f>
        <v>189.2048983</v>
      </c>
      <c r="AB492" s="3">
        <f>[1]Results!AE241</f>
        <v>190.9473625</v>
      </c>
      <c r="AC492" s="3">
        <f>[1]Results!AF241</f>
        <v>192.79503099999999</v>
      </c>
      <c r="AD492" s="3">
        <f>[1]Results!AG241</f>
        <v>194.67020890000001</v>
      </c>
      <c r="AE492" s="3">
        <f>[1]Results!AH241</f>
        <v>196.57115350000001</v>
      </c>
      <c r="AF492" s="3">
        <f>[1]Results!AI241</f>
        <v>198.5002246</v>
      </c>
      <c r="AG492" s="3">
        <f>[1]Results!AJ241</f>
        <v>200.46024940000001</v>
      </c>
      <c r="AH492" s="3">
        <f>[1]Results!AK241</f>
        <v>202.4535937</v>
      </c>
      <c r="AI492" s="3">
        <f>[1]Results!AL241</f>
        <v>204.48195219999999</v>
      </c>
      <c r="AJ492" s="3">
        <f>[1]Results!AM241</f>
        <v>206.54637690000001</v>
      </c>
      <c r="AK492" s="3">
        <f>[1]Results!AN241</f>
        <v>208.64738940000001</v>
      </c>
      <c r="AL492" s="3">
        <f>[1]Results!AO241</f>
        <v>210.78511599999999</v>
      </c>
      <c r="AM492" s="3">
        <f>[1]Results!AP241</f>
        <v>212.88488269999999</v>
      </c>
      <c r="AN492" s="3">
        <f>[1]Results!AQ241</f>
        <v>214.99802600000001</v>
      </c>
      <c r="AO492" s="3">
        <f>[1]Results!AR241</f>
        <v>217.1329484</v>
      </c>
      <c r="AP492" s="3">
        <f>[1]Results!AS241</f>
        <v>219.29347419999999</v>
      </c>
      <c r="AQ492" s="3">
        <f>[1]Results!AT241</f>
        <v>221.48204630000001</v>
      </c>
      <c r="AR492" s="3">
        <f>[1]Results!AU241</f>
        <v>223.7005102</v>
      </c>
      <c r="AS492" s="3">
        <f>[1]Results!AV241</f>
        <v>225.9503129</v>
      </c>
      <c r="AT492" s="3">
        <f>[1]Results!AW241</f>
        <v>228.23256749999999</v>
      </c>
      <c r="AU492" s="3">
        <f>[1]Results!AX241</f>
        <v>230.54804870000001</v>
      </c>
      <c r="AV492" s="3">
        <f>[1]Results!AY241</f>
        <v>232.8970721</v>
      </c>
      <c r="AW492" s="3">
        <f>[1]Results!AZ241</f>
        <v>235.28533590000001</v>
      </c>
      <c r="AX492" s="3">
        <f>[1]Results!BA241</f>
        <v>237.70370270000001</v>
      </c>
      <c r="AY492" s="3">
        <f>[1]Results!BB241</f>
        <v>240.148944</v>
      </c>
      <c r="AZ492" s="3">
        <f>[1]Results!BC241</f>
        <v>242.62557390000001</v>
      </c>
      <c r="BA492" s="3">
        <f>[1]Results!BD241</f>
        <v>245.1377923</v>
      </c>
      <c r="BB492" s="3">
        <f>[1]Results!BE241</f>
        <v>263.32302049999998</v>
      </c>
      <c r="BC492" s="3">
        <f>[1]Results!BF241</f>
        <v>266.90438410000002</v>
      </c>
      <c r="BD492" s="3">
        <f>[1]Results!BG241</f>
        <v>270.54608409999997</v>
      </c>
      <c r="BE492" s="3">
        <f>[1]Results!BH241</f>
        <v>274.249459</v>
      </c>
      <c r="BF492" s="3">
        <f>[1]Results!BI241</f>
        <v>278.01577370000001</v>
      </c>
    </row>
    <row r="493" spans="1:58" x14ac:dyDescent="0.35">
      <c r="A493" t="s">
        <v>38</v>
      </c>
      <c r="B493" s="3" t="str">
        <f>[1]Results!E242</f>
        <v>YG_toe_ccoa_0</v>
      </c>
      <c r="C493" s="3">
        <f>[1]Results!F242</f>
        <v>2.395310383</v>
      </c>
      <c r="D493" s="3">
        <f>[1]Results!G242</f>
        <v>2.4206345919999999</v>
      </c>
      <c r="E493" s="3">
        <f>[1]Results!H242</f>
        <v>2.447536323</v>
      </c>
      <c r="F493" s="3">
        <f>[1]Results!I242</f>
        <v>2.4770827469999999</v>
      </c>
      <c r="G493" s="3">
        <f>[1]Results!J242</f>
        <v>2.5093666809999999</v>
      </c>
      <c r="H493" s="3">
        <f>[1]Results!K242</f>
        <v>2.5441740340000001</v>
      </c>
      <c r="I493" s="3">
        <f>[1]Results!L242</f>
        <v>2.579616256</v>
      </c>
      <c r="J493" s="3">
        <f>[1]Results!M242</f>
        <v>2.6163531619999998</v>
      </c>
      <c r="K493" s="3">
        <f>[1]Results!N242</f>
        <v>2.654317824</v>
      </c>
      <c r="L493" s="3">
        <f>[1]Results!O242</f>
        <v>2.6933564520000002</v>
      </c>
      <c r="M493" s="3">
        <f>[1]Results!P242</f>
        <v>2.735985152</v>
      </c>
      <c r="N493" s="3">
        <f>[1]Results!Q242</f>
        <v>2.7776421349999998</v>
      </c>
      <c r="O493" s="3">
        <f>[1]Results!R242</f>
        <v>2.8196814479999999</v>
      </c>
      <c r="P493" s="3">
        <f>[1]Results!S242</f>
        <v>2.8623338180000002</v>
      </c>
      <c r="Q493" s="3">
        <f>[1]Results!T242</f>
        <v>2.9056221459999998</v>
      </c>
      <c r="R493" s="3">
        <f>[1]Results!U242</f>
        <v>2.9495423490000001</v>
      </c>
      <c r="S493" s="3">
        <f>[1]Results!V242</f>
        <v>2.9940955410000001</v>
      </c>
      <c r="T493" s="3">
        <f>[1]Results!W242</f>
        <v>3.0392911709999999</v>
      </c>
      <c r="U493" s="3">
        <f>[1]Results!X242</f>
        <v>3.0851448000000001</v>
      </c>
      <c r="V493" s="3">
        <f>[1]Results!Y242</f>
        <v>3.1316753720000001</v>
      </c>
      <c r="W493" s="3">
        <f>[1]Results!Z242</f>
        <v>3.1769283779999999</v>
      </c>
      <c r="X493" s="3">
        <f>[1]Results!AA242</f>
        <v>3.2242513719999999</v>
      </c>
      <c r="Y493" s="3">
        <f>[1]Results!AB242</f>
        <v>3.2726041110000001</v>
      </c>
      <c r="Z493" s="3">
        <f>[1]Results!AC242</f>
        <v>3.3217969969999999</v>
      </c>
      <c r="AA493" s="3">
        <f>[1]Results!AD242</f>
        <v>3.3718056820000002</v>
      </c>
      <c r="AB493" s="3">
        <f>[1]Results!AE242</f>
        <v>3.4169121250000001</v>
      </c>
      <c r="AC493" s="3">
        <f>[1]Results!AF242</f>
        <v>3.4640408790000001</v>
      </c>
      <c r="AD493" s="3">
        <f>[1]Results!AG242</f>
        <v>3.5119538729999999</v>
      </c>
      <c r="AE493" s="3">
        <f>[1]Results!AH242</f>
        <v>3.5604472089999999</v>
      </c>
      <c r="AF493" s="3">
        <f>[1]Results!AI242</f>
        <v>3.6095196450000002</v>
      </c>
      <c r="AG493" s="3">
        <f>[1]Results!AJ242</f>
        <v>3.6592028270000001</v>
      </c>
      <c r="AH493" s="3">
        <f>[1]Results!AK242</f>
        <v>3.7095267660000002</v>
      </c>
      <c r="AI493" s="3">
        <f>[1]Results!AL242</f>
        <v>3.7605126790000001</v>
      </c>
      <c r="AJ493" s="3">
        <f>[1]Results!AM242</f>
        <v>3.812172473</v>
      </c>
      <c r="AK493" s="3">
        <f>[1]Results!AN242</f>
        <v>3.864510267</v>
      </c>
      <c r="AL493" s="3">
        <f>[1]Results!AO242</f>
        <v>3.9175245410000001</v>
      </c>
      <c r="AM493" s="3">
        <f>[1]Results!AP242</f>
        <v>3.9698140799999999</v>
      </c>
      <c r="AN493" s="3">
        <f>[1]Results!AQ242</f>
        <v>4.0223102009999998</v>
      </c>
      <c r="AO493" s="3">
        <f>[1]Results!AR242</f>
        <v>4.0752093900000004</v>
      </c>
      <c r="AP493" s="3">
        <f>[1]Results!AS242</f>
        <v>4.1285652629999996</v>
      </c>
      <c r="AQ493" s="3">
        <f>[1]Results!AT242</f>
        <v>4.1824051940000002</v>
      </c>
      <c r="AR493" s="3">
        <f>[1]Results!AU242</f>
        <v>4.2367514550000003</v>
      </c>
      <c r="AS493" s="3">
        <f>[1]Results!AV242</f>
        <v>4.2916239190000001</v>
      </c>
      <c r="AT493" s="3">
        <f>[1]Results!AW242</f>
        <v>4.3470395030000004</v>
      </c>
      <c r="AU493" s="3">
        <f>[1]Results!AX242</f>
        <v>4.4030115600000004</v>
      </c>
      <c r="AV493" s="3">
        <f>[1]Results!AY242</f>
        <v>4.4595492160000001</v>
      </c>
      <c r="AW493" s="3">
        <f>[1]Results!AZ242</f>
        <v>4.5167821320000003</v>
      </c>
      <c r="AX493" s="3">
        <f>[1]Results!BA242</f>
        <v>4.5746674629999999</v>
      </c>
      <c r="AY493" s="3">
        <f>[1]Results!BB242</f>
        <v>4.6332013940000003</v>
      </c>
      <c r="AZ493" s="3">
        <f>[1]Results!BC242</f>
        <v>4.6923859270000001</v>
      </c>
      <c r="BA493" s="3">
        <f>[1]Results!BD242</f>
        <v>4.752222293</v>
      </c>
      <c r="BB493" s="3">
        <f>[1]Results!BE242</f>
        <v>5.2808698180000002</v>
      </c>
      <c r="BC493" s="3">
        <f>[1]Results!BF242</f>
        <v>5.3692964270000001</v>
      </c>
      <c r="BD493" s="3">
        <f>[1]Results!BG242</f>
        <v>5.4590872729999997</v>
      </c>
      <c r="BE493" s="3">
        <f>[1]Results!BH242</f>
        <v>5.5502613419999998</v>
      </c>
      <c r="BF493" s="3">
        <f>[1]Results!BI242</f>
        <v>5.6428395079999998</v>
      </c>
    </row>
    <row r="494" spans="1:58" x14ac:dyDescent="0.35">
      <c r="B494" s="3" t="s">
        <v>74</v>
      </c>
      <c r="C494" s="3">
        <f>SUM(C495:C497)</f>
        <v>51.443955967000001</v>
      </c>
      <c r="D494" s="3">
        <f t="shared" ref="D494:AL494" si="305">SUM(D495:D497)</f>
        <v>51.777455492999998</v>
      </c>
      <c r="E494" s="3">
        <f t="shared" si="305"/>
        <v>52.083240107000002</v>
      </c>
      <c r="F494" s="3">
        <f t="shared" si="305"/>
        <v>52.441258478999998</v>
      </c>
      <c r="G494" s="3">
        <f t="shared" si="305"/>
        <v>52.871554459999999</v>
      </c>
      <c r="H494" s="3">
        <f t="shared" si="305"/>
        <v>53.372867629000005</v>
      </c>
      <c r="I494" s="3">
        <f t="shared" si="305"/>
        <v>53.908570942000004</v>
      </c>
      <c r="J494" s="3">
        <f t="shared" si="305"/>
        <v>54.484149883000001</v>
      </c>
      <c r="K494" s="3">
        <f t="shared" si="305"/>
        <v>55.091570048999998</v>
      </c>
      <c r="L494" s="3">
        <f t="shared" si="305"/>
        <v>55.723795968000005</v>
      </c>
      <c r="M494" s="3">
        <f t="shared" si="305"/>
        <v>56.421206041000005</v>
      </c>
      <c r="N494" s="3">
        <f t="shared" si="305"/>
        <v>57.103365826000001</v>
      </c>
      <c r="O494" s="3">
        <f t="shared" si="305"/>
        <v>57.794246719</v>
      </c>
      <c r="P494" s="3">
        <f t="shared" si="305"/>
        <v>58.494115562000005</v>
      </c>
      <c r="Q494" s="3">
        <f t="shared" si="305"/>
        <v>59.20214318</v>
      </c>
      <c r="R494" s="3">
        <f t="shared" si="305"/>
        <v>59.917625528999999</v>
      </c>
      <c r="S494" s="3">
        <f t="shared" si="305"/>
        <v>60.640150030999997</v>
      </c>
      <c r="T494" s="3">
        <f t="shared" si="305"/>
        <v>61.36955337500001</v>
      </c>
      <c r="U494" s="3">
        <f t="shared" si="305"/>
        <v>62.105853186999994</v>
      </c>
      <c r="V494" s="3">
        <f t="shared" si="305"/>
        <v>62.849190285000006</v>
      </c>
      <c r="W494" s="3">
        <f t="shared" si="305"/>
        <v>63.566048743999993</v>
      </c>
      <c r="X494" s="3">
        <f t="shared" si="305"/>
        <v>64.313545430999994</v>
      </c>
      <c r="Y494" s="3">
        <f t="shared" si="305"/>
        <v>65.072193822000003</v>
      </c>
      <c r="Z494" s="3">
        <f t="shared" si="305"/>
        <v>65.840746246999998</v>
      </c>
      <c r="AA494" s="3">
        <f t="shared" si="305"/>
        <v>66.619160960000002</v>
      </c>
      <c r="AB494" s="3">
        <f t="shared" si="305"/>
        <v>67.310332786000004</v>
      </c>
      <c r="AC494" s="3">
        <f t="shared" si="305"/>
        <v>68.032300458000009</v>
      </c>
      <c r="AD494" s="3">
        <f t="shared" si="305"/>
        <v>68.759059037</v>
      </c>
      <c r="AE494" s="3">
        <f t="shared" si="305"/>
        <v>69.490555594</v>
      </c>
      <c r="AF494" s="3">
        <f t="shared" si="305"/>
        <v>70.228052242000004</v>
      </c>
      <c r="AG494" s="3">
        <f t="shared" si="305"/>
        <v>70.972869723000002</v>
      </c>
      <c r="AH494" s="3">
        <f t="shared" si="305"/>
        <v>71.726112115999996</v>
      </c>
      <c r="AI494" s="3">
        <f t="shared" si="305"/>
        <v>72.488619263999993</v>
      </c>
      <c r="AJ494" s="3">
        <f t="shared" si="305"/>
        <v>73.260992012999992</v>
      </c>
      <c r="AK494" s="3">
        <f t="shared" si="305"/>
        <v>74.043639103000004</v>
      </c>
      <c r="AL494" s="3">
        <f t="shared" si="305"/>
        <v>74.836826464000012</v>
      </c>
      <c r="AM494" s="3">
        <f t="shared" ref="AM494:BC494" si="306">SUM(AM495:AM497)</f>
        <v>75.617290537000002</v>
      </c>
      <c r="AN494" s="3">
        <f t="shared" si="306"/>
        <v>76.401084936999993</v>
      </c>
      <c r="AO494" s="3">
        <f t="shared" si="306"/>
        <v>77.190491652000006</v>
      </c>
      <c r="AP494" s="3">
        <f t="shared" si="306"/>
        <v>77.986700096999996</v>
      </c>
      <c r="AQ494" s="3">
        <f t="shared" si="306"/>
        <v>78.790638076000008</v>
      </c>
      <c r="AR494" s="3">
        <f t="shared" si="306"/>
        <v>79.603105753999998</v>
      </c>
      <c r="AS494" s="3">
        <f t="shared" si="306"/>
        <v>80.424778922000002</v>
      </c>
      <c r="AT494" s="3">
        <f t="shared" si="306"/>
        <v>81.256199973999998</v>
      </c>
      <c r="AU494" s="3">
        <f t="shared" si="306"/>
        <v>82.097772414999994</v>
      </c>
      <c r="AV494" s="3">
        <f t="shared" si="306"/>
        <v>82.94973902400001</v>
      </c>
      <c r="AW494" s="3">
        <f t="shared" si="306"/>
        <v>83.814141667999991</v>
      </c>
      <c r="AX494" s="3">
        <f t="shared" si="306"/>
        <v>84.689672080000008</v>
      </c>
      <c r="AY494" s="3">
        <f t="shared" si="306"/>
        <v>85.576072746000008</v>
      </c>
      <c r="AZ494" s="3">
        <f t="shared" si="306"/>
        <v>86.473852137999998</v>
      </c>
      <c r="BA494" s="3">
        <f t="shared" si="306"/>
        <v>87.383431644000012</v>
      </c>
      <c r="BB494" s="3">
        <f t="shared" si="306"/>
        <v>95.000434229000007</v>
      </c>
      <c r="BC494" s="3">
        <f t="shared" si="306"/>
        <v>96.305679523999999</v>
      </c>
      <c r="BD494" s="3">
        <f t="shared" ref="BD494:BF494" si="307">SUM(BD495:BD497)</f>
        <v>97.631281221000009</v>
      </c>
      <c r="BE494" s="3">
        <f t="shared" si="307"/>
        <v>98.977784716999992</v>
      </c>
      <c r="BF494" s="3">
        <f t="shared" si="307"/>
        <v>100.34575763000001</v>
      </c>
    </row>
    <row r="495" spans="1:58" x14ac:dyDescent="0.35">
      <c r="B495" s="3" t="str">
        <f>[1]Results!E245</f>
        <v>YG_toe_ccoi_0</v>
      </c>
      <c r="C495" s="3">
        <f>[1]Results!F245</f>
        <v>1.097368924</v>
      </c>
      <c r="D495" s="3">
        <f>[1]Results!G245</f>
        <v>1.1057038960000001</v>
      </c>
      <c r="E495" s="3">
        <f>[1]Results!H245</f>
        <v>1.1130509319999999</v>
      </c>
      <c r="F495" s="3">
        <f>[1]Results!I245</f>
        <v>1.121294832</v>
      </c>
      <c r="G495" s="3">
        <f>[1]Results!J245</f>
        <v>1.1309730769999999</v>
      </c>
      <c r="H495" s="3">
        <f>[1]Results!K245</f>
        <v>1.1421154529999999</v>
      </c>
      <c r="I495" s="3">
        <f>[1]Results!L245</f>
        <v>1.153956024</v>
      </c>
      <c r="J495" s="3">
        <f>[1]Results!M245</f>
        <v>1.166592182</v>
      </c>
      <c r="K495" s="3">
        <f>[1]Results!N245</f>
        <v>1.179891311</v>
      </c>
      <c r="L495" s="3">
        <f>[1]Results!O245</f>
        <v>1.1937072630000001</v>
      </c>
      <c r="M495" s="3">
        <f>[1]Results!P245</f>
        <v>1.2089186700000001</v>
      </c>
      <c r="N495" s="3">
        <f>[1]Results!Q245</f>
        <v>1.223835301</v>
      </c>
      <c r="O495" s="3">
        <f>[1]Results!R245</f>
        <v>1.2388558940000001</v>
      </c>
      <c r="P495" s="3">
        <f>[1]Results!S245</f>
        <v>1.2540528419999999</v>
      </c>
      <c r="Q495" s="3">
        <f>[1]Results!T245</f>
        <v>1.2694263589999999</v>
      </c>
      <c r="R495" s="3">
        <f>[1]Results!U245</f>
        <v>1.2849680990000001</v>
      </c>
      <c r="S495" s="3">
        <f>[1]Results!V245</f>
        <v>1.3006731840000001</v>
      </c>
      <c r="T495" s="3">
        <f>[1]Results!W245</f>
        <v>1.3165411570000001</v>
      </c>
      <c r="U495" s="3">
        <f>[1]Results!X245</f>
        <v>1.332574945</v>
      </c>
      <c r="V495" s="3">
        <f>[1]Results!Y245</f>
        <v>1.3487797370000001</v>
      </c>
      <c r="W495" s="3">
        <f>[1]Results!Z245</f>
        <v>1.3644293780000001</v>
      </c>
      <c r="X495" s="3">
        <f>[1]Results!AA245</f>
        <v>1.380725043</v>
      </c>
      <c r="Y495" s="3">
        <f>[1]Results!AB245</f>
        <v>1.397337923</v>
      </c>
      <c r="Z495" s="3">
        <f>[1]Results!AC245</f>
        <v>1.414195976</v>
      </c>
      <c r="AA495" s="3">
        <f>[1]Results!AD245</f>
        <v>1.431289265</v>
      </c>
      <c r="AB495" s="3">
        <f>[1]Results!AE245</f>
        <v>1.446507502</v>
      </c>
      <c r="AC495" s="3">
        <f>[1]Results!AF245</f>
        <v>1.462297044</v>
      </c>
      <c r="AD495" s="3">
        <f>[1]Results!AG245</f>
        <v>1.4783070869999999</v>
      </c>
      <c r="AE495" s="3">
        <f>[1]Results!AH245</f>
        <v>1.494476084</v>
      </c>
      <c r="AF495" s="3">
        <f>[1]Results!AI245</f>
        <v>1.510813642</v>
      </c>
      <c r="AG495" s="3">
        <f>[1]Results!AJ245</f>
        <v>1.527341163</v>
      </c>
      <c r="AH495" s="3">
        <f>[1]Results!AK245</f>
        <v>1.544078456</v>
      </c>
      <c r="AI495" s="3">
        <f>[1]Results!AL245</f>
        <v>1.5610409240000001</v>
      </c>
      <c r="AJ495" s="3">
        <f>[1]Results!AM245</f>
        <v>1.5782395229999999</v>
      </c>
      <c r="AK495" s="3">
        <f>[1]Results!AN245</f>
        <v>1.5956815129999999</v>
      </c>
      <c r="AL495" s="3">
        <f>[1]Results!AO245</f>
        <v>1.613371374</v>
      </c>
      <c r="AM495" s="3">
        <f>[1]Results!AP245</f>
        <v>1.630802227</v>
      </c>
      <c r="AN495" s="3">
        <f>[1]Results!AQ245</f>
        <v>1.648293217</v>
      </c>
      <c r="AO495" s="3">
        <f>[1]Results!AR245</f>
        <v>1.665929502</v>
      </c>
      <c r="AP495" s="3">
        <f>[1]Results!AS245</f>
        <v>1.6837411170000001</v>
      </c>
      <c r="AQ495" s="3">
        <f>[1]Results!AT245</f>
        <v>1.7017460659999999</v>
      </c>
      <c r="AR495" s="3">
        <f>[1]Results!AU245</f>
        <v>1.719958804</v>
      </c>
      <c r="AS495" s="3">
        <f>[1]Results!AV245</f>
        <v>1.7383914620000001</v>
      </c>
      <c r="AT495" s="3">
        <f>[1]Results!AW245</f>
        <v>1.757053814</v>
      </c>
      <c r="AU495" s="3">
        <f>[1]Results!AX245</f>
        <v>1.775953085</v>
      </c>
      <c r="AV495" s="3">
        <f>[1]Results!AY245</f>
        <v>1.795093324</v>
      </c>
      <c r="AW495" s="3">
        <f>[1]Results!AZ245</f>
        <v>1.8145177779999999</v>
      </c>
      <c r="AX495" s="3">
        <f>[1]Results!BA245</f>
        <v>1.8341973600000001</v>
      </c>
      <c r="AY495" s="3">
        <f>[1]Results!BB245</f>
        <v>1.854120346</v>
      </c>
      <c r="AZ495" s="3">
        <f>[1]Results!BC245</f>
        <v>1.8742991579999999</v>
      </c>
      <c r="BA495" s="3">
        <f>[1]Results!BD245</f>
        <v>1.894746694</v>
      </c>
      <c r="BB495" s="3">
        <f>[1]Results!BE245</f>
        <v>2.0594486289999998</v>
      </c>
      <c r="BC495" s="3">
        <f>[1]Results!BF245</f>
        <v>2.0887388640000002</v>
      </c>
      <c r="BD495" s="3">
        <f>[1]Results!BG245</f>
        <v>2.118508641</v>
      </c>
      <c r="BE495" s="3">
        <f>[1]Results!BH245</f>
        <v>2.1487698270000002</v>
      </c>
      <c r="BF495" s="3">
        <f>[1]Results!BI245</f>
        <v>2.1795345500000001</v>
      </c>
    </row>
    <row r="496" spans="1:58" x14ac:dyDescent="0.35">
      <c r="B496" s="3" t="str">
        <f>[1]Results!E248</f>
        <v>YG_toe_cfut_0</v>
      </c>
      <c r="C496" s="3">
        <f>[1]Results!F248</f>
        <v>42.403763159999997</v>
      </c>
      <c r="D496" s="3">
        <f>[1]Results!G248</f>
        <v>42.671330259999998</v>
      </c>
      <c r="E496" s="3">
        <f>[1]Results!H248</f>
        <v>42.920814280000002</v>
      </c>
      <c r="F496" s="3">
        <f>[1]Results!I248</f>
        <v>43.221645610000003</v>
      </c>
      <c r="G496" s="3">
        <f>[1]Results!J248</f>
        <v>43.59053445</v>
      </c>
      <c r="H496" s="3">
        <f>[1]Results!K248</f>
        <v>44.022083260000002</v>
      </c>
      <c r="I496" s="3">
        <f>[1]Results!L248</f>
        <v>44.483522000000001</v>
      </c>
      <c r="J496" s="3">
        <f>[1]Results!M248</f>
        <v>44.978733200000001</v>
      </c>
      <c r="K496" s="3">
        <f>[1]Results!N248</f>
        <v>45.500559770000002</v>
      </c>
      <c r="L496" s="3">
        <f>[1]Results!O248</f>
        <v>46.043145780000003</v>
      </c>
      <c r="M496" s="3">
        <f>[1]Results!P248</f>
        <v>46.639897910000002</v>
      </c>
      <c r="N496" s="3">
        <f>[1]Results!Q248</f>
        <v>47.223769050000001</v>
      </c>
      <c r="O496" s="3">
        <f>[1]Results!R248</f>
        <v>47.81572371</v>
      </c>
      <c r="P496" s="3">
        <f>[1]Results!S248</f>
        <v>48.415613700000002</v>
      </c>
      <c r="Q496" s="3">
        <f>[1]Results!T248</f>
        <v>49.022576489999999</v>
      </c>
      <c r="R496" s="3">
        <f>[1]Results!U248</f>
        <v>49.635924340000003</v>
      </c>
      <c r="S496" s="3">
        <f>[1]Results!V248</f>
        <v>50.255243350000001</v>
      </c>
      <c r="T496" s="3">
        <f>[1]Results!W248</f>
        <v>50.880344450000003</v>
      </c>
      <c r="U496" s="3">
        <f>[1]Results!X248</f>
        <v>51.511200580000001</v>
      </c>
      <c r="V496" s="3">
        <f>[1]Results!Y248</f>
        <v>52.147895470000002</v>
      </c>
      <c r="W496" s="3">
        <f>[1]Results!Z248</f>
        <v>52.762622989999997</v>
      </c>
      <c r="X496" s="3">
        <f>[1]Results!AA248</f>
        <v>53.403172920000003</v>
      </c>
      <c r="Y496" s="3">
        <f>[1]Results!AB248</f>
        <v>54.052528619999997</v>
      </c>
      <c r="Z496" s="3">
        <f>[1]Results!AC248</f>
        <v>54.709884330000001</v>
      </c>
      <c r="AA496" s="3">
        <f>[1]Results!AD248</f>
        <v>55.37528906</v>
      </c>
      <c r="AB496" s="3">
        <f>[1]Results!AE248</f>
        <v>55.968175440000003</v>
      </c>
      <c r="AC496" s="3">
        <f>[1]Results!AF248</f>
        <v>56.58789024</v>
      </c>
      <c r="AD496" s="3">
        <f>[1]Results!AG248</f>
        <v>57.211059259999999</v>
      </c>
      <c r="AE496" s="3">
        <f>[1]Results!AH248</f>
        <v>57.837820020000002</v>
      </c>
      <c r="AF496" s="3">
        <f>[1]Results!AI248</f>
        <v>58.469319259999999</v>
      </c>
      <c r="AG496" s="3">
        <f>[1]Results!AJ248</f>
        <v>59.106717510000003</v>
      </c>
      <c r="AH496" s="3">
        <f>[1]Results!AK248</f>
        <v>59.750971749999998</v>
      </c>
      <c r="AI496" s="3">
        <f>[1]Results!AL248</f>
        <v>60.402807979999999</v>
      </c>
      <c r="AJ496" s="3">
        <f>[1]Results!AM248</f>
        <v>61.062747119999997</v>
      </c>
      <c r="AK496" s="3">
        <f>[1]Results!AN248</f>
        <v>61.731146350000003</v>
      </c>
      <c r="AL496" s="3">
        <f>[1]Results!AO248</f>
        <v>62.408241510000003</v>
      </c>
      <c r="AM496" s="3">
        <f>[1]Results!AP248</f>
        <v>63.07468274</v>
      </c>
      <c r="AN496" s="3">
        <f>[1]Results!AQ248</f>
        <v>63.744179350000003</v>
      </c>
      <c r="AO496" s="3">
        <f>[1]Results!AR248</f>
        <v>64.418396830000006</v>
      </c>
      <c r="AP496" s="3">
        <f>[1]Results!AS248</f>
        <v>65.09824399</v>
      </c>
      <c r="AQ496" s="3">
        <f>[1]Results!AT248</f>
        <v>65.784468090000004</v>
      </c>
      <c r="AR496" s="3">
        <f>[1]Results!AU248</f>
        <v>66.477733459999996</v>
      </c>
      <c r="AS496" s="3">
        <f>[1]Results!AV248</f>
        <v>67.178612049999998</v>
      </c>
      <c r="AT496" s="3">
        <f>[1]Results!AW248</f>
        <v>67.887572989999995</v>
      </c>
      <c r="AU496" s="3">
        <f>[1]Results!AX248</f>
        <v>68.604983439999998</v>
      </c>
      <c r="AV496" s="3">
        <f>[1]Results!AY248</f>
        <v>69.331117430000006</v>
      </c>
      <c r="AW496" s="3">
        <f>[1]Results!AZ248</f>
        <v>70.067921839999997</v>
      </c>
      <c r="AX496" s="3">
        <f>[1]Results!BA248</f>
        <v>70.814276680000006</v>
      </c>
      <c r="AY496" s="3">
        <f>[1]Results!BB248</f>
        <v>71.570129690000002</v>
      </c>
      <c r="AZ496" s="3">
        <f>[1]Results!BC248</f>
        <v>72.335539359999999</v>
      </c>
      <c r="BA496" s="3">
        <f>[1]Results!BD248</f>
        <v>73.110565440000002</v>
      </c>
      <c r="BB496" s="3">
        <f>[1]Results!BE248</f>
        <v>79.660940400000001</v>
      </c>
      <c r="BC496" s="3">
        <f>[1]Results!BF248</f>
        <v>80.770912499999994</v>
      </c>
      <c r="BD496" s="3">
        <f>[1]Results!BG248</f>
        <v>81.898136870000002</v>
      </c>
      <c r="BE496" s="3">
        <f>[1]Results!BH248</f>
        <v>83.043075369999997</v>
      </c>
      <c r="BF496" s="3">
        <f>[1]Results!BI248</f>
        <v>84.206216670000003</v>
      </c>
    </row>
    <row r="497" spans="1:58" x14ac:dyDescent="0.35">
      <c r="B497" s="3" t="str">
        <f>[1]Results!E251</f>
        <v>YG_toe_cfuh_0</v>
      </c>
      <c r="C497" s="3">
        <f>[1]Results!F251</f>
        <v>7.942823883</v>
      </c>
      <c r="D497" s="3">
        <f>[1]Results!G251</f>
        <v>8.0004213370000006</v>
      </c>
      <c r="E497" s="3">
        <f>[1]Results!H251</f>
        <v>8.0493748949999997</v>
      </c>
      <c r="F497" s="3">
        <f>[1]Results!I251</f>
        <v>8.0983180370000003</v>
      </c>
      <c r="G497" s="3">
        <f>[1]Results!J251</f>
        <v>8.1500469330000005</v>
      </c>
      <c r="H497" s="3">
        <f>[1]Results!K251</f>
        <v>8.2086689160000006</v>
      </c>
      <c r="I497" s="3">
        <f>[1]Results!L251</f>
        <v>8.2710929180000008</v>
      </c>
      <c r="J497" s="3">
        <f>[1]Results!M251</f>
        <v>8.3388245009999995</v>
      </c>
      <c r="K497" s="3">
        <f>[1]Results!N251</f>
        <v>8.4111189680000003</v>
      </c>
      <c r="L497" s="3">
        <f>[1]Results!O251</f>
        <v>8.4869429249999992</v>
      </c>
      <c r="M497" s="3">
        <f>[1]Results!P251</f>
        <v>8.5723894610000002</v>
      </c>
      <c r="N497" s="3">
        <f>[1]Results!Q251</f>
        <v>8.6557614750000003</v>
      </c>
      <c r="O497" s="3">
        <f>[1]Results!R251</f>
        <v>8.7396671149999996</v>
      </c>
      <c r="P497" s="3">
        <f>[1]Results!S251</f>
        <v>8.8244490199999994</v>
      </c>
      <c r="Q497" s="3">
        <f>[1]Results!T251</f>
        <v>8.9101403309999991</v>
      </c>
      <c r="R497" s="3">
        <f>[1]Results!U251</f>
        <v>8.9967330899999993</v>
      </c>
      <c r="S497" s="3">
        <f>[1]Results!V251</f>
        <v>9.0842334969999996</v>
      </c>
      <c r="T497" s="3">
        <f>[1]Results!W251</f>
        <v>9.1726677680000002</v>
      </c>
      <c r="U497" s="3">
        <f>[1]Results!X251</f>
        <v>9.2620776619999994</v>
      </c>
      <c r="V497" s="3">
        <f>[1]Results!Y251</f>
        <v>9.3525150779999997</v>
      </c>
      <c r="W497" s="3">
        <f>[1]Results!Z251</f>
        <v>9.4389963760000004</v>
      </c>
      <c r="X497" s="3">
        <f>[1]Results!AA251</f>
        <v>9.5296474680000003</v>
      </c>
      <c r="Y497" s="3">
        <f>[1]Results!AB251</f>
        <v>9.6223272790000003</v>
      </c>
      <c r="Z497" s="3">
        <f>[1]Results!AC251</f>
        <v>9.7166659410000005</v>
      </c>
      <c r="AA497" s="3">
        <f>[1]Results!AD251</f>
        <v>9.8125826350000001</v>
      </c>
      <c r="AB497" s="3">
        <f>[1]Results!AE251</f>
        <v>9.8956498439999994</v>
      </c>
      <c r="AC497" s="3">
        <f>[1]Results!AF251</f>
        <v>9.9821131740000002</v>
      </c>
      <c r="AD497" s="3">
        <f>[1]Results!AG251</f>
        <v>10.06969269</v>
      </c>
      <c r="AE497" s="3">
        <f>[1]Results!AH251</f>
        <v>10.158259490000001</v>
      </c>
      <c r="AF497" s="3">
        <f>[1]Results!AI251</f>
        <v>10.247919339999999</v>
      </c>
      <c r="AG497" s="3">
        <f>[1]Results!AJ251</f>
        <v>10.33881105</v>
      </c>
      <c r="AH497" s="3">
        <f>[1]Results!AK251</f>
        <v>10.43106191</v>
      </c>
      <c r="AI497" s="3">
        <f>[1]Results!AL251</f>
        <v>10.52477036</v>
      </c>
      <c r="AJ497" s="3">
        <f>[1]Results!AM251</f>
        <v>10.620005369999999</v>
      </c>
      <c r="AK497" s="3">
        <f>[1]Results!AN251</f>
        <v>10.71681124</v>
      </c>
      <c r="AL497" s="3">
        <f>[1]Results!AO251</f>
        <v>10.81521358</v>
      </c>
      <c r="AM497" s="3">
        <f>[1]Results!AP251</f>
        <v>10.91180557</v>
      </c>
      <c r="AN497" s="3">
        <f>[1]Results!AQ251</f>
        <v>11.00861237</v>
      </c>
      <c r="AO497" s="3">
        <f>[1]Results!AR251</f>
        <v>11.106165320000001</v>
      </c>
      <c r="AP497" s="3">
        <f>[1]Results!AS251</f>
        <v>11.204714989999999</v>
      </c>
      <c r="AQ497" s="3">
        <f>[1]Results!AT251</f>
        <v>11.30442392</v>
      </c>
      <c r="AR497" s="3">
        <f>[1]Results!AU251</f>
        <v>11.405413490000001</v>
      </c>
      <c r="AS497" s="3">
        <f>[1]Results!AV251</f>
        <v>11.507775410000001</v>
      </c>
      <c r="AT497" s="3">
        <f>[1]Results!AW251</f>
        <v>11.61157317</v>
      </c>
      <c r="AU497" s="3">
        <f>[1]Results!AX251</f>
        <v>11.71683589</v>
      </c>
      <c r="AV497" s="3">
        <f>[1]Results!AY251</f>
        <v>11.823528270000001</v>
      </c>
      <c r="AW497" s="3">
        <f>[1]Results!AZ251</f>
        <v>11.93170205</v>
      </c>
      <c r="AX497" s="3">
        <f>[1]Results!BA251</f>
        <v>12.041198039999999</v>
      </c>
      <c r="AY497" s="3">
        <f>[1]Results!BB251</f>
        <v>12.151822709999999</v>
      </c>
      <c r="AZ497" s="3">
        <f>[1]Results!BC251</f>
        <v>12.26401362</v>
      </c>
      <c r="BA497" s="3">
        <f>[1]Results!BD251</f>
        <v>12.378119509999999</v>
      </c>
      <c r="BB497" s="3">
        <f>[1]Results!BE251</f>
        <v>13.2800452</v>
      </c>
      <c r="BC497" s="3">
        <f>[1]Results!BF251</f>
        <v>13.446028159999999</v>
      </c>
      <c r="BD497" s="3">
        <f>[1]Results!BG251</f>
        <v>13.61463571</v>
      </c>
      <c r="BE497" s="3">
        <f>[1]Results!BH251</f>
        <v>13.785939519999999</v>
      </c>
      <c r="BF497" s="3">
        <f>[1]Results!BI251</f>
        <v>13.96000641</v>
      </c>
    </row>
    <row r="498" spans="1:58" x14ac:dyDescent="0.35">
      <c r="B498" s="3" t="str">
        <f>[1]Results!E253</f>
        <v>YG_toe_cgas_0</v>
      </c>
      <c r="C498" s="3">
        <f>[1]Results!F253</f>
        <v>6.6062603229999999</v>
      </c>
      <c r="D498" s="3">
        <f>[1]Results!G253</f>
        <v>6.6480353159999996</v>
      </c>
      <c r="E498" s="3">
        <f>[1]Results!H253</f>
        <v>6.6704480950000002</v>
      </c>
      <c r="F498" s="3">
        <f>[1]Results!I253</f>
        <v>6.6792893109999998</v>
      </c>
      <c r="G498" s="3">
        <f>[1]Results!J253</f>
        <v>6.6778001109999998</v>
      </c>
      <c r="H498" s="3">
        <f>[1]Results!K253</f>
        <v>6.675258253</v>
      </c>
      <c r="I498" s="3">
        <f>[1]Results!L253</f>
        <v>6.6708197609999997</v>
      </c>
      <c r="J498" s="3">
        <f>[1]Results!M253</f>
        <v>6.6697477489999999</v>
      </c>
      <c r="K498" s="3">
        <f>[1]Results!N253</f>
        <v>6.6711559339999997</v>
      </c>
      <c r="L498" s="3">
        <f>[1]Results!O253</f>
        <v>6.6741641180000002</v>
      </c>
      <c r="M498" s="3">
        <f>[1]Results!P253</f>
        <v>6.686073522</v>
      </c>
      <c r="N498" s="3">
        <f>[1]Results!Q253</f>
        <v>6.6900411980000003</v>
      </c>
      <c r="O498" s="3">
        <f>[1]Results!R253</f>
        <v>6.6946569419999999</v>
      </c>
      <c r="P498" s="3">
        <f>[1]Results!S253</f>
        <v>6.6998824240000001</v>
      </c>
      <c r="Q498" s="3">
        <f>[1]Results!T253</f>
        <v>6.705927977</v>
      </c>
      <c r="R498" s="3">
        <f>[1]Results!U253</f>
        <v>6.7129278589999997</v>
      </c>
      <c r="S498" s="3">
        <f>[1]Results!V253</f>
        <v>6.7209333249999998</v>
      </c>
      <c r="T498" s="3">
        <f>[1]Results!W253</f>
        <v>6.7299379650000004</v>
      </c>
      <c r="U498" s="3">
        <f>[1]Results!X253</f>
        <v>6.7398986470000004</v>
      </c>
      <c r="V498" s="3">
        <f>[1]Results!Y253</f>
        <v>6.7507501899999998</v>
      </c>
      <c r="W498" s="3">
        <f>[1]Results!Z253</f>
        <v>6.7568754630000001</v>
      </c>
      <c r="X498" s="3">
        <f>[1]Results!AA253</f>
        <v>6.7699868460000001</v>
      </c>
      <c r="Y498" s="3">
        <f>[1]Results!AB253</f>
        <v>6.7836348620000004</v>
      </c>
      <c r="Z498" s="3">
        <f>[1]Results!AC253</f>
        <v>6.7978218999999998</v>
      </c>
      <c r="AA498" s="3">
        <f>[1]Results!AD253</f>
        <v>6.8123806849999999</v>
      </c>
      <c r="AB498" s="3">
        <f>[1]Results!AE253</f>
        <v>6.8115622719999998</v>
      </c>
      <c r="AC498" s="3">
        <f>[1]Results!AF253</f>
        <v>6.8214316100000003</v>
      </c>
      <c r="AD498" s="3">
        <f>[1]Results!AG253</f>
        <v>6.8320571120000002</v>
      </c>
      <c r="AE498" s="3">
        <f>[1]Results!AH253</f>
        <v>6.8435382929999999</v>
      </c>
      <c r="AF498" s="3">
        <f>[1]Results!AI253</f>
        <v>6.8554909530000003</v>
      </c>
      <c r="AG498" s="3">
        <f>[1]Results!AJ253</f>
        <v>6.8675971039999997</v>
      </c>
      <c r="AH498" s="3">
        <f>[1]Results!AK253</f>
        <v>6.8796483930000001</v>
      </c>
      <c r="AI498" s="3">
        <f>[1]Results!AL253</f>
        <v>6.891522202</v>
      </c>
      <c r="AJ498" s="3">
        <f>[1]Results!AM253</f>
        <v>6.9031590239999998</v>
      </c>
      <c r="AK498" s="3">
        <f>[1]Results!AN253</f>
        <v>6.9145443980000003</v>
      </c>
      <c r="AL498" s="3">
        <f>[1]Results!AO253</f>
        <v>6.9256947230000003</v>
      </c>
      <c r="AM498" s="3">
        <f>[1]Results!AP253</f>
        <v>6.9330359770000003</v>
      </c>
      <c r="AN498" s="3">
        <f>[1]Results!AQ253</f>
        <v>6.9408049329999999</v>
      </c>
      <c r="AO498" s="3">
        <f>[1]Results!AR253</f>
        <v>6.9489016269999997</v>
      </c>
      <c r="AP498" s="3">
        <f>[1]Results!AS253</f>
        <v>6.9573271940000003</v>
      </c>
      <c r="AQ498" s="3">
        <f>[1]Results!AT253</f>
        <v>6.9660339330000003</v>
      </c>
      <c r="AR498" s="3">
        <f>[1]Results!AU253</f>
        <v>6.9749455329999996</v>
      </c>
      <c r="AS498" s="3">
        <f>[1]Results!AV253</f>
        <v>6.9839789720000001</v>
      </c>
      <c r="AT498" s="3">
        <f>[1]Results!AW253</f>
        <v>6.9930500450000004</v>
      </c>
      <c r="AU498" s="3">
        <f>[1]Results!AX253</f>
        <v>7.0020595050000001</v>
      </c>
      <c r="AV498" s="3">
        <f>[1]Results!AY253</f>
        <v>7.010841847</v>
      </c>
      <c r="AW498" s="3">
        <f>[1]Results!AZ253</f>
        <v>7.0192826860000004</v>
      </c>
      <c r="AX498" s="3">
        <f>[1]Results!BA253</f>
        <v>7.0268422160000004</v>
      </c>
      <c r="AY498" s="3">
        <f>[1]Results!BB253</f>
        <v>7.0323414800000004</v>
      </c>
      <c r="AZ498" s="3">
        <f>[1]Results!BC253</f>
        <v>7.0376312390000004</v>
      </c>
      <c r="BA498" s="3">
        <f>[1]Results!BD253</f>
        <v>7.0441854570000002</v>
      </c>
      <c r="BB498" s="3">
        <f>[1]Results!BE253</f>
        <v>6.5550224909999999</v>
      </c>
      <c r="BC498" s="3">
        <f>[1]Results!BF253</f>
        <v>6.5727831459999999</v>
      </c>
      <c r="BD498" s="3">
        <f>[1]Results!BG253</f>
        <v>6.5912239770000003</v>
      </c>
      <c r="BE498" s="3">
        <f>[1]Results!BH253</f>
        <v>6.6103602400000003</v>
      </c>
      <c r="BF498" s="3">
        <f>[1]Results!BI253</f>
        <v>6.6301887920000002</v>
      </c>
    </row>
    <row r="499" spans="1:58" x14ac:dyDescent="0.35">
      <c r="B499" s="3" t="str">
        <f>[1]Results!E259</f>
        <v>YG_toe_cele_0</v>
      </c>
      <c r="C499" s="3">
        <f>[1]Results!F259</f>
        <v>57.529655949999999</v>
      </c>
      <c r="D499" s="3">
        <f>[1]Results!G259</f>
        <v>58.024710339999999</v>
      </c>
      <c r="E499" s="3">
        <f>[1]Results!H259</f>
        <v>58.486192180000003</v>
      </c>
      <c r="F499" s="3">
        <f>[1]Results!I259</f>
        <v>58.965917310000002</v>
      </c>
      <c r="G499" s="3">
        <f>[1]Results!J259</f>
        <v>59.482010879999997</v>
      </c>
      <c r="H499" s="3">
        <f>[1]Results!K259</f>
        <v>60.04720914</v>
      </c>
      <c r="I499" s="3">
        <f>[1]Results!L259</f>
        <v>60.6281222</v>
      </c>
      <c r="J499" s="3">
        <f>[1]Results!M259</f>
        <v>61.237200260000002</v>
      </c>
      <c r="K499" s="3">
        <f>[1]Results!N259</f>
        <v>61.869040750000003</v>
      </c>
      <c r="L499" s="3">
        <f>[1]Results!O259</f>
        <v>62.517182900000002</v>
      </c>
      <c r="M499" s="3">
        <f>[1]Results!P259</f>
        <v>63.233221010000001</v>
      </c>
      <c r="N499" s="3">
        <f>[1]Results!Q259</f>
        <v>63.920640849999998</v>
      </c>
      <c r="O499" s="3">
        <f>[1]Results!R259</f>
        <v>64.606280609999999</v>
      </c>
      <c r="P499" s="3">
        <f>[1]Results!S259</f>
        <v>65.293249950000003</v>
      </c>
      <c r="Q499" s="3">
        <f>[1]Results!T259</f>
        <v>65.982451800000007</v>
      </c>
      <c r="R499" s="3">
        <f>[1]Results!U259</f>
        <v>66.674545100000003</v>
      </c>
      <c r="S499" s="3">
        <f>[1]Results!V259</f>
        <v>67.370347170000002</v>
      </c>
      <c r="T499" s="3">
        <f>[1]Results!W259</f>
        <v>68.070875290000004</v>
      </c>
      <c r="U499" s="3">
        <f>[1]Results!X259</f>
        <v>68.777303059999994</v>
      </c>
      <c r="V499" s="3">
        <f>[1]Results!Y259</f>
        <v>69.490899249999998</v>
      </c>
      <c r="W499" s="3">
        <f>[1]Results!Z259</f>
        <v>70.171593680000001</v>
      </c>
      <c r="X499" s="3">
        <f>[1]Results!AA259</f>
        <v>70.889139760000006</v>
      </c>
      <c r="Y499" s="3">
        <f>[1]Results!AB259</f>
        <v>71.623619509999997</v>
      </c>
      <c r="Z499" s="3">
        <f>[1]Results!AC259</f>
        <v>72.373229739999999</v>
      </c>
      <c r="AA499" s="3">
        <f>[1]Results!AD259</f>
        <v>73.138100499999993</v>
      </c>
      <c r="AB499" s="3">
        <f>[1]Results!AE259</f>
        <v>73.800083540000003</v>
      </c>
      <c r="AC499" s="3">
        <f>[1]Results!AF259</f>
        <v>74.499691240000004</v>
      </c>
      <c r="AD499" s="3">
        <f>[1]Results!AG259</f>
        <v>75.212717650000002</v>
      </c>
      <c r="AE499" s="3">
        <f>[1]Results!AH259</f>
        <v>75.93882936</v>
      </c>
      <c r="AF499" s="3">
        <f>[1]Results!AI259</f>
        <v>76.679497130000001</v>
      </c>
      <c r="AG499" s="3">
        <f>[1]Results!AJ259</f>
        <v>77.436238540000005</v>
      </c>
      <c r="AH499" s="3">
        <f>[1]Results!AK259</f>
        <v>78.210221759999996</v>
      </c>
      <c r="AI499" s="3">
        <f>[1]Results!AL259</f>
        <v>79.002206319999999</v>
      </c>
      <c r="AJ499" s="3">
        <f>[1]Results!AM259</f>
        <v>79.812580780000005</v>
      </c>
      <c r="AK499" s="3">
        <f>[1]Results!AN259</f>
        <v>80.641432170000002</v>
      </c>
      <c r="AL499" s="3">
        <f>[1]Results!AO259</f>
        <v>81.488623660000002</v>
      </c>
      <c r="AM499" s="3">
        <f>[1]Results!AP259</f>
        <v>82.325474150000005</v>
      </c>
      <c r="AN499" s="3">
        <f>[1]Results!AQ259</f>
        <v>83.169913059999999</v>
      </c>
      <c r="AO499" s="3">
        <f>[1]Results!AR259</f>
        <v>84.025416870000001</v>
      </c>
      <c r="AP499" s="3">
        <f>[1]Results!AS259</f>
        <v>84.893519299999994</v>
      </c>
      <c r="AQ499" s="3">
        <f>[1]Results!AT259</f>
        <v>85.77518723</v>
      </c>
      <c r="AR499" s="3">
        <f>[1]Results!AU259</f>
        <v>86.671129469999997</v>
      </c>
      <c r="AS499" s="3">
        <f>[1]Results!AV259</f>
        <v>87.581865260000001</v>
      </c>
      <c r="AT499" s="3">
        <f>[1]Results!AW259</f>
        <v>88.507748599999999</v>
      </c>
      <c r="AU499" s="3">
        <f>[1]Results!AX259</f>
        <v>89.448949010000007</v>
      </c>
      <c r="AV499" s="3">
        <f>[1]Results!AY259</f>
        <v>90.405352919999999</v>
      </c>
      <c r="AW499" s="3">
        <f>[1]Results!AZ259</f>
        <v>91.378581620000006</v>
      </c>
      <c r="AX499" s="3">
        <f>[1]Results!BA259</f>
        <v>92.366398799999999</v>
      </c>
      <c r="AY499" s="3">
        <f>[1]Results!BB259</f>
        <v>93.367646949999994</v>
      </c>
      <c r="AZ499" s="3">
        <f>[1]Results!BC259</f>
        <v>94.383784469999995</v>
      </c>
      <c r="BA499" s="3">
        <f>[1]Results!BD259</f>
        <v>95.416139529999995</v>
      </c>
      <c r="BB499" s="3">
        <f>[1]Results!BE259</f>
        <v>102.0538025</v>
      </c>
      <c r="BC499" s="3">
        <f>[1]Results!BF259</f>
        <v>103.4970831</v>
      </c>
      <c r="BD499" s="3">
        <f>[1]Results!BG259</f>
        <v>104.966171</v>
      </c>
      <c r="BE499" s="3">
        <f>[1]Results!BH259</f>
        <v>106.46154749999999</v>
      </c>
      <c r="BF499" s="3">
        <f>[1]Results!BI259</f>
        <v>107.9836487</v>
      </c>
    </row>
    <row r="500" spans="1:58" x14ac:dyDescent="0.35">
      <c r="B500" s="3" t="s">
        <v>75</v>
      </c>
      <c r="C500" s="3">
        <f>SUM(C501:C503)</f>
        <v>30.778720490000001</v>
      </c>
      <c r="D500" s="3">
        <f t="shared" ref="D500:AL500" si="308">SUM(D501:D503)</f>
        <v>31.070398473999997</v>
      </c>
      <c r="E500" s="3">
        <f t="shared" si="308"/>
        <v>31.356173279000004</v>
      </c>
      <c r="F500" s="3">
        <f t="shared" si="308"/>
        <v>31.651914325</v>
      </c>
      <c r="G500" s="3">
        <f t="shared" si="308"/>
        <v>31.964222318000001</v>
      </c>
      <c r="H500" s="3">
        <f t="shared" si="308"/>
        <v>32.288485172999998</v>
      </c>
      <c r="I500" s="3">
        <f t="shared" si="308"/>
        <v>32.603310124000004</v>
      </c>
      <c r="J500" s="3">
        <f t="shared" si="308"/>
        <v>32.923426104000001</v>
      </c>
      <c r="K500" s="3">
        <f t="shared" si="308"/>
        <v>33.251300161000003</v>
      </c>
      <c r="L500" s="3">
        <f t="shared" si="308"/>
        <v>33.586763585</v>
      </c>
      <c r="M500" s="3">
        <f t="shared" si="308"/>
        <v>33.965995563</v>
      </c>
      <c r="N500" s="3">
        <f t="shared" si="308"/>
        <v>34.325675345999997</v>
      </c>
      <c r="O500" s="3">
        <f t="shared" si="308"/>
        <v>34.684694915999998</v>
      </c>
      <c r="P500" s="3">
        <f t="shared" si="308"/>
        <v>35.046034915999996</v>
      </c>
      <c r="Q500" s="3">
        <f t="shared" si="308"/>
        <v>35.410630244000004</v>
      </c>
      <c r="R500" s="3">
        <f t="shared" si="308"/>
        <v>35.778870236000003</v>
      </c>
      <c r="S500" s="3">
        <f t="shared" si="308"/>
        <v>36.151021528000001</v>
      </c>
      <c r="T500" s="3">
        <f t="shared" si="308"/>
        <v>36.527352948000001</v>
      </c>
      <c r="U500" s="3">
        <f t="shared" si="308"/>
        <v>36.908164338999995</v>
      </c>
      <c r="V500" s="3">
        <f t="shared" si="308"/>
        <v>37.293782477999997</v>
      </c>
      <c r="W500" s="3">
        <f t="shared" si="308"/>
        <v>37.657996896</v>
      </c>
      <c r="X500" s="3">
        <f t="shared" si="308"/>
        <v>38.046119228999999</v>
      </c>
      <c r="Y500" s="3">
        <f t="shared" si="308"/>
        <v>38.444203399000003</v>
      </c>
      <c r="Z500" s="3">
        <f t="shared" si="308"/>
        <v>38.850161201999995</v>
      </c>
      <c r="AA500" s="3">
        <f t="shared" si="308"/>
        <v>39.263450500000005</v>
      </c>
      <c r="AB500" s="3">
        <f t="shared" si="308"/>
        <v>39.608471756999997</v>
      </c>
      <c r="AC500" s="3">
        <f t="shared" si="308"/>
        <v>39.977566800000005</v>
      </c>
      <c r="AD500" s="3">
        <f t="shared" si="308"/>
        <v>40.354421234</v>
      </c>
      <c r="AE500" s="3">
        <f t="shared" si="308"/>
        <v>40.737783027000006</v>
      </c>
      <c r="AF500" s="3">
        <f t="shared" si="308"/>
        <v>41.127664601999996</v>
      </c>
      <c r="AG500" s="3">
        <f t="shared" si="308"/>
        <v>41.524341182000001</v>
      </c>
      <c r="AH500" s="3">
        <f t="shared" si="308"/>
        <v>41.928084691999999</v>
      </c>
      <c r="AI500" s="3">
        <f t="shared" si="308"/>
        <v>42.339091709000002</v>
      </c>
      <c r="AJ500" s="3">
        <f t="shared" si="308"/>
        <v>42.757472590999996</v>
      </c>
      <c r="AK500" s="3">
        <f t="shared" si="308"/>
        <v>43.183263486999998</v>
      </c>
      <c r="AL500" s="3">
        <f t="shared" si="308"/>
        <v>43.616446636000006</v>
      </c>
      <c r="AM500" s="3">
        <f t="shared" ref="AM500:BC500" si="309">SUM(AM501:AM503)</f>
        <v>44.039267965000001</v>
      </c>
      <c r="AN500" s="3">
        <f t="shared" si="309"/>
        <v>44.463912886000003</v>
      </c>
      <c r="AO500" s="3">
        <f t="shared" si="309"/>
        <v>44.892928859999998</v>
      </c>
      <c r="AP500" s="3">
        <f t="shared" si="309"/>
        <v>45.327362308999994</v>
      </c>
      <c r="AQ500" s="3">
        <f t="shared" si="309"/>
        <v>45.767781898000003</v>
      </c>
      <c r="AR500" s="3">
        <f t="shared" si="309"/>
        <v>46.214578021999998</v>
      </c>
      <c r="AS500" s="3">
        <f t="shared" si="309"/>
        <v>46.668065806000001</v>
      </c>
      <c r="AT500" s="3">
        <f t="shared" si="309"/>
        <v>47.128529354000001</v>
      </c>
      <c r="AU500" s="3">
        <f t="shared" si="309"/>
        <v>47.596256185999998</v>
      </c>
      <c r="AV500" s="3">
        <f t="shared" si="309"/>
        <v>48.071589107999998</v>
      </c>
      <c r="AW500" s="3">
        <f t="shared" si="309"/>
        <v>48.556547754999997</v>
      </c>
      <c r="AX500" s="3">
        <f t="shared" si="309"/>
        <v>49.046122165</v>
      </c>
      <c r="AY500" s="3">
        <f t="shared" si="309"/>
        <v>49.539681458000004</v>
      </c>
      <c r="AZ500" s="3">
        <f t="shared" si="309"/>
        <v>50.037920141000001</v>
      </c>
      <c r="BA500" s="3">
        <f t="shared" si="309"/>
        <v>50.541813411999996</v>
      </c>
      <c r="BB500" s="3">
        <f t="shared" si="309"/>
        <v>54.432891456999997</v>
      </c>
      <c r="BC500" s="3">
        <f t="shared" si="309"/>
        <v>55.159541976</v>
      </c>
      <c r="BD500" s="3">
        <f t="shared" ref="BD500:BF500" si="310">SUM(BD501:BD503)</f>
        <v>55.898320620000007</v>
      </c>
      <c r="BE500" s="3">
        <f t="shared" si="310"/>
        <v>56.649505239999996</v>
      </c>
      <c r="BF500" s="3">
        <f t="shared" si="310"/>
        <v>57.413339069999999</v>
      </c>
    </row>
    <row r="501" spans="1:58" x14ac:dyDescent="0.35">
      <c r="B501" s="3" t="str">
        <f>[1]Results!E269</f>
        <v>YG_toe_chea_0</v>
      </c>
      <c r="C501" s="3">
        <f>[1]Results!F269</f>
        <v>5.7131595600000002</v>
      </c>
      <c r="D501" s="3">
        <f>[1]Results!G269</f>
        <v>5.7821035439999999</v>
      </c>
      <c r="E501" s="3">
        <f>[1]Results!H269</f>
        <v>5.8586526790000004</v>
      </c>
      <c r="F501" s="3">
        <f>[1]Results!I269</f>
        <v>5.9404580549999997</v>
      </c>
      <c r="G501" s="3">
        <f>[1]Results!J269</f>
        <v>6.0270499580000001</v>
      </c>
      <c r="H501" s="3">
        <f>[1]Results!K269</f>
        <v>6.1094408629999997</v>
      </c>
      <c r="I501" s="3">
        <f>[1]Results!L269</f>
        <v>6.1818491040000003</v>
      </c>
      <c r="J501" s="3">
        <f>[1]Results!M269</f>
        <v>6.2494611539999996</v>
      </c>
      <c r="K501" s="3">
        <f>[1]Results!N269</f>
        <v>6.3152038609999996</v>
      </c>
      <c r="L501" s="3">
        <f>[1]Results!O269</f>
        <v>6.3805787450000002</v>
      </c>
      <c r="M501" s="3">
        <f>[1]Results!P269</f>
        <v>6.4553791829999998</v>
      </c>
      <c r="N501" s="3">
        <f>[1]Results!Q269</f>
        <v>6.5252664060000001</v>
      </c>
      <c r="O501" s="3">
        <f>[1]Results!R269</f>
        <v>6.593693386</v>
      </c>
      <c r="P501" s="3">
        <f>[1]Results!S269</f>
        <v>6.6618395059999997</v>
      </c>
      <c r="Q501" s="3">
        <f>[1]Results!T269</f>
        <v>6.7301478540000002</v>
      </c>
      <c r="R501" s="3">
        <f>[1]Results!U269</f>
        <v>6.7987918360000004</v>
      </c>
      <c r="S501" s="3">
        <f>[1]Results!V269</f>
        <v>6.8678460179999998</v>
      </c>
      <c r="T501" s="3">
        <f>[1]Results!W269</f>
        <v>6.9373538979999996</v>
      </c>
      <c r="U501" s="3">
        <f>[1]Results!X269</f>
        <v>7.0073539389999997</v>
      </c>
      <c r="V501" s="3">
        <f>[1]Results!Y269</f>
        <v>7.0778878479999996</v>
      </c>
      <c r="W501" s="3">
        <f>[1]Results!Z269</f>
        <v>7.142726326</v>
      </c>
      <c r="X501" s="3">
        <f>[1]Results!AA269</f>
        <v>7.2119706990000001</v>
      </c>
      <c r="Y501" s="3">
        <f>[1]Results!AB269</f>
        <v>7.283305189</v>
      </c>
      <c r="Z501" s="3">
        <f>[1]Results!AC269</f>
        <v>7.3559660320000004</v>
      </c>
      <c r="AA501" s="3">
        <f>[1]Results!AD269</f>
        <v>7.4296763700000001</v>
      </c>
      <c r="AB501" s="3">
        <f>[1]Results!AE269</f>
        <v>7.4868596869999999</v>
      </c>
      <c r="AC501" s="3">
        <f>[1]Results!AF269</f>
        <v>7.5472606300000002</v>
      </c>
      <c r="AD501" s="3">
        <f>[1]Results!AG269</f>
        <v>7.6091731039999999</v>
      </c>
      <c r="AE501" s="3">
        <f>[1]Results!AH269</f>
        <v>7.6721814070000001</v>
      </c>
      <c r="AF501" s="3">
        <f>[1]Results!AI269</f>
        <v>7.7361674819999999</v>
      </c>
      <c r="AG501" s="3">
        <f>[1]Results!AJ269</f>
        <v>7.8011184919999996</v>
      </c>
      <c r="AH501" s="3">
        <f>[1]Results!AK269</f>
        <v>7.8670526020000002</v>
      </c>
      <c r="AI501" s="3">
        <f>[1]Results!AL269</f>
        <v>7.933991389</v>
      </c>
      <c r="AJ501" s="3">
        <f>[1]Results!AM269</f>
        <v>8.0019499510000003</v>
      </c>
      <c r="AK501" s="3">
        <f>[1]Results!AN269</f>
        <v>8.0709350069999992</v>
      </c>
      <c r="AL501" s="3">
        <f>[1]Results!AO269</f>
        <v>8.1409465660000002</v>
      </c>
      <c r="AM501" s="3">
        <f>[1]Results!AP269</f>
        <v>8.2080739949999995</v>
      </c>
      <c r="AN501" s="3">
        <f>[1]Results!AQ269</f>
        <v>8.2746570960000003</v>
      </c>
      <c r="AO501" s="3">
        <f>[1]Results!AR269</f>
        <v>8.3415503599999994</v>
      </c>
      <c r="AP501" s="3">
        <f>[1]Results!AS269</f>
        <v>8.4091236990000002</v>
      </c>
      <c r="AQ501" s="3">
        <f>[1]Results!AT269</f>
        <v>8.4775683280000003</v>
      </c>
      <c r="AR501" s="3">
        <f>[1]Results!AU269</f>
        <v>8.5470103819999999</v>
      </c>
      <c r="AS501" s="3">
        <f>[1]Results!AV269</f>
        <v>8.6175607460000005</v>
      </c>
      <c r="AT501" s="3">
        <f>[1]Results!AW269</f>
        <v>8.6893454539999997</v>
      </c>
      <c r="AU501" s="3">
        <f>[1]Results!AX269</f>
        <v>8.7625424160000005</v>
      </c>
      <c r="AV501" s="3">
        <f>[1]Results!AY269</f>
        <v>8.8374668780000007</v>
      </c>
      <c r="AW501" s="3">
        <f>[1]Results!AZ269</f>
        <v>8.9152227049999997</v>
      </c>
      <c r="AX501" s="3">
        <f>[1]Results!BA269</f>
        <v>8.9925951249999994</v>
      </c>
      <c r="AY501" s="3">
        <f>[1]Results!BB269</f>
        <v>9.0691653980000009</v>
      </c>
      <c r="AZ501" s="3">
        <f>[1]Results!BC269</f>
        <v>9.1452051010000002</v>
      </c>
      <c r="BA501" s="3">
        <f>[1]Results!BD269</f>
        <v>9.2211935119999993</v>
      </c>
      <c r="BB501" s="3">
        <f>[1]Results!BE269</f>
        <v>9.8041921369999994</v>
      </c>
      <c r="BC501" s="3">
        <f>[1]Results!BF269</f>
        <v>9.9115410859999997</v>
      </c>
      <c r="BD501" s="3">
        <f>[1]Results!BG269</f>
        <v>10.020335210000001</v>
      </c>
      <c r="BE501" s="3">
        <f>[1]Results!BH269</f>
        <v>10.130629770000001</v>
      </c>
      <c r="BF501" s="3">
        <f>[1]Results!BI269</f>
        <v>10.24246739</v>
      </c>
    </row>
    <row r="502" spans="1:58" x14ac:dyDescent="0.35">
      <c r="B502" s="3" t="str">
        <f>[1]Results!E271</f>
        <v>YG_toe_cbio_0</v>
      </c>
      <c r="C502" s="3">
        <f>[1]Results!F271</f>
        <v>11.183799690000001</v>
      </c>
      <c r="D502" s="3">
        <f>[1]Results!G271</f>
        <v>11.237025859999999</v>
      </c>
      <c r="E502" s="3">
        <f>[1]Results!H271</f>
        <v>11.265660370000001</v>
      </c>
      <c r="F502" s="3">
        <f>[1]Results!I271</f>
        <v>11.288540040000001</v>
      </c>
      <c r="G502" s="3">
        <f>[1]Results!J271</f>
        <v>11.31207498</v>
      </c>
      <c r="H502" s="3">
        <f>[1]Results!K271</f>
        <v>11.341818249999999</v>
      </c>
      <c r="I502" s="3">
        <f>[1]Results!L271</f>
        <v>11.37427125</v>
      </c>
      <c r="J502" s="3">
        <f>[1]Results!M271</f>
        <v>11.4118464</v>
      </c>
      <c r="K502" s="3">
        <f>[1]Results!N271</f>
        <v>11.454154620000001</v>
      </c>
      <c r="L502" s="3">
        <f>[1]Results!O271</f>
        <v>11.50004678</v>
      </c>
      <c r="M502" s="3">
        <f>[1]Results!P271</f>
        <v>11.55755793</v>
      </c>
      <c r="N502" s="3">
        <f>[1]Results!Q271</f>
        <v>11.611723680000001</v>
      </c>
      <c r="O502" s="3">
        <f>[1]Results!R271</f>
        <v>11.66516629</v>
      </c>
      <c r="P502" s="3">
        <f>[1]Results!S271</f>
        <v>11.718691489999999</v>
      </c>
      <c r="Q502" s="3">
        <f>[1]Results!T271</f>
        <v>11.772583210000001</v>
      </c>
      <c r="R502" s="3">
        <f>[1]Results!U271</f>
        <v>11.826952990000001</v>
      </c>
      <c r="S502" s="3">
        <f>[1]Results!V271</f>
        <v>11.88187016</v>
      </c>
      <c r="T502" s="3">
        <f>[1]Results!W271</f>
        <v>11.937405679999999</v>
      </c>
      <c r="U502" s="3">
        <f>[1]Results!X271</f>
        <v>11.99364321</v>
      </c>
      <c r="V502" s="3">
        <f>[1]Results!Y271</f>
        <v>12.05067805</v>
      </c>
      <c r="W502" s="3">
        <f>[1]Results!Z271</f>
        <v>12.102291620000001</v>
      </c>
      <c r="X502" s="3">
        <f>[1]Results!AA271</f>
        <v>12.15852787</v>
      </c>
      <c r="Y502" s="3">
        <f>[1]Results!AB271</f>
        <v>12.21727664</v>
      </c>
      <c r="Z502" s="3">
        <f>[1]Results!AC271</f>
        <v>12.277870890000001</v>
      </c>
      <c r="AA502" s="3">
        <f>[1]Results!AD271</f>
        <v>12.34008319</v>
      </c>
      <c r="AB502" s="3">
        <f>[1]Results!AE271</f>
        <v>12.386129029999999</v>
      </c>
      <c r="AC502" s="3">
        <f>[1]Results!AF271</f>
        <v>12.435522450000001</v>
      </c>
      <c r="AD502" s="3">
        <f>[1]Results!AG271</f>
        <v>12.486768680000001</v>
      </c>
      <c r="AE502" s="3">
        <f>[1]Results!AH271</f>
        <v>12.539591420000001</v>
      </c>
      <c r="AF502" s="3">
        <f>[1]Results!AI271</f>
        <v>12.59396963</v>
      </c>
      <c r="AG502" s="3">
        <f>[1]Results!AJ271</f>
        <v>12.649959730000001</v>
      </c>
      <c r="AH502" s="3">
        <f>[1]Results!AK271</f>
        <v>12.707624600000001</v>
      </c>
      <c r="AI502" s="3">
        <f>[1]Results!AL271</f>
        <v>12.76700932</v>
      </c>
      <c r="AJ502" s="3">
        <f>[1]Results!AM271</f>
        <v>12.8281358</v>
      </c>
      <c r="AK502" s="3">
        <f>[1]Results!AN271</f>
        <v>12.89100517</v>
      </c>
      <c r="AL502" s="3">
        <f>[1]Results!AO271</f>
        <v>12.95560328</v>
      </c>
      <c r="AM502" s="3">
        <f>[1]Results!AP271</f>
        <v>13.01787676</v>
      </c>
      <c r="AN502" s="3">
        <f>[1]Results!AQ271</f>
        <v>13.08009141</v>
      </c>
      <c r="AO502" s="3">
        <f>[1]Results!AR271</f>
        <v>13.14308441</v>
      </c>
      <c r="AP502" s="3">
        <f>[1]Results!AS271</f>
        <v>13.20723065</v>
      </c>
      <c r="AQ502" s="3">
        <f>[1]Results!AT271</f>
        <v>13.27272342</v>
      </c>
      <c r="AR502" s="3">
        <f>[1]Results!AU271</f>
        <v>13.33968035</v>
      </c>
      <c r="AS502" s="3">
        <f>[1]Results!AV271</f>
        <v>13.40818312</v>
      </c>
      <c r="AT502" s="3">
        <f>[1]Results!AW271</f>
        <v>13.47828846</v>
      </c>
      <c r="AU502" s="3">
        <f>[1]Results!AX271</f>
        <v>13.550023100000001</v>
      </c>
      <c r="AV502" s="3">
        <f>[1]Results!AY271</f>
        <v>13.62334441</v>
      </c>
      <c r="AW502" s="3">
        <f>[1]Results!AZ271</f>
        <v>13.69821451</v>
      </c>
      <c r="AX502" s="3">
        <f>[1]Results!BA271</f>
        <v>13.773713519999999</v>
      </c>
      <c r="AY502" s="3">
        <f>[1]Results!BB271</f>
        <v>13.8497498</v>
      </c>
      <c r="AZ502" s="3">
        <f>[1]Results!BC271</f>
        <v>13.926678709999999</v>
      </c>
      <c r="BA502" s="3">
        <f>[1]Results!BD271</f>
        <v>14.00489488</v>
      </c>
      <c r="BB502" s="3">
        <f>[1]Results!BE271</f>
        <v>14.610772430000001</v>
      </c>
      <c r="BC502" s="3">
        <f>[1]Results!BF271</f>
        <v>14.73188167</v>
      </c>
      <c r="BD502" s="3">
        <f>[1]Results!BG271</f>
        <v>14.855241469999999</v>
      </c>
      <c r="BE502" s="3">
        <f>[1]Results!BH271</f>
        <v>14.98092958</v>
      </c>
      <c r="BF502" s="3">
        <f>[1]Results!BI271</f>
        <v>15.109000999999999</v>
      </c>
    </row>
    <row r="503" spans="1:58" x14ac:dyDescent="0.35">
      <c r="B503" s="3" t="str">
        <f>[1]Results!E274</f>
        <v>YG_toe_cote_0</v>
      </c>
      <c r="C503" s="3">
        <f>[1]Results!F274</f>
        <v>13.881761239999999</v>
      </c>
      <c r="D503" s="3">
        <f>[1]Results!G274</f>
        <v>14.05126907</v>
      </c>
      <c r="E503" s="3">
        <f>[1]Results!H274</f>
        <v>14.231860230000001</v>
      </c>
      <c r="F503" s="3">
        <f>[1]Results!I274</f>
        <v>14.42291623</v>
      </c>
      <c r="G503" s="3">
        <f>[1]Results!J274</f>
        <v>14.62509738</v>
      </c>
      <c r="H503" s="3">
        <f>[1]Results!K274</f>
        <v>14.837226060000001</v>
      </c>
      <c r="I503" s="3">
        <f>[1]Results!L274</f>
        <v>15.047189769999999</v>
      </c>
      <c r="J503" s="3">
        <f>[1]Results!M274</f>
        <v>15.26211855</v>
      </c>
      <c r="K503" s="3">
        <f>[1]Results!N274</f>
        <v>15.48194168</v>
      </c>
      <c r="L503" s="3">
        <f>[1]Results!O274</f>
        <v>15.706138060000001</v>
      </c>
      <c r="M503" s="3">
        <f>[1]Results!P274</f>
        <v>15.95305845</v>
      </c>
      <c r="N503" s="3">
        <f>[1]Results!Q274</f>
        <v>16.18868526</v>
      </c>
      <c r="O503" s="3">
        <f>[1]Results!R274</f>
        <v>16.425835240000001</v>
      </c>
      <c r="P503" s="3">
        <f>[1]Results!S274</f>
        <v>16.665503919999999</v>
      </c>
      <c r="Q503" s="3">
        <f>[1]Results!T274</f>
        <v>16.907899180000001</v>
      </c>
      <c r="R503" s="3">
        <f>[1]Results!U274</f>
        <v>17.153125410000001</v>
      </c>
      <c r="S503" s="3">
        <f>[1]Results!V274</f>
        <v>17.401305350000001</v>
      </c>
      <c r="T503" s="3">
        <f>[1]Results!W274</f>
        <v>17.652593370000002</v>
      </c>
      <c r="U503" s="3">
        <f>[1]Results!X274</f>
        <v>17.907167189999999</v>
      </c>
      <c r="V503" s="3">
        <f>[1]Results!Y274</f>
        <v>18.165216579999999</v>
      </c>
      <c r="W503" s="3">
        <f>[1]Results!Z274</f>
        <v>18.412978949999999</v>
      </c>
      <c r="X503" s="3">
        <f>[1]Results!AA274</f>
        <v>18.67562066</v>
      </c>
      <c r="Y503" s="3">
        <f>[1]Results!AB274</f>
        <v>18.943621570000001</v>
      </c>
      <c r="Z503" s="3">
        <f>[1]Results!AC274</f>
        <v>19.216324279999998</v>
      </c>
      <c r="AA503" s="3">
        <f>[1]Results!AD274</f>
        <v>19.49369094</v>
      </c>
      <c r="AB503" s="3">
        <f>[1]Results!AE274</f>
        <v>19.735483039999998</v>
      </c>
      <c r="AC503" s="3">
        <f>[1]Results!AF274</f>
        <v>19.994783720000001</v>
      </c>
      <c r="AD503" s="3">
        <f>[1]Results!AG274</f>
        <v>20.258479449999999</v>
      </c>
      <c r="AE503" s="3">
        <f>[1]Results!AH274</f>
        <v>20.526010200000002</v>
      </c>
      <c r="AF503" s="3">
        <f>[1]Results!AI274</f>
        <v>20.79752749</v>
      </c>
      <c r="AG503" s="3">
        <f>[1]Results!AJ274</f>
        <v>21.073262960000001</v>
      </c>
      <c r="AH503" s="3">
        <f>[1]Results!AK274</f>
        <v>21.353407489999999</v>
      </c>
      <c r="AI503" s="3">
        <f>[1]Results!AL274</f>
        <v>21.638090999999999</v>
      </c>
      <c r="AJ503" s="3">
        <f>[1]Results!AM274</f>
        <v>21.92738684</v>
      </c>
      <c r="AK503" s="3">
        <f>[1]Results!AN274</f>
        <v>22.221323309999999</v>
      </c>
      <c r="AL503" s="3">
        <f>[1]Results!AO274</f>
        <v>22.519896790000001</v>
      </c>
      <c r="AM503" s="3">
        <f>[1]Results!AP274</f>
        <v>22.813317210000001</v>
      </c>
      <c r="AN503" s="3">
        <f>[1]Results!AQ274</f>
        <v>23.109164379999999</v>
      </c>
      <c r="AO503" s="3">
        <f>[1]Results!AR274</f>
        <v>23.408294089999998</v>
      </c>
      <c r="AP503" s="3">
        <f>[1]Results!AS274</f>
        <v>23.71100796</v>
      </c>
      <c r="AQ503" s="3">
        <f>[1]Results!AT274</f>
        <v>24.01749015</v>
      </c>
      <c r="AR503" s="3">
        <f>[1]Results!AU274</f>
        <v>24.32788729</v>
      </c>
      <c r="AS503" s="3">
        <f>[1]Results!AV274</f>
        <v>24.642321939999999</v>
      </c>
      <c r="AT503" s="3">
        <f>[1]Results!AW274</f>
        <v>24.960895440000002</v>
      </c>
      <c r="AU503" s="3">
        <f>[1]Results!AX274</f>
        <v>25.283690669999999</v>
      </c>
      <c r="AV503" s="3">
        <f>[1]Results!AY274</f>
        <v>25.610777819999999</v>
      </c>
      <c r="AW503" s="3">
        <f>[1]Results!AZ274</f>
        <v>25.943110539999999</v>
      </c>
      <c r="AX503" s="3">
        <f>[1]Results!BA274</f>
        <v>26.279813520000001</v>
      </c>
      <c r="AY503" s="3">
        <f>[1]Results!BB274</f>
        <v>26.62076626</v>
      </c>
      <c r="AZ503" s="3">
        <f>[1]Results!BC274</f>
        <v>26.966036330000001</v>
      </c>
      <c r="BA503" s="3">
        <f>[1]Results!BD274</f>
        <v>27.315725019999999</v>
      </c>
      <c r="BB503" s="3">
        <f>[1]Results!BE274</f>
        <v>30.017926889999998</v>
      </c>
      <c r="BC503" s="3">
        <f>[1]Results!BF274</f>
        <v>30.51611922</v>
      </c>
      <c r="BD503" s="3">
        <f>[1]Results!BG274</f>
        <v>31.022743940000002</v>
      </c>
      <c r="BE503" s="3">
        <f>[1]Results!BH274</f>
        <v>31.53794589</v>
      </c>
      <c r="BF503" s="3">
        <f>[1]Results!BI274</f>
        <v>32.061870679999998</v>
      </c>
    </row>
    <row r="504" spans="1:58" x14ac:dyDescent="0.35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</row>
    <row r="505" spans="1:58" x14ac:dyDescent="0.35">
      <c r="A505" s="12" t="s">
        <v>94</v>
      </c>
      <c r="C505" s="2">
        <v>42005</v>
      </c>
      <c r="D505" s="2">
        <v>42370</v>
      </c>
      <c r="E505" s="2">
        <v>42736</v>
      </c>
      <c r="F505" s="2">
        <v>43101</v>
      </c>
      <c r="G505" s="2">
        <v>43466</v>
      </c>
      <c r="H505" s="2">
        <v>43831</v>
      </c>
      <c r="I505" s="2">
        <v>44197</v>
      </c>
      <c r="J505" s="2">
        <v>44562</v>
      </c>
      <c r="K505" s="2">
        <v>44927</v>
      </c>
      <c r="L505" s="2">
        <v>45292</v>
      </c>
      <c r="M505" s="2">
        <v>45658</v>
      </c>
      <c r="N505" s="2">
        <v>46023</v>
      </c>
      <c r="O505" s="2">
        <v>46388</v>
      </c>
      <c r="P505" s="2">
        <v>46753</v>
      </c>
      <c r="Q505" s="2">
        <v>47119</v>
      </c>
      <c r="R505" s="2">
        <v>47484</v>
      </c>
      <c r="S505" s="2">
        <v>47849</v>
      </c>
      <c r="T505" s="2">
        <v>48214</v>
      </c>
      <c r="U505" s="2">
        <v>48580</v>
      </c>
      <c r="V505" s="2">
        <v>48945</v>
      </c>
      <c r="W505" s="2">
        <v>49310</v>
      </c>
      <c r="X505" s="2">
        <v>49675</v>
      </c>
      <c r="Y505" s="2">
        <v>50041</v>
      </c>
      <c r="Z505" s="2">
        <v>50406</v>
      </c>
      <c r="AA505" s="2">
        <v>50771</v>
      </c>
      <c r="AB505" s="2">
        <v>51136</v>
      </c>
      <c r="AC505" s="2">
        <v>51502</v>
      </c>
      <c r="AD505" s="2">
        <v>51867</v>
      </c>
      <c r="AE505" s="2">
        <v>52232</v>
      </c>
      <c r="AF505" s="2">
        <v>52597</v>
      </c>
      <c r="AG505" s="2">
        <v>52963</v>
      </c>
      <c r="AH505" s="2">
        <v>53328</v>
      </c>
      <c r="AI505" s="2">
        <v>53693</v>
      </c>
      <c r="AJ505" s="2">
        <v>54058</v>
      </c>
      <c r="AK505" s="2">
        <v>54424</v>
      </c>
      <c r="AL505" s="2">
        <v>54789</v>
      </c>
      <c r="AM505" s="2">
        <v>54790</v>
      </c>
      <c r="AN505" s="2">
        <v>54791</v>
      </c>
      <c r="AO505" s="2">
        <v>54792</v>
      </c>
      <c r="AP505" s="2">
        <v>54793</v>
      </c>
      <c r="AQ505" s="2">
        <v>54794</v>
      </c>
      <c r="AR505" s="2">
        <v>54795</v>
      </c>
      <c r="AS505" s="2">
        <v>54796</v>
      </c>
      <c r="AT505" s="2">
        <v>54797</v>
      </c>
      <c r="AU505" s="2">
        <v>54798</v>
      </c>
      <c r="AV505" s="2">
        <v>54799</v>
      </c>
      <c r="AW505" s="2">
        <v>54800</v>
      </c>
      <c r="AX505" s="2">
        <v>54801</v>
      </c>
      <c r="AY505" s="2">
        <v>54802</v>
      </c>
      <c r="AZ505" s="2">
        <v>54803</v>
      </c>
      <c r="BA505" s="2">
        <v>54804</v>
      </c>
      <c r="BB505" s="2">
        <v>54805</v>
      </c>
      <c r="BC505" s="2">
        <v>54806</v>
      </c>
      <c r="BD505" s="2">
        <v>54807</v>
      </c>
      <c r="BE505" s="2">
        <v>54808</v>
      </c>
      <c r="BF505" s="2">
        <v>54809</v>
      </c>
    </row>
    <row r="506" spans="1:58" x14ac:dyDescent="0.35">
      <c r="A506" t="s">
        <v>95</v>
      </c>
      <c r="B506" t="s">
        <v>94</v>
      </c>
      <c r="C506" s="4">
        <f>C479/C492-1</f>
        <v>-1.7202103922475231E-2</v>
      </c>
      <c r="D506" s="4">
        <f t="shared" ref="D506" si="311">D479/D492-1</f>
        <v>-2.0911603247294019E-2</v>
      </c>
      <c r="E506" s="4">
        <f t="shared" ref="E506:AL506" si="312">E479/E492-1</f>
        <v>-2.3743185659186095E-2</v>
      </c>
      <c r="F506" s="4">
        <f t="shared" si="312"/>
        <v>-2.6249220297673515E-2</v>
      </c>
      <c r="G506" s="4">
        <f t="shared" si="312"/>
        <v>-2.8424028508098775E-2</v>
      </c>
      <c r="H506" s="4">
        <f t="shared" si="312"/>
        <v>-3.0365989854143516E-2</v>
      </c>
      <c r="I506" s="4">
        <f t="shared" si="312"/>
        <v>-3.2188202952378231E-2</v>
      </c>
      <c r="J506" s="4">
        <f t="shared" si="312"/>
        <v>-3.3933275082195236E-2</v>
      </c>
      <c r="K506" s="4">
        <f t="shared" si="312"/>
        <v>-3.5634884015997015E-2</v>
      </c>
      <c r="L506" s="4">
        <f t="shared" si="312"/>
        <v>-3.7315664790968484E-2</v>
      </c>
      <c r="M506" s="4">
        <f t="shared" si="312"/>
        <v>-4.0309507360275831E-2</v>
      </c>
      <c r="N506" s="4">
        <f t="shared" si="312"/>
        <v>-4.1385819288190184E-2</v>
      </c>
      <c r="O506" s="4">
        <f t="shared" si="312"/>
        <v>-4.2257421175935561E-2</v>
      </c>
      <c r="P506" s="4">
        <f t="shared" si="312"/>
        <v>-4.3056430102435095E-2</v>
      </c>
      <c r="Q506" s="4">
        <f t="shared" si="312"/>
        <v>-4.3825786528487232E-2</v>
      </c>
      <c r="R506" s="4">
        <f t="shared" si="312"/>
        <v>-4.4590044410248497E-2</v>
      </c>
      <c r="S506" s="4">
        <f t="shared" si="312"/>
        <v>-4.5424107558022397E-2</v>
      </c>
      <c r="T506" s="4">
        <f t="shared" si="312"/>
        <v>-4.6295274757228277E-2</v>
      </c>
      <c r="U506" s="4">
        <f t="shared" si="312"/>
        <v>-4.7212434773183487E-2</v>
      </c>
      <c r="V506" s="4">
        <f t="shared" si="312"/>
        <v>-4.818358063106587E-2</v>
      </c>
      <c r="W506" s="4">
        <f t="shared" si="312"/>
        <v>-4.9203059042978392E-2</v>
      </c>
      <c r="X506" s="4">
        <f t="shared" si="312"/>
        <v>-5.0294771737216193E-2</v>
      </c>
      <c r="Y506" s="4">
        <f t="shared" si="312"/>
        <v>-5.144617672742724E-2</v>
      </c>
      <c r="Z506" s="4">
        <f t="shared" si="312"/>
        <v>-5.2655550381916938E-2</v>
      </c>
      <c r="AA506" s="4">
        <f t="shared" si="312"/>
        <v>-5.3919456058818094E-2</v>
      </c>
      <c r="AB506" s="4">
        <f t="shared" si="312"/>
        <v>-5.5199489859410922E-2</v>
      </c>
      <c r="AC506" s="4">
        <f t="shared" si="312"/>
        <v>-5.6518439004789478E-2</v>
      </c>
      <c r="AD506" s="4">
        <f t="shared" si="312"/>
        <v>-5.7871031544364904E-2</v>
      </c>
      <c r="AE506" s="4">
        <f t="shared" si="312"/>
        <v>-5.9252339382543262E-2</v>
      </c>
      <c r="AF506" s="4">
        <f t="shared" si="312"/>
        <v>-6.0656667387972263E-2</v>
      </c>
      <c r="AG506" s="4">
        <f t="shared" si="312"/>
        <v>-6.2079227863117703E-2</v>
      </c>
      <c r="AH506" s="4">
        <f t="shared" si="312"/>
        <v>-6.3501711009637751E-2</v>
      </c>
      <c r="AI506" s="4">
        <f t="shared" si="312"/>
        <v>-6.4932852787973228E-2</v>
      </c>
      <c r="AJ506" s="4">
        <f t="shared" si="312"/>
        <v>-6.6370757046186668E-2</v>
      </c>
      <c r="AK506" s="4">
        <f t="shared" si="312"/>
        <v>-6.7813155202602338E-2</v>
      </c>
      <c r="AL506" s="4">
        <f t="shared" si="312"/>
        <v>-6.925814581708889E-2</v>
      </c>
      <c r="AM506" s="4">
        <f t="shared" ref="AM506:BC506" si="313">AM479/AM492-1</f>
        <v>-7.0567992473051233E-2</v>
      </c>
      <c r="AN506" s="4">
        <f t="shared" si="313"/>
        <v>-7.1861249553984319E-2</v>
      </c>
      <c r="AO506" s="4">
        <f t="shared" si="313"/>
        <v>-7.3143092363590845E-2</v>
      </c>
      <c r="AP506" s="4">
        <f t="shared" si="313"/>
        <v>-7.441498959114945E-2</v>
      </c>
      <c r="AQ506" s="4">
        <f t="shared" si="313"/>
        <v>-7.5679258793266868E-2</v>
      </c>
      <c r="AR506" s="4">
        <f t="shared" si="313"/>
        <v>-7.6918286796111235E-2</v>
      </c>
      <c r="AS506" s="4">
        <f t="shared" si="313"/>
        <v>-7.8152831360827846E-2</v>
      </c>
      <c r="AT506" s="4">
        <f t="shared" si="313"/>
        <v>-7.9386848680129685E-2</v>
      </c>
      <c r="AU506" s="4">
        <f t="shared" si="313"/>
        <v>-8.0623005073388931E-2</v>
      </c>
      <c r="AV506" s="4">
        <f t="shared" si="313"/>
        <v>-8.1862720420176505E-2</v>
      </c>
      <c r="AW506" s="4">
        <f t="shared" si="313"/>
        <v>-8.303321465092639E-2</v>
      </c>
      <c r="AX506" s="4">
        <f t="shared" si="313"/>
        <v>-8.4176944122965947E-2</v>
      </c>
      <c r="AY506" s="4">
        <f t="shared" si="313"/>
        <v>-8.5289566378438875E-2</v>
      </c>
      <c r="AZ506" s="4">
        <f t="shared" si="313"/>
        <v>-8.6392242429642829E-2</v>
      </c>
      <c r="BA506" s="4">
        <f t="shared" si="313"/>
        <v>-8.7503420418133526E-2</v>
      </c>
      <c r="BB506" s="4">
        <f t="shared" si="313"/>
        <v>-1.0649707703774269E-2</v>
      </c>
      <c r="BC506" s="4">
        <f t="shared" si="313"/>
        <v>-1.0812298605476722E-2</v>
      </c>
      <c r="BD506" s="4">
        <f t="shared" ref="BD506:BF506" si="314">BD479/BD492-1</f>
        <v>-1.0966074448534036E-2</v>
      </c>
      <c r="BE506" s="4">
        <f t="shared" si="314"/>
        <v>-1.1112896306570308E-2</v>
      </c>
      <c r="BF506" s="4">
        <f t="shared" si="314"/>
        <v>-1.1253861816402311E-2</v>
      </c>
    </row>
    <row r="507" spans="1:58" x14ac:dyDescent="0.35">
      <c r="B507" t="s">
        <v>76</v>
      </c>
      <c r="C507" s="4">
        <f>(C480-C493)/C$492</f>
        <v>-4.2040348318094016E-4</v>
      </c>
      <c r="D507" s="4">
        <f>(D480-D493)/D$492</f>
        <v>-5.454682325137201E-4</v>
      </c>
      <c r="E507" s="4">
        <f t="shared" ref="E507:AL507" si="315">(E480-E493)/E$492</f>
        <v>-6.1626615866320429E-4</v>
      </c>
      <c r="F507" s="4">
        <f t="shared" si="315"/>
        <v>-6.7669781710257731E-4</v>
      </c>
      <c r="G507" s="4">
        <f t="shared" si="315"/>
        <v>-7.3472629884055289E-4</v>
      </c>
      <c r="H507" s="4">
        <f t="shared" si="315"/>
        <v>-7.9234338915878044E-4</v>
      </c>
      <c r="I507" s="4">
        <f t="shared" si="315"/>
        <v>-8.5034711581630619E-4</v>
      </c>
      <c r="J507" s="4">
        <f t="shared" si="315"/>
        <v>-9.082584516918005E-4</v>
      </c>
      <c r="K507" s="4">
        <f t="shared" si="315"/>
        <v>-9.6599884277782119E-4</v>
      </c>
      <c r="L507" s="4">
        <f t="shared" si="315"/>
        <v>-1.0236582634565393E-3</v>
      </c>
      <c r="M507" s="4">
        <f t="shared" si="315"/>
        <v>-1.1133272908549646E-3</v>
      </c>
      <c r="N507" s="4">
        <f t="shared" si="315"/>
        <v>-1.1580505945886195E-3</v>
      </c>
      <c r="O507" s="4">
        <f t="shared" si="315"/>
        <v>-1.1941105263635371E-3</v>
      </c>
      <c r="P507" s="4">
        <f t="shared" si="315"/>
        <v>-1.228614936982504E-3</v>
      </c>
      <c r="Q507" s="4">
        <f t="shared" si="315"/>
        <v>-1.263004910474911E-3</v>
      </c>
      <c r="R507" s="4">
        <f t="shared" si="315"/>
        <v>-1.2976205308641187E-3</v>
      </c>
      <c r="S507" s="4">
        <f t="shared" si="315"/>
        <v>-1.334006375222049E-3</v>
      </c>
      <c r="T507" s="4">
        <f t="shared" si="315"/>
        <v>-1.3711180354275146E-3</v>
      </c>
      <c r="U507" s="4">
        <f t="shared" si="315"/>
        <v>-1.4087994504830661E-3</v>
      </c>
      <c r="V507" s="4">
        <f t="shared" si="315"/>
        <v>-1.4470484489314686E-3</v>
      </c>
      <c r="W507" s="4">
        <f t="shared" si="315"/>
        <v>-1.4857181781717408E-3</v>
      </c>
      <c r="X507" s="4">
        <f t="shared" si="315"/>
        <v>-1.5250693670811146E-3</v>
      </c>
      <c r="Y507" s="4">
        <f t="shared" si="315"/>
        <v>-1.5649944104134509E-3</v>
      </c>
      <c r="Z507" s="4">
        <f t="shared" si="315"/>
        <v>-1.6054049574657499E-3</v>
      </c>
      <c r="AA507" s="4">
        <f t="shared" si="315"/>
        <v>-1.6462473529946663E-3</v>
      </c>
      <c r="AB507" s="4">
        <f t="shared" si="315"/>
        <v>-1.6869910208893309E-3</v>
      </c>
      <c r="AC507" s="4">
        <f t="shared" si="315"/>
        <v>-1.7275448919635283E-3</v>
      </c>
      <c r="AD507" s="4">
        <f t="shared" si="315"/>
        <v>-1.7682857841737273E-3</v>
      </c>
      <c r="AE507" s="4">
        <f t="shared" si="315"/>
        <v>-1.8091358455603699E-3</v>
      </c>
      <c r="AF507" s="4">
        <f t="shared" si="315"/>
        <v>-1.8500254986613255E-3</v>
      </c>
      <c r="AG507" s="4">
        <f t="shared" si="315"/>
        <v>-1.8908925990790482E-3</v>
      </c>
      <c r="AH507" s="4">
        <f t="shared" si="315"/>
        <v>-1.9313216567516053E-3</v>
      </c>
      <c r="AI507" s="4">
        <f t="shared" si="315"/>
        <v>-1.9715541379695411E-3</v>
      </c>
      <c r="AJ507" s="4">
        <f t="shared" si="315"/>
        <v>-2.0116163461011056E-3</v>
      </c>
      <c r="AK507" s="4">
        <f t="shared" si="315"/>
        <v>-2.0514987090463916E-3</v>
      </c>
      <c r="AL507" s="4">
        <f t="shared" si="315"/>
        <v>-2.0911900582202408E-3</v>
      </c>
      <c r="AM507" s="4">
        <f t="shared" ref="AM507:BC507" si="316">(AM480-AM493)/AM$492</f>
        <v>-2.1272948424345779E-3</v>
      </c>
      <c r="AN507" s="4">
        <f t="shared" si="316"/>
        <v>-2.1624696591400318E-3</v>
      </c>
      <c r="AO507" s="4">
        <f t="shared" si="316"/>
        <v>-2.1972299713865083E-3</v>
      </c>
      <c r="AP507" s="4">
        <f t="shared" si="316"/>
        <v>-2.2316811103720454E-3</v>
      </c>
      <c r="AQ507" s="4">
        <f t="shared" si="316"/>
        <v>-2.2658642557430637E-3</v>
      </c>
      <c r="AR507" s="4">
        <f t="shared" si="316"/>
        <v>-2.299280741649379E-3</v>
      </c>
      <c r="AS507" s="4">
        <f t="shared" si="316"/>
        <v>-2.3323695206973975E-3</v>
      </c>
      <c r="AT507" s="4">
        <f t="shared" si="316"/>
        <v>-2.3652361751571689E-3</v>
      </c>
      <c r="AU507" s="4">
        <f t="shared" si="316"/>
        <v>-2.397925205254624E-3</v>
      </c>
      <c r="AV507" s="4">
        <f t="shared" si="316"/>
        <v>-2.4304666086869204E-3</v>
      </c>
      <c r="AW507" s="4">
        <f t="shared" si="316"/>
        <v>-2.46108421838116E-3</v>
      </c>
      <c r="AX507" s="4">
        <f t="shared" si="316"/>
        <v>-2.4913923101459543E-3</v>
      </c>
      <c r="AY507" s="4">
        <f t="shared" si="316"/>
        <v>-2.5217404620359292E-3</v>
      </c>
      <c r="AZ507" s="4">
        <f t="shared" si="316"/>
        <v>-2.5521708451690956E-3</v>
      </c>
      <c r="BA507" s="4">
        <f t="shared" si="316"/>
        <v>-2.582675160202135E-3</v>
      </c>
      <c r="BB507" s="4">
        <f t="shared" si="316"/>
        <v>8.4274739663332848E-5</v>
      </c>
      <c r="BC507" s="4">
        <f t="shared" si="316"/>
        <v>8.7376264270213607E-5</v>
      </c>
      <c r="BD507" s="4">
        <f t="shared" ref="BD507:BF507" si="317">(BD480-BD493)/BD$492</f>
        <v>9.0516704691791735E-5</v>
      </c>
      <c r="BE507" s="4">
        <f t="shared" si="317"/>
        <v>9.3707634260092854E-5</v>
      </c>
      <c r="BF507" s="4">
        <f t="shared" si="317"/>
        <v>9.6956067065055344E-5</v>
      </c>
    </row>
    <row r="508" spans="1:58" x14ac:dyDescent="0.35">
      <c r="B508" t="s">
        <v>74</v>
      </c>
      <c r="C508" s="4">
        <f>(C481-C494)/C$493</f>
        <v>-0.35856200102314917</v>
      </c>
      <c r="D508" s="4">
        <f>(D481-D494)/D$492</f>
        <v>-7.0892138688291445E-3</v>
      </c>
      <c r="E508" s="4">
        <f t="shared" ref="E508:AL508" si="318">(E481-E494)/E$492</f>
        <v>-8.1772146239373917E-3</v>
      </c>
      <c r="F508" s="4">
        <f t="shared" si="318"/>
        <v>-9.2175628922407504E-3</v>
      </c>
      <c r="G508" s="4">
        <f t="shared" si="318"/>
        <v>-1.020558423096735E-2</v>
      </c>
      <c r="H508" s="4">
        <f t="shared" si="318"/>
        <v>-1.1150222539962387E-2</v>
      </c>
      <c r="I508" s="4">
        <f t="shared" si="318"/>
        <v>-1.2062476973936124E-2</v>
      </c>
      <c r="J508" s="4">
        <f t="shared" si="318"/>
        <v>-1.2939621866419917E-2</v>
      </c>
      <c r="K508" s="4">
        <f t="shared" si="318"/>
        <v>-1.3784364693800781E-2</v>
      </c>
      <c r="L508" s="4">
        <f t="shared" si="318"/>
        <v>-1.460147877918724E-2</v>
      </c>
      <c r="M508" s="4">
        <f t="shared" si="318"/>
        <v>-1.5842627954411565E-2</v>
      </c>
      <c r="N508" s="4">
        <f t="shared" si="318"/>
        <v>-1.6415687688210098E-2</v>
      </c>
      <c r="O508" s="4">
        <f t="shared" si="318"/>
        <v>-1.6900626435385674E-2</v>
      </c>
      <c r="P508" s="4">
        <f t="shared" si="318"/>
        <v>-1.7339552021724363E-2</v>
      </c>
      <c r="Q508" s="4">
        <f t="shared" si="318"/>
        <v>-1.7745514458377791E-2</v>
      </c>
      <c r="R508" s="4">
        <f t="shared" si="318"/>
        <v>-1.8126773051718493E-2</v>
      </c>
      <c r="S508" s="4">
        <f t="shared" si="318"/>
        <v>-1.8509144530541602E-2</v>
      </c>
      <c r="T508" s="4">
        <f t="shared" si="318"/>
        <v>-1.8883653374397822E-2</v>
      </c>
      <c r="U508" s="4">
        <f t="shared" si="318"/>
        <v>-1.9255187725833619E-2</v>
      </c>
      <c r="V508" s="4">
        <f t="shared" si="318"/>
        <v>-1.9628421859787734E-2</v>
      </c>
      <c r="W508" s="4">
        <f t="shared" si="318"/>
        <v>-2.0004289678423243E-2</v>
      </c>
      <c r="X508" s="4">
        <f t="shared" si="318"/>
        <v>-2.0391598141909488E-2</v>
      </c>
      <c r="Y508" s="4">
        <f t="shared" si="318"/>
        <v>-2.0788402435287449E-2</v>
      </c>
      <c r="Z508" s="4">
        <f t="shared" si="318"/>
        <v>-2.1196196094496494E-2</v>
      </c>
      <c r="AA508" s="4">
        <f t="shared" si="318"/>
        <v>-2.1615744717746549E-2</v>
      </c>
      <c r="AB508" s="4">
        <f t="shared" si="318"/>
        <v>-2.2038114168767324E-2</v>
      </c>
      <c r="AC508" s="4">
        <f t="shared" si="318"/>
        <v>-2.2470121343531969E-2</v>
      </c>
      <c r="AD508" s="4">
        <f t="shared" si="318"/>
        <v>-2.2911193120931633E-2</v>
      </c>
      <c r="AE508" s="4">
        <f t="shared" si="318"/>
        <v>-2.3360855950819867E-2</v>
      </c>
      <c r="AF508" s="4">
        <f t="shared" si="318"/>
        <v>-2.3818283614173794E-2</v>
      </c>
      <c r="AG508" s="4">
        <f t="shared" si="318"/>
        <v>-2.4282624323623159E-2</v>
      </c>
      <c r="AH508" s="4">
        <f t="shared" si="318"/>
        <v>-2.4748375518710262E-2</v>
      </c>
      <c r="AI508" s="4">
        <f t="shared" si="318"/>
        <v>-2.5218806552454245E-2</v>
      </c>
      <c r="AJ508" s="4">
        <f t="shared" si="318"/>
        <v>-2.5693651826046566E-2</v>
      </c>
      <c r="AK508" s="4">
        <f t="shared" si="318"/>
        <v>-2.6172442735581156E-2</v>
      </c>
      <c r="AL508" s="4">
        <f t="shared" si="318"/>
        <v>-2.6654731774325126E-2</v>
      </c>
      <c r="AM508" s="4">
        <f t="shared" ref="AM508:BC508" si="319">(AM481-AM494)/AM$492</f>
        <v>-2.7095366790927191E-2</v>
      </c>
      <c r="AN508" s="4">
        <f t="shared" si="319"/>
        <v>-2.7532980405131677E-2</v>
      </c>
      <c r="AO508" s="4">
        <f t="shared" si="319"/>
        <v>-2.7969143350885378E-2</v>
      </c>
      <c r="AP508" s="4">
        <f t="shared" si="319"/>
        <v>-2.8404227712308241E-2</v>
      </c>
      <c r="AQ508" s="4">
        <f t="shared" si="319"/>
        <v>-2.8838735891704669E-2</v>
      </c>
      <c r="AR508" s="4">
        <f t="shared" si="319"/>
        <v>-2.9266475441413631E-2</v>
      </c>
      <c r="AS508" s="4">
        <f t="shared" si="319"/>
        <v>-2.9693922304809522E-2</v>
      </c>
      <c r="AT508" s="4">
        <f t="shared" si="319"/>
        <v>-3.0122112419385519E-2</v>
      </c>
      <c r="AU508" s="4">
        <f t="shared" si="319"/>
        <v>-3.0551751215060277E-2</v>
      </c>
      <c r="AV508" s="4">
        <f t="shared" si="319"/>
        <v>-3.0983284023002568E-2</v>
      </c>
      <c r="AW508" s="4">
        <f t="shared" si="319"/>
        <v>-3.1393205423304836E-2</v>
      </c>
      <c r="AX508" s="4">
        <f t="shared" si="319"/>
        <v>-3.1802053435156685E-2</v>
      </c>
      <c r="AY508" s="4">
        <f t="shared" si="319"/>
        <v>-3.2211304797576029E-2</v>
      </c>
      <c r="AZ508" s="4">
        <f t="shared" si="319"/>
        <v>-3.2623484094312101E-2</v>
      </c>
      <c r="BA508" s="4">
        <f t="shared" si="319"/>
        <v>-3.3040561073862669E-2</v>
      </c>
      <c r="BB508" s="4">
        <f t="shared" si="319"/>
        <v>5.3135867017790887E-5</v>
      </c>
      <c r="BC508" s="4">
        <f t="shared" si="319"/>
        <v>8.0410473857054355E-5</v>
      </c>
      <c r="BD508" s="4">
        <f t="shared" ref="BD508:BF508" si="320">(BD481-BD494)/BD$492</f>
        <v>1.0893863460651317E-4</v>
      </c>
      <c r="BE508" s="4">
        <f t="shared" si="320"/>
        <v>1.3868090802687057E-4</v>
      </c>
      <c r="BF508" s="4">
        <f t="shared" si="320"/>
        <v>1.6965245306866465E-4</v>
      </c>
    </row>
    <row r="509" spans="1:58" x14ac:dyDescent="0.35">
      <c r="B509" t="s">
        <v>54</v>
      </c>
      <c r="C509" s="4">
        <f>(C485-C498)/C$492</f>
        <v>-1.2204540534170327E-3</v>
      </c>
      <c r="D509" s="4">
        <f>(D485-D498)/D$492</f>
        <v>-9.7011880538461995E-4</v>
      </c>
      <c r="E509" s="4">
        <f t="shared" ref="E509:AL509" si="321">(E485-E498)/E$492</f>
        <v>-8.6929657193662076E-4</v>
      </c>
      <c r="F509" s="4">
        <f t="shared" si="321"/>
        <v>-8.176940318747705E-4</v>
      </c>
      <c r="G509" s="4">
        <f t="shared" si="321"/>
        <v>-7.7256607425824975E-4</v>
      </c>
      <c r="H509" s="4">
        <f t="shared" si="321"/>
        <v>-7.6431510400333058E-4</v>
      </c>
      <c r="I509" s="4">
        <f t="shared" si="321"/>
        <v>-8.020120127637452E-4</v>
      </c>
      <c r="J509" s="4">
        <f t="shared" si="321"/>
        <v>-8.775988676646162E-4</v>
      </c>
      <c r="K509" s="4">
        <f t="shared" si="321"/>
        <v>-9.8014236157902457E-4</v>
      </c>
      <c r="L509" s="4">
        <f t="shared" si="321"/>
        <v>-1.1007454170660093E-3</v>
      </c>
      <c r="M509" s="4">
        <f t="shared" si="321"/>
        <v>-1.3236150865670124E-3</v>
      </c>
      <c r="N509" s="4">
        <f t="shared" si="321"/>
        <v>-1.3934937829069339E-3</v>
      </c>
      <c r="O509" s="4">
        <f t="shared" si="321"/>
        <v>-1.4845690475368508E-3</v>
      </c>
      <c r="P509" s="4">
        <f t="shared" si="321"/>
        <v>-1.5812155103441016E-3</v>
      </c>
      <c r="Q509" s="4">
        <f t="shared" si="321"/>
        <v>-1.6798790206561161E-3</v>
      </c>
      <c r="R509" s="4">
        <f t="shared" si="321"/>
        <v>-1.7780765738263182E-3</v>
      </c>
      <c r="S509" s="4">
        <f t="shared" si="321"/>
        <v>-1.8779774645122989E-3</v>
      </c>
      <c r="T509" s="4">
        <f t="shared" si="321"/>
        <v>-1.9726880548488323E-3</v>
      </c>
      <c r="U509" s="4">
        <f t="shared" si="321"/>
        <v>-2.0617532233685432E-3</v>
      </c>
      <c r="V509" s="4">
        <f t="shared" si="321"/>
        <v>-2.1450945465577571E-3</v>
      </c>
      <c r="W509" s="4">
        <f t="shared" si="321"/>
        <v>-2.2208617083538254E-3</v>
      </c>
      <c r="X509" s="4">
        <f t="shared" si="321"/>
        <v>-2.294472854381651E-3</v>
      </c>
      <c r="Y509" s="4">
        <f t="shared" si="321"/>
        <v>-2.3633339958503319E-3</v>
      </c>
      <c r="Z509" s="4">
        <f t="shared" si="321"/>
        <v>-2.4283155839503931E-3</v>
      </c>
      <c r="AA509" s="4">
        <f t="shared" si="321"/>
        <v>-2.4900602586566353E-3</v>
      </c>
      <c r="AB509" s="4">
        <f t="shared" si="321"/>
        <v>-2.5428389826541837E-3</v>
      </c>
      <c r="AC509" s="4">
        <f t="shared" si="321"/>
        <v>-2.5970384112233677E-3</v>
      </c>
      <c r="AD509" s="4">
        <f t="shared" si="321"/>
        <v>-2.6500637612455955E-3</v>
      </c>
      <c r="AE509" s="4">
        <f t="shared" si="321"/>
        <v>-2.7023687684673415E-3</v>
      </c>
      <c r="AF509" s="4">
        <f t="shared" si="321"/>
        <v>-2.7537415693181053E-3</v>
      </c>
      <c r="AG509" s="4">
        <f t="shared" si="321"/>
        <v>-2.8041868085194517E-3</v>
      </c>
      <c r="AH509" s="4">
        <f t="shared" si="321"/>
        <v>-2.8527768880004822E-3</v>
      </c>
      <c r="AI509" s="4">
        <f t="shared" si="321"/>
        <v>-2.9013350646209246E-3</v>
      </c>
      <c r="AJ509" s="4">
        <f t="shared" si="321"/>
        <v>-2.9503479564545183E-3</v>
      </c>
      <c r="AK509" s="4">
        <f t="shared" si="321"/>
        <v>-3.0000857945074316E-3</v>
      </c>
      <c r="AL509" s="4">
        <f t="shared" si="321"/>
        <v>-3.0507039216184535E-3</v>
      </c>
      <c r="AM509" s="4">
        <f t="shared" ref="AM509:BC509" si="322">(AM485-AM498)/AM$492</f>
        <v>-3.0907135615036328E-3</v>
      </c>
      <c r="AN509" s="4">
        <f t="shared" si="322"/>
        <v>-3.1347610512479774E-3</v>
      </c>
      <c r="AO509" s="4">
        <f t="shared" si="322"/>
        <v>-3.1814750828483653E-3</v>
      </c>
      <c r="AP509" s="4">
        <f t="shared" si="322"/>
        <v>-3.2301834771150712E-3</v>
      </c>
      <c r="AQ509" s="4">
        <f t="shared" si="322"/>
        <v>-3.2804056407167138E-3</v>
      </c>
      <c r="AR509" s="4">
        <f t="shared" si="322"/>
        <v>-3.3301306212219807E-3</v>
      </c>
      <c r="AS509" s="4">
        <f t="shared" si="322"/>
        <v>-3.381026802729426E-3</v>
      </c>
      <c r="AT509" s="4">
        <f t="shared" si="322"/>
        <v>-3.4325832924786267E-3</v>
      </c>
      <c r="AU509" s="4">
        <f t="shared" si="322"/>
        <v>-3.4842697976823081E-3</v>
      </c>
      <c r="AV509" s="4">
        <f t="shared" si="322"/>
        <v>-3.5352687029335996E-3</v>
      </c>
      <c r="AW509" s="4">
        <f t="shared" si="322"/>
        <v>-3.5782576410024404E-3</v>
      </c>
      <c r="AX509" s="4">
        <f t="shared" si="322"/>
        <v>-3.6191443516794667E-3</v>
      </c>
      <c r="AY509" s="4">
        <f t="shared" si="322"/>
        <v>-3.6524095438037838E-3</v>
      </c>
      <c r="AZ509" s="4">
        <f t="shared" si="322"/>
        <v>-3.6854176442609539E-3</v>
      </c>
      <c r="BA509" s="4">
        <f t="shared" si="322"/>
        <v>-3.7237835114500234E-3</v>
      </c>
      <c r="BB509" s="4">
        <f t="shared" si="322"/>
        <v>-1.0990336866502704E-3</v>
      </c>
      <c r="BC509" s="4">
        <f t="shared" si="322"/>
        <v>-1.1097010264508416E-3</v>
      </c>
      <c r="BD509" s="4">
        <f t="shared" ref="BD509:BF509" si="323">(BD485-BD498)/BD$492</f>
        <v>-1.1197365432501557E-3</v>
      </c>
      <c r="BE509" s="4">
        <f t="shared" si="323"/>
        <v>-1.1294077849028704E-3</v>
      </c>
      <c r="BF509" s="4">
        <f t="shared" si="323"/>
        <v>-1.1388073050187509E-3</v>
      </c>
    </row>
    <row r="510" spans="1:58" x14ac:dyDescent="0.35">
      <c r="B510" t="s">
        <v>11</v>
      </c>
      <c r="C510" s="4">
        <f>(C486-C499)/C$493</f>
        <v>-0.37901391671126905</v>
      </c>
      <c r="D510" s="4">
        <f>(D486-D499)/D$492</f>
        <v>-7.5073039514836574E-3</v>
      </c>
      <c r="E510" s="4">
        <f t="shared" ref="E510:AL510" si="324">(E486-E499)/E$492</f>
        <v>-8.5375783242440523E-3</v>
      </c>
      <c r="F510" s="4">
        <f t="shared" si="324"/>
        <v>-9.3979611487853155E-3</v>
      </c>
      <c r="G510" s="4">
        <f t="shared" si="324"/>
        <v>-1.0063473234711429E-2</v>
      </c>
      <c r="H510" s="4">
        <f t="shared" si="324"/>
        <v>-1.0602075941676409E-2</v>
      </c>
      <c r="I510" s="4">
        <f t="shared" si="324"/>
        <v>-1.1072930594421578E-2</v>
      </c>
      <c r="J510" s="4">
        <f t="shared" si="324"/>
        <v>-1.1500519101783355E-2</v>
      </c>
      <c r="K510" s="4">
        <f t="shared" si="324"/>
        <v>-1.1902317588888022E-2</v>
      </c>
      <c r="L510" s="4">
        <f t="shared" si="324"/>
        <v>-1.2292455951388627E-2</v>
      </c>
      <c r="M510" s="4">
        <f t="shared" si="324"/>
        <v>-1.3154424128602848E-2</v>
      </c>
      <c r="N510" s="4">
        <f t="shared" si="324"/>
        <v>-1.3359595663091455E-2</v>
      </c>
      <c r="O510" s="4">
        <f t="shared" si="324"/>
        <v>-1.347332965294749E-2</v>
      </c>
      <c r="P510" s="4">
        <f t="shared" si="324"/>
        <v>-1.3561012007030483E-2</v>
      </c>
      <c r="Q510" s="4">
        <f t="shared" si="324"/>
        <v>-1.3647151154270214E-2</v>
      </c>
      <c r="R510" s="4">
        <f t="shared" si="324"/>
        <v>-1.3747042334242046E-2</v>
      </c>
      <c r="S510" s="4">
        <f t="shared" si="324"/>
        <v>-1.389092079028602E-2</v>
      </c>
      <c r="T510" s="4">
        <f t="shared" si="324"/>
        <v>-1.4071360373907106E-2</v>
      </c>
      <c r="U510" s="4">
        <f t="shared" si="324"/>
        <v>-1.4292713817742587E-2</v>
      </c>
      <c r="V510" s="4">
        <f t="shared" si="324"/>
        <v>-1.4557880509674633E-2</v>
      </c>
      <c r="W510" s="4">
        <f t="shared" si="324"/>
        <v>-1.4864760694307351E-2</v>
      </c>
      <c r="X510" s="4">
        <f t="shared" si="324"/>
        <v>-1.5217613506271328E-2</v>
      </c>
      <c r="Y510" s="4">
        <f t="shared" si="324"/>
        <v>-1.5611664118541851E-2</v>
      </c>
      <c r="Z510" s="4">
        <f t="shared" si="324"/>
        <v>-1.6043680031699044E-2</v>
      </c>
      <c r="AA510" s="4">
        <f t="shared" si="324"/>
        <v>-1.6509798943191469E-2</v>
      </c>
      <c r="AB510" s="4">
        <f t="shared" si="324"/>
        <v>-1.6996260265181702E-2</v>
      </c>
      <c r="AC510" s="4">
        <f t="shared" si="324"/>
        <v>-1.7502869355590416E-2</v>
      </c>
      <c r="AD510" s="4">
        <f t="shared" si="324"/>
        <v>-1.8027818585240111E-2</v>
      </c>
      <c r="AE510" s="4">
        <f t="shared" si="324"/>
        <v>-1.8567038016592829E-2</v>
      </c>
      <c r="AF510" s="4">
        <f t="shared" si="324"/>
        <v>-1.9116847941339797E-2</v>
      </c>
      <c r="AG510" s="4">
        <f t="shared" si="324"/>
        <v>-1.9674189729906626E-2</v>
      </c>
      <c r="AH510" s="4">
        <f t="shared" si="324"/>
        <v>-2.0231603031307391E-2</v>
      </c>
      <c r="AI510" s="4">
        <f t="shared" si="324"/>
        <v>-2.0790607504773219E-2</v>
      </c>
      <c r="AJ510" s="4">
        <f t="shared" si="324"/>
        <v>-2.134939535702891E-2</v>
      </c>
      <c r="AK510" s="4">
        <f t="shared" si="324"/>
        <v>-2.1906307445991969E-2</v>
      </c>
      <c r="AL510" s="4">
        <f t="shared" si="324"/>
        <v>-2.2460067626406816E-2</v>
      </c>
      <c r="AM510" s="4">
        <f t="shared" ref="AM510:BC510" si="325">(AM486-AM499)/AM$492</f>
        <v>-2.2964329772956676E-2</v>
      </c>
      <c r="AN510" s="4">
        <f t="shared" si="325"/>
        <v>-2.34561508485664E-2</v>
      </c>
      <c r="AO510" s="4">
        <f t="shared" si="325"/>
        <v>-2.3937452230534007E-2</v>
      </c>
      <c r="AP510" s="4">
        <f t="shared" si="325"/>
        <v>-2.4408746222508382E-2</v>
      </c>
      <c r="AQ510" s="4">
        <f t="shared" si="325"/>
        <v>-2.4871262985075668E-2</v>
      </c>
      <c r="AR510" s="4">
        <f t="shared" si="325"/>
        <v>-2.5319787714994633E-2</v>
      </c>
      <c r="AS510" s="4">
        <f t="shared" si="325"/>
        <v>-2.5761786232073886E-2</v>
      </c>
      <c r="AT510" s="4">
        <f t="shared" si="325"/>
        <v>-2.6199227373630642E-2</v>
      </c>
      <c r="AU510" s="4">
        <f t="shared" si="325"/>
        <v>-2.6633334936571114E-2</v>
      </c>
      <c r="AV510" s="4">
        <f t="shared" si="325"/>
        <v>-2.7064397646414221E-2</v>
      </c>
      <c r="AW510" s="4">
        <f t="shared" si="325"/>
        <v>-2.7465975664316779E-2</v>
      </c>
      <c r="AX510" s="4">
        <f t="shared" si="325"/>
        <v>-2.7856160609987822E-2</v>
      </c>
      <c r="AY510" s="4">
        <f t="shared" si="325"/>
        <v>-2.823405523698657E-2</v>
      </c>
      <c r="AZ510" s="4">
        <f t="shared" si="325"/>
        <v>-2.8607033250586736E-2</v>
      </c>
      <c r="BA510" s="4">
        <f t="shared" si="325"/>
        <v>-2.898145101717144E-2</v>
      </c>
      <c r="BB510" s="4">
        <f t="shared" si="325"/>
        <v>-6.6031499893113273E-3</v>
      </c>
      <c r="BC510" s="4">
        <f t="shared" si="325"/>
        <v>-6.7440012499967112E-3</v>
      </c>
      <c r="BD510" s="4">
        <f t="shared" ref="BD510:BF510" si="326">(BD486-BD499)/BD$492</f>
        <v>-6.8804170875079512E-3</v>
      </c>
      <c r="BE510" s="4">
        <f t="shared" si="326"/>
        <v>-7.0133542177743648E-3</v>
      </c>
      <c r="BF510" s="4">
        <f t="shared" si="326"/>
        <v>-7.1435608619209731E-3</v>
      </c>
    </row>
    <row r="511" spans="1:58" x14ac:dyDescent="0.35">
      <c r="B511" t="s">
        <v>75</v>
      </c>
      <c r="C511" s="4">
        <f>(C487-C500)/C$494</f>
        <v>-1.0653786196994126E-2</v>
      </c>
      <c r="D511" s="4">
        <f>(D487-D500)/D$492</f>
        <v>-4.79949832239008E-3</v>
      </c>
      <c r="E511" s="4">
        <f t="shared" ref="E511:AL511" si="327">(E487-E500)/E$492</f>
        <v>-5.542830251849859E-3</v>
      </c>
      <c r="F511" s="4">
        <f t="shared" si="327"/>
        <v>-6.1393042631380998E-3</v>
      </c>
      <c r="G511" s="4">
        <f t="shared" si="327"/>
        <v>-6.6476790601880404E-3</v>
      </c>
      <c r="H511" s="4">
        <f t="shared" si="327"/>
        <v>-7.0570328018872332E-3</v>
      </c>
      <c r="I511" s="4">
        <f t="shared" si="327"/>
        <v>-7.4004364856337128E-3</v>
      </c>
      <c r="J511" s="4">
        <f t="shared" si="327"/>
        <v>-7.7072767059892114E-3</v>
      </c>
      <c r="K511" s="4">
        <f t="shared" si="327"/>
        <v>-8.002060610436984E-3</v>
      </c>
      <c r="L511" s="4">
        <f t="shared" si="327"/>
        <v>-8.2973264605176213E-3</v>
      </c>
      <c r="M511" s="4">
        <f t="shared" si="327"/>
        <v>-8.8755128078389974E-3</v>
      </c>
      <c r="N511" s="4">
        <f t="shared" si="327"/>
        <v>-9.0589915229891006E-3</v>
      </c>
      <c r="O511" s="4">
        <f t="shared" si="327"/>
        <v>-9.204785585730995E-3</v>
      </c>
      <c r="P511" s="4">
        <f t="shared" si="327"/>
        <v>-9.346035525400925E-3</v>
      </c>
      <c r="Q511" s="4">
        <f t="shared" si="327"/>
        <v>-9.4902374253488676E-3</v>
      </c>
      <c r="R511" s="4">
        <f t="shared" si="327"/>
        <v>-9.6405314720104471E-3</v>
      </c>
      <c r="S511" s="4">
        <f t="shared" si="327"/>
        <v>-9.8120585584941539E-3</v>
      </c>
      <c r="T511" s="4">
        <f t="shared" si="327"/>
        <v>-9.9964545886084971E-3</v>
      </c>
      <c r="U511" s="4">
        <f t="shared" si="327"/>
        <v>-1.0193980927342902E-2</v>
      </c>
      <c r="V511" s="4">
        <f t="shared" si="327"/>
        <v>-1.0405134887318399E-2</v>
      </c>
      <c r="W511" s="4">
        <f t="shared" si="327"/>
        <v>-1.0627428695485028E-2</v>
      </c>
      <c r="X511" s="4">
        <f t="shared" si="327"/>
        <v>-1.0866017856658279E-2</v>
      </c>
      <c r="Y511" s="4">
        <f t="shared" si="327"/>
        <v>-1.1117781794332484E-2</v>
      </c>
      <c r="Z511" s="4">
        <f t="shared" si="327"/>
        <v>-1.1381953773070998E-2</v>
      </c>
      <c r="AA511" s="4">
        <f t="shared" si="327"/>
        <v>-1.1657604955357585E-2</v>
      </c>
      <c r="AB511" s="4">
        <f t="shared" si="327"/>
        <v>-1.1935285275281014E-2</v>
      </c>
      <c r="AC511" s="4">
        <f t="shared" si="327"/>
        <v>-1.222086480537978E-2</v>
      </c>
      <c r="AD511" s="4">
        <f t="shared" si="327"/>
        <v>-1.2513670215720417E-2</v>
      </c>
      <c r="AE511" s="4">
        <f t="shared" si="327"/>
        <v>-1.2812940653573596E-2</v>
      </c>
      <c r="AF511" s="4">
        <f t="shared" si="327"/>
        <v>-1.3117768542817038E-2</v>
      </c>
      <c r="AG511" s="4">
        <f t="shared" si="327"/>
        <v>-1.3427334506748363E-2</v>
      </c>
      <c r="AH511" s="4">
        <f t="shared" si="327"/>
        <v>-1.3737634067989363E-2</v>
      </c>
      <c r="AI511" s="4">
        <f t="shared" si="327"/>
        <v>-1.4050549352100736E-2</v>
      </c>
      <c r="AJ511" s="4">
        <f t="shared" si="327"/>
        <v>-1.4365745347528281E-2</v>
      </c>
      <c r="AK511" s="4">
        <f t="shared" si="327"/>
        <v>-1.4682820493511517E-2</v>
      </c>
      <c r="AL511" s="4">
        <f t="shared" si="327"/>
        <v>-1.5001452597820099E-2</v>
      </c>
      <c r="AM511" s="4">
        <f t="shared" ref="AM511:BC511" si="328">(AM487-AM500)/AM$492</f>
        <v>-1.529028779176907E-2</v>
      </c>
      <c r="AN511" s="4">
        <f t="shared" si="328"/>
        <v>-1.5574887678271039E-2</v>
      </c>
      <c r="AO511" s="4">
        <f t="shared" si="328"/>
        <v>-1.5857791760174898E-2</v>
      </c>
      <c r="AP511" s="4">
        <f t="shared" si="328"/>
        <v>-1.6140151055165312E-2</v>
      </c>
      <c r="AQ511" s="4">
        <f t="shared" si="328"/>
        <v>-1.6422990150962855E-2</v>
      </c>
      <c r="AR511" s="4">
        <f t="shared" si="328"/>
        <v>-1.6702612585279671E-2</v>
      </c>
      <c r="AS511" s="4">
        <f t="shared" si="328"/>
        <v>-1.6983726376596682E-2</v>
      </c>
      <c r="AT511" s="4">
        <f t="shared" si="328"/>
        <v>-1.7267689121536076E-2</v>
      </c>
      <c r="AU511" s="4">
        <f t="shared" si="328"/>
        <v>-1.7555723771345854E-2</v>
      </c>
      <c r="AV511" s="4">
        <f t="shared" si="328"/>
        <v>-1.7849303503545428E-2</v>
      </c>
      <c r="AW511" s="4">
        <f t="shared" si="328"/>
        <v>-1.8134691414910198E-2</v>
      </c>
      <c r="AX511" s="4">
        <f t="shared" si="328"/>
        <v>-1.8408193786204747E-2</v>
      </c>
      <c r="AY511" s="4">
        <f t="shared" si="328"/>
        <v>-1.8670056592045684E-2</v>
      </c>
      <c r="AZ511" s="4">
        <f t="shared" si="328"/>
        <v>-1.8924136817878932E-2</v>
      </c>
      <c r="BA511" s="4">
        <f t="shared" si="328"/>
        <v>-1.9174949949159668E-2</v>
      </c>
      <c r="BB511" s="4">
        <f t="shared" si="328"/>
        <v>-3.0849343800535465E-3</v>
      </c>
      <c r="BC511" s="4">
        <f t="shared" si="328"/>
        <v>-3.1263830034629772E-3</v>
      </c>
      <c r="BD511" s="4">
        <f t="shared" ref="BD511:BF511" si="329">(BD487-BD500)/BD$492</f>
        <v>-3.1653761681631693E-3</v>
      </c>
      <c r="BE511" s="4">
        <f t="shared" si="329"/>
        <v>-3.2025229336915505E-3</v>
      </c>
      <c r="BF511" s="4">
        <f t="shared" si="329"/>
        <v>-3.2381021300303143E-3</v>
      </c>
    </row>
    <row r="513" spans="2:58" x14ac:dyDescent="0.35">
      <c r="B513" s="6" t="str">
        <f>[1]Macro!A100</f>
        <v>y_toe_2</v>
      </c>
      <c r="C513" s="6">
        <f>[1]Macro!B100</f>
        <v>137.2201426</v>
      </c>
      <c r="D513" s="6">
        <f>[1]Macro!C100</f>
        <v>137.76752350000001</v>
      </c>
      <c r="E513" s="6">
        <f>[1]Macro!D100</f>
        <v>138.3664972</v>
      </c>
      <c r="F513" s="6">
        <f>[1]Macro!E100</f>
        <v>139.07891839999999</v>
      </c>
      <c r="G513" s="6">
        <f>[1]Macro!F100</f>
        <v>139.9474908</v>
      </c>
      <c r="H513" s="6">
        <f>[1]Macro!G100</f>
        <v>140.97108030000001</v>
      </c>
      <c r="I513" s="6">
        <f>[1]Macro!H100</f>
        <v>142.04699600000001</v>
      </c>
      <c r="J513" s="6">
        <f>[1]Macro!I100</f>
        <v>143.2025275</v>
      </c>
      <c r="K513" s="6">
        <f>[1]Macro!J100</f>
        <v>144.4212531</v>
      </c>
      <c r="L513" s="6">
        <f>[1]Macro!K100</f>
        <v>145.68598789999999</v>
      </c>
      <c r="M513" s="6">
        <f>[1]Macro!L100</f>
        <v>146.91709059999999</v>
      </c>
      <c r="N513" s="6">
        <f>[1]Macro!M100</f>
        <v>148.36894290000001</v>
      </c>
      <c r="O513" s="6">
        <f>[1]Macro!N100</f>
        <v>149.85773570000001</v>
      </c>
      <c r="P513" s="6">
        <f>[1]Macro!O100</f>
        <v>151.36853590000001</v>
      </c>
      <c r="Q513" s="6">
        <f>[1]Macro!P100</f>
        <v>152.8956412</v>
      </c>
      <c r="R513" s="6">
        <f>[1]Macro!Q100</f>
        <v>154.43542890000001</v>
      </c>
      <c r="S513" s="6">
        <f>[1]Macro!R100</f>
        <v>155.97621040000001</v>
      </c>
      <c r="T513" s="6">
        <f>[1]Macro!S100</f>
        <v>157.52370719999999</v>
      </c>
      <c r="U513" s="6">
        <f>[1]Macro!T100</f>
        <v>159.07744500000001</v>
      </c>
      <c r="V513" s="6">
        <f>[1]Macro!U100</f>
        <v>160.63724790000001</v>
      </c>
      <c r="W513" s="6">
        <f>[1]Macro!V100</f>
        <v>162.1083294</v>
      </c>
      <c r="X513" s="6">
        <f>[1]Macro!W100</f>
        <v>163.6521429</v>
      </c>
      <c r="Y513" s="6">
        <f>[1]Macro!X100</f>
        <v>165.21696499999999</v>
      </c>
      <c r="Z513" s="6">
        <f>[1]Macro!Y100</f>
        <v>166.7978626</v>
      </c>
      <c r="AA513" s="6">
        <f>[1]Macro!Z100</f>
        <v>168.3944631</v>
      </c>
      <c r="AB513" s="6">
        <f>[1]Macro!AA100</f>
        <v>169.7374336</v>
      </c>
      <c r="AC513" s="6">
        <f>[1]Macro!AB100</f>
        <v>171.16042780000001</v>
      </c>
      <c r="AD513" s="6">
        <f>[1]Macro!AC100</f>
        <v>172.59673900000001</v>
      </c>
      <c r="AE513" s="6">
        <f>[1]Macro!AD100</f>
        <v>174.04540600000001</v>
      </c>
      <c r="AF513" s="6">
        <f>[1]Macro!AE100</f>
        <v>175.50942209999999</v>
      </c>
      <c r="AG513" s="6">
        <f>[1]Macro!AF100</f>
        <v>176.9920516</v>
      </c>
      <c r="AH513" s="6">
        <f>[1]Macro!AG100</f>
        <v>178.49869910000001</v>
      </c>
      <c r="AI513" s="6">
        <f>[1]Macro!AH100</f>
        <v>180.0291655</v>
      </c>
      <c r="AJ513" s="6">
        <f>[1]Macro!AI100</f>
        <v>181.58460700000001</v>
      </c>
      <c r="AK513" s="6">
        <f>[1]Macro!AJ100</f>
        <v>183.165773</v>
      </c>
      <c r="AL513" s="6">
        <f>[1]Macro!AK100</f>
        <v>184.77299479999999</v>
      </c>
      <c r="AM513" s="6">
        <f>[1]Macro!AL100</f>
        <v>186.36853489999999</v>
      </c>
      <c r="AN513" s="6">
        <f>[1]Macro!AM100</f>
        <v>187.9740133</v>
      </c>
      <c r="AO513" s="6">
        <f>[1]Macro!AN100</f>
        <v>189.59570679999999</v>
      </c>
      <c r="AP513" s="6">
        <f>[1]Macro!AO100</f>
        <v>191.23660229999999</v>
      </c>
      <c r="AQ513" s="6">
        <f>[1]Macro!AP100</f>
        <v>192.8983144</v>
      </c>
      <c r="AR513" s="6">
        <f>[1]Macro!AQ100</f>
        <v>194.58607979999999</v>
      </c>
      <c r="AS513" s="6">
        <f>[1]Macro!AR100</f>
        <v>196.2969032</v>
      </c>
      <c r="AT513" s="6">
        <f>[1]Macro!AS100</f>
        <v>198.0308283</v>
      </c>
      <c r="AU513" s="6">
        <f>[1]Macro!AT100</f>
        <v>199.7878475</v>
      </c>
      <c r="AV513" s="6">
        <f>[1]Macro!AU100</f>
        <v>201.5677982</v>
      </c>
      <c r="AW513" s="6">
        <f>[1]Macro!AV100</f>
        <v>203.39138019999999</v>
      </c>
      <c r="AX513" s="6">
        <f>[1]Macro!AW100</f>
        <v>205.24189770000001</v>
      </c>
      <c r="AY513" s="6">
        <f>[1]Macro!AX100</f>
        <v>207.1175705</v>
      </c>
      <c r="AZ513" s="6">
        <f>[1]Macro!AY100</f>
        <v>209.01753769999999</v>
      </c>
      <c r="BA513" s="6">
        <f>[1]Macro!AZ100</f>
        <v>210.94109040000001</v>
      </c>
      <c r="BB513" s="6">
        <f>[1]Macro!BA100</f>
        <v>246.2616218</v>
      </c>
      <c r="BC513" s="6">
        <f>[1]Macro!BB100</f>
        <v>249.59194579999999</v>
      </c>
      <c r="BD513" s="6">
        <f>[1]Macro!BC100</f>
        <v>252.97991350000001</v>
      </c>
      <c r="BE513" s="6">
        <f>[1]Macro!BD100</f>
        <v>256.42639680000002</v>
      </c>
      <c r="BF513" s="6">
        <f>[1]Macro!BE100</f>
        <v>259.93237049999999</v>
      </c>
    </row>
    <row r="514" spans="2:58" x14ac:dyDescent="0.35">
      <c r="B514" s="6" t="str">
        <f>[1]Macro!A101</f>
        <v>m_toe_2</v>
      </c>
      <c r="C514" s="6">
        <f>[1]Macro!B101</f>
        <v>148.73595789999999</v>
      </c>
      <c r="D514" s="6">
        <f>[1]Macro!C101</f>
        <v>149.2126576</v>
      </c>
      <c r="E514" s="6">
        <f>[1]Macro!D101</f>
        <v>149.84741249999999</v>
      </c>
      <c r="F514" s="6">
        <f>[1]Macro!E101</f>
        <v>150.63016039999999</v>
      </c>
      <c r="G514" s="6">
        <f>[1]Macro!F101</f>
        <v>151.6015184</v>
      </c>
      <c r="H514" s="6">
        <f>[1]Macro!G101</f>
        <v>152.76316890000001</v>
      </c>
      <c r="I514" s="6">
        <f>[1]Macro!H101</f>
        <v>154.00664420000001</v>
      </c>
      <c r="J514" s="6">
        <f>[1]Macro!I101</f>
        <v>155.3573284</v>
      </c>
      <c r="K514" s="6">
        <f>[1]Macro!J101</f>
        <v>156.79936710000001</v>
      </c>
      <c r="L514" s="6">
        <f>[1]Macro!K101</f>
        <v>158.31319099999999</v>
      </c>
      <c r="M514" s="6">
        <f>[1]Macro!L101</f>
        <v>159.8005785</v>
      </c>
      <c r="N514" s="6">
        <f>[1]Macro!M101</f>
        <v>161.55139600000001</v>
      </c>
      <c r="O514" s="6">
        <f>[1]Macro!N101</f>
        <v>163.37705539999999</v>
      </c>
      <c r="P514" s="6">
        <f>[1]Macro!O101</f>
        <v>165.2475633</v>
      </c>
      <c r="Q514" s="6">
        <f>[1]Macro!P101</f>
        <v>167.15284</v>
      </c>
      <c r="R514" s="6">
        <f>[1]Macro!Q101</f>
        <v>169.08686839999999</v>
      </c>
      <c r="S514" s="6">
        <f>[1]Macro!R101</f>
        <v>171.03545700000001</v>
      </c>
      <c r="T514" s="6">
        <f>[1]Macro!S101</f>
        <v>173.0023238</v>
      </c>
      <c r="U514" s="6">
        <f>[1]Macro!T101</f>
        <v>174.985615</v>
      </c>
      <c r="V514" s="6">
        <f>[1]Macro!U101</f>
        <v>176.98349709999999</v>
      </c>
      <c r="W514" s="6">
        <f>[1]Macro!V101</f>
        <v>178.89186280000001</v>
      </c>
      <c r="X514" s="6">
        <f>[1]Macro!W101</f>
        <v>180.87799419999999</v>
      </c>
      <c r="Y514" s="6">
        <f>[1]Macro!X101</f>
        <v>182.89257029999999</v>
      </c>
      <c r="Z514" s="6">
        <f>[1]Macro!Y101</f>
        <v>184.92731860000001</v>
      </c>
      <c r="AA514" s="6">
        <f>[1]Macro!Z101</f>
        <v>186.98082070000001</v>
      </c>
      <c r="AB514" s="6">
        <f>[1]Macro!AA101</f>
        <v>188.75965669999999</v>
      </c>
      <c r="AC514" s="6">
        <f>[1]Macro!AB101</f>
        <v>190.6086009</v>
      </c>
      <c r="AD514" s="6">
        <f>[1]Macro!AC101</f>
        <v>192.4698654</v>
      </c>
      <c r="AE514" s="6">
        <f>[1]Macro!AD101</f>
        <v>194.33937789999999</v>
      </c>
      <c r="AF514" s="6">
        <f>[1]Macro!AE101</f>
        <v>196.22030799999999</v>
      </c>
      <c r="AG514" s="6">
        <f>[1]Macro!AF101</f>
        <v>198.11667919999999</v>
      </c>
      <c r="AH514" s="6">
        <f>[1]Macro!AG101</f>
        <v>200.03482679999999</v>
      </c>
      <c r="AI514" s="6">
        <f>[1]Macro!AH101</f>
        <v>201.97526260000001</v>
      </c>
      <c r="AJ514" s="6">
        <f>[1]Macro!AI101</f>
        <v>203.93958050000001</v>
      </c>
      <c r="AK514" s="6">
        <f>[1]Macro!AJ101</f>
        <v>205.92909839999999</v>
      </c>
      <c r="AL514" s="6">
        <f>[1]Macro!AK101</f>
        <v>207.94471379999999</v>
      </c>
      <c r="AM514" s="6">
        <f>[1]Macro!AL101</f>
        <v>209.94455400000001</v>
      </c>
      <c r="AN514" s="6">
        <f>[1]Macro!AM101</f>
        <v>211.951042</v>
      </c>
      <c r="AO514" s="6">
        <f>[1]Macro!AN101</f>
        <v>213.97195740000001</v>
      </c>
      <c r="AP514" s="6">
        <f>[1]Macro!AO101</f>
        <v>216.0112379</v>
      </c>
      <c r="AQ514" s="6">
        <f>[1]Macro!AP101</f>
        <v>218.0713298</v>
      </c>
      <c r="AR514" s="6">
        <f>[1]Macro!AQ101</f>
        <v>220.15842739999999</v>
      </c>
      <c r="AS514" s="6">
        <f>[1]Macro!AR101</f>
        <v>222.27019859999999</v>
      </c>
      <c r="AT514" s="6">
        <f>[1]Macro!AS101</f>
        <v>224.40698169999999</v>
      </c>
      <c r="AU514" s="6">
        <f>[1]Macro!AT101</f>
        <v>226.56913750000001</v>
      </c>
      <c r="AV514" s="6">
        <f>[1]Macro!AU101</f>
        <v>228.75679500000001</v>
      </c>
      <c r="AW514" s="6">
        <f>[1]Macro!AV101</f>
        <v>230.99221919999999</v>
      </c>
      <c r="AX514" s="6">
        <f>[1]Macro!AW101</f>
        <v>233.2590309</v>
      </c>
      <c r="AY514" s="6">
        <f>[1]Macro!AX101</f>
        <v>235.55465699999999</v>
      </c>
      <c r="AZ514" s="6">
        <f>[1]Macro!AY101</f>
        <v>237.87821919999999</v>
      </c>
      <c r="BA514" s="6">
        <f>[1]Macro!AZ101</f>
        <v>240.2290304</v>
      </c>
      <c r="BB514" s="6">
        <f>[1]Macro!BA101</f>
        <v>288.74522830000001</v>
      </c>
      <c r="BC514" s="6">
        <f>[1]Macro!BB101</f>
        <v>292.93593909999998</v>
      </c>
      <c r="BD514" s="6">
        <f>[1]Macro!BC101</f>
        <v>297.19389749999999</v>
      </c>
      <c r="BE514" s="6">
        <f>[1]Macro!BD101</f>
        <v>301.52066719999999</v>
      </c>
      <c r="BF514" s="6">
        <f>[1]Macro!BE101</f>
        <v>305.91793699999999</v>
      </c>
    </row>
    <row r="515" spans="2:58" x14ac:dyDescent="0.35">
      <c r="B515" s="6" t="str">
        <f>[1]Macro!A102</f>
        <v>ci_toe_2</v>
      </c>
      <c r="C515" s="6">
        <f>[1]Macro!B102</f>
        <v>189.80110540000001</v>
      </c>
      <c r="D515" s="6">
        <f>[1]Macro!C102</f>
        <v>190.4531479</v>
      </c>
      <c r="E515" s="6">
        <f>[1]Macro!D102</f>
        <v>191.5187933</v>
      </c>
      <c r="F515" s="6">
        <f>[1]Macro!E102</f>
        <v>192.85962000000001</v>
      </c>
      <c r="G515" s="6">
        <f>[1]Macro!F102</f>
        <v>194.4836056</v>
      </c>
      <c r="H515" s="6">
        <f>[1]Macro!G102</f>
        <v>196.37560099999999</v>
      </c>
      <c r="I515" s="6">
        <f>[1]Macro!H102</f>
        <v>198.3842564</v>
      </c>
      <c r="J515" s="6">
        <f>[1]Macro!I102</f>
        <v>200.5328547</v>
      </c>
      <c r="K515" s="6">
        <f>[1]Macro!J102</f>
        <v>202.79959869999999</v>
      </c>
      <c r="L515" s="6">
        <f>[1]Macro!K102</f>
        <v>205.1576014</v>
      </c>
      <c r="M515" s="6">
        <f>[1]Macro!L102</f>
        <v>207.48694829999999</v>
      </c>
      <c r="N515" s="6">
        <f>[1]Macro!M102</f>
        <v>210.13944359999999</v>
      </c>
      <c r="O515" s="6">
        <f>[1]Macro!N102</f>
        <v>212.89529970000001</v>
      </c>
      <c r="P515" s="6">
        <f>[1]Macro!O102</f>
        <v>215.70647299999999</v>
      </c>
      <c r="Q515" s="6">
        <f>[1]Macro!P102</f>
        <v>218.55638999999999</v>
      </c>
      <c r="R515" s="6">
        <f>[1]Macro!Q102</f>
        <v>221.4351498</v>
      </c>
      <c r="S515" s="6">
        <f>[1]Macro!R102</f>
        <v>224.32327359999999</v>
      </c>
      <c r="T515" s="6">
        <f>[1]Macro!S102</f>
        <v>227.22422979999999</v>
      </c>
      <c r="U515" s="6">
        <f>[1]Macro!T102</f>
        <v>230.13644099999999</v>
      </c>
      <c r="V515" s="6">
        <f>[1]Macro!U102</f>
        <v>233.0587879</v>
      </c>
      <c r="W515" s="6">
        <f>[1]Macro!V102</f>
        <v>235.8532342</v>
      </c>
      <c r="X515" s="6">
        <f>[1]Macro!W102</f>
        <v>238.73942869999999</v>
      </c>
      <c r="Y515" s="6">
        <f>[1]Macro!X102</f>
        <v>241.66247670000001</v>
      </c>
      <c r="Z515" s="6">
        <f>[1]Macro!Y102</f>
        <v>244.61209919999999</v>
      </c>
      <c r="AA515" s="6">
        <f>[1]Macro!Z102</f>
        <v>247.58798350000001</v>
      </c>
      <c r="AB515" s="6">
        <f>[1]Macro!AA102</f>
        <v>250.1970498</v>
      </c>
      <c r="AC515" s="6">
        <f>[1]Macro!AB102</f>
        <v>252.8845168</v>
      </c>
      <c r="AD515" s="6">
        <f>[1]Macro!AC102</f>
        <v>255.5922157</v>
      </c>
      <c r="AE515" s="6">
        <f>[1]Macro!AD102</f>
        <v>258.31570429999999</v>
      </c>
      <c r="AF515" s="6">
        <f>[1]Macro!AE102</f>
        <v>261.06116650000001</v>
      </c>
      <c r="AG515" s="6">
        <f>[1]Macro!AF102</f>
        <v>263.83566930000001</v>
      </c>
      <c r="AH515" s="6">
        <f>[1]Macro!AG102</f>
        <v>266.64874550000002</v>
      </c>
      <c r="AI515" s="6">
        <f>[1]Macro!AH102</f>
        <v>269.5023496</v>
      </c>
      <c r="AJ515" s="6">
        <f>[1]Macro!AI102</f>
        <v>272.39909560000001</v>
      </c>
      <c r="AK515" s="6">
        <f>[1]Macro!AJ102</f>
        <v>275.34081900000001</v>
      </c>
      <c r="AL515" s="6">
        <f>[1]Macro!AK102</f>
        <v>278.328508</v>
      </c>
      <c r="AM515" s="6">
        <f>[1]Macro!AL102</f>
        <v>281.30329799999998</v>
      </c>
      <c r="AN515" s="6">
        <f>[1]Macro!AM102</f>
        <v>284.29449840000001</v>
      </c>
      <c r="AO515" s="6">
        <f>[1]Macro!AN102</f>
        <v>287.31291160000001</v>
      </c>
      <c r="AP515" s="6">
        <f>[1]Macro!AO102</f>
        <v>290.36373520000001</v>
      </c>
      <c r="AQ515" s="6">
        <f>[1]Macro!AP102</f>
        <v>293.45009449999998</v>
      </c>
      <c r="AR515" s="6">
        <f>[1]Macro!AQ102</f>
        <v>296.57984540000001</v>
      </c>
      <c r="AS515" s="6">
        <f>[1]Macro!AR102</f>
        <v>299.75035150000002</v>
      </c>
      <c r="AT515" s="6">
        <f>[1]Macro!AS102</f>
        <v>302.96169659999998</v>
      </c>
      <c r="AU515" s="6">
        <f>[1]Macro!AT102</f>
        <v>306.21402490000003</v>
      </c>
      <c r="AV515" s="6">
        <f>[1]Macro!AU102</f>
        <v>309.50716640000002</v>
      </c>
      <c r="AW515" s="6">
        <f>[1]Macro!AV102</f>
        <v>312.86975630000001</v>
      </c>
      <c r="AX515" s="6">
        <f>[1]Macro!AW102</f>
        <v>316.28233039999998</v>
      </c>
      <c r="AY515" s="6">
        <f>[1]Macro!AX102</f>
        <v>319.74048829999998</v>
      </c>
      <c r="AZ515" s="6">
        <f>[1]Macro!AY102</f>
        <v>323.2424378</v>
      </c>
      <c r="BA515" s="6">
        <f>[1]Macro!AZ102</f>
        <v>326.78678359999998</v>
      </c>
      <c r="BB515" s="6">
        <f>[1]Macro!BA102</f>
        <v>394.43394949999998</v>
      </c>
      <c r="BC515" s="6">
        <f>[1]Macro!BB102</f>
        <v>400.53157679999998</v>
      </c>
      <c r="BD515" s="6">
        <f>[1]Macro!BC102</f>
        <v>406.72715749999998</v>
      </c>
      <c r="BE515" s="6">
        <f>[1]Macro!BD102</f>
        <v>413.02284150000003</v>
      </c>
      <c r="BF515" s="6">
        <f>[1]Macro!BE102</f>
        <v>419.4208261</v>
      </c>
    </row>
    <row r="516" spans="2:58" x14ac:dyDescent="0.35">
      <c r="B516" s="6" t="str">
        <f>[1]Macro!A103</f>
        <v>ch_toe_2</v>
      </c>
      <c r="C516" s="6">
        <f>[1]Macro!B103</f>
        <v>64.301440170000006</v>
      </c>
      <c r="D516" s="6">
        <f>[1]Macro!C103</f>
        <v>64.319194240000002</v>
      </c>
      <c r="E516" s="6">
        <f>[1]Macro!D103</f>
        <v>64.090920629999999</v>
      </c>
      <c r="F516" s="6">
        <f>[1]Macro!E103</f>
        <v>63.840260379999997</v>
      </c>
      <c r="G516" s="6">
        <f>[1]Macro!F103</f>
        <v>63.644442939999998</v>
      </c>
      <c r="H516" s="6">
        <f>[1]Macro!G103</f>
        <v>63.521041320000002</v>
      </c>
      <c r="I516" s="6">
        <f>[1]Macro!H103</f>
        <v>63.447176939999999</v>
      </c>
      <c r="J516" s="6">
        <f>[1]Macro!I103</f>
        <v>63.418667620000001</v>
      </c>
      <c r="K516" s="6">
        <f>[1]Macro!J103</f>
        <v>63.425645359999997</v>
      </c>
      <c r="L516" s="6">
        <f>[1]Macro!K103</f>
        <v>63.458544160000002</v>
      </c>
      <c r="M516" s="6">
        <f>[1]Macro!L103</f>
        <v>63.53743411</v>
      </c>
      <c r="N516" s="6">
        <f>[1]Macro!M103</f>
        <v>63.615291409999998</v>
      </c>
      <c r="O516" s="6">
        <f>[1]Macro!N103</f>
        <v>63.698522330000003</v>
      </c>
      <c r="P516" s="6">
        <f>[1]Macro!O103</f>
        <v>63.790269780000003</v>
      </c>
      <c r="Q516" s="6">
        <f>[1]Macro!P103</f>
        <v>63.891224999999999</v>
      </c>
      <c r="R516" s="6">
        <f>[1]Macro!Q103</f>
        <v>64.001442620000006</v>
      </c>
      <c r="S516" s="6">
        <f>[1]Macro!R103</f>
        <v>64.120860429999993</v>
      </c>
      <c r="T516" s="6">
        <f>[1]Macro!S103</f>
        <v>64.248697030000002</v>
      </c>
      <c r="U516" s="6">
        <f>[1]Macro!T103</f>
        <v>64.383835899999994</v>
      </c>
      <c r="V516" s="6">
        <f>[1]Macro!U103</f>
        <v>64.525008970000002</v>
      </c>
      <c r="W516" s="6">
        <f>[1]Macro!V103</f>
        <v>64.651412129999997</v>
      </c>
      <c r="X516" s="6">
        <f>[1]Macro!W103</f>
        <v>64.790916150000001</v>
      </c>
      <c r="Y516" s="6">
        <f>[1]Macro!X103</f>
        <v>64.937365639999996</v>
      </c>
      <c r="Z516" s="6">
        <f>[1]Macro!Y103</f>
        <v>65.087534590000004</v>
      </c>
      <c r="AA516" s="6">
        <f>[1]Macro!Z103</f>
        <v>65.239669649999996</v>
      </c>
      <c r="AB516" s="6">
        <f>[1]Macro!AA103</f>
        <v>65.339255089999995</v>
      </c>
      <c r="AC516" s="6">
        <f>[1]Macro!AB103</f>
        <v>65.440056740000003</v>
      </c>
      <c r="AD516" s="6">
        <f>[1]Macro!AC103</f>
        <v>65.540104690000007</v>
      </c>
      <c r="AE516" s="6">
        <f>[1]Macro!AD103</f>
        <v>65.638616029999994</v>
      </c>
      <c r="AF516" s="6">
        <f>[1]Macro!AE103</f>
        <v>65.735428830000004</v>
      </c>
      <c r="AG516" s="6">
        <f>[1]Macro!AF103</f>
        <v>65.830663369999996</v>
      </c>
      <c r="AH516" s="6">
        <f>[1]Macro!AG103</f>
        <v>65.924494300000006</v>
      </c>
      <c r="AI516" s="6">
        <f>[1]Macro!AH103</f>
        <v>66.017158370000004</v>
      </c>
      <c r="AJ516" s="6">
        <f>[1]Macro!AI103</f>
        <v>66.108788009999998</v>
      </c>
      <c r="AK516" s="6">
        <f>[1]Macro!AJ103</f>
        <v>66.199633289999994</v>
      </c>
      <c r="AL516" s="6">
        <f>[1]Macro!AK103</f>
        <v>66.28996626</v>
      </c>
      <c r="AM516" s="6">
        <f>[1]Macro!AL103</f>
        <v>66.367734530000007</v>
      </c>
      <c r="AN516" s="6">
        <f>[1]Macro!AM103</f>
        <v>66.43901812</v>
      </c>
      <c r="AO516" s="6">
        <f>[1]Macro!AN103</f>
        <v>66.507081700000001</v>
      </c>
      <c r="AP516" s="6">
        <f>[1]Macro!AO103</f>
        <v>66.573680280000005</v>
      </c>
      <c r="AQ516" s="6">
        <f>[1]Macro!AP103</f>
        <v>66.639780099999996</v>
      </c>
      <c r="AR516" s="6">
        <f>[1]Macro!AQ103</f>
        <v>66.705815189999996</v>
      </c>
      <c r="AS516" s="6">
        <f>[1]Macro!AR103</f>
        <v>66.772185820000004</v>
      </c>
      <c r="AT516" s="6">
        <f>[1]Macro!AS103</f>
        <v>66.839202409999999</v>
      </c>
      <c r="AU516" s="6">
        <f>[1]Macro!AT103</f>
        <v>66.907081180000006</v>
      </c>
      <c r="AV516" s="6">
        <f>[1]Macro!AU103</f>
        <v>66.975959369999998</v>
      </c>
      <c r="AW516" s="6">
        <f>[1]Macro!AV103</f>
        <v>67.046400449999993</v>
      </c>
      <c r="AX516" s="6">
        <f>[1]Macro!AW103</f>
        <v>67.118159570000003</v>
      </c>
      <c r="AY516" s="6">
        <f>[1]Macro!AX103</f>
        <v>67.191278010000005</v>
      </c>
      <c r="AZ516" s="6">
        <f>[1]Macro!AY103</f>
        <v>67.265799939999994</v>
      </c>
      <c r="BA516" s="6">
        <f>[1]Macro!AZ103</f>
        <v>67.341704649999997</v>
      </c>
      <c r="BB516" s="6">
        <f>[1]Macro!BA103</f>
        <v>64.419719540000003</v>
      </c>
      <c r="BC516" s="6">
        <f>[1]Macro!BB103</f>
        <v>64.521376770000003</v>
      </c>
      <c r="BD516" s="6">
        <f>[1]Macro!BC103</f>
        <v>64.626029189999997</v>
      </c>
      <c r="BE516" s="6">
        <f>[1]Macro!BD103</f>
        <v>64.733579050000003</v>
      </c>
      <c r="BF516" s="6">
        <f>[1]Macro!BE103</f>
        <v>64.844110799999996</v>
      </c>
    </row>
    <row r="517" spans="2:58" x14ac:dyDescent="0.35">
      <c r="B517" s="6" t="str">
        <f>[1]Macro!A104</f>
        <v>x_toe_2</v>
      </c>
      <c r="C517" s="6">
        <f>[1]Macro!B104</f>
        <v>31.853554859999999</v>
      </c>
      <c r="D517" s="6">
        <f>[1]Macro!C104</f>
        <v>32.20783891</v>
      </c>
      <c r="E517" s="6">
        <f>[1]Macro!D104</f>
        <v>32.604195709999999</v>
      </c>
      <c r="F517" s="6">
        <f>[1]Macro!E104</f>
        <v>33.009198419999997</v>
      </c>
      <c r="G517" s="6">
        <f>[1]Macro!F104</f>
        <v>33.420960729999997</v>
      </c>
      <c r="H517" s="6">
        <f>[1]Macro!G104</f>
        <v>33.837606819999998</v>
      </c>
      <c r="I517" s="6">
        <f>[1]Macro!H104</f>
        <v>34.22220678</v>
      </c>
      <c r="J517" s="6">
        <f>[1]Macro!I104</f>
        <v>34.608333680000001</v>
      </c>
      <c r="K517" s="6">
        <f>[1]Macro!J104</f>
        <v>34.99537617</v>
      </c>
      <c r="L517" s="6">
        <f>[1]Macro!K104</f>
        <v>35.383033349999998</v>
      </c>
      <c r="M517" s="6">
        <f>[1]Macro!L104</f>
        <v>35.693286669999999</v>
      </c>
      <c r="N517" s="6">
        <f>[1]Macro!M104</f>
        <v>36.165603840000003</v>
      </c>
      <c r="O517" s="6">
        <f>[1]Macro!N104</f>
        <v>36.640969040000002</v>
      </c>
      <c r="P517" s="6">
        <f>[1]Macro!O104</f>
        <v>37.119356449999998</v>
      </c>
      <c r="Q517" s="6">
        <f>[1]Macro!P104</f>
        <v>37.600866189999998</v>
      </c>
      <c r="R517" s="6">
        <f>[1]Macro!Q104</f>
        <v>38.085704890000002</v>
      </c>
      <c r="S517" s="6">
        <f>[1]Macro!R104</f>
        <v>38.567533300000001</v>
      </c>
      <c r="T517" s="6">
        <f>[1]Macro!S104</f>
        <v>39.053104130000001</v>
      </c>
      <c r="U517" s="6">
        <f>[1]Macro!T104</f>
        <v>39.542783190000002</v>
      </c>
      <c r="V517" s="6">
        <f>[1]Macro!U104</f>
        <v>40.036948080000002</v>
      </c>
      <c r="W517" s="6">
        <f>[1]Macro!V104</f>
        <v>40.495545890000002</v>
      </c>
      <c r="X517" s="6">
        <f>[1]Macro!W104</f>
        <v>40.999792159999998</v>
      </c>
      <c r="Y517" s="6">
        <f>[1]Macro!X104</f>
        <v>41.509692880000003</v>
      </c>
      <c r="Z517" s="6">
        <f>[1]Macro!Y104</f>
        <v>42.025547459999999</v>
      </c>
      <c r="AA517" s="6">
        <f>[1]Macro!Z104</f>
        <v>42.547630560000002</v>
      </c>
      <c r="AB517" s="6">
        <f>[1]Macro!AA104</f>
        <v>42.960785389999998</v>
      </c>
      <c r="AC517" s="6">
        <f>[1]Macro!AB104</f>
        <v>43.444455220000002</v>
      </c>
      <c r="AD517" s="6">
        <f>[1]Macro!AC104</f>
        <v>43.934283999999998</v>
      </c>
      <c r="AE517" s="6">
        <f>[1]Macro!AD104</f>
        <v>44.430463510000003</v>
      </c>
      <c r="AF517" s="6">
        <f>[1]Macro!AE104</f>
        <v>44.933134850000002</v>
      </c>
      <c r="AG517" s="6">
        <f>[1]Macro!AF104</f>
        <v>45.442398140000002</v>
      </c>
      <c r="AH517" s="6">
        <f>[1]Macro!AG104</f>
        <v>45.960286160000003</v>
      </c>
      <c r="AI517" s="6">
        <f>[1]Macro!AH104</f>
        <v>46.484920199999998</v>
      </c>
      <c r="AJ517" s="6">
        <f>[1]Macro!AI104</f>
        <v>47.016303829999998</v>
      </c>
      <c r="AK517" s="6">
        <f>[1]Macro!AJ104</f>
        <v>47.55441914</v>
      </c>
      <c r="AL517" s="6">
        <f>[1]Macro!AK104</f>
        <v>48.099234379999999</v>
      </c>
      <c r="AM517" s="6">
        <f>[1]Macro!AL104</f>
        <v>48.642056340000003</v>
      </c>
      <c r="AN517" s="6">
        <f>[1]Macro!AM104</f>
        <v>49.191538729999998</v>
      </c>
      <c r="AO517" s="6">
        <f>[1]Macro!AN104</f>
        <v>49.747670800000002</v>
      </c>
      <c r="AP517" s="6">
        <f>[1]Macro!AO104</f>
        <v>50.310424740000002</v>
      </c>
      <c r="AQ517" s="6">
        <f>[1]Macro!AP104</f>
        <v>50.879769609999997</v>
      </c>
      <c r="AR517" s="6">
        <f>[1]Macro!AQ104</f>
        <v>51.458846559999998</v>
      </c>
      <c r="AS517" s="6">
        <f>[1]Macro!AR104</f>
        <v>52.044564430000001</v>
      </c>
      <c r="AT517" s="6">
        <f>[1]Macro!AS104</f>
        <v>52.63691094</v>
      </c>
      <c r="AU517" s="6">
        <f>[1]Macro!AT104</f>
        <v>53.23587895</v>
      </c>
      <c r="AV517" s="6">
        <f>[1]Macro!AU104</f>
        <v>53.841467489999999</v>
      </c>
      <c r="AW517" s="6">
        <f>[1]Macro!AV104</f>
        <v>54.467442579999997</v>
      </c>
      <c r="AX517" s="6">
        <f>[1]Macro!AW104</f>
        <v>55.10043864</v>
      </c>
      <c r="AY517" s="6">
        <f>[1]Macro!AX104</f>
        <v>55.740461170000003</v>
      </c>
      <c r="AZ517" s="6">
        <f>[1]Macro!AY104</f>
        <v>56.38751911</v>
      </c>
      <c r="BA517" s="6">
        <f>[1]Macro!AZ104</f>
        <v>57.041632540000002</v>
      </c>
      <c r="BB517" s="6">
        <f>[1]Macro!BA104</f>
        <v>76.153181029999999</v>
      </c>
      <c r="BC517" s="6">
        <f>[1]Macro!BB104</f>
        <v>77.474931299999994</v>
      </c>
      <c r="BD517" s="6">
        <f>[1]Macro!BC104</f>
        <v>78.820624289999998</v>
      </c>
      <c r="BE517" s="6">
        <f>[1]Macro!BD104</f>
        <v>80.190643519999995</v>
      </c>
      <c r="BF517" s="6">
        <f>[1]Macro!BE104</f>
        <v>81.585370549999993</v>
      </c>
    </row>
    <row r="518" spans="2:58" x14ac:dyDescent="0.35"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6"/>
      <c r="BB518" s="6"/>
      <c r="BC518" s="6"/>
      <c r="BD518" s="6"/>
      <c r="BE518" s="6"/>
      <c r="BF518" s="6"/>
    </row>
    <row r="519" spans="2:58" x14ac:dyDescent="0.35">
      <c r="B519" s="6" t="str">
        <f>[1]Macro!A105</f>
        <v>y_toe_0</v>
      </c>
      <c r="C519" s="6">
        <f>[1]Macro!B105</f>
        <v>139.60539019999999</v>
      </c>
      <c r="D519" s="6">
        <f>[1]Macro!C105</f>
        <v>140.71595590000001</v>
      </c>
      <c r="E519" s="6">
        <f>[1]Macro!D105</f>
        <v>141.75063510000001</v>
      </c>
      <c r="F519" s="6">
        <f>[1]Macro!E105</f>
        <v>142.85682259999999</v>
      </c>
      <c r="G519" s="6">
        <f>[1]Macro!F105</f>
        <v>144.07966579999999</v>
      </c>
      <c r="H519" s="6">
        <f>[1]Macro!G105</f>
        <v>145.43149589999999</v>
      </c>
      <c r="I519" s="6">
        <f>[1]Macro!H105</f>
        <v>146.8228154</v>
      </c>
      <c r="J519" s="6">
        <f>[1]Macro!I105</f>
        <v>148.2883831</v>
      </c>
      <c r="K519" s="6">
        <f>[1]Macro!J105</f>
        <v>149.81685479999999</v>
      </c>
      <c r="L519" s="6">
        <f>[1]Macro!K105</f>
        <v>151.39436649999999</v>
      </c>
      <c r="M519" s="6">
        <f>[1]Macro!L105</f>
        <v>153.1495674</v>
      </c>
      <c r="N519" s="6">
        <f>[1]Macro!M105</f>
        <v>154.8389397</v>
      </c>
      <c r="O519" s="6">
        <f>[1]Macro!N105</f>
        <v>156.5356572</v>
      </c>
      <c r="P519" s="6">
        <f>[1]Macro!O105</f>
        <v>158.24582430000001</v>
      </c>
      <c r="Q519" s="6">
        <f>[1]Macro!P105</f>
        <v>159.97047040000001</v>
      </c>
      <c r="R519" s="6">
        <f>[1]Macro!Q105</f>
        <v>161.70993770000001</v>
      </c>
      <c r="S519" s="6">
        <f>[1]Macro!R105</f>
        <v>163.46483950000001</v>
      </c>
      <c r="T519" s="6">
        <f>[1]Macro!S105</f>
        <v>165.23619339999999</v>
      </c>
      <c r="U519" s="6">
        <f>[1]Macro!T105</f>
        <v>167.02535090000001</v>
      </c>
      <c r="V519" s="6">
        <f>[1]Macro!U105</f>
        <v>168.8338876</v>
      </c>
      <c r="W519" s="6">
        <f>[1]Macro!V105</f>
        <v>170.56150779999999</v>
      </c>
      <c r="X519" s="6">
        <f>[1]Macro!W105</f>
        <v>172.3825014</v>
      </c>
      <c r="Y519" s="6">
        <f>[1]Macro!X105</f>
        <v>174.24083569999999</v>
      </c>
      <c r="Z519" s="6">
        <f>[1]Macro!Y105</f>
        <v>176.1314615</v>
      </c>
      <c r="AA519" s="6">
        <f>[1]Macro!Z105</f>
        <v>178.05380700000001</v>
      </c>
      <c r="AB519" s="6">
        <f>[1]Macro!AA105</f>
        <v>179.71602970000001</v>
      </c>
      <c r="AC519" s="6">
        <f>[1]Macro!AB105</f>
        <v>181.47503689999999</v>
      </c>
      <c r="AD519" s="6">
        <f>[1]Macro!AC105</f>
        <v>183.25965239999999</v>
      </c>
      <c r="AE519" s="6">
        <f>[1]Macro!AD105</f>
        <v>185.0681902</v>
      </c>
      <c r="AF519" s="6">
        <f>[1]Macro!AE105</f>
        <v>186.90300189999999</v>
      </c>
      <c r="AG519" s="6">
        <f>[1]Macro!AF105</f>
        <v>188.76686609999999</v>
      </c>
      <c r="AH519" s="6">
        <f>[1]Macro!AG105</f>
        <v>190.66209499999999</v>
      </c>
      <c r="AI519" s="6">
        <f>[1]Macro!AH105</f>
        <v>192.5903424</v>
      </c>
      <c r="AJ519" s="6">
        <f>[1]Macro!AI105</f>
        <v>194.55263780000001</v>
      </c>
      <c r="AK519" s="6">
        <f>[1]Macro!AJ105</f>
        <v>196.54949690000001</v>
      </c>
      <c r="AL519" s="6">
        <f>[1]Macro!AK105</f>
        <v>198.5810535</v>
      </c>
      <c r="AM519" s="6">
        <f>[1]Macro!AL105</f>
        <v>200.57748280000001</v>
      </c>
      <c r="AN519" s="6">
        <f>[1]Macro!AM105</f>
        <v>202.5863512</v>
      </c>
      <c r="AO519" s="6">
        <f>[1]Macro!AN105</f>
        <v>204.61563409999999</v>
      </c>
      <c r="AP519" s="6">
        <f>[1]Macro!AO105</f>
        <v>206.6689543</v>
      </c>
      <c r="AQ519" s="6">
        <f>[1]Macro!AP105</f>
        <v>208.7486486</v>
      </c>
      <c r="AR519" s="6">
        <f>[1]Macro!AQ105</f>
        <v>210.85650000000001</v>
      </c>
      <c r="AS519" s="6">
        <f>[1]Macro!AR105</f>
        <v>212.9939167</v>
      </c>
      <c r="AT519" s="6">
        <f>[1]Macro!AS105</f>
        <v>215.1619896</v>
      </c>
      <c r="AU519" s="6">
        <f>[1]Macro!AT105</f>
        <v>217.36149030000001</v>
      </c>
      <c r="AV519" s="6">
        <f>[1]Macro!AU105</f>
        <v>219.59277019999999</v>
      </c>
      <c r="AW519" s="6">
        <f>[1]Macro!AV105</f>
        <v>221.86126340000001</v>
      </c>
      <c r="AX519" s="6">
        <f>[1]Macro!AW105</f>
        <v>224.1585911</v>
      </c>
      <c r="AY519" s="6">
        <f>[1]Macro!AX105</f>
        <v>226.48209869999999</v>
      </c>
      <c r="AZ519" s="6">
        <f>[1]Macro!AY105</f>
        <v>228.83547709999999</v>
      </c>
      <c r="BA519" s="6">
        <f>[1]Macro!AZ105</f>
        <v>231.22222640000001</v>
      </c>
      <c r="BB519" s="6">
        <f>[1]Macro!BA105</f>
        <v>248.76068989999999</v>
      </c>
      <c r="BC519" s="6">
        <f>[1]Macro!BB105</f>
        <v>252.16318720000001</v>
      </c>
      <c r="BD519" s="6">
        <f>[1]Macro!BC105</f>
        <v>255.6227614</v>
      </c>
      <c r="BE519" s="6">
        <f>[1]Macro!BD105</f>
        <v>259.14068689999999</v>
      </c>
      <c r="BF519" s="6">
        <f>[1]Macro!BE105</f>
        <v>262.7181764</v>
      </c>
    </row>
    <row r="520" spans="2:58" x14ac:dyDescent="0.35">
      <c r="B520" s="6" t="str">
        <f>[1]Macro!A106</f>
        <v>m_toe_0</v>
      </c>
      <c r="C520" s="6">
        <f>[1]Macro!B106</f>
        <v>151.4012845</v>
      </c>
      <c r="D520" s="6">
        <f>[1]Macro!C106</f>
        <v>152.663352</v>
      </c>
      <c r="E520" s="6">
        <f>[1]Macro!D106</f>
        <v>153.86342780000001</v>
      </c>
      <c r="F520" s="6">
        <f>[1]Macro!E106</f>
        <v>155.1746109</v>
      </c>
      <c r="G520" s="6">
        <f>[1]Macro!F106</f>
        <v>156.64782070000001</v>
      </c>
      <c r="H520" s="6">
        <f>[1]Macro!G106</f>
        <v>158.2952325</v>
      </c>
      <c r="I520" s="6">
        <f>[1]Macro!H106</f>
        <v>160.01514180000001</v>
      </c>
      <c r="J520" s="6">
        <f>[1]Macro!I106</f>
        <v>161.8358709</v>
      </c>
      <c r="K520" s="6">
        <f>[1]Macro!J106</f>
        <v>163.7439234</v>
      </c>
      <c r="L520" s="6">
        <f>[1]Macro!K106</f>
        <v>165.72227570000001</v>
      </c>
      <c r="M520" s="6">
        <f>[1]Macro!L106</f>
        <v>167.9078427</v>
      </c>
      <c r="N520" s="6">
        <f>[1]Macro!M106</f>
        <v>170.0440404</v>
      </c>
      <c r="O520" s="6">
        <f>[1]Macro!N106</f>
        <v>172.19674860000001</v>
      </c>
      <c r="P520" s="6">
        <f>[1]Macro!O106</f>
        <v>174.37371049999999</v>
      </c>
      <c r="Q520" s="6">
        <f>[1]Macro!P106</f>
        <v>176.57467489999999</v>
      </c>
      <c r="R520" s="6">
        <f>[1]Macro!Q106</f>
        <v>178.7985434</v>
      </c>
      <c r="S520" s="6">
        <f>[1]Macro!R106</f>
        <v>181.044724</v>
      </c>
      <c r="T520" s="6">
        <f>[1]Macro!S106</f>
        <v>183.3132511</v>
      </c>
      <c r="U520" s="6">
        <f>[1]Macro!T106</f>
        <v>185.6046652</v>
      </c>
      <c r="V520" s="6">
        <f>[1]Macro!U106</f>
        <v>187.9198681</v>
      </c>
      <c r="W520" s="6">
        <f>[1]Macro!V106</f>
        <v>190.14875319999999</v>
      </c>
      <c r="X520" s="6">
        <f>[1]Macro!W106</f>
        <v>192.47440359999999</v>
      </c>
      <c r="Y520" s="6">
        <f>[1]Macro!X106</f>
        <v>194.84393589999999</v>
      </c>
      <c r="Z520" s="6">
        <f>[1]Macro!Y106</f>
        <v>197.24937929999999</v>
      </c>
      <c r="AA520" s="6">
        <f>[1]Macro!Z106</f>
        <v>199.68975570000001</v>
      </c>
      <c r="AB520" s="6">
        <f>[1]Macro!AA106</f>
        <v>201.84526389999999</v>
      </c>
      <c r="AC520" s="6">
        <f>[1]Macro!AB106</f>
        <v>204.0881095</v>
      </c>
      <c r="AD520" s="6">
        <f>[1]Macro!AC106</f>
        <v>206.35688200000001</v>
      </c>
      <c r="AE520" s="6">
        <f>[1]Macro!AD106</f>
        <v>208.64680129999999</v>
      </c>
      <c r="AF520" s="6">
        <f>[1]Macro!AE106</f>
        <v>210.96047999999999</v>
      </c>
      <c r="AG520" s="6">
        <f>[1]Macro!AF106</f>
        <v>213.30156590000001</v>
      </c>
      <c r="AH520" s="6">
        <f>[1]Macro!AG106</f>
        <v>215.67329989999999</v>
      </c>
      <c r="AI520" s="6">
        <f>[1]Macro!AH106</f>
        <v>218.07820219999999</v>
      </c>
      <c r="AJ520" s="6">
        <f>[1]Macro!AI106</f>
        <v>220.5180838</v>
      </c>
      <c r="AK520" s="6">
        <f>[1]Macro!AJ106</f>
        <v>222.99415590000001</v>
      </c>
      <c r="AL520" s="6">
        <f>[1]Macro!AK106</f>
        <v>225.50716489999999</v>
      </c>
      <c r="AM520" s="6">
        <f>[1]Macro!AL106</f>
        <v>227.9806159</v>
      </c>
      <c r="AN520" s="6">
        <f>[1]Macro!AM106</f>
        <v>230.46287810000001</v>
      </c>
      <c r="AO520" s="6">
        <f>[1]Macro!AN106</f>
        <v>232.96484570000001</v>
      </c>
      <c r="AP520" s="6">
        <f>[1]Macro!AO106</f>
        <v>235.4910605</v>
      </c>
      <c r="AQ520" s="6">
        <f>[1]Macro!AP106</f>
        <v>238.04450840000001</v>
      </c>
      <c r="AR520" s="6">
        <f>[1]Macro!AQ106</f>
        <v>240.6275862</v>
      </c>
      <c r="AS520" s="6">
        <f>[1]Macro!AR106</f>
        <v>243.2422717</v>
      </c>
      <c r="AT520" s="6">
        <f>[1]Macro!AS106</f>
        <v>245.89014710000001</v>
      </c>
      <c r="AU520" s="6">
        <f>[1]Macro!AT106</f>
        <v>248.57239129999999</v>
      </c>
      <c r="AV520" s="6">
        <f>[1]Macro!AU106</f>
        <v>251.28969789999999</v>
      </c>
      <c r="AW520" s="6">
        <f>[1]Macro!AV106</f>
        <v>254.04866899999999</v>
      </c>
      <c r="AX520" s="6">
        <f>[1]Macro!AW106</f>
        <v>256.84328269999997</v>
      </c>
      <c r="AY520" s="6">
        <f>[1]Macro!AX106</f>
        <v>259.6702737</v>
      </c>
      <c r="AZ520" s="6">
        <f>[1]Macro!AY106</f>
        <v>262.53378800000002</v>
      </c>
      <c r="BA520" s="6">
        <f>[1]Macro!AZ106</f>
        <v>265.43757290000002</v>
      </c>
      <c r="BB520" s="6">
        <f>[1]Macro!BA106</f>
        <v>289.18244320000002</v>
      </c>
      <c r="BC520" s="6">
        <f>[1]Macro!BB106</f>
        <v>293.36051500000002</v>
      </c>
      <c r="BD520" s="6">
        <f>[1]Macro!BC106</f>
        <v>297.60425559999999</v>
      </c>
      <c r="BE520" s="6">
        <f>[1]Macro!BD106</f>
        <v>301.9153384</v>
      </c>
      <c r="BF520" s="6">
        <f>[1]Macro!BE106</f>
        <v>306.29544920000001</v>
      </c>
    </row>
    <row r="521" spans="2:58" x14ac:dyDescent="0.35">
      <c r="B521" s="6" t="str">
        <f>[1]Macro!A107</f>
        <v>ci_toe_0</v>
      </c>
      <c r="C521" s="6">
        <f>[1]Macro!B107</f>
        <v>193.20841820000001</v>
      </c>
      <c r="D521" s="6">
        <f>[1]Macro!C107</f>
        <v>195.11808260000001</v>
      </c>
      <c r="E521" s="6">
        <f>[1]Macro!D107</f>
        <v>197.05250889999999</v>
      </c>
      <c r="F521" s="6">
        <f>[1]Macro!E107</f>
        <v>199.16416559999999</v>
      </c>
      <c r="G521" s="6">
        <f>[1]Macro!F107</f>
        <v>201.497919</v>
      </c>
      <c r="H521" s="6">
        <f>[1]Macro!G107</f>
        <v>204.04660870000001</v>
      </c>
      <c r="I521" s="6">
        <f>[1]Macro!H107</f>
        <v>206.67011199999999</v>
      </c>
      <c r="J521" s="6">
        <f>[1]Macro!I107</f>
        <v>209.40289179999999</v>
      </c>
      <c r="K521" s="6">
        <f>[1]Macro!J107</f>
        <v>212.2338766</v>
      </c>
      <c r="L521" s="6">
        <f>[1]Macro!K107</f>
        <v>215.14567460000001</v>
      </c>
      <c r="M521" s="6">
        <f>[1]Macro!L107</f>
        <v>218.32325370000001</v>
      </c>
      <c r="N521" s="6">
        <f>[1]Macro!M107</f>
        <v>221.43877370000001</v>
      </c>
      <c r="O521" s="6">
        <f>[1]Macro!N107</f>
        <v>224.56729010000001</v>
      </c>
      <c r="P521" s="6">
        <f>[1]Macro!O107</f>
        <v>227.72169120000001</v>
      </c>
      <c r="Q521" s="6">
        <f>[1]Macro!P107</f>
        <v>230.9027519</v>
      </c>
      <c r="R521" s="6">
        <f>[1]Macro!Q107</f>
        <v>234.1099816</v>
      </c>
      <c r="S521" s="6">
        <f>[1]Macro!R107</f>
        <v>237.34366800000001</v>
      </c>
      <c r="T521" s="6">
        <f>[1]Macro!S107</f>
        <v>240.6050444</v>
      </c>
      <c r="U521" s="6">
        <f>[1]Macro!T107</f>
        <v>243.89608920000001</v>
      </c>
      <c r="V521" s="6">
        <f>[1]Macro!U107</f>
        <v>247.2192852</v>
      </c>
      <c r="W521" s="6">
        <f>[1]Macro!V107</f>
        <v>250.4293131</v>
      </c>
      <c r="X521" s="6">
        <f>[1]Macro!W107</f>
        <v>253.76360310000001</v>
      </c>
      <c r="Y521" s="6">
        <f>[1]Macro!X107</f>
        <v>257.16320250000001</v>
      </c>
      <c r="Z521" s="6">
        <f>[1]Macro!Y107</f>
        <v>260.61725719999998</v>
      </c>
      <c r="AA521" s="6">
        <f>[1]Macro!Z107</f>
        <v>264.12507390000002</v>
      </c>
      <c r="AB521" s="6">
        <f>[1]Macro!AA107</f>
        <v>267.26079909999999</v>
      </c>
      <c r="AC521" s="6">
        <f>[1]Macro!AB107</f>
        <v>270.49915809999999</v>
      </c>
      <c r="AD521" s="6">
        <f>[1]Macro!AC107</f>
        <v>273.77822830000002</v>
      </c>
      <c r="AE521" s="6">
        <f>[1]Macro!AD107</f>
        <v>277.09190960000001</v>
      </c>
      <c r="AF521" s="6">
        <f>[1]Macro!AE107</f>
        <v>280.44524589999997</v>
      </c>
      <c r="AG521" s="6">
        <f>[1]Macro!AF107</f>
        <v>283.84438540000002</v>
      </c>
      <c r="AH521" s="6">
        <f>[1]Macro!AG107</f>
        <v>287.29442760000001</v>
      </c>
      <c r="AI521" s="6">
        <f>[1]Macro!AH107</f>
        <v>290.79906690000001</v>
      </c>
      <c r="AJ521" s="6">
        <f>[1]Macro!AI107</f>
        <v>294.36069909999998</v>
      </c>
      <c r="AK521" s="6">
        <f>[1]Macro!AJ107</f>
        <v>297.98065789999998</v>
      </c>
      <c r="AL521" s="6">
        <f>[1]Macro!AK107</f>
        <v>301.65947629999999</v>
      </c>
      <c r="AM521" s="6">
        <f>[1]Macro!AL107</f>
        <v>305.29415289999997</v>
      </c>
      <c r="AN521" s="6">
        <f>[1]Macro!AM107</f>
        <v>308.94343270000002</v>
      </c>
      <c r="AO521" s="6">
        <f>[1]Macro!AN107</f>
        <v>312.62324860000001</v>
      </c>
      <c r="AP521" s="6">
        <f>[1]Macro!AO107</f>
        <v>316.34017779999999</v>
      </c>
      <c r="AQ521" s="6">
        <f>[1]Macro!AP107</f>
        <v>320.09856719999999</v>
      </c>
      <c r="AR521" s="6">
        <f>[1]Macro!AQ107</f>
        <v>323.90190999999999</v>
      </c>
      <c r="AS521" s="6">
        <f>[1]Macro!AR107</f>
        <v>327.75306749999999</v>
      </c>
      <c r="AT521" s="6">
        <f>[1]Macro!AS107</f>
        <v>331.65431280000001</v>
      </c>
      <c r="AU521" s="6">
        <f>[1]Macro!AT107</f>
        <v>335.6073763</v>
      </c>
      <c r="AV521" s="6">
        <f>[1]Macro!AU107</f>
        <v>339.61350199999998</v>
      </c>
      <c r="AW521" s="6">
        <f>[1]Macro!AV107</f>
        <v>343.68269240000001</v>
      </c>
      <c r="AX521" s="6">
        <f>[1]Macro!AW107</f>
        <v>347.8074901</v>
      </c>
      <c r="AY521" s="6">
        <f>[1]Macro!AX107</f>
        <v>351.98570790000002</v>
      </c>
      <c r="AZ521" s="6">
        <f>[1]Macro!AY107</f>
        <v>356.21853859999999</v>
      </c>
      <c r="BA521" s="6">
        <f>[1]Macro!AZ107</f>
        <v>360.50754439999997</v>
      </c>
      <c r="BB521" s="6">
        <f>[1]Macro!BA107</f>
        <v>395.34974249999999</v>
      </c>
      <c r="BC521" s="6">
        <f>[1]Macro!BB107</f>
        <v>401.4616911</v>
      </c>
      <c r="BD521" s="6">
        <f>[1]Macro!BC107</f>
        <v>407.67003840000001</v>
      </c>
      <c r="BE521" s="6">
        <f>[1]Macro!BD107</f>
        <v>413.97701210000002</v>
      </c>
      <c r="BF521" s="6">
        <f>[1]Macro!BE107</f>
        <v>420.38488769999998</v>
      </c>
    </row>
    <row r="522" spans="2:58" x14ac:dyDescent="0.35">
      <c r="B522" s="6" t="str">
        <f>[1]Macro!A108</f>
        <v>ch_toe_0</v>
      </c>
      <c r="C522" s="6">
        <f>[1]Macro!B108</f>
        <v>64.301440170000006</v>
      </c>
      <c r="D522" s="6">
        <f>[1]Macro!C108</f>
        <v>64.244438369999997</v>
      </c>
      <c r="E522" s="6">
        <f>[1]Macro!D108</f>
        <v>63.979054069999997</v>
      </c>
      <c r="F522" s="6">
        <f>[1]Macro!E108</f>
        <v>63.707653280000002</v>
      </c>
      <c r="G522" s="6">
        <f>[1]Macro!F108</f>
        <v>63.482470309999997</v>
      </c>
      <c r="H522" s="6">
        <f>[1]Macro!G108</f>
        <v>63.336263119999998</v>
      </c>
      <c r="I522" s="6">
        <f>[1]Macro!H108</f>
        <v>63.253989850000004</v>
      </c>
      <c r="J522" s="6">
        <f>[1]Macro!I108</f>
        <v>63.230666900000003</v>
      </c>
      <c r="K522" s="6">
        <f>[1]Macro!J108</f>
        <v>63.25270665</v>
      </c>
      <c r="L522" s="6">
        <f>[1]Macro!K108</f>
        <v>63.306551339999999</v>
      </c>
      <c r="M522" s="6">
        <f>[1]Macro!L108</f>
        <v>63.411263230000003</v>
      </c>
      <c r="N522" s="6">
        <f>[1]Macro!M108</f>
        <v>63.516182059999998</v>
      </c>
      <c r="O522" s="6">
        <f>[1]Macro!N108</f>
        <v>63.624458609999998</v>
      </c>
      <c r="P522" s="6">
        <f>[1]Macro!O108</f>
        <v>63.736656080000003</v>
      </c>
      <c r="Q522" s="6">
        <f>[1]Macro!P108</f>
        <v>63.852380840000002</v>
      </c>
      <c r="R522" s="6">
        <f>[1]Macro!Q108</f>
        <v>63.970976999999998</v>
      </c>
      <c r="S522" s="6">
        <f>[1]Macro!R108</f>
        <v>64.091795399999995</v>
      </c>
      <c r="T522" s="6">
        <f>[1]Macro!S108</f>
        <v>64.21427869</v>
      </c>
      <c r="U522" s="6">
        <f>[1]Macro!T108</f>
        <v>64.337973930000004</v>
      </c>
      <c r="V522" s="6">
        <f>[1]Macro!U108</f>
        <v>64.462521370000005</v>
      </c>
      <c r="W522" s="6">
        <f>[1]Macro!V108</f>
        <v>64.568139410000001</v>
      </c>
      <c r="X522" s="6">
        <f>[1]Macro!W108</f>
        <v>64.683683740000006</v>
      </c>
      <c r="Y522" s="6">
        <f>[1]Macro!X108</f>
        <v>64.803930500000007</v>
      </c>
      <c r="Z522" s="6">
        <f>[1]Macro!Y108</f>
        <v>64.926449059999996</v>
      </c>
      <c r="AA522" s="6">
        <f>[1]Macro!Z108</f>
        <v>65.050136710000004</v>
      </c>
      <c r="AB522" s="6">
        <f>[1]Macro!AA108</f>
        <v>65.121097719999995</v>
      </c>
      <c r="AC522" s="6">
        <f>[1]Macro!AB108</f>
        <v>65.193553199999997</v>
      </c>
      <c r="AD522" s="6">
        <f>[1]Macro!AC108</f>
        <v>65.265840109999999</v>
      </c>
      <c r="AE522" s="6">
        <f>[1]Macro!AD108</f>
        <v>65.33738142</v>
      </c>
      <c r="AF522" s="6">
        <f>[1]Macro!AE108</f>
        <v>65.407922630000002</v>
      </c>
      <c r="AG522" s="6">
        <f>[1]Macro!AF108</f>
        <v>65.477596759999997</v>
      </c>
      <c r="AH522" s="6">
        <f>[1]Macro!AG108</f>
        <v>65.546739720000005</v>
      </c>
      <c r="AI522" s="6">
        <f>[1]Macro!AH108</f>
        <v>65.615738050000004</v>
      </c>
      <c r="AJ522" s="6">
        <f>[1]Macro!AI108</f>
        <v>65.684962580000004</v>
      </c>
      <c r="AK522" s="6">
        <f>[1]Macro!AJ108</f>
        <v>65.754746269999998</v>
      </c>
      <c r="AL522" s="6">
        <f>[1]Macro!AK108</f>
        <v>65.825382500000003</v>
      </c>
      <c r="AM522" s="6">
        <f>[1]Macro!AL108</f>
        <v>65.885647710000001</v>
      </c>
      <c r="AN522" s="6">
        <f>[1]Macro!AM108</f>
        <v>65.941297739999996</v>
      </c>
      <c r="AO522" s="6">
        <f>[1]Macro!AN108</f>
        <v>65.995158619999998</v>
      </c>
      <c r="AP522" s="6">
        <f>[1]Macro!AO108</f>
        <v>66.048711780000005</v>
      </c>
      <c r="AQ522" s="6">
        <f>[1]Macro!AP108</f>
        <v>66.102831179999995</v>
      </c>
      <c r="AR522" s="6">
        <f>[1]Macro!AQ108</f>
        <v>66.158103019999999</v>
      </c>
      <c r="AS522" s="6">
        <f>[1]Macro!AR108</f>
        <v>66.214953059999999</v>
      </c>
      <c r="AT522" s="6">
        <f>[1]Macro!AS108</f>
        <v>66.273683539999993</v>
      </c>
      <c r="AU522" s="6">
        <f>[1]Macro!AT108</f>
        <v>66.334417869999996</v>
      </c>
      <c r="AV522" s="6">
        <f>[1]Macro!AU108</f>
        <v>66.396859019999994</v>
      </c>
      <c r="AW522" s="6">
        <f>[1]Macro!AV108</f>
        <v>66.460015470000002</v>
      </c>
      <c r="AX522" s="6">
        <f>[1]Macro!AW108</f>
        <v>66.519687619999999</v>
      </c>
      <c r="AY522" s="6">
        <f>[1]Macro!AX108</f>
        <v>66.57202814</v>
      </c>
      <c r="AZ522" s="6">
        <f>[1]Macro!AY108</f>
        <v>66.623567550000004</v>
      </c>
      <c r="BA522" s="6">
        <f>[1]Macro!AZ108</f>
        <v>66.679879940000006</v>
      </c>
      <c r="BB522" s="6">
        <f>[1]Macro!BA108</f>
        <v>66.181774820000001</v>
      </c>
      <c r="BC522" s="6">
        <f>[1]Macro!BB108</f>
        <v>66.315964530000002</v>
      </c>
      <c r="BD522" s="6">
        <f>[1]Macro!BC108</f>
        <v>66.452371409999998</v>
      </c>
      <c r="BE522" s="6">
        <f>[1]Macro!BD108</f>
        <v>66.591310300000004</v>
      </c>
      <c r="BF522" s="6">
        <f>[1]Macro!BE108</f>
        <v>66.732995119999998</v>
      </c>
    </row>
    <row r="523" spans="2:58" x14ac:dyDescent="0.35">
      <c r="B523" s="6" t="str">
        <f>[1]Macro!A109</f>
        <v>x_toe_0</v>
      </c>
      <c r="C523" s="6">
        <f>[1]Macro!B109</f>
        <v>33.496816299999999</v>
      </c>
      <c r="D523" s="6">
        <f>[1]Macro!C109</f>
        <v>34.016786949999997</v>
      </c>
      <c r="E523" s="6">
        <f>[1]Macro!D109</f>
        <v>34.582499839999997</v>
      </c>
      <c r="F523" s="6">
        <f>[1]Macro!E109</f>
        <v>35.159614650000002</v>
      </c>
      <c r="G523" s="6">
        <f>[1]Macro!F109</f>
        <v>35.747097170000004</v>
      </c>
      <c r="H523" s="6">
        <f>[1]Macro!G109</f>
        <v>36.343856629999998</v>
      </c>
      <c r="I523" s="6">
        <f>[1]Macro!H109</f>
        <v>36.913855409999996</v>
      </c>
      <c r="J523" s="6">
        <f>[1]Macro!I109</f>
        <v>37.49069532</v>
      </c>
      <c r="K523" s="6">
        <f>[1]Macro!J109</f>
        <v>38.074194929999997</v>
      </c>
      <c r="L523" s="6">
        <f>[1]Macro!K109</f>
        <v>38.664416279999998</v>
      </c>
      <c r="M523" s="6">
        <f>[1]Macro!L109</f>
        <v>39.322893180000001</v>
      </c>
      <c r="N523" s="6">
        <f>[1]Macro!M109</f>
        <v>39.928024360000002</v>
      </c>
      <c r="O523" s="6">
        <f>[1]Macro!N109</f>
        <v>40.540657060000001</v>
      </c>
      <c r="P523" s="6">
        <f>[1]Macro!O109</f>
        <v>41.161187570000003</v>
      </c>
      <c r="Q523" s="6">
        <f>[1]Macro!P109</f>
        <v>41.79001264</v>
      </c>
      <c r="R523" s="6">
        <f>[1]Macro!Q109</f>
        <v>42.427522439999997</v>
      </c>
      <c r="S523" s="6">
        <f>[1]Macro!R109</f>
        <v>43.074100129999998</v>
      </c>
      <c r="T523" s="6">
        <f>[1]Macro!S109</f>
        <v>43.730121429999997</v>
      </c>
      <c r="U523" s="6">
        <f>[1]Macro!T109</f>
        <v>44.395952889999997</v>
      </c>
      <c r="V523" s="6">
        <f>[1]Macro!U109</f>
        <v>45.071949160000003</v>
      </c>
      <c r="W523" s="6">
        <f>[1]Macro!V109</f>
        <v>45.712808469999999</v>
      </c>
      <c r="X523" s="6">
        <f>[1]Macro!W109</f>
        <v>46.40961815</v>
      </c>
      <c r="Y523" s="6">
        <f>[1]Macro!X109</f>
        <v>47.117638650000004</v>
      </c>
      <c r="Z523" s="6">
        <f>[1]Macro!Y109</f>
        <v>47.837134499999998</v>
      </c>
      <c r="AA523" s="6">
        <f>[1]Macro!Z109</f>
        <v>48.568352070000003</v>
      </c>
      <c r="AB523" s="6">
        <f>[1]Macro!AA109</f>
        <v>49.179396750000002</v>
      </c>
      <c r="AC523" s="6">
        <f>[1]Macro!AB109</f>
        <v>49.870435129999997</v>
      </c>
      <c r="AD523" s="6">
        <f>[1]Macro!AC109</f>
        <v>50.572466079999998</v>
      </c>
      <c r="AE523" s="6">
        <f>[1]Macro!AD109</f>
        <v>51.285700509999998</v>
      </c>
      <c r="AF523" s="6">
        <f>[1]Macro!AE109</f>
        <v>52.010313379999999</v>
      </c>
      <c r="AG523" s="6">
        <f>[1]Macro!AF109</f>
        <v>52.746449830000003</v>
      </c>
      <c r="AH523" s="6">
        <f>[1]Macro!AG109</f>
        <v>53.494227530000003</v>
      </c>
      <c r="AI523" s="6">
        <f>[1]Macro!AH109</f>
        <v>54.253739699999997</v>
      </c>
      <c r="AJ523" s="6">
        <f>[1]Macro!AI109</f>
        <v>55.025059949999999</v>
      </c>
      <c r="AK523" s="6">
        <f>[1]Macro!AJ109</f>
        <v>55.808248640000002</v>
      </c>
      <c r="AL523" s="6">
        <f>[1]Macro!AK109</f>
        <v>56.603359529999999</v>
      </c>
      <c r="AM523" s="6">
        <f>[1]Macro!AL109</f>
        <v>57.378298000000001</v>
      </c>
      <c r="AN523" s="6">
        <f>[1]Macro!AM109</f>
        <v>58.164498819999999</v>
      </c>
      <c r="AO523" s="6">
        <f>[1]Macro!AN109</f>
        <v>58.962072650000003</v>
      </c>
      <c r="AP523" s="6">
        <f>[1]Macro!AO109</f>
        <v>59.771125169999998</v>
      </c>
      <c r="AQ523" s="6">
        <f>[1]Macro!AP109</f>
        <v>60.591758579999997</v>
      </c>
      <c r="AR523" s="6">
        <f>[1]Macro!AQ109</f>
        <v>61.424073180000001</v>
      </c>
      <c r="AS523" s="6">
        <f>[1]Macro!AR109</f>
        <v>62.268167890000001</v>
      </c>
      <c r="AT523" s="6">
        <f>[1]Macro!AS109</f>
        <v>63.124140349999998</v>
      </c>
      <c r="AU523" s="6">
        <f>[1]Macro!AT109</f>
        <v>63.992087490000003</v>
      </c>
      <c r="AV523" s="6">
        <f>[1]Macro!AU109</f>
        <v>64.872107130000003</v>
      </c>
      <c r="AW523" s="6">
        <f>[1]Macro!AV109</f>
        <v>65.767224490000004</v>
      </c>
      <c r="AX523" s="6">
        <f>[1]Macro!AW109</f>
        <v>66.674696119999993</v>
      </c>
      <c r="AY523" s="6">
        <f>[1]Macro!AX109</f>
        <v>67.594636359999996</v>
      </c>
      <c r="AZ523" s="6">
        <f>[1]Macro!AY109</f>
        <v>68.527158959999994</v>
      </c>
      <c r="BA523" s="6">
        <f>[1]Macro!AZ109</f>
        <v>69.472374959999996</v>
      </c>
      <c r="BB523" s="6">
        <f>[1]Macro!BA109</f>
        <v>76.411615780000005</v>
      </c>
      <c r="BC523" s="6">
        <f>[1]Macro!BB109</f>
        <v>77.746046530000001</v>
      </c>
      <c r="BD523" s="6">
        <f>[1]Macro!BC109</f>
        <v>79.104607090000002</v>
      </c>
      <c r="BE523" s="6">
        <f>[1]Macro!BD109</f>
        <v>80.487702900000002</v>
      </c>
      <c r="BF523" s="6">
        <f>[1]Macro!BE109</f>
        <v>81.895742740000003</v>
      </c>
    </row>
    <row r="525" spans="2:58" x14ac:dyDescent="0.35">
      <c r="C525" s="2">
        <v>42005</v>
      </c>
      <c r="D525" s="2">
        <v>42370</v>
      </c>
      <c r="E525" s="2">
        <v>42736</v>
      </c>
      <c r="F525" s="2">
        <v>43101</v>
      </c>
      <c r="G525" s="2">
        <v>43466</v>
      </c>
      <c r="H525" s="2">
        <v>43831</v>
      </c>
      <c r="I525" s="2">
        <v>44197</v>
      </c>
      <c r="J525" s="2">
        <v>44562</v>
      </c>
      <c r="K525" s="2">
        <v>44927</v>
      </c>
      <c r="L525" s="2">
        <v>45292</v>
      </c>
      <c r="M525" s="2">
        <v>45658</v>
      </c>
      <c r="N525" s="2">
        <v>46023</v>
      </c>
      <c r="O525" s="2">
        <v>46388</v>
      </c>
      <c r="P525" s="2">
        <v>46753</v>
      </c>
      <c r="Q525" s="2">
        <v>47119</v>
      </c>
      <c r="R525" s="2">
        <v>47484</v>
      </c>
      <c r="S525" s="2">
        <v>47849</v>
      </c>
      <c r="T525" s="2">
        <v>48214</v>
      </c>
      <c r="U525" s="2">
        <v>48580</v>
      </c>
      <c r="V525" s="2">
        <v>48945</v>
      </c>
      <c r="W525" s="2">
        <v>49310</v>
      </c>
      <c r="X525" s="2">
        <v>49675</v>
      </c>
      <c r="Y525" s="2">
        <v>50041</v>
      </c>
      <c r="Z525" s="2">
        <v>50406</v>
      </c>
      <c r="AA525" s="2">
        <v>50771</v>
      </c>
      <c r="AB525" s="2">
        <v>51136</v>
      </c>
      <c r="AC525" s="2">
        <v>51502</v>
      </c>
      <c r="AD525" s="2">
        <v>51867</v>
      </c>
      <c r="AE525" s="2">
        <v>52232</v>
      </c>
      <c r="AF525" s="2">
        <v>52597</v>
      </c>
      <c r="AG525" s="2">
        <v>52963</v>
      </c>
      <c r="AH525" s="2">
        <v>53328</v>
      </c>
      <c r="AI525" s="2">
        <v>53693</v>
      </c>
      <c r="AJ525" s="2">
        <v>54058</v>
      </c>
      <c r="AK525" s="2">
        <v>54424</v>
      </c>
      <c r="AL525" s="2">
        <v>54789</v>
      </c>
      <c r="AM525" s="2">
        <v>54790</v>
      </c>
      <c r="AN525" s="2">
        <v>54791</v>
      </c>
      <c r="AO525" s="2">
        <v>54792</v>
      </c>
      <c r="AP525" s="2">
        <v>54793</v>
      </c>
      <c r="AQ525" s="2">
        <v>54794</v>
      </c>
      <c r="AR525" s="2">
        <v>54795</v>
      </c>
      <c r="AS525" s="2">
        <v>54796</v>
      </c>
      <c r="AT525" s="2">
        <v>54797</v>
      </c>
      <c r="AU525" s="2">
        <v>54798</v>
      </c>
      <c r="AV525" s="2">
        <v>54799</v>
      </c>
      <c r="AW525" s="2">
        <v>54800</v>
      </c>
      <c r="AX525" s="2">
        <v>54801</v>
      </c>
      <c r="AY525" s="2">
        <v>54802</v>
      </c>
      <c r="AZ525" s="2">
        <v>54803</v>
      </c>
      <c r="BA525" s="2">
        <v>54804</v>
      </c>
      <c r="BB525" s="2">
        <v>54805</v>
      </c>
      <c r="BC525" s="2">
        <v>54806</v>
      </c>
      <c r="BD525" s="2">
        <v>54807</v>
      </c>
      <c r="BE525" s="2">
        <v>54808</v>
      </c>
      <c r="BF525" s="2">
        <v>54809</v>
      </c>
    </row>
    <row r="526" spans="2:58" x14ac:dyDescent="0.35">
      <c r="B526" t="s">
        <v>105</v>
      </c>
      <c r="C526" s="9">
        <f>C513/C519-1</f>
        <v>-1.7085641153130715E-2</v>
      </c>
      <c r="D526" s="9">
        <f t="shared" ref="D526:AL526" si="330">D513/D519-1</f>
        <v>-2.0953078001298642E-2</v>
      </c>
      <c r="E526" s="9">
        <f t="shared" si="330"/>
        <v>-2.3873881747426551E-2</v>
      </c>
      <c r="F526" s="9">
        <f t="shared" si="330"/>
        <v>-2.6445388685272353E-2</v>
      </c>
      <c r="G526" s="9">
        <f t="shared" si="330"/>
        <v>-2.8679793064872561E-2</v>
      </c>
      <c r="H526" s="9">
        <f t="shared" si="330"/>
        <v>-3.0670217427090196E-2</v>
      </c>
      <c r="I526" s="9">
        <f t="shared" si="330"/>
        <v>-3.2527774290316391E-2</v>
      </c>
      <c r="J526" s="9">
        <f t="shared" si="330"/>
        <v>-3.4297060185559447E-2</v>
      </c>
      <c r="K526" s="9">
        <f t="shared" si="330"/>
        <v>-3.601465073607979E-2</v>
      </c>
      <c r="L526" s="9">
        <f t="shared" si="330"/>
        <v>-3.7705356757776087E-2</v>
      </c>
      <c r="M526" s="9">
        <f t="shared" si="330"/>
        <v>-4.069536013589814E-2</v>
      </c>
      <c r="N526" s="9">
        <f t="shared" si="330"/>
        <v>-4.1785333925274837E-2</v>
      </c>
      <c r="O526" s="9">
        <f t="shared" si="330"/>
        <v>-4.2660705039669344E-2</v>
      </c>
      <c r="P526" s="9">
        <f t="shared" si="330"/>
        <v>-4.3459525269760935E-2</v>
      </c>
      <c r="Q526" s="9">
        <f t="shared" si="330"/>
        <v>-4.4225844821920379E-2</v>
      </c>
      <c r="R526" s="9">
        <f t="shared" si="330"/>
        <v>-4.4984921170988734E-2</v>
      </c>
      <c r="S526" s="9">
        <f t="shared" si="330"/>
        <v>-4.5811864636492672E-2</v>
      </c>
      <c r="T526" s="9">
        <f t="shared" si="330"/>
        <v>-4.6675525750764502E-2</v>
      </c>
      <c r="U526" s="9">
        <f t="shared" si="330"/>
        <v>-4.7585027405561364E-2</v>
      </c>
      <c r="V526" s="9">
        <f t="shared" si="330"/>
        <v>-4.8548545653461561E-2</v>
      </c>
      <c r="W526" s="9">
        <f t="shared" si="330"/>
        <v>-4.9560879878666197E-2</v>
      </c>
      <c r="X526" s="9">
        <f t="shared" si="330"/>
        <v>-5.0645271005447801E-2</v>
      </c>
      <c r="Y526" s="9">
        <f t="shared" si="330"/>
        <v>-5.1789643132433616E-2</v>
      </c>
      <c r="Z526" s="9">
        <f t="shared" si="330"/>
        <v>-5.2992229897552923E-2</v>
      </c>
      <c r="AA526" s="9">
        <f t="shared" si="330"/>
        <v>-5.4249578050302616E-2</v>
      </c>
      <c r="AB526" s="9">
        <f t="shared" si="330"/>
        <v>-5.5524240751686271E-2</v>
      </c>
      <c r="AC526" s="9">
        <f t="shared" si="330"/>
        <v>-5.6837619521652116E-2</v>
      </c>
      <c r="AD526" s="9">
        <f t="shared" si="330"/>
        <v>-5.8184730028441267E-2</v>
      </c>
      <c r="AE526" s="9">
        <f t="shared" si="330"/>
        <v>-5.9560663494292898E-2</v>
      </c>
      <c r="AF526" s="9">
        <f t="shared" si="330"/>
        <v>-6.0959854492310339E-2</v>
      </c>
      <c r="AG526" s="9">
        <f t="shared" si="330"/>
        <v>-6.2377549319286962E-2</v>
      </c>
      <c r="AH526" s="9">
        <f t="shared" si="330"/>
        <v>-6.3795564084198175E-2</v>
      </c>
      <c r="AI526" s="9">
        <f t="shared" si="330"/>
        <v>-6.5222257479095602E-2</v>
      </c>
      <c r="AJ526" s="9">
        <f t="shared" si="330"/>
        <v>-6.6655641098688823E-2</v>
      </c>
      <c r="AK526" s="9">
        <f t="shared" si="330"/>
        <v>-6.8093401972986745E-2</v>
      </c>
      <c r="AL526" s="9">
        <f t="shared" si="330"/>
        <v>-6.9533615904600943E-2</v>
      </c>
      <c r="AM526" s="9">
        <f t="shared" ref="AM526:BC526" si="331">AM513/AM519-1</f>
        <v>-7.0840194530549905E-2</v>
      </c>
      <c r="AN526" s="9">
        <f t="shared" si="331"/>
        <v>-7.2128935702949759E-2</v>
      </c>
      <c r="AO526" s="9">
        <f t="shared" si="331"/>
        <v>-7.3405570234479023E-2</v>
      </c>
      <c r="AP526" s="9">
        <f t="shared" si="331"/>
        <v>-7.4671844410643562E-2</v>
      </c>
      <c r="AQ526" s="9">
        <f t="shared" si="331"/>
        <v>-7.5930236225730474E-2</v>
      </c>
      <c r="AR526" s="9">
        <f t="shared" si="331"/>
        <v>-7.7163474685390421E-2</v>
      </c>
      <c r="AS526" s="9">
        <f t="shared" si="331"/>
        <v>-7.8391973623911482E-2</v>
      </c>
      <c r="AT526" s="9">
        <f t="shared" si="331"/>
        <v>-7.9619831234354788E-2</v>
      </c>
      <c r="AU526" s="9">
        <f t="shared" si="331"/>
        <v>-8.0849845001269793E-2</v>
      </c>
      <c r="AV526" s="9">
        <f t="shared" si="331"/>
        <v>-8.2083631367204202E-2</v>
      </c>
      <c r="AW526" s="9">
        <f t="shared" si="331"/>
        <v>-8.324969810840821E-2</v>
      </c>
      <c r="AX526" s="9">
        <f t="shared" si="331"/>
        <v>-8.438977648445789E-2</v>
      </c>
      <c r="AY526" s="9">
        <f t="shared" si="331"/>
        <v>-8.550136329163216E-2</v>
      </c>
      <c r="AZ526" s="9">
        <f t="shared" si="331"/>
        <v>-8.6603439515366976E-2</v>
      </c>
      <c r="BA526" s="9">
        <f t="shared" si="331"/>
        <v>-8.7712744210476146E-2</v>
      </c>
      <c r="BB526" s="9">
        <f t="shared" si="331"/>
        <v>-1.0046073199928007E-2</v>
      </c>
      <c r="BC526" s="9">
        <f t="shared" si="331"/>
        <v>-1.0196735806486612E-2</v>
      </c>
      <c r="BD526" s="9">
        <f t="shared" ref="BD526:BF526" si="332">BD513/BD519-1</f>
        <v>-1.0338859832064951E-2</v>
      </c>
      <c r="BE526" s="9">
        <f t="shared" si="332"/>
        <v>-1.0474195050070967E-2</v>
      </c>
      <c r="BF526" s="9">
        <f t="shared" si="332"/>
        <v>-1.0603780591710965E-2</v>
      </c>
    </row>
    <row r="527" spans="2:58" x14ac:dyDescent="0.35">
      <c r="B527" t="s">
        <v>103</v>
      </c>
      <c r="C527" s="9">
        <f>(C516-C522)/C519</f>
        <v>0</v>
      </c>
      <c r="D527" s="9">
        <f t="shared" ref="D527:AL527" si="333">(D516-D522)/D519</f>
        <v>5.3125368421708715E-4</v>
      </c>
      <c r="E527" s="9">
        <f t="shared" si="333"/>
        <v>7.8917854527484109E-4</v>
      </c>
      <c r="F527" s="9">
        <f t="shared" si="333"/>
        <v>9.2825178095480207E-4</v>
      </c>
      <c r="G527" s="9">
        <f t="shared" si="333"/>
        <v>1.1241879907247889E-3</v>
      </c>
      <c r="H527" s="9">
        <f t="shared" si="333"/>
        <v>1.2705514638112431E-3</v>
      </c>
      <c r="I527" s="9">
        <f t="shared" si="333"/>
        <v>1.3157838546664663E-3</v>
      </c>
      <c r="J527" s="9">
        <f t="shared" si="333"/>
        <v>1.2678047738454168E-3</v>
      </c>
      <c r="K527" s="9">
        <f t="shared" si="333"/>
        <v>1.1543341383775788E-3</v>
      </c>
      <c r="L527" s="9">
        <f t="shared" si="333"/>
        <v>1.0039529443125206E-3</v>
      </c>
      <c r="M527" s="9">
        <f t="shared" si="333"/>
        <v>8.238409167063475E-4</v>
      </c>
      <c r="N527" s="9">
        <f t="shared" si="333"/>
        <v>6.400802678707512E-4</v>
      </c>
      <c r="O527" s="9">
        <f t="shared" si="333"/>
        <v>4.7314280544640767E-4</v>
      </c>
      <c r="P527" s="9">
        <f t="shared" si="333"/>
        <v>3.3880009306507593E-4</v>
      </c>
      <c r="Q527" s="9">
        <f t="shared" si="333"/>
        <v>2.4282081500959606E-4</v>
      </c>
      <c r="R527" s="9">
        <f t="shared" si="333"/>
        <v>1.8839670853455646E-4</v>
      </c>
      <c r="S527" s="9">
        <f t="shared" si="333"/>
        <v>1.7780600457505821E-4</v>
      </c>
      <c r="T527" s="9">
        <f t="shared" si="333"/>
        <v>2.082978268367806E-4</v>
      </c>
      <c r="U527" s="9">
        <f t="shared" si="333"/>
        <v>2.7458089297742667E-4</v>
      </c>
      <c r="V527" s="9">
        <f t="shared" si="333"/>
        <v>3.7011290143387782E-4</v>
      </c>
      <c r="W527" s="9">
        <f t="shared" si="333"/>
        <v>4.8822692220592889E-4</v>
      </c>
      <c r="X527" s="9">
        <f t="shared" si="333"/>
        <v>6.220608769980096E-4</v>
      </c>
      <c r="Y527" s="9">
        <f t="shared" si="333"/>
        <v>7.65808654807714E-4</v>
      </c>
      <c r="Z527" s="9">
        <f t="shared" si="333"/>
        <v>9.1457555980143984E-4</v>
      </c>
      <c r="AA527" s="9">
        <f t="shared" si="333"/>
        <v>1.0644700228172729E-3</v>
      </c>
      <c r="AB527" s="9">
        <f t="shared" si="333"/>
        <v>1.2139004537556847E-3</v>
      </c>
      <c r="AC527" s="9">
        <f t="shared" si="333"/>
        <v>1.3583330479543557E-3</v>
      </c>
      <c r="AD527" s="9">
        <f t="shared" si="333"/>
        <v>1.4965900917533752E-3</v>
      </c>
      <c r="AE527" s="9">
        <f t="shared" si="333"/>
        <v>1.6276952277668867E-3</v>
      </c>
      <c r="AF527" s="9">
        <f t="shared" si="333"/>
        <v>1.7522789718232021E-3</v>
      </c>
      <c r="AG527" s="9">
        <f t="shared" si="333"/>
        <v>1.8703844445505634E-3</v>
      </c>
      <c r="AH527" s="9">
        <f t="shared" si="333"/>
        <v>1.9812778203239681E-3</v>
      </c>
      <c r="AI527" s="9">
        <f t="shared" si="333"/>
        <v>2.0843221679634947E-3</v>
      </c>
      <c r="AJ527" s="9">
        <f t="shared" si="333"/>
        <v>2.1784614939823433E-3</v>
      </c>
      <c r="AK527" s="9">
        <f t="shared" si="333"/>
        <v>2.2634859260227181E-3</v>
      </c>
      <c r="AL527" s="9">
        <f t="shared" si="333"/>
        <v>2.3395170476321219E-3</v>
      </c>
      <c r="AM527" s="9">
        <f t="shared" ref="AM527:BC527" si="334">(AM516-AM522)/AM519</f>
        <v>2.4034942171485179E-3</v>
      </c>
      <c r="AN527" s="9">
        <f t="shared" si="334"/>
        <v>2.4568307640263384E-3</v>
      </c>
      <c r="AO527" s="9">
        <f t="shared" si="334"/>
        <v>2.5018766637832516E-3</v>
      </c>
      <c r="AP527" s="9">
        <f t="shared" si="334"/>
        <v>2.5401420439663974E-3</v>
      </c>
      <c r="AQ527" s="9">
        <f t="shared" si="334"/>
        <v>2.5722270472221891E-3</v>
      </c>
      <c r="AR527" s="9">
        <f t="shared" si="334"/>
        <v>2.5975588611211746E-3</v>
      </c>
      <c r="AS527" s="9">
        <f t="shared" si="334"/>
        <v>2.6161909627910283E-3</v>
      </c>
      <c r="AT527" s="9">
        <f t="shared" si="334"/>
        <v>2.6283400290699178E-3</v>
      </c>
      <c r="AU527" s="9">
        <f t="shared" si="334"/>
        <v>2.6346125489369173E-3</v>
      </c>
      <c r="AV527" s="9">
        <f t="shared" si="334"/>
        <v>2.6371558110614176E-3</v>
      </c>
      <c r="AW527" s="9">
        <f t="shared" si="334"/>
        <v>2.6430255151967692E-3</v>
      </c>
      <c r="AX527" s="9">
        <f t="shared" si="334"/>
        <v>2.669859526967753E-3</v>
      </c>
      <c r="AY527" s="9">
        <f t="shared" si="334"/>
        <v>2.7342111078733325E-3</v>
      </c>
      <c r="AZ527" s="9">
        <f t="shared" si="334"/>
        <v>2.8065245745061509E-3</v>
      </c>
      <c r="BA527" s="9">
        <f t="shared" si="334"/>
        <v>2.8622884586150259E-3</v>
      </c>
      <c r="BB527" s="9">
        <f t="shared" si="334"/>
        <v>-7.0833349140024173E-3</v>
      </c>
      <c r="BC527" s="9">
        <f t="shared" si="334"/>
        <v>-7.116771404767519E-3</v>
      </c>
      <c r="BD527" s="9">
        <f t="shared" ref="BD527:BF527" si="335">(BD516-BD522)/BD519</f>
        <v>-7.1446776100745181E-3</v>
      </c>
      <c r="BE527" s="9">
        <f t="shared" si="335"/>
        <v>-7.1688134820638251E-3</v>
      </c>
      <c r="BF527" s="9">
        <f t="shared" si="335"/>
        <v>-7.1897740228072113E-3</v>
      </c>
    </row>
    <row r="528" spans="2:58" x14ac:dyDescent="0.35">
      <c r="B528" t="s">
        <v>104</v>
      </c>
      <c r="C528" s="9">
        <f>(C515-C521)/C519</f>
        <v>-2.4406742426769136E-2</v>
      </c>
      <c r="D528" s="9">
        <f t="shared" ref="D528:AL528" si="336">(D515-D521)/D519</f>
        <v>-3.3151426717487144E-2</v>
      </c>
      <c r="E528" s="9">
        <f t="shared" si="336"/>
        <v>-3.9038383116210766E-2</v>
      </c>
      <c r="F528" s="9">
        <f t="shared" si="336"/>
        <v>-4.4131918134933959E-2</v>
      </c>
      <c r="G528" s="9">
        <f t="shared" si="336"/>
        <v>-4.8683576277423542E-2</v>
      </c>
      <c r="H528" s="9">
        <f t="shared" si="336"/>
        <v>-5.2746536453662507E-2</v>
      </c>
      <c r="I528" s="9">
        <f t="shared" si="336"/>
        <v>-5.6434387104117543E-2</v>
      </c>
      <c r="J528" s="9">
        <f t="shared" si="336"/>
        <v>-5.9816129318898688E-2</v>
      </c>
      <c r="K528" s="9">
        <f t="shared" si="336"/>
        <v>-6.2972072885887423E-2</v>
      </c>
      <c r="L528" s="9">
        <f t="shared" si="336"/>
        <v>-6.597387624723805E-2</v>
      </c>
      <c r="M528" s="9">
        <f t="shared" si="336"/>
        <v>-7.0756356573293294E-2</v>
      </c>
      <c r="N528" s="9">
        <f t="shared" si="336"/>
        <v>-7.2974731820641764E-2</v>
      </c>
      <c r="O528" s="9">
        <f t="shared" si="336"/>
        <v>-7.456441943503718E-2</v>
      </c>
      <c r="P528" s="9">
        <f t="shared" si="336"/>
        <v>-7.5927552926905381E-2</v>
      </c>
      <c r="Q528" s="9">
        <f t="shared" si="336"/>
        <v>-7.7179006032353364E-2</v>
      </c>
      <c r="R528" s="9">
        <f t="shared" si="336"/>
        <v>-7.8380042564322822E-2</v>
      </c>
      <c r="S528" s="9">
        <f t="shared" si="336"/>
        <v>-7.9652568955050504E-2</v>
      </c>
      <c r="T528" s="9">
        <f t="shared" si="336"/>
        <v>-8.0979925309753648E-2</v>
      </c>
      <c r="U528" s="9">
        <f t="shared" si="336"/>
        <v>-8.2380597471326825E-2</v>
      </c>
      <c r="V528" s="9">
        <f t="shared" si="336"/>
        <v>-8.3872364140242683E-2</v>
      </c>
      <c r="W528" s="9">
        <f t="shared" si="336"/>
        <v>-8.5459369397061585E-2</v>
      </c>
      <c r="X528" s="9">
        <f t="shared" si="336"/>
        <v>-8.7156029631671308E-2</v>
      </c>
      <c r="Y528" s="9">
        <f t="shared" si="336"/>
        <v>-8.8961498248828694E-2</v>
      </c>
      <c r="Z528" s="9">
        <f t="shared" si="336"/>
        <v>-9.0870522867943129E-2</v>
      </c>
      <c r="AA528" s="9">
        <f t="shared" si="336"/>
        <v>-9.2876926804491236E-2</v>
      </c>
      <c r="AB528" s="9">
        <f t="shared" si="336"/>
        <v>-9.4948399029761016E-2</v>
      </c>
      <c r="AC528" s="9">
        <f t="shared" si="336"/>
        <v>-9.7063715213384194E-2</v>
      </c>
      <c r="AD528" s="9">
        <f t="shared" si="336"/>
        <v>-9.9236315041706519E-2</v>
      </c>
      <c r="AE528" s="9">
        <f t="shared" si="336"/>
        <v>-0.10145560552415245</v>
      </c>
      <c r="AF528" s="9">
        <f t="shared" si="336"/>
        <v>-0.10371197467642151</v>
      </c>
      <c r="AG528" s="9">
        <f t="shared" si="336"/>
        <v>-0.10599697136149053</v>
      </c>
      <c r="AH528" s="9">
        <f t="shared" si="336"/>
        <v>-0.10828414583402111</v>
      </c>
      <c r="AI528" s="9">
        <f t="shared" si="336"/>
        <v>-0.11058040104507344</v>
      </c>
      <c r="AJ528" s="9">
        <f t="shared" si="336"/>
        <v>-0.11288257896855905</v>
      </c>
      <c r="AK528" s="9">
        <f t="shared" si="336"/>
        <v>-0.11518645052303857</v>
      </c>
      <c r="AL528" s="9">
        <f t="shared" si="336"/>
        <v>-0.11748839020032692</v>
      </c>
      <c r="AM528" s="9">
        <f t="shared" ref="AM528:BC528" si="337">(AM515-AM521)/AM519</f>
        <v>-0.11960891404705566</v>
      </c>
      <c r="AN528" s="9">
        <f t="shared" si="337"/>
        <v>-0.12167124860087815</v>
      </c>
      <c r="AO528" s="9">
        <f t="shared" si="337"/>
        <v>-0.12369698489231916</v>
      </c>
      <c r="AP528" s="9">
        <f t="shared" si="337"/>
        <v>-0.12569107289473513</v>
      </c>
      <c r="AQ528" s="9">
        <f t="shared" si="337"/>
        <v>-0.12765818068151083</v>
      </c>
      <c r="AR528" s="9">
        <f t="shared" si="337"/>
        <v>-0.12957658217792659</v>
      </c>
      <c r="AS528" s="9">
        <f t="shared" si="337"/>
        <v>-0.13147190508469561</v>
      </c>
      <c r="AT528" s="9">
        <f t="shared" si="337"/>
        <v>-0.13335355493477938</v>
      </c>
      <c r="AU528" s="9">
        <f t="shared" si="337"/>
        <v>-0.13522796222749292</v>
      </c>
      <c r="AV528" s="9">
        <f t="shared" si="337"/>
        <v>-0.13710075961325965</v>
      </c>
      <c r="AW528" s="9">
        <f t="shared" si="337"/>
        <v>-0.13888380345354151</v>
      </c>
      <c r="AX528" s="9">
        <f t="shared" si="337"/>
        <v>-0.14063774912796559</v>
      </c>
      <c r="AY528" s="9">
        <f t="shared" si="337"/>
        <v>-0.14237425291043562</v>
      </c>
      <c r="AZ528" s="9">
        <f t="shared" si="337"/>
        <v>-0.14410397031920705</v>
      </c>
      <c r="BA528" s="9">
        <f t="shared" si="337"/>
        <v>-0.14583702148799996</v>
      </c>
      <c r="BB528" s="9">
        <f t="shared" si="337"/>
        <v>-3.6814216923427494E-3</v>
      </c>
      <c r="BC528" s="9">
        <f t="shared" si="337"/>
        <v>-3.6885411797333667E-3</v>
      </c>
      <c r="BD528" s="9">
        <f t="shared" ref="BD528:BF528" si="338">(BD515-BD521)/BD519</f>
        <v>-3.6885639402220861E-3</v>
      </c>
      <c r="BE528" s="9">
        <f t="shared" si="338"/>
        <v>-3.6820563046828817E-3</v>
      </c>
      <c r="BF528" s="9">
        <f t="shared" si="338"/>
        <v>-3.6695656661842584E-3</v>
      </c>
    </row>
    <row r="529" spans="2:58" x14ac:dyDescent="0.35">
      <c r="B529" t="s">
        <v>20</v>
      </c>
      <c r="C529" s="9">
        <f>(C517-C514-(C523-C520))/C519</f>
        <v>7.3211009871165496E-3</v>
      </c>
      <c r="D529" s="9">
        <f t="shared" ref="D529:AL529" si="339">(D517-D514-(D523-D520))/D519</f>
        <v>1.1667094534515391E-2</v>
      </c>
      <c r="E529" s="9">
        <f t="shared" si="339"/>
        <v>1.4375323035148945E-2</v>
      </c>
      <c r="F529" s="9">
        <f t="shared" si="339"/>
        <v>1.6758277458706349E-2</v>
      </c>
      <c r="G529" s="9">
        <f t="shared" si="339"/>
        <v>1.8879595846480614E-2</v>
      </c>
      <c r="H529" s="9">
        <f t="shared" si="339"/>
        <v>2.0805766806390753E-2</v>
      </c>
      <c r="I529" s="9">
        <f t="shared" si="339"/>
        <v>2.2590828005604333E-2</v>
      </c>
      <c r="J529" s="9">
        <f t="shared" si="339"/>
        <v>2.4251264898983202E-2</v>
      </c>
      <c r="K529" s="9">
        <f t="shared" si="339"/>
        <v>2.5803088345170519E-2</v>
      </c>
      <c r="L529" s="9">
        <f t="shared" si="339"/>
        <v>2.726456647909703E-2</v>
      </c>
      <c r="M529" s="9">
        <f t="shared" si="339"/>
        <v>2.9237155324801794E-2</v>
      </c>
      <c r="N529" s="9">
        <f t="shared" si="339"/>
        <v>3.0549317175413319E-2</v>
      </c>
      <c r="O529" s="9">
        <f t="shared" si="339"/>
        <v>3.1430571589921547E-2</v>
      </c>
      <c r="P529" s="9">
        <f t="shared" si="339"/>
        <v>3.2129227437693461E-2</v>
      </c>
      <c r="Q529" s="9">
        <f t="shared" si="339"/>
        <v>3.2710339832819617E-2</v>
      </c>
      <c r="R529" s="9">
        <f t="shared" si="339"/>
        <v>3.3206725117673704E-2</v>
      </c>
      <c r="S529" s="9">
        <f t="shared" si="339"/>
        <v>3.3662897702230313E-2</v>
      </c>
      <c r="T529" s="9">
        <f t="shared" si="339"/>
        <v>3.4096101369035861E-2</v>
      </c>
      <c r="U529" s="9">
        <f t="shared" si="339"/>
        <v>3.4520990190597518E-2</v>
      </c>
      <c r="V529" s="9">
        <f t="shared" si="339"/>
        <v>3.4953705111508714E-2</v>
      </c>
      <c r="W529" s="9">
        <f t="shared" si="339"/>
        <v>3.5410262830708826E-2</v>
      </c>
      <c r="X529" s="9">
        <f t="shared" si="339"/>
        <v>3.5888697285141019E-2</v>
      </c>
      <c r="Y529" s="9">
        <f t="shared" si="339"/>
        <v>3.6406045715493475E-2</v>
      </c>
      <c r="Z529" s="9">
        <f t="shared" si="339"/>
        <v>3.6963717921570771E-2</v>
      </c>
      <c r="AA529" s="9">
        <f t="shared" si="339"/>
        <v>3.7562878338231659E-2</v>
      </c>
      <c r="AB529" s="9">
        <f t="shared" si="339"/>
        <v>3.8210257879962586E-2</v>
      </c>
      <c r="AC529" s="9">
        <f t="shared" si="339"/>
        <v>3.886776280908974E-2</v>
      </c>
      <c r="AD529" s="9">
        <f t="shared" si="339"/>
        <v>3.9554994375837871E-2</v>
      </c>
      <c r="AE529" s="9">
        <f t="shared" si="339"/>
        <v>4.026724631578537E-2</v>
      </c>
      <c r="AF529" s="9">
        <f t="shared" si="339"/>
        <v>4.0999841586814044E-2</v>
      </c>
      <c r="AG529" s="9">
        <f t="shared" si="339"/>
        <v>4.1749037703603636E-2</v>
      </c>
      <c r="AH529" s="9">
        <f t="shared" si="339"/>
        <v>4.2507304506435806E-2</v>
      </c>
      <c r="AI529" s="9">
        <f t="shared" si="339"/>
        <v>4.3273821501861445E-2</v>
      </c>
      <c r="AJ529" s="9">
        <f t="shared" si="339"/>
        <v>4.4048475913288171E-2</v>
      </c>
      <c r="AK529" s="9">
        <f t="shared" si="339"/>
        <v>4.482956272578497E-2</v>
      </c>
      <c r="AL529" s="9">
        <f t="shared" si="339"/>
        <v>4.5615257802023808E-2</v>
      </c>
      <c r="AM529" s="9">
        <f t="shared" ref="AM529:BC529" si="340">(AM517-AM514-(AM523-AM520))/AM519</f>
        <v>4.6365225598493758E-2</v>
      </c>
      <c r="AN529" s="9">
        <f t="shared" si="340"/>
        <v>4.7085482084540331E-2</v>
      </c>
      <c r="AO529" s="9">
        <f t="shared" si="340"/>
        <v>4.7789537163230887E-2</v>
      </c>
      <c r="AP529" s="9">
        <f t="shared" si="340"/>
        <v>4.8479086778831219E-2</v>
      </c>
      <c r="AQ529" s="9">
        <f t="shared" si="340"/>
        <v>4.915571764808057E-2</v>
      </c>
      <c r="AR529" s="9">
        <f t="shared" si="340"/>
        <v>4.9815548394287069E-2</v>
      </c>
      <c r="AS529" s="9">
        <f t="shared" si="340"/>
        <v>5.0463740028496434E-2</v>
      </c>
      <c r="AT529" s="9">
        <f t="shared" si="340"/>
        <v>5.1105383485448214E-2</v>
      </c>
      <c r="AU529" s="9">
        <f t="shared" si="340"/>
        <v>5.1743504539267342E-2</v>
      </c>
      <c r="AV529" s="9">
        <f t="shared" si="340"/>
        <v>5.2379972480532999E-2</v>
      </c>
      <c r="AW529" s="9">
        <f t="shared" si="340"/>
        <v>5.2991079694716815E-2</v>
      </c>
      <c r="AX529" s="9">
        <f t="shared" si="340"/>
        <v>5.3578112982705914E-2</v>
      </c>
      <c r="AY529" s="9">
        <f t="shared" si="340"/>
        <v>5.4138678422622842E-2</v>
      </c>
      <c r="AZ529" s="9">
        <f t="shared" si="340"/>
        <v>5.4694005967136888E-2</v>
      </c>
      <c r="BA529" s="9">
        <f t="shared" si="340"/>
        <v>5.5261988775660451E-2</v>
      </c>
      <c r="BB529" s="9">
        <f t="shared" si="340"/>
        <v>7.1868328581924535E-4</v>
      </c>
      <c r="BC529" s="9">
        <f t="shared" si="340"/>
        <v>6.0857681767124885E-4</v>
      </c>
      <c r="BD529" s="9">
        <f t="shared" ref="BD529:BF529" si="341">(BD517-BD514-(BD523-BD520))/BD519</f>
        <v>4.9438203119265157E-4</v>
      </c>
      <c r="BE529" s="9">
        <f t="shared" si="341"/>
        <v>3.7667500679916332E-4</v>
      </c>
      <c r="BF529" s="9">
        <f t="shared" si="341"/>
        <v>2.5555905921704927E-4</v>
      </c>
    </row>
  </sheetData>
  <mergeCells count="2">
    <mergeCell ref="A61:A62"/>
    <mergeCell ref="A64:A6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21</vt:i4>
      </vt:variant>
    </vt:vector>
  </HeadingPairs>
  <TitlesOfParts>
    <vt:vector size="22" baseType="lpstr">
      <vt:lpstr>Données</vt:lpstr>
      <vt:lpstr>Gr Macro</vt:lpstr>
      <vt:lpstr>Gr inflation</vt:lpstr>
      <vt:lpstr>Gr émissions</vt:lpstr>
      <vt:lpstr>Gr conso éner</vt:lpstr>
      <vt:lpstr>GR macro ener</vt:lpstr>
      <vt:lpstr>Gr éner prim</vt:lpstr>
      <vt:lpstr>BUIL (class,base)</vt:lpstr>
      <vt:lpstr>BUIL (class,shock)</vt:lpstr>
      <vt:lpstr>Auto (class,base)</vt:lpstr>
      <vt:lpstr>Auto (class,shock)</vt:lpstr>
      <vt:lpstr>Auto (ener,shock)</vt:lpstr>
      <vt:lpstr>Auto (ener,base)</vt:lpstr>
      <vt:lpstr>Employment</vt:lpstr>
      <vt:lpstr>Investment</vt:lpstr>
      <vt:lpstr>Firms' emissions</vt:lpstr>
      <vt:lpstr>Capital intensity</vt:lpstr>
      <vt:lpstr>Energy intensity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2022-03-04T17:59:34Z</dcterms:modified>
</cp:coreProperties>
</file>