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eline.gueret\Documents\GitHub\ThreeME_V3\results\"/>
    </mc:Choice>
  </mc:AlternateContent>
  <bookViews>
    <workbookView xWindow="480" yWindow="480" windowWidth="19410" windowHeight="11010" tabRatio="701" activeTab="7"/>
  </bookViews>
  <sheets>
    <sheet name="ResultsEXR10" sheetId="7" r:id="rId1"/>
    <sheet name="ResultsEXPG1" sheetId="13" r:id="rId2"/>
    <sheet name="ResultsRSSC1" sheetId="18" r:id="rId3"/>
    <sheet name="ResultsVAT1" sheetId="26" r:id="rId4"/>
    <sheet name="ResultsINCT1" sheetId="27" r:id="rId5"/>
    <sheet name="ResultsWD1" sheetId="30" r:id="rId6"/>
    <sheet name="ResultsFF10" sheetId="31" r:id="rId7"/>
    <sheet name="ResultsCT1" sheetId="34" r:id="rId8"/>
    <sheet name="CT1" sheetId="35" state="hidden" r:id="rId9"/>
    <sheet name="WD1" sheetId="32" state="hidden" r:id="rId10"/>
    <sheet name="FF10" sheetId="33" state="hidden" r:id="rId11"/>
    <sheet name="VAT1" sheetId="28" state="hidden" r:id="rId12"/>
    <sheet name="INCT1" sheetId="29" state="hidden" r:id="rId13"/>
    <sheet name="EXPG1" sheetId="25" state="hidden" r:id="rId14"/>
    <sheet name="CSE" sheetId="19" state="hidden" r:id="rId15"/>
    <sheet name="ELEC" sheetId="20" state="hidden" r:id="rId16"/>
    <sheet name="EXR10" sheetId="12" state="hidden" r:id="rId17"/>
    <sheet name="RSSC1" sheetId="15" state="hidden" r:id="rId18"/>
    <sheet name="ResultsCSE" sheetId="16" state="hidden" r:id="rId19"/>
    <sheet name="ResultsELEC" sheetId="17" state="hidden" r:id="rId20"/>
    <sheet name="VAT" sheetId="22" state="hidden" r:id="rId21"/>
    <sheet name="IAPU" sheetId="23" state="hidden" r:id="rId22"/>
    <sheet name="ResultsVAT" sheetId="21" state="hidden" r:id="rId23"/>
    <sheet name="ResultsIAPU" sheetId="24" state="hidden" r:id="rId24"/>
  </sheets>
  <definedNames>
    <definedName name="formatResults">ResultsEXR10!$A$50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52" i="34" l="1"/>
  <c r="A53" i="34"/>
  <c r="A54" i="34"/>
  <c r="A55" i="34"/>
  <c r="A56" i="34"/>
  <c r="A57" i="34"/>
  <c r="A58" i="34"/>
  <c r="A59" i="34"/>
  <c r="A60" i="34"/>
  <c r="A61" i="34"/>
  <c r="A62" i="34"/>
  <c r="A63" i="34"/>
  <c r="A64" i="34"/>
  <c r="A65" i="34"/>
  <c r="A66" i="34"/>
  <c r="A67" i="34"/>
  <c r="A68" i="34"/>
  <c r="A69" i="34"/>
  <c r="A51" i="34"/>
  <c r="A52" i="31"/>
  <c r="A53" i="31"/>
  <c r="A54" i="31"/>
  <c r="A55" i="31"/>
  <c r="A56" i="31"/>
  <c r="A57" i="31"/>
  <c r="A58" i="31"/>
  <c r="A59" i="31"/>
  <c r="A60" i="31"/>
  <c r="A61" i="31"/>
  <c r="A62" i="31"/>
  <c r="A63" i="31"/>
  <c r="A64" i="31"/>
  <c r="A65" i="31"/>
  <c r="A66" i="31"/>
  <c r="A67" i="31"/>
  <c r="A68" i="31"/>
  <c r="A69" i="31"/>
  <c r="A51" i="31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51" i="30"/>
  <c r="A52" i="27"/>
  <c r="A53" i="27"/>
  <c r="A54" i="27"/>
  <c r="A55" i="27"/>
  <c r="A56" i="27"/>
  <c r="A57" i="27"/>
  <c r="A58" i="27"/>
  <c r="A59" i="27"/>
  <c r="A60" i="27"/>
  <c r="A61" i="27"/>
  <c r="A62" i="27"/>
  <c r="A63" i="27"/>
  <c r="A64" i="27"/>
  <c r="A65" i="27"/>
  <c r="A66" i="27"/>
  <c r="A67" i="27"/>
  <c r="A68" i="27"/>
  <c r="A69" i="27"/>
  <c r="A51" i="27"/>
  <c r="A69" i="26"/>
  <c r="A52" i="26"/>
  <c r="A53" i="26"/>
  <c r="A54" i="26"/>
  <c r="A55" i="26"/>
  <c r="A56" i="26"/>
  <c r="A57" i="26"/>
  <c r="A58" i="26"/>
  <c r="A59" i="26"/>
  <c r="A60" i="26"/>
  <c r="A61" i="26"/>
  <c r="A62" i="26"/>
  <c r="A63" i="26"/>
  <c r="A64" i="26"/>
  <c r="A65" i="26"/>
  <c r="A66" i="26"/>
  <c r="A67" i="26"/>
  <c r="A68" i="26"/>
  <c r="A51" i="26"/>
  <c r="A50" i="26"/>
  <c r="A66" i="18"/>
  <c r="A67" i="18"/>
  <c r="A68" i="18"/>
  <c r="A69" i="18"/>
  <c r="A52" i="18"/>
  <c r="A53" i="18"/>
  <c r="A54" i="18"/>
  <c r="A55" i="18"/>
  <c r="A56" i="18"/>
  <c r="A57" i="18"/>
  <c r="A58" i="18"/>
  <c r="A59" i="18"/>
  <c r="A60" i="18"/>
  <c r="A61" i="18"/>
  <c r="A62" i="18"/>
  <c r="A63" i="18"/>
  <c r="A64" i="18"/>
  <c r="A65" i="18"/>
  <c r="A51" i="18"/>
  <c r="A50" i="18"/>
  <c r="A52" i="13"/>
  <c r="A53" i="13"/>
  <c r="A54" i="13"/>
  <c r="A55" i="13"/>
  <c r="A56" i="13"/>
  <c r="A57" i="13"/>
  <c r="A58" i="13"/>
  <c r="A59" i="13"/>
  <c r="A60" i="13"/>
  <c r="A61" i="13"/>
  <c r="A62" i="13"/>
  <c r="A63" i="13"/>
  <c r="A64" i="13"/>
  <c r="A65" i="13"/>
  <c r="A66" i="13"/>
  <c r="A67" i="13"/>
  <c r="A68" i="13"/>
  <c r="A69" i="13"/>
  <c r="A51" i="13"/>
  <c r="A50" i="13"/>
  <c r="A50" i="7"/>
  <c r="A53" i="7" s="1"/>
  <c r="A52" i="7"/>
  <c r="A55" i="7"/>
  <c r="A56" i="7"/>
  <c r="A59" i="7"/>
  <c r="A60" i="7"/>
  <c r="A63" i="7"/>
  <c r="A64" i="7"/>
  <c r="A67" i="7"/>
  <c r="A68" i="7"/>
  <c r="A51" i="7" l="1"/>
  <c r="A66" i="7"/>
  <c r="A62" i="7"/>
  <c r="A58" i="7"/>
  <c r="A54" i="7"/>
  <c r="A69" i="7"/>
  <c r="A65" i="7"/>
  <c r="A61" i="7"/>
  <c r="A57" i="7"/>
  <c r="G47" i="7"/>
  <c r="D47" i="7"/>
  <c r="C47" i="7"/>
  <c r="F46" i="7"/>
  <c r="E46" i="7"/>
  <c r="B46" i="7"/>
  <c r="G45" i="7"/>
  <c r="F45" i="7"/>
  <c r="D45" i="7"/>
  <c r="C45" i="7"/>
  <c r="B45" i="7"/>
  <c r="F44" i="7"/>
  <c r="E44" i="7"/>
  <c r="D44" i="7"/>
  <c r="B44" i="7"/>
  <c r="G43" i="7"/>
  <c r="F43" i="7"/>
  <c r="D43" i="7"/>
  <c r="C43" i="7"/>
  <c r="B43" i="7"/>
  <c r="F42" i="7"/>
  <c r="E42" i="7"/>
  <c r="D42" i="7"/>
  <c r="B42" i="7"/>
  <c r="G41" i="7"/>
  <c r="F41" i="7"/>
  <c r="D41" i="7"/>
  <c r="C41" i="7"/>
  <c r="B41" i="7"/>
  <c r="F40" i="7"/>
  <c r="E40" i="7"/>
  <c r="D40" i="7"/>
  <c r="B40" i="7"/>
  <c r="G39" i="7"/>
  <c r="F39" i="7"/>
  <c r="D39" i="7"/>
  <c r="C39" i="7"/>
  <c r="B39" i="7"/>
  <c r="F38" i="7"/>
  <c r="E38" i="7"/>
  <c r="D38" i="7"/>
  <c r="B38" i="7"/>
  <c r="G37" i="7"/>
  <c r="F37" i="7"/>
  <c r="D37" i="7"/>
  <c r="C37" i="7"/>
  <c r="B37" i="7"/>
  <c r="F36" i="7"/>
  <c r="E36" i="7"/>
  <c r="D36" i="7"/>
  <c r="B36" i="7"/>
  <c r="G35" i="7"/>
  <c r="F35" i="7"/>
  <c r="D35" i="7"/>
  <c r="C35" i="7"/>
  <c r="B35" i="7"/>
  <c r="F34" i="7"/>
  <c r="E34" i="7"/>
  <c r="D34" i="7"/>
  <c r="B34" i="7"/>
  <c r="G33" i="7"/>
  <c r="F33" i="7"/>
  <c r="D33" i="7"/>
  <c r="C33" i="7"/>
  <c r="B33" i="7"/>
  <c r="F32" i="7"/>
  <c r="E32" i="7"/>
  <c r="D32" i="7"/>
  <c r="B32" i="7"/>
  <c r="G31" i="7"/>
  <c r="F31" i="7"/>
  <c r="D31" i="7"/>
  <c r="C31" i="7"/>
  <c r="B31" i="7"/>
  <c r="F30" i="7"/>
  <c r="E30" i="7"/>
  <c r="D30" i="7"/>
  <c r="B30" i="7"/>
  <c r="G29" i="7"/>
  <c r="F29" i="7"/>
  <c r="D29" i="7"/>
  <c r="C29" i="7"/>
  <c r="B29" i="7"/>
  <c r="B29" i="7" a="1"/>
  <c r="F47" i="7" s="1"/>
  <c r="G47" i="13"/>
  <c r="F47" i="13"/>
  <c r="D47" i="13"/>
  <c r="C47" i="13"/>
  <c r="B47" i="13"/>
  <c r="F46" i="13"/>
  <c r="E46" i="13"/>
  <c r="D46" i="13"/>
  <c r="B46" i="13"/>
  <c r="G45" i="13"/>
  <c r="F45" i="13"/>
  <c r="D45" i="13"/>
  <c r="C45" i="13"/>
  <c r="B45" i="13"/>
  <c r="F44" i="13"/>
  <c r="E44" i="13"/>
  <c r="D44" i="13"/>
  <c r="B44" i="13"/>
  <c r="G43" i="13"/>
  <c r="F43" i="13"/>
  <c r="D43" i="13"/>
  <c r="C43" i="13"/>
  <c r="B43" i="13"/>
  <c r="F42" i="13"/>
  <c r="E42" i="13"/>
  <c r="D42" i="13"/>
  <c r="B42" i="13"/>
  <c r="G41" i="13"/>
  <c r="F41" i="13"/>
  <c r="D41" i="13"/>
  <c r="C41" i="13"/>
  <c r="B41" i="13"/>
  <c r="F40" i="13"/>
  <c r="E40" i="13"/>
  <c r="D40" i="13"/>
  <c r="B40" i="13"/>
  <c r="G39" i="13"/>
  <c r="F39" i="13"/>
  <c r="D39" i="13"/>
  <c r="C39" i="13"/>
  <c r="B39" i="13"/>
  <c r="F38" i="13"/>
  <c r="E38" i="13"/>
  <c r="D38" i="13"/>
  <c r="B38" i="13"/>
  <c r="G37" i="13"/>
  <c r="F37" i="13"/>
  <c r="D37" i="13"/>
  <c r="C37" i="13"/>
  <c r="B37" i="13"/>
  <c r="F36" i="13"/>
  <c r="E36" i="13"/>
  <c r="D36" i="13"/>
  <c r="B36" i="13"/>
  <c r="G35" i="13"/>
  <c r="F35" i="13"/>
  <c r="D35" i="13"/>
  <c r="C35" i="13"/>
  <c r="B35" i="13"/>
  <c r="F34" i="13"/>
  <c r="E34" i="13"/>
  <c r="D34" i="13"/>
  <c r="B34" i="13"/>
  <c r="G33" i="13"/>
  <c r="F33" i="13"/>
  <c r="D33" i="13"/>
  <c r="C33" i="13"/>
  <c r="B33" i="13"/>
  <c r="F32" i="13"/>
  <c r="E32" i="13"/>
  <c r="D32" i="13"/>
  <c r="B32" i="13"/>
  <c r="G31" i="13"/>
  <c r="F31" i="13"/>
  <c r="D31" i="13"/>
  <c r="C31" i="13"/>
  <c r="B31" i="13"/>
  <c r="F30" i="13"/>
  <c r="E30" i="13"/>
  <c r="D30" i="13"/>
  <c r="B30" i="13"/>
  <c r="G29" i="13"/>
  <c r="F29" i="13"/>
  <c r="D29" i="13"/>
  <c r="C29" i="13"/>
  <c r="B29" i="13"/>
  <c r="B29" i="13" a="1"/>
  <c r="E47" i="13" s="1"/>
  <c r="G47" i="18"/>
  <c r="F47" i="18"/>
  <c r="D47" i="18"/>
  <c r="C47" i="18"/>
  <c r="B47" i="18"/>
  <c r="F46" i="18"/>
  <c r="E46" i="18"/>
  <c r="D46" i="18"/>
  <c r="B46" i="18"/>
  <c r="G45" i="18"/>
  <c r="F45" i="18"/>
  <c r="D45" i="18"/>
  <c r="C45" i="18"/>
  <c r="B45" i="18"/>
  <c r="F44" i="18"/>
  <c r="E44" i="18"/>
  <c r="D44" i="18"/>
  <c r="B44" i="18"/>
  <c r="G43" i="18"/>
  <c r="F43" i="18"/>
  <c r="D43" i="18"/>
  <c r="C43" i="18"/>
  <c r="B43" i="18"/>
  <c r="F42" i="18"/>
  <c r="E42" i="18"/>
  <c r="D42" i="18"/>
  <c r="B42" i="18"/>
  <c r="G41" i="18"/>
  <c r="F41" i="18"/>
  <c r="D41" i="18"/>
  <c r="C41" i="18"/>
  <c r="B41" i="18"/>
  <c r="F40" i="18"/>
  <c r="E40" i="18"/>
  <c r="D40" i="18"/>
  <c r="B40" i="18"/>
  <c r="G39" i="18"/>
  <c r="F39" i="18"/>
  <c r="D39" i="18"/>
  <c r="C39" i="18"/>
  <c r="B39" i="18"/>
  <c r="F38" i="18"/>
  <c r="E38" i="18"/>
  <c r="D38" i="18"/>
  <c r="B38" i="18"/>
  <c r="G37" i="18"/>
  <c r="F37" i="18"/>
  <c r="D37" i="18"/>
  <c r="C37" i="18"/>
  <c r="B37" i="18"/>
  <c r="F36" i="18"/>
  <c r="E36" i="18"/>
  <c r="D36" i="18"/>
  <c r="B36" i="18"/>
  <c r="G35" i="18"/>
  <c r="F35" i="18"/>
  <c r="D35" i="18"/>
  <c r="C35" i="18"/>
  <c r="B35" i="18"/>
  <c r="F34" i="18"/>
  <c r="E34" i="18"/>
  <c r="D34" i="18"/>
  <c r="B34" i="18"/>
  <c r="G33" i="18"/>
  <c r="F33" i="18"/>
  <c r="D33" i="18"/>
  <c r="C33" i="18"/>
  <c r="B33" i="18"/>
  <c r="F32" i="18"/>
  <c r="E32" i="18"/>
  <c r="D32" i="18"/>
  <c r="B32" i="18"/>
  <c r="G31" i="18"/>
  <c r="F31" i="18"/>
  <c r="D31" i="18"/>
  <c r="C31" i="18"/>
  <c r="B31" i="18"/>
  <c r="F30" i="18"/>
  <c r="E30" i="18"/>
  <c r="D30" i="18"/>
  <c r="B30" i="18"/>
  <c r="G29" i="18"/>
  <c r="F29" i="18"/>
  <c r="D29" i="18"/>
  <c r="C29" i="18"/>
  <c r="B29" i="18"/>
  <c r="B29" i="18" a="1"/>
  <c r="E47" i="18" s="1"/>
  <c r="G47" i="26"/>
  <c r="F47" i="26"/>
  <c r="D47" i="26"/>
  <c r="C47" i="26"/>
  <c r="B47" i="26"/>
  <c r="F46" i="26"/>
  <c r="E46" i="26"/>
  <c r="D46" i="26"/>
  <c r="B46" i="26"/>
  <c r="G45" i="26"/>
  <c r="F45" i="26"/>
  <c r="D45" i="26"/>
  <c r="C45" i="26"/>
  <c r="B45" i="26"/>
  <c r="F44" i="26"/>
  <c r="E44" i="26"/>
  <c r="D44" i="26"/>
  <c r="B44" i="26"/>
  <c r="G43" i="26"/>
  <c r="F43" i="26"/>
  <c r="D43" i="26"/>
  <c r="C43" i="26"/>
  <c r="B43" i="26"/>
  <c r="F42" i="26"/>
  <c r="E42" i="26"/>
  <c r="D42" i="26"/>
  <c r="B42" i="26"/>
  <c r="G41" i="26"/>
  <c r="F41" i="26"/>
  <c r="D41" i="26"/>
  <c r="C41" i="26"/>
  <c r="B41" i="26"/>
  <c r="F40" i="26"/>
  <c r="E40" i="26"/>
  <c r="D40" i="26"/>
  <c r="B40" i="26"/>
  <c r="G39" i="26"/>
  <c r="F39" i="26"/>
  <c r="D39" i="26"/>
  <c r="C39" i="26"/>
  <c r="B39" i="26"/>
  <c r="F38" i="26"/>
  <c r="E38" i="26"/>
  <c r="D38" i="26"/>
  <c r="B38" i="26"/>
  <c r="G37" i="26"/>
  <c r="F37" i="26"/>
  <c r="D37" i="26"/>
  <c r="C37" i="26"/>
  <c r="B37" i="26"/>
  <c r="F36" i="26"/>
  <c r="E36" i="26"/>
  <c r="D36" i="26"/>
  <c r="B36" i="26"/>
  <c r="G35" i="26"/>
  <c r="F35" i="26"/>
  <c r="D35" i="26"/>
  <c r="C35" i="26"/>
  <c r="B35" i="26"/>
  <c r="F34" i="26"/>
  <c r="E34" i="26"/>
  <c r="D34" i="26"/>
  <c r="B34" i="26"/>
  <c r="G33" i="26"/>
  <c r="F33" i="26"/>
  <c r="D33" i="26"/>
  <c r="C33" i="26"/>
  <c r="B33" i="26"/>
  <c r="F32" i="26"/>
  <c r="E32" i="26"/>
  <c r="D32" i="26"/>
  <c r="B32" i="26"/>
  <c r="G31" i="26"/>
  <c r="F31" i="26"/>
  <c r="D31" i="26"/>
  <c r="C31" i="26"/>
  <c r="B31" i="26"/>
  <c r="F30" i="26"/>
  <c r="E30" i="26"/>
  <c r="D30" i="26"/>
  <c r="B30" i="26"/>
  <c r="G29" i="26"/>
  <c r="F29" i="26"/>
  <c r="D29" i="26"/>
  <c r="C29" i="26"/>
  <c r="B29" i="26"/>
  <c r="B29" i="26" a="1"/>
  <c r="E47" i="26" s="1"/>
  <c r="B29" i="27" a="1"/>
  <c r="G47" i="27" s="1"/>
  <c r="G47" i="30"/>
  <c r="F47" i="30"/>
  <c r="D47" i="30"/>
  <c r="C47" i="30"/>
  <c r="B47" i="30"/>
  <c r="F46" i="30"/>
  <c r="E46" i="30"/>
  <c r="D46" i="30"/>
  <c r="B46" i="30"/>
  <c r="G45" i="30"/>
  <c r="F45" i="30"/>
  <c r="D45" i="30"/>
  <c r="C45" i="30"/>
  <c r="B45" i="30"/>
  <c r="F44" i="30"/>
  <c r="E44" i="30"/>
  <c r="D44" i="30"/>
  <c r="B44" i="30"/>
  <c r="G43" i="30"/>
  <c r="F43" i="30"/>
  <c r="D43" i="30"/>
  <c r="C43" i="30"/>
  <c r="B43" i="30"/>
  <c r="F42" i="30"/>
  <c r="E42" i="30"/>
  <c r="D42" i="30"/>
  <c r="B42" i="30"/>
  <c r="G41" i="30"/>
  <c r="F41" i="30"/>
  <c r="D41" i="30"/>
  <c r="C41" i="30"/>
  <c r="B41" i="30"/>
  <c r="F40" i="30"/>
  <c r="E40" i="30"/>
  <c r="D40" i="30"/>
  <c r="B40" i="30"/>
  <c r="G39" i="30"/>
  <c r="F39" i="30"/>
  <c r="D39" i="30"/>
  <c r="C39" i="30"/>
  <c r="B39" i="30"/>
  <c r="F38" i="30"/>
  <c r="E38" i="30"/>
  <c r="D38" i="30"/>
  <c r="B38" i="30"/>
  <c r="G37" i="30"/>
  <c r="F37" i="30"/>
  <c r="D37" i="30"/>
  <c r="C37" i="30"/>
  <c r="B37" i="30"/>
  <c r="F36" i="30"/>
  <c r="E36" i="30"/>
  <c r="D36" i="30"/>
  <c r="B36" i="30"/>
  <c r="G35" i="30"/>
  <c r="F35" i="30"/>
  <c r="D35" i="30"/>
  <c r="C35" i="30"/>
  <c r="B35" i="30"/>
  <c r="F34" i="30"/>
  <c r="E34" i="30"/>
  <c r="D34" i="30"/>
  <c r="B34" i="30"/>
  <c r="G33" i="30"/>
  <c r="F33" i="30"/>
  <c r="D33" i="30"/>
  <c r="C33" i="30"/>
  <c r="B33" i="30"/>
  <c r="F32" i="30"/>
  <c r="E32" i="30"/>
  <c r="D32" i="30"/>
  <c r="B32" i="30"/>
  <c r="G31" i="30"/>
  <c r="F31" i="30"/>
  <c r="D31" i="30"/>
  <c r="C31" i="30"/>
  <c r="B31" i="30"/>
  <c r="F30" i="30"/>
  <c r="E30" i="30"/>
  <c r="D30" i="30"/>
  <c r="B30" i="30"/>
  <c r="G29" i="30"/>
  <c r="F29" i="30"/>
  <c r="D29" i="30"/>
  <c r="C29" i="30"/>
  <c r="B29" i="30"/>
  <c r="B29" i="30" a="1"/>
  <c r="E47" i="30" s="1"/>
  <c r="B29" i="31" a="1"/>
  <c r="G47" i="31" s="1"/>
  <c r="D29" i="34"/>
  <c r="B29" i="34" a="1"/>
  <c r="G47" i="34" s="1"/>
  <c r="E29" i="7" l="1"/>
  <c r="C30" i="7"/>
  <c r="G30" i="7"/>
  <c r="E31" i="7"/>
  <c r="C32" i="7"/>
  <c r="G32" i="7"/>
  <c r="E33" i="7"/>
  <c r="C34" i="7"/>
  <c r="G34" i="7"/>
  <c r="E35" i="7"/>
  <c r="C36" i="7"/>
  <c r="G36" i="7"/>
  <c r="E37" i="7"/>
  <c r="C38" i="7"/>
  <c r="G38" i="7"/>
  <c r="E39" i="7"/>
  <c r="C40" i="7"/>
  <c r="G40" i="7"/>
  <c r="E41" i="7"/>
  <c r="C42" i="7"/>
  <c r="G42" i="7"/>
  <c r="E43" i="7"/>
  <c r="C44" i="7"/>
  <c r="G44" i="7"/>
  <c r="E45" i="7"/>
  <c r="C46" i="7"/>
  <c r="G46" i="7"/>
  <c r="E47" i="7"/>
  <c r="D46" i="7"/>
  <c r="B47" i="7"/>
  <c r="E29" i="13"/>
  <c r="C30" i="13"/>
  <c r="G30" i="13"/>
  <c r="E31" i="13"/>
  <c r="C32" i="13"/>
  <c r="G32" i="13"/>
  <c r="E33" i="13"/>
  <c r="C34" i="13"/>
  <c r="G34" i="13"/>
  <c r="E35" i="13"/>
  <c r="C36" i="13"/>
  <c r="G36" i="13"/>
  <c r="E37" i="13"/>
  <c r="C38" i="13"/>
  <c r="G38" i="13"/>
  <c r="E39" i="13"/>
  <c r="C40" i="13"/>
  <c r="G40" i="13"/>
  <c r="E41" i="13"/>
  <c r="C42" i="13"/>
  <c r="G42" i="13"/>
  <c r="E43" i="13"/>
  <c r="C44" i="13"/>
  <c r="G44" i="13"/>
  <c r="E45" i="13"/>
  <c r="C46" i="13"/>
  <c r="G46" i="13"/>
  <c r="E29" i="18"/>
  <c r="C30" i="18"/>
  <c r="G30" i="18"/>
  <c r="E31" i="18"/>
  <c r="C32" i="18"/>
  <c r="G32" i="18"/>
  <c r="E33" i="18"/>
  <c r="C34" i="18"/>
  <c r="G34" i="18"/>
  <c r="E35" i="18"/>
  <c r="C36" i="18"/>
  <c r="G36" i="18"/>
  <c r="E37" i="18"/>
  <c r="C38" i="18"/>
  <c r="G38" i="18"/>
  <c r="E39" i="18"/>
  <c r="C40" i="18"/>
  <c r="G40" i="18"/>
  <c r="E41" i="18"/>
  <c r="C42" i="18"/>
  <c r="G42" i="18"/>
  <c r="E43" i="18"/>
  <c r="C44" i="18"/>
  <c r="G44" i="18"/>
  <c r="E45" i="18"/>
  <c r="C46" i="18"/>
  <c r="G46" i="18"/>
  <c r="E29" i="26"/>
  <c r="C30" i="26"/>
  <c r="G30" i="26"/>
  <c r="E31" i="26"/>
  <c r="C32" i="26"/>
  <c r="G32" i="26"/>
  <c r="E33" i="26"/>
  <c r="C34" i="26"/>
  <c r="G34" i="26"/>
  <c r="E35" i="26"/>
  <c r="C36" i="26"/>
  <c r="G36" i="26"/>
  <c r="E37" i="26"/>
  <c r="C38" i="26"/>
  <c r="G38" i="26"/>
  <c r="E39" i="26"/>
  <c r="C40" i="26"/>
  <c r="G40" i="26"/>
  <c r="E41" i="26"/>
  <c r="C42" i="26"/>
  <c r="G42" i="26"/>
  <c r="E43" i="26"/>
  <c r="C44" i="26"/>
  <c r="G44" i="26"/>
  <c r="E45" i="26"/>
  <c r="C46" i="26"/>
  <c r="G46" i="26"/>
  <c r="E29" i="27"/>
  <c r="C30" i="27"/>
  <c r="G30" i="27"/>
  <c r="E31" i="27"/>
  <c r="C32" i="27"/>
  <c r="G32" i="27"/>
  <c r="E33" i="27"/>
  <c r="C34" i="27"/>
  <c r="G34" i="27"/>
  <c r="E35" i="27"/>
  <c r="C36" i="27"/>
  <c r="G36" i="27"/>
  <c r="E37" i="27"/>
  <c r="C38" i="27"/>
  <c r="G38" i="27"/>
  <c r="E39" i="27"/>
  <c r="C40" i="27"/>
  <c r="G40" i="27"/>
  <c r="E41" i="27"/>
  <c r="C42" i="27"/>
  <c r="G42" i="27"/>
  <c r="E43" i="27"/>
  <c r="C44" i="27"/>
  <c r="G44" i="27"/>
  <c r="E45" i="27"/>
  <c r="C46" i="27"/>
  <c r="G46" i="27"/>
  <c r="E47" i="27"/>
  <c r="G29" i="27"/>
  <c r="E30" i="27"/>
  <c r="G31" i="27"/>
  <c r="E32" i="27"/>
  <c r="C33" i="27"/>
  <c r="E34" i="27"/>
  <c r="C35" i="27"/>
  <c r="E36" i="27"/>
  <c r="C37" i="27"/>
  <c r="C39" i="27"/>
  <c r="D29" i="27"/>
  <c r="B30" i="27"/>
  <c r="F30" i="27"/>
  <c r="D31" i="27"/>
  <c r="B32" i="27"/>
  <c r="F32" i="27"/>
  <c r="D33" i="27"/>
  <c r="B34" i="27"/>
  <c r="F34" i="27"/>
  <c r="D35" i="27"/>
  <c r="B36" i="27"/>
  <c r="F36" i="27"/>
  <c r="D37" i="27"/>
  <c r="B38" i="27"/>
  <c r="F38" i="27"/>
  <c r="D39" i="27"/>
  <c r="B40" i="27"/>
  <c r="F40" i="27"/>
  <c r="D41" i="27"/>
  <c r="B42" i="27"/>
  <c r="F42" i="27"/>
  <c r="D43" i="27"/>
  <c r="B44" i="27"/>
  <c r="F44" i="27"/>
  <c r="D45" i="27"/>
  <c r="B46" i="27"/>
  <c r="F46" i="27"/>
  <c r="D47" i="27"/>
  <c r="B29" i="27"/>
  <c r="F29" i="27"/>
  <c r="D30" i="27"/>
  <c r="B31" i="27"/>
  <c r="F31" i="27"/>
  <c r="D32" i="27"/>
  <c r="B33" i="27"/>
  <c r="F33" i="27"/>
  <c r="D34" i="27"/>
  <c r="B35" i="27"/>
  <c r="F35" i="27"/>
  <c r="D36" i="27"/>
  <c r="B37" i="27"/>
  <c r="F37" i="27"/>
  <c r="D38" i="27"/>
  <c r="B39" i="27"/>
  <c r="F39" i="27"/>
  <c r="D40" i="27"/>
  <c r="B41" i="27"/>
  <c r="F41" i="27"/>
  <c r="D42" i="27"/>
  <c r="B43" i="27"/>
  <c r="F43" i="27"/>
  <c r="D44" i="27"/>
  <c r="B45" i="27"/>
  <c r="F45" i="27"/>
  <c r="D46" i="27"/>
  <c r="B47" i="27"/>
  <c r="F47" i="27"/>
  <c r="C29" i="27"/>
  <c r="C31" i="27"/>
  <c r="G33" i="27"/>
  <c r="G35" i="27"/>
  <c r="G37" i="27"/>
  <c r="E38" i="27"/>
  <c r="G39" i="27"/>
  <c r="E40" i="27"/>
  <c r="C41" i="27"/>
  <c r="G41" i="27"/>
  <c r="E42" i="27"/>
  <c r="C43" i="27"/>
  <c r="G43" i="27"/>
  <c r="E44" i="27"/>
  <c r="C45" i="27"/>
  <c r="G45" i="27"/>
  <c r="E46" i="27"/>
  <c r="C47" i="27"/>
  <c r="E29" i="30"/>
  <c r="C30" i="30"/>
  <c r="G30" i="30"/>
  <c r="E31" i="30"/>
  <c r="C32" i="30"/>
  <c r="G32" i="30"/>
  <c r="E33" i="30"/>
  <c r="C34" i="30"/>
  <c r="G34" i="30"/>
  <c r="E35" i="30"/>
  <c r="C36" i="30"/>
  <c r="G36" i="30"/>
  <c r="E37" i="30"/>
  <c r="C38" i="30"/>
  <c r="G38" i="30"/>
  <c r="E39" i="30"/>
  <c r="C40" i="30"/>
  <c r="G40" i="30"/>
  <c r="E41" i="30"/>
  <c r="C42" i="30"/>
  <c r="G42" i="30"/>
  <c r="E43" i="30"/>
  <c r="C44" i="30"/>
  <c r="G44" i="30"/>
  <c r="E45" i="30"/>
  <c r="C46" i="30"/>
  <c r="G46" i="30"/>
  <c r="G30" i="31"/>
  <c r="D29" i="31"/>
  <c r="B30" i="31"/>
  <c r="F30" i="31"/>
  <c r="D31" i="31"/>
  <c r="B32" i="31"/>
  <c r="F32" i="31"/>
  <c r="D33" i="31"/>
  <c r="B34" i="31"/>
  <c r="F34" i="31"/>
  <c r="D35" i="31"/>
  <c r="B36" i="31"/>
  <c r="F36" i="31"/>
  <c r="D37" i="31"/>
  <c r="B38" i="31"/>
  <c r="F38" i="31"/>
  <c r="D39" i="31"/>
  <c r="B40" i="31"/>
  <c r="F40" i="31"/>
  <c r="D41" i="31"/>
  <c r="B42" i="31"/>
  <c r="F42" i="31"/>
  <c r="D43" i="31"/>
  <c r="B44" i="31"/>
  <c r="F44" i="31"/>
  <c r="D45" i="31"/>
  <c r="B46" i="31"/>
  <c r="F46" i="31"/>
  <c r="D47" i="31"/>
  <c r="E29" i="31"/>
  <c r="C30" i="31"/>
  <c r="E31" i="31"/>
  <c r="C32" i="31"/>
  <c r="G32" i="31"/>
  <c r="E33" i="31"/>
  <c r="C34" i="31"/>
  <c r="G34" i="31"/>
  <c r="E35" i="31"/>
  <c r="C36" i="31"/>
  <c r="G36" i="31"/>
  <c r="E37" i="31"/>
  <c r="C38" i="31"/>
  <c r="G38" i="31"/>
  <c r="E39" i="31"/>
  <c r="C40" i="31"/>
  <c r="G40" i="31"/>
  <c r="E41" i="31"/>
  <c r="C42" i="31"/>
  <c r="G42" i="31"/>
  <c r="E43" i="31"/>
  <c r="C44" i="31"/>
  <c r="G44" i="31"/>
  <c r="E45" i="31"/>
  <c r="C46" i="31"/>
  <c r="G46" i="31"/>
  <c r="E47" i="31"/>
  <c r="B29" i="31"/>
  <c r="F29" i="31"/>
  <c r="D30" i="31"/>
  <c r="B31" i="31"/>
  <c r="F31" i="31"/>
  <c r="D32" i="31"/>
  <c r="B33" i="31"/>
  <c r="F33" i="31"/>
  <c r="D34" i="31"/>
  <c r="B35" i="31"/>
  <c r="F35" i="31"/>
  <c r="D36" i="31"/>
  <c r="B37" i="31"/>
  <c r="F37" i="31"/>
  <c r="D38" i="31"/>
  <c r="B39" i="31"/>
  <c r="F39" i="31"/>
  <c r="D40" i="31"/>
  <c r="B41" i="31"/>
  <c r="F41" i="31"/>
  <c r="D42" i="31"/>
  <c r="B43" i="31"/>
  <c r="F43" i="31"/>
  <c r="D44" i="31"/>
  <c r="B45" i="31"/>
  <c r="F45" i="31"/>
  <c r="D46" i="31"/>
  <c r="B47" i="31"/>
  <c r="F47" i="31"/>
  <c r="C29" i="31"/>
  <c r="G29" i="31"/>
  <c r="E30" i="31"/>
  <c r="C31" i="31"/>
  <c r="G31" i="31"/>
  <c r="E32" i="31"/>
  <c r="C33" i="31"/>
  <c r="G33" i="31"/>
  <c r="E34" i="31"/>
  <c r="C35" i="31"/>
  <c r="G35" i="31"/>
  <c r="E36" i="31"/>
  <c r="C37" i="31"/>
  <c r="G37" i="31"/>
  <c r="E38" i="31"/>
  <c r="C39" i="31"/>
  <c r="G39" i="31"/>
  <c r="E40" i="31"/>
  <c r="C41" i="31"/>
  <c r="G41" i="31"/>
  <c r="E42" i="31"/>
  <c r="C43" i="31"/>
  <c r="G43" i="31"/>
  <c r="E44" i="31"/>
  <c r="C45" i="31"/>
  <c r="G45" i="31"/>
  <c r="E46" i="31"/>
  <c r="C47" i="31"/>
  <c r="E29" i="34"/>
  <c r="C30" i="34"/>
  <c r="G30" i="34"/>
  <c r="E31" i="34"/>
  <c r="C32" i="34"/>
  <c r="G32" i="34"/>
  <c r="E33" i="34"/>
  <c r="C34" i="34"/>
  <c r="G34" i="34"/>
  <c r="E35" i="34"/>
  <c r="C36" i="34"/>
  <c r="G36" i="34"/>
  <c r="E37" i="34"/>
  <c r="C38" i="34"/>
  <c r="G38" i="34"/>
  <c r="E39" i="34"/>
  <c r="C40" i="34"/>
  <c r="G40" i="34"/>
  <c r="E41" i="34"/>
  <c r="C42" i="34"/>
  <c r="G42" i="34"/>
  <c r="E43" i="34"/>
  <c r="C44" i="34"/>
  <c r="G44" i="34"/>
  <c r="E45" i="34"/>
  <c r="C46" i="34"/>
  <c r="G46" i="34"/>
  <c r="E47" i="34"/>
  <c r="B30" i="34"/>
  <c r="F30" i="34"/>
  <c r="D31" i="34"/>
  <c r="B32" i="34"/>
  <c r="F32" i="34"/>
  <c r="D33" i="34"/>
  <c r="B34" i="34"/>
  <c r="F34" i="34"/>
  <c r="D35" i="34"/>
  <c r="B36" i="34"/>
  <c r="F36" i="34"/>
  <c r="D37" i="34"/>
  <c r="B38" i="34"/>
  <c r="F38" i="34"/>
  <c r="D39" i="34"/>
  <c r="B40" i="34"/>
  <c r="F40" i="34"/>
  <c r="D41" i="34"/>
  <c r="B42" i="34"/>
  <c r="F42" i="34"/>
  <c r="D43" i="34"/>
  <c r="B44" i="34"/>
  <c r="F44" i="34"/>
  <c r="D45" i="34"/>
  <c r="B46" i="34"/>
  <c r="F46" i="34"/>
  <c r="D47" i="34"/>
  <c r="B29" i="34"/>
  <c r="F29" i="34"/>
  <c r="D30" i="34"/>
  <c r="B31" i="34"/>
  <c r="F31" i="34"/>
  <c r="D32" i="34"/>
  <c r="B33" i="34"/>
  <c r="F33" i="34"/>
  <c r="D34" i="34"/>
  <c r="B35" i="34"/>
  <c r="F35" i="34"/>
  <c r="D36" i="34"/>
  <c r="B37" i="34"/>
  <c r="F37" i="34"/>
  <c r="D38" i="34"/>
  <c r="B39" i="34"/>
  <c r="F39" i="34"/>
  <c r="D40" i="34"/>
  <c r="B41" i="34"/>
  <c r="F41" i="34"/>
  <c r="D42" i="34"/>
  <c r="B43" i="34"/>
  <c r="F43" i="34"/>
  <c r="D44" i="34"/>
  <c r="B45" i="34"/>
  <c r="F45" i="34"/>
  <c r="D46" i="34"/>
  <c r="B47" i="34"/>
  <c r="F47" i="34"/>
  <c r="C29" i="34"/>
  <c r="G29" i="34"/>
  <c r="E30" i="34"/>
  <c r="C31" i="34"/>
  <c r="G31" i="34"/>
  <c r="E32" i="34"/>
  <c r="C33" i="34"/>
  <c r="G33" i="34"/>
  <c r="E34" i="34"/>
  <c r="C35" i="34"/>
  <c r="G35" i="34"/>
  <c r="E36" i="34"/>
  <c r="C37" i="34"/>
  <c r="G37" i="34"/>
  <c r="E38" i="34"/>
  <c r="C39" i="34"/>
  <c r="G39" i="34"/>
  <c r="E40" i="34"/>
  <c r="C41" i="34"/>
  <c r="G41" i="34"/>
  <c r="E42" i="34"/>
  <c r="C43" i="34"/>
  <c r="G43" i="34"/>
  <c r="E44" i="34"/>
  <c r="C45" i="34"/>
  <c r="G45" i="34"/>
  <c r="E46" i="34"/>
  <c r="C47" i="34"/>
  <c r="B4" i="34" a="1"/>
  <c r="E4" i="34" s="1"/>
  <c r="D22" i="34" l="1"/>
  <c r="F21" i="34"/>
  <c r="B21" i="34"/>
  <c r="D20" i="34"/>
  <c r="F19" i="34"/>
  <c r="B19" i="34"/>
  <c r="D18" i="34"/>
  <c r="F17" i="34"/>
  <c r="B17" i="34"/>
  <c r="D16" i="34"/>
  <c r="F15" i="34"/>
  <c r="B15" i="34"/>
  <c r="D14" i="34"/>
  <c r="F13" i="34"/>
  <c r="B13" i="34"/>
  <c r="D12" i="34"/>
  <c r="F11" i="34"/>
  <c r="B11" i="34"/>
  <c r="D10" i="34"/>
  <c r="F9" i="34"/>
  <c r="B9" i="34"/>
  <c r="D8" i="34"/>
  <c r="F7" i="34"/>
  <c r="B7" i="34"/>
  <c r="D6" i="34"/>
  <c r="F5" i="34"/>
  <c r="B5" i="34"/>
  <c r="D4" i="34"/>
  <c r="G22" i="34"/>
  <c r="C22" i="34"/>
  <c r="E21" i="34"/>
  <c r="G20" i="34"/>
  <c r="C20" i="34"/>
  <c r="E19" i="34"/>
  <c r="G18" i="34"/>
  <c r="C18" i="34"/>
  <c r="E17" i="34"/>
  <c r="G16" i="34"/>
  <c r="C16" i="34"/>
  <c r="E15" i="34"/>
  <c r="G14" i="34"/>
  <c r="C14" i="34"/>
  <c r="E13" i="34"/>
  <c r="G12" i="34"/>
  <c r="C12" i="34"/>
  <c r="E11" i="34"/>
  <c r="G10" i="34"/>
  <c r="C10" i="34"/>
  <c r="E9" i="34"/>
  <c r="G8" i="34"/>
  <c r="C8" i="34"/>
  <c r="E7" i="34"/>
  <c r="G6" i="34"/>
  <c r="C6" i="34"/>
  <c r="E5" i="34"/>
  <c r="G4" i="34"/>
  <c r="C4" i="34"/>
  <c r="G21" i="34"/>
  <c r="C21" i="34"/>
  <c r="G19" i="34"/>
  <c r="C19" i="34"/>
  <c r="G17" i="34"/>
  <c r="F22" i="34"/>
  <c r="B22" i="34"/>
  <c r="D21" i="34"/>
  <c r="F20" i="34"/>
  <c r="B20" i="34"/>
  <c r="D19" i="34"/>
  <c r="F18" i="34"/>
  <c r="B18" i="34"/>
  <c r="D17" i="34"/>
  <c r="F16" i="34"/>
  <c r="B16" i="34"/>
  <c r="D15" i="34"/>
  <c r="F14" i="34"/>
  <c r="B14" i="34"/>
  <c r="D13" i="34"/>
  <c r="F12" i="34"/>
  <c r="B12" i="34"/>
  <c r="D11" i="34"/>
  <c r="F10" i="34"/>
  <c r="B10" i="34"/>
  <c r="D9" i="34"/>
  <c r="F8" i="34"/>
  <c r="B8" i="34"/>
  <c r="D7" i="34"/>
  <c r="F6" i="34"/>
  <c r="B6" i="34"/>
  <c r="D5" i="34"/>
  <c r="F4" i="34"/>
  <c r="B4" i="34"/>
  <c r="E22" i="34"/>
  <c r="E20" i="34"/>
  <c r="E18" i="34"/>
  <c r="C17" i="34"/>
  <c r="E16" i="34"/>
  <c r="G15" i="34"/>
  <c r="C15" i="34"/>
  <c r="E14" i="34"/>
  <c r="G13" i="34"/>
  <c r="C13" i="34"/>
  <c r="E12" i="34"/>
  <c r="G11" i="34"/>
  <c r="C11" i="34"/>
  <c r="E10" i="34"/>
  <c r="G9" i="34"/>
  <c r="C9" i="34"/>
  <c r="E8" i="34"/>
  <c r="G7" i="34"/>
  <c r="C7" i="34"/>
  <c r="E6" i="34"/>
  <c r="G5" i="34"/>
  <c r="C5" i="34"/>
  <c r="B4" i="31" a="1"/>
  <c r="B4" i="31"/>
  <c r="C4" i="31"/>
  <c r="D4" i="31"/>
  <c r="E4" i="31"/>
  <c r="F4" i="31"/>
  <c r="G4" i="31"/>
  <c r="B5" i="31"/>
  <c r="C5" i="31"/>
  <c r="D5" i="31"/>
  <c r="E5" i="31"/>
  <c r="F5" i="31"/>
  <c r="G5" i="31"/>
  <c r="B6" i="31"/>
  <c r="C6" i="31"/>
  <c r="D6" i="31"/>
  <c r="E6" i="31"/>
  <c r="F6" i="31"/>
  <c r="G6" i="31"/>
  <c r="B7" i="31"/>
  <c r="C7" i="31"/>
  <c r="D7" i="31"/>
  <c r="E7" i="31"/>
  <c r="F7" i="31"/>
  <c r="G7" i="31"/>
  <c r="B8" i="31"/>
  <c r="C8" i="31"/>
  <c r="D8" i="31"/>
  <c r="E8" i="31"/>
  <c r="F8" i="31"/>
  <c r="G8" i="31"/>
  <c r="B9" i="31"/>
  <c r="C9" i="31"/>
  <c r="D9" i="31"/>
  <c r="E9" i="31"/>
  <c r="F9" i="31"/>
  <c r="G9" i="31"/>
  <c r="B10" i="31"/>
  <c r="C10" i="31"/>
  <c r="D10" i="31"/>
  <c r="E10" i="31"/>
  <c r="F10" i="31"/>
  <c r="G10" i="31"/>
  <c r="B11" i="31"/>
  <c r="C11" i="31"/>
  <c r="D11" i="31"/>
  <c r="E11" i="31"/>
  <c r="F11" i="31"/>
  <c r="G11" i="31"/>
  <c r="B12" i="31"/>
  <c r="C12" i="31"/>
  <c r="D12" i="31"/>
  <c r="E12" i="31"/>
  <c r="F12" i="31"/>
  <c r="G12" i="31"/>
  <c r="B13" i="31"/>
  <c r="C13" i="31"/>
  <c r="D13" i="31"/>
  <c r="E13" i="31"/>
  <c r="F13" i="31"/>
  <c r="G13" i="31"/>
  <c r="B14" i="31"/>
  <c r="C14" i="31"/>
  <c r="D14" i="31"/>
  <c r="E14" i="31"/>
  <c r="F14" i="31"/>
  <c r="G14" i="31"/>
  <c r="B15" i="31"/>
  <c r="C15" i="31"/>
  <c r="D15" i="31"/>
  <c r="E15" i="31"/>
  <c r="F15" i="31"/>
  <c r="G15" i="31"/>
  <c r="B16" i="31"/>
  <c r="C16" i="31"/>
  <c r="D16" i="31"/>
  <c r="E16" i="31"/>
  <c r="F16" i="31"/>
  <c r="G16" i="31"/>
  <c r="B17" i="31"/>
  <c r="C17" i="31"/>
  <c r="D17" i="31"/>
  <c r="E17" i="31"/>
  <c r="F17" i="31"/>
  <c r="G17" i="31"/>
  <c r="B18" i="31"/>
  <c r="C18" i="31"/>
  <c r="D18" i="31"/>
  <c r="E18" i="31"/>
  <c r="F18" i="31"/>
  <c r="G18" i="31"/>
  <c r="B19" i="31"/>
  <c r="C19" i="31"/>
  <c r="D19" i="31"/>
  <c r="E19" i="31"/>
  <c r="F19" i="31"/>
  <c r="G19" i="31"/>
  <c r="B20" i="31"/>
  <c r="C20" i="31"/>
  <c r="D20" i="31"/>
  <c r="E20" i="31"/>
  <c r="F20" i="31"/>
  <c r="G20" i="31"/>
  <c r="B21" i="31"/>
  <c r="C21" i="31"/>
  <c r="D21" i="31"/>
  <c r="E21" i="31"/>
  <c r="F21" i="31"/>
  <c r="G21" i="31"/>
  <c r="B22" i="31"/>
  <c r="C22" i="31"/>
  <c r="D22" i="31"/>
  <c r="E22" i="31"/>
  <c r="F22" i="31"/>
  <c r="G22" i="31"/>
  <c r="B4" i="30" l="1" a="1"/>
  <c r="B4" i="30" s="1"/>
  <c r="E22" i="30" l="1"/>
  <c r="G21" i="30"/>
  <c r="C21" i="30"/>
  <c r="E20" i="30"/>
  <c r="G19" i="30"/>
  <c r="C19" i="30"/>
  <c r="E18" i="30"/>
  <c r="G17" i="30"/>
  <c r="C17" i="30"/>
  <c r="E16" i="30"/>
  <c r="G15" i="30"/>
  <c r="C15" i="30"/>
  <c r="E14" i="30"/>
  <c r="G13" i="30"/>
  <c r="C13" i="30"/>
  <c r="E12" i="30"/>
  <c r="G11" i="30"/>
  <c r="C11" i="30"/>
  <c r="E10" i="30"/>
  <c r="G9" i="30"/>
  <c r="C9" i="30"/>
  <c r="E8" i="30"/>
  <c r="G7" i="30"/>
  <c r="C7" i="30"/>
  <c r="E6" i="30"/>
  <c r="G5" i="30"/>
  <c r="C5" i="30"/>
  <c r="E4" i="30"/>
  <c r="D22" i="30"/>
  <c r="B21" i="30"/>
  <c r="F19" i="30"/>
  <c r="D18" i="30"/>
  <c r="B17" i="30"/>
  <c r="F15" i="30"/>
  <c r="D14" i="30"/>
  <c r="B13" i="30"/>
  <c r="F11" i="30"/>
  <c r="D10" i="30"/>
  <c r="B9" i="30"/>
  <c r="F7" i="30"/>
  <c r="D6" i="30"/>
  <c r="B5" i="30"/>
  <c r="G22" i="30"/>
  <c r="C22" i="30"/>
  <c r="E21" i="30"/>
  <c r="G20" i="30"/>
  <c r="C20" i="30"/>
  <c r="E19" i="30"/>
  <c r="G18" i="30"/>
  <c r="C18" i="30"/>
  <c r="E17" i="30"/>
  <c r="G16" i="30"/>
  <c r="C16" i="30"/>
  <c r="E15" i="30"/>
  <c r="G14" i="30"/>
  <c r="C14" i="30"/>
  <c r="E13" i="30"/>
  <c r="G12" i="30"/>
  <c r="C12" i="30"/>
  <c r="E11" i="30"/>
  <c r="G10" i="30"/>
  <c r="C10" i="30"/>
  <c r="E9" i="30"/>
  <c r="G8" i="30"/>
  <c r="C8" i="30"/>
  <c r="E7" i="30"/>
  <c r="G6" i="30"/>
  <c r="C6" i="30"/>
  <c r="E5" i="30"/>
  <c r="G4" i="30"/>
  <c r="C4" i="30"/>
  <c r="F21" i="30"/>
  <c r="D20" i="30"/>
  <c r="B19" i="30"/>
  <c r="F17" i="30"/>
  <c r="D16" i="30"/>
  <c r="B15" i="30"/>
  <c r="F13" i="30"/>
  <c r="D12" i="30"/>
  <c r="B11" i="30"/>
  <c r="F9" i="30"/>
  <c r="D8" i="30"/>
  <c r="B7" i="30"/>
  <c r="F5" i="30"/>
  <c r="D4" i="30"/>
  <c r="F22" i="30"/>
  <c r="B22" i="30"/>
  <c r="D21" i="30"/>
  <c r="F20" i="30"/>
  <c r="B20" i="30"/>
  <c r="D19" i="30"/>
  <c r="F18" i="30"/>
  <c r="B18" i="30"/>
  <c r="D17" i="30"/>
  <c r="F16" i="30"/>
  <c r="B16" i="30"/>
  <c r="D15" i="30"/>
  <c r="F14" i="30"/>
  <c r="B14" i="30"/>
  <c r="D13" i="30"/>
  <c r="F12" i="30"/>
  <c r="B12" i="30"/>
  <c r="D11" i="30"/>
  <c r="F10" i="30"/>
  <c r="B10" i="30"/>
  <c r="D9" i="30"/>
  <c r="F8" i="30"/>
  <c r="B8" i="30"/>
  <c r="D7" i="30"/>
  <c r="F6" i="30"/>
  <c r="B6" i="30"/>
  <c r="D5" i="30"/>
  <c r="F4" i="30"/>
  <c r="B4" i="27" a="1"/>
  <c r="B4" i="27" s="1"/>
  <c r="B4" i="26" a="1"/>
  <c r="E10" i="26" s="1"/>
  <c r="G21" i="27" l="1"/>
  <c r="C21" i="27"/>
  <c r="G19" i="27"/>
  <c r="E18" i="27"/>
  <c r="C17" i="27"/>
  <c r="G15" i="27"/>
  <c r="E14" i="27"/>
  <c r="C13" i="27"/>
  <c r="G11" i="27"/>
  <c r="E10" i="27"/>
  <c r="C9" i="27"/>
  <c r="E8" i="27"/>
  <c r="C7" i="27"/>
  <c r="E6" i="27"/>
  <c r="C5" i="27"/>
  <c r="E4" i="27"/>
  <c r="D22" i="27"/>
  <c r="B21" i="27"/>
  <c r="F19" i="27"/>
  <c r="B19" i="27"/>
  <c r="F17" i="27"/>
  <c r="D16" i="27"/>
  <c r="B15" i="27"/>
  <c r="F13" i="27"/>
  <c r="D12" i="27"/>
  <c r="B11" i="27"/>
  <c r="F9" i="27"/>
  <c r="D8" i="27"/>
  <c r="B5" i="27"/>
  <c r="G22" i="27"/>
  <c r="C20" i="27"/>
  <c r="C18" i="27"/>
  <c r="C16" i="27"/>
  <c r="E13" i="27"/>
  <c r="C12" i="27"/>
  <c r="G10" i="27"/>
  <c r="C8" i="27"/>
  <c r="C4" i="27"/>
  <c r="E22" i="27"/>
  <c r="E20" i="27"/>
  <c r="C19" i="27"/>
  <c r="G17" i="27"/>
  <c r="E16" i="27"/>
  <c r="C15" i="27"/>
  <c r="G13" i="27"/>
  <c r="E12" i="27"/>
  <c r="C11" i="27"/>
  <c r="G9" i="27"/>
  <c r="G7" i="27"/>
  <c r="G5" i="27"/>
  <c r="F21" i="27"/>
  <c r="D20" i="27"/>
  <c r="D18" i="27"/>
  <c r="B17" i="27"/>
  <c r="F15" i="27"/>
  <c r="D14" i="27"/>
  <c r="B13" i="27"/>
  <c r="F11" i="27"/>
  <c r="D10" i="27"/>
  <c r="B9" i="27"/>
  <c r="F7" i="27"/>
  <c r="B7" i="27"/>
  <c r="D6" i="27"/>
  <c r="F5" i="27"/>
  <c r="D4" i="27"/>
  <c r="C22" i="27"/>
  <c r="E21" i="27"/>
  <c r="G20" i="27"/>
  <c r="E19" i="27"/>
  <c r="G18" i="27"/>
  <c r="E17" i="27"/>
  <c r="G16" i="27"/>
  <c r="E15" i="27"/>
  <c r="G14" i="27"/>
  <c r="C14" i="27"/>
  <c r="G12" i="27"/>
  <c r="E11" i="27"/>
  <c r="C10" i="27"/>
  <c r="E9" i="27"/>
  <c r="G8" i="27"/>
  <c r="E7" i="27"/>
  <c r="G6" i="27"/>
  <c r="C6" i="27"/>
  <c r="E5" i="27"/>
  <c r="G4" i="27"/>
  <c r="F22" i="27"/>
  <c r="B22" i="27"/>
  <c r="D21" i="27"/>
  <c r="F20" i="27"/>
  <c r="B20" i="27"/>
  <c r="D19" i="27"/>
  <c r="F18" i="27"/>
  <c r="B18" i="27"/>
  <c r="D17" i="27"/>
  <c r="F16" i="27"/>
  <c r="B16" i="27"/>
  <c r="D15" i="27"/>
  <c r="F14" i="27"/>
  <c r="B14" i="27"/>
  <c r="D13" i="27"/>
  <c r="F12" i="27"/>
  <c r="B12" i="27"/>
  <c r="D11" i="27"/>
  <c r="F10" i="27"/>
  <c r="B10" i="27"/>
  <c r="D9" i="27"/>
  <c r="F8" i="27"/>
  <c r="B8" i="27"/>
  <c r="D7" i="27"/>
  <c r="F6" i="27"/>
  <c r="B6" i="27"/>
  <c r="D5" i="27"/>
  <c r="F4" i="27"/>
  <c r="D22" i="26"/>
  <c r="B21" i="26"/>
  <c r="F19" i="26"/>
  <c r="D18" i="26"/>
  <c r="B17" i="26"/>
  <c r="F15" i="26"/>
  <c r="D14" i="26"/>
  <c r="F13" i="26"/>
  <c r="D12" i="26"/>
  <c r="B11" i="26"/>
  <c r="F9" i="26"/>
  <c r="D8" i="26"/>
  <c r="F5" i="26"/>
  <c r="G22" i="26"/>
  <c r="E21" i="26"/>
  <c r="G20" i="26"/>
  <c r="C20" i="26"/>
  <c r="E19" i="26"/>
  <c r="G18" i="26"/>
  <c r="C18" i="26"/>
  <c r="E17" i="26"/>
  <c r="G16" i="26"/>
  <c r="C16" i="26"/>
  <c r="E15" i="26"/>
  <c r="G14" i="26"/>
  <c r="C14" i="26"/>
  <c r="E13" i="26"/>
  <c r="G12" i="26"/>
  <c r="C12" i="26"/>
  <c r="E11" i="26"/>
  <c r="G10" i="26"/>
  <c r="C10" i="26"/>
  <c r="E9" i="26"/>
  <c r="G8" i="26"/>
  <c r="C8" i="26"/>
  <c r="E7" i="26"/>
  <c r="G6" i="26"/>
  <c r="C6" i="26"/>
  <c r="E5" i="26"/>
  <c r="G4" i="26"/>
  <c r="C4" i="26"/>
  <c r="E22" i="26"/>
  <c r="G21" i="26"/>
  <c r="C21" i="26"/>
  <c r="E20" i="26"/>
  <c r="G19" i="26"/>
  <c r="E18" i="26"/>
  <c r="G17" i="26"/>
  <c r="C17" i="26"/>
  <c r="E16" i="26"/>
  <c r="G15" i="26"/>
  <c r="C15" i="26"/>
  <c r="E14" i="26"/>
  <c r="G13" i="26"/>
  <c r="C13" i="26"/>
  <c r="E12" i="26"/>
  <c r="G11" i="26"/>
  <c r="C11" i="26"/>
  <c r="G9" i="26"/>
  <c r="C9" i="26"/>
  <c r="E8" i="26"/>
  <c r="G7" i="26"/>
  <c r="C7" i="26"/>
  <c r="E6" i="26"/>
  <c r="G5" i="26"/>
  <c r="C5" i="26"/>
  <c r="E4" i="26"/>
  <c r="F21" i="26"/>
  <c r="D20" i="26"/>
  <c r="B19" i="26"/>
  <c r="F17" i="26"/>
  <c r="D16" i="26"/>
  <c r="B15" i="26"/>
  <c r="B13" i="26"/>
  <c r="F11" i="26"/>
  <c r="D10" i="26"/>
  <c r="B9" i="26"/>
  <c r="F7" i="26"/>
  <c r="B7" i="26"/>
  <c r="D6" i="26"/>
  <c r="B5" i="26"/>
  <c r="D4" i="26"/>
  <c r="C22" i="26"/>
  <c r="F22" i="26"/>
  <c r="B22" i="26"/>
  <c r="D21" i="26"/>
  <c r="F20" i="26"/>
  <c r="B20" i="26"/>
  <c r="D19" i="26"/>
  <c r="F18" i="26"/>
  <c r="B18" i="26"/>
  <c r="D17" i="26"/>
  <c r="F16" i="26"/>
  <c r="B16" i="26"/>
  <c r="D15" i="26"/>
  <c r="F14" i="26"/>
  <c r="B14" i="26"/>
  <c r="D13" i="26"/>
  <c r="F12" i="26"/>
  <c r="B12" i="26"/>
  <c r="D11" i="26"/>
  <c r="F10" i="26"/>
  <c r="B10" i="26"/>
  <c r="D9" i="26"/>
  <c r="F8" i="26"/>
  <c r="B8" i="26"/>
  <c r="D7" i="26"/>
  <c r="F6" i="26"/>
  <c r="B6" i="26"/>
  <c r="D5" i="26"/>
  <c r="F4" i="26"/>
  <c r="B4" i="26"/>
  <c r="C19" i="26"/>
  <c r="B4" i="13" a="1"/>
  <c r="C4" i="13" s="1"/>
  <c r="C21" i="13" l="1"/>
  <c r="E18" i="13"/>
  <c r="G15" i="13"/>
  <c r="C13" i="13"/>
  <c r="E10" i="13"/>
  <c r="G7" i="13"/>
  <c r="E6" i="13"/>
  <c r="B22" i="13"/>
  <c r="D19" i="13"/>
  <c r="F16" i="13"/>
  <c r="B14" i="13"/>
  <c r="D11" i="13"/>
  <c r="B10" i="13"/>
  <c r="D7" i="13"/>
  <c r="F4" i="13"/>
  <c r="G21" i="13"/>
  <c r="E20" i="13"/>
  <c r="C19" i="13"/>
  <c r="G17" i="13"/>
  <c r="E16" i="13"/>
  <c r="C15" i="13"/>
  <c r="G13" i="13"/>
  <c r="E12" i="13"/>
  <c r="C11" i="13"/>
  <c r="G9" i="13"/>
  <c r="E8" i="13"/>
  <c r="C7" i="13"/>
  <c r="G5" i="13"/>
  <c r="E4" i="13"/>
  <c r="E22" i="13"/>
  <c r="G19" i="13"/>
  <c r="C17" i="13"/>
  <c r="E14" i="13"/>
  <c r="G11" i="13"/>
  <c r="C9" i="13"/>
  <c r="C5" i="13"/>
  <c r="F20" i="13"/>
  <c r="B18" i="13"/>
  <c r="D15" i="13"/>
  <c r="F12" i="13"/>
  <c r="F8" i="13"/>
  <c r="B6" i="13"/>
  <c r="F22" i="13"/>
  <c r="D21" i="13"/>
  <c r="B20" i="13"/>
  <c r="F18" i="13"/>
  <c r="D17" i="13"/>
  <c r="B16" i="13"/>
  <c r="F14" i="13"/>
  <c r="D13" i="13"/>
  <c r="B12" i="13"/>
  <c r="F10" i="13"/>
  <c r="D9" i="13"/>
  <c r="B8" i="13"/>
  <c r="F6" i="13"/>
  <c r="D5" i="13"/>
  <c r="B4" i="13"/>
  <c r="D22" i="13"/>
  <c r="F21" i="13"/>
  <c r="B21" i="13"/>
  <c r="D20" i="13"/>
  <c r="F19" i="13"/>
  <c r="B19" i="13"/>
  <c r="D18" i="13"/>
  <c r="F17" i="13"/>
  <c r="B17" i="13"/>
  <c r="D16" i="13"/>
  <c r="F15" i="13"/>
  <c r="B15" i="13"/>
  <c r="D14" i="13"/>
  <c r="F13" i="13"/>
  <c r="B13" i="13"/>
  <c r="D12" i="13"/>
  <c r="F11" i="13"/>
  <c r="B11" i="13"/>
  <c r="D10" i="13"/>
  <c r="F9" i="13"/>
  <c r="B9" i="13"/>
  <c r="D8" i="13"/>
  <c r="F7" i="13"/>
  <c r="B7" i="13"/>
  <c r="D6" i="13"/>
  <c r="F5" i="13"/>
  <c r="B5" i="13"/>
  <c r="D4" i="13"/>
  <c r="G22" i="13"/>
  <c r="C22" i="13"/>
  <c r="E21" i="13"/>
  <c r="G20" i="13"/>
  <c r="C20" i="13"/>
  <c r="E19" i="13"/>
  <c r="G18" i="13"/>
  <c r="C18" i="13"/>
  <c r="E17" i="13"/>
  <c r="G16" i="13"/>
  <c r="C16" i="13"/>
  <c r="E15" i="13"/>
  <c r="G14" i="13"/>
  <c r="C14" i="13"/>
  <c r="E13" i="13"/>
  <c r="G12" i="13"/>
  <c r="C12" i="13"/>
  <c r="E11" i="13"/>
  <c r="G10" i="13"/>
  <c r="C10" i="13"/>
  <c r="E9" i="13"/>
  <c r="G8" i="13"/>
  <c r="C8" i="13"/>
  <c r="E7" i="13"/>
  <c r="G6" i="13"/>
  <c r="C6" i="13"/>
  <c r="E5" i="13"/>
  <c r="G4" i="13"/>
  <c r="B2" i="23" a="1"/>
  <c r="B3" i="23" s="1"/>
  <c r="B2" i="22" a="1"/>
  <c r="B3" i="22" s="1"/>
  <c r="F20" i="23" l="1"/>
  <c r="D19" i="23"/>
  <c r="B18" i="23"/>
  <c r="F16" i="23"/>
  <c r="D15" i="23"/>
  <c r="B14" i="23"/>
  <c r="F12" i="23"/>
  <c r="D11" i="23"/>
  <c r="B10" i="23"/>
  <c r="F8" i="23"/>
  <c r="D7" i="23"/>
  <c r="B6" i="23"/>
  <c r="F4" i="23"/>
  <c r="D3" i="23"/>
  <c r="B2" i="23"/>
  <c r="C19" i="23"/>
  <c r="E16" i="23"/>
  <c r="G13" i="23"/>
  <c r="C11" i="23"/>
  <c r="E8" i="23"/>
  <c r="G5" i="23"/>
  <c r="C3" i="23"/>
  <c r="C18" i="23"/>
  <c r="E15" i="23"/>
  <c r="G12" i="23"/>
  <c r="C10" i="23"/>
  <c r="C6" i="23"/>
  <c r="E3" i="23"/>
  <c r="D18" i="23"/>
  <c r="D14" i="23"/>
  <c r="F11" i="23"/>
  <c r="B9" i="23"/>
  <c r="B5" i="23"/>
  <c r="D2" i="23"/>
  <c r="E18" i="23"/>
  <c r="G15" i="23"/>
  <c r="C13" i="23"/>
  <c r="E10" i="23"/>
  <c r="G7" i="23"/>
  <c r="C5" i="23"/>
  <c r="G3" i="23"/>
  <c r="B20" i="23"/>
  <c r="D17" i="23"/>
  <c r="D13" i="23"/>
  <c r="F10" i="23"/>
  <c r="B8" i="23"/>
  <c r="B4" i="23"/>
  <c r="C20" i="23"/>
  <c r="G18" i="23"/>
  <c r="E17" i="23"/>
  <c r="C16" i="23"/>
  <c r="G14" i="23"/>
  <c r="E13" i="23"/>
  <c r="C12" i="23"/>
  <c r="G10" i="23"/>
  <c r="E9" i="23"/>
  <c r="C8" i="23"/>
  <c r="G6" i="23"/>
  <c r="E5" i="23"/>
  <c r="C4" i="23"/>
  <c r="G2" i="23"/>
  <c r="E20" i="23"/>
  <c r="G17" i="23"/>
  <c r="C15" i="23"/>
  <c r="E12" i="23"/>
  <c r="G9" i="23"/>
  <c r="C7" i="23"/>
  <c r="E4" i="23"/>
  <c r="G20" i="23"/>
  <c r="E19" i="23"/>
  <c r="G16" i="23"/>
  <c r="C14" i="23"/>
  <c r="E11" i="23"/>
  <c r="G8" i="23"/>
  <c r="E7" i="23"/>
  <c r="G4" i="23"/>
  <c r="C2" i="23"/>
  <c r="F19" i="23"/>
  <c r="B17" i="23"/>
  <c r="F15" i="23"/>
  <c r="B13" i="23"/>
  <c r="D10" i="23"/>
  <c r="F7" i="23"/>
  <c r="D6" i="23"/>
  <c r="F3" i="23"/>
  <c r="G19" i="23"/>
  <c r="C17" i="23"/>
  <c r="E14" i="23"/>
  <c r="G11" i="23"/>
  <c r="C9" i="23"/>
  <c r="E6" i="23"/>
  <c r="E2" i="23"/>
  <c r="F18" i="23"/>
  <c r="B16" i="23"/>
  <c r="F14" i="23"/>
  <c r="B12" i="23"/>
  <c r="D9" i="23"/>
  <c r="F6" i="23"/>
  <c r="D5" i="23"/>
  <c r="F2" i="23"/>
  <c r="D20" i="23"/>
  <c r="B19" i="23"/>
  <c r="F17" i="23"/>
  <c r="D16" i="23"/>
  <c r="B15" i="23"/>
  <c r="F13" i="23"/>
  <c r="D12" i="23"/>
  <c r="B11" i="23"/>
  <c r="F9" i="23"/>
  <c r="D8" i="23"/>
  <c r="B7" i="23"/>
  <c r="F5" i="23"/>
  <c r="D4" i="23"/>
  <c r="E20" i="22"/>
  <c r="E16" i="22"/>
  <c r="E12" i="22"/>
  <c r="E8" i="22"/>
  <c r="E4" i="22"/>
  <c r="D19" i="22"/>
  <c r="C18" i="22"/>
  <c r="C2" i="22"/>
  <c r="C19" i="22"/>
  <c r="G13" i="22"/>
  <c r="G9" i="22"/>
  <c r="G5" i="22"/>
  <c r="F20" i="22"/>
  <c r="D15" i="22"/>
  <c r="D11" i="22"/>
  <c r="D7" i="22"/>
  <c r="D3" i="22"/>
  <c r="E19" i="22"/>
  <c r="C14" i="22"/>
  <c r="C10" i="22"/>
  <c r="G4" i="22"/>
  <c r="D18" i="22"/>
  <c r="B13" i="22"/>
  <c r="B9" i="22"/>
  <c r="B5" i="22"/>
  <c r="G19" i="22"/>
  <c r="E14" i="22"/>
  <c r="E10" i="22"/>
  <c r="C5" i="22"/>
  <c r="B20" i="22"/>
  <c r="D17" i="22"/>
  <c r="B16" i="22"/>
  <c r="F14" i="22"/>
  <c r="D13" i="22"/>
  <c r="B12" i="22"/>
  <c r="F10" i="22"/>
  <c r="D9" i="22"/>
  <c r="B8" i="22"/>
  <c r="F6" i="22"/>
  <c r="D5" i="22"/>
  <c r="B4" i="22"/>
  <c r="F2" i="22"/>
  <c r="G17" i="22"/>
  <c r="C15" i="22"/>
  <c r="C11" i="22"/>
  <c r="C7" i="22"/>
  <c r="C3" i="22"/>
  <c r="B18" i="22"/>
  <c r="B14" i="22"/>
  <c r="B10" i="22"/>
  <c r="B6" i="22"/>
  <c r="B2" i="22"/>
  <c r="G16" i="22"/>
  <c r="G12" i="22"/>
  <c r="G8" i="22"/>
  <c r="C6" i="22"/>
  <c r="F19" i="22"/>
  <c r="F15" i="22"/>
  <c r="F11" i="22"/>
  <c r="F7" i="22"/>
  <c r="D2" i="22"/>
  <c r="C17" i="22"/>
  <c r="C13" i="22"/>
  <c r="C9" i="22"/>
  <c r="E6" i="22"/>
  <c r="E2" i="22"/>
  <c r="C20" i="22"/>
  <c r="G18" i="22"/>
  <c r="E17" i="22"/>
  <c r="C16" i="22"/>
  <c r="G14" i="22"/>
  <c r="E13" i="22"/>
  <c r="C12" i="22"/>
  <c r="G10" i="22"/>
  <c r="E9" i="22"/>
  <c r="C8" i="22"/>
  <c r="G6" i="22"/>
  <c r="E5" i="22"/>
  <c r="C4" i="22"/>
  <c r="G2" i="22"/>
  <c r="F16" i="22"/>
  <c r="F12" i="22"/>
  <c r="F8" i="22"/>
  <c r="F4" i="22"/>
  <c r="G20" i="22"/>
  <c r="E15" i="22"/>
  <c r="E11" i="22"/>
  <c r="E7" i="22"/>
  <c r="E3" i="22"/>
  <c r="B17" i="22"/>
  <c r="D14" i="22"/>
  <c r="D10" i="22"/>
  <c r="D6" i="22"/>
  <c r="F3" i="22"/>
  <c r="E18" i="22"/>
  <c r="G15" i="22"/>
  <c r="G11" i="22"/>
  <c r="G7" i="22"/>
  <c r="G3" i="22"/>
  <c r="F18" i="22"/>
  <c r="D20" i="22"/>
  <c r="B19" i="22"/>
  <c r="F17" i="22"/>
  <c r="D16" i="22"/>
  <c r="B15" i="22"/>
  <c r="F13" i="22"/>
  <c r="D12" i="22"/>
  <c r="B11" i="22"/>
  <c r="F9" i="22"/>
  <c r="D8" i="22"/>
  <c r="B7" i="22"/>
  <c r="F5" i="22"/>
  <c r="D4" i="22"/>
  <c r="B2" i="20" a="1"/>
  <c r="B2" i="20" s="1"/>
  <c r="B2" i="19" a="1"/>
  <c r="D2" i="19" s="1"/>
  <c r="B4" i="18" a="1"/>
  <c r="D4" i="18" s="1"/>
  <c r="B4" i="7" a="1"/>
  <c r="B4" i="7" s="1"/>
  <c r="E20" i="20" l="1"/>
  <c r="C2" i="19"/>
  <c r="E22" i="18"/>
  <c r="F20" i="18"/>
  <c r="G18" i="18"/>
  <c r="C17" i="18"/>
  <c r="D15" i="18"/>
  <c r="E13" i="18"/>
  <c r="G11" i="18"/>
  <c r="B10" i="18"/>
  <c r="C8" i="18"/>
  <c r="E6" i="18"/>
  <c r="F4" i="18"/>
  <c r="C18" i="19"/>
  <c r="C10" i="19"/>
  <c r="G4" i="19"/>
  <c r="G21" i="18"/>
  <c r="B20" i="18"/>
  <c r="C18" i="18"/>
  <c r="E16" i="18"/>
  <c r="F14" i="18"/>
  <c r="G12" i="18"/>
  <c r="C11" i="18"/>
  <c r="D9" i="18"/>
  <c r="E7" i="18"/>
  <c r="G5" i="18"/>
  <c r="B4" i="18"/>
  <c r="E15" i="19"/>
  <c r="E9" i="19"/>
  <c r="C4" i="19"/>
  <c r="G12" i="19"/>
  <c r="E7" i="19"/>
  <c r="E21" i="18"/>
  <c r="G19" i="18"/>
  <c r="B18" i="18"/>
  <c r="C16" i="18"/>
  <c r="E14" i="18"/>
  <c r="F12" i="18"/>
  <c r="G10" i="18"/>
  <c r="C9" i="18"/>
  <c r="D7" i="18"/>
  <c r="E5" i="18"/>
  <c r="F22" i="18"/>
  <c r="G20" i="18"/>
  <c r="C19" i="18"/>
  <c r="D17" i="18"/>
  <c r="E15" i="18"/>
  <c r="G13" i="18"/>
  <c r="B12" i="18"/>
  <c r="C10" i="18"/>
  <c r="E8" i="18"/>
  <c r="F6" i="18"/>
  <c r="G4" i="18"/>
  <c r="G20" i="19"/>
  <c r="C12" i="19"/>
  <c r="G6" i="19"/>
  <c r="D20" i="20"/>
  <c r="F19" i="20"/>
  <c r="B19" i="20"/>
  <c r="D18" i="20"/>
  <c r="F17" i="20"/>
  <c r="B17" i="20"/>
  <c r="D16" i="20"/>
  <c r="F15" i="20"/>
  <c r="B15" i="20"/>
  <c r="D14" i="20"/>
  <c r="F13" i="20"/>
  <c r="B13" i="20"/>
  <c r="D12" i="20"/>
  <c r="F11" i="20"/>
  <c r="B11" i="20"/>
  <c r="D10" i="20"/>
  <c r="F9" i="20"/>
  <c r="B9" i="20"/>
  <c r="D8" i="20"/>
  <c r="F7" i="20"/>
  <c r="B7" i="20"/>
  <c r="D6" i="20"/>
  <c r="F5" i="20"/>
  <c r="B5" i="20"/>
  <c r="D4" i="20"/>
  <c r="F3" i="20"/>
  <c r="B3" i="20"/>
  <c r="D2" i="20"/>
  <c r="G19" i="20"/>
  <c r="C19" i="20"/>
  <c r="E18" i="20"/>
  <c r="G17" i="20"/>
  <c r="C17" i="20"/>
  <c r="E16" i="20"/>
  <c r="G15" i="20"/>
  <c r="C15" i="20"/>
  <c r="E14" i="20"/>
  <c r="G13" i="20"/>
  <c r="C13" i="20"/>
  <c r="E12" i="20"/>
  <c r="G11" i="20"/>
  <c r="C11" i="20"/>
  <c r="E10" i="20"/>
  <c r="G9" i="20"/>
  <c r="C9" i="20"/>
  <c r="E8" i="20"/>
  <c r="G7" i="20"/>
  <c r="C7" i="20"/>
  <c r="E6" i="20"/>
  <c r="G5" i="20"/>
  <c r="C5" i="20"/>
  <c r="E4" i="20"/>
  <c r="G3" i="20"/>
  <c r="C3" i="20"/>
  <c r="E2" i="20"/>
  <c r="G20" i="20"/>
  <c r="C20" i="20"/>
  <c r="E19" i="20"/>
  <c r="G18" i="20"/>
  <c r="C18" i="20"/>
  <c r="E17" i="20"/>
  <c r="G16" i="20"/>
  <c r="C16" i="20"/>
  <c r="E15" i="20"/>
  <c r="G14" i="20"/>
  <c r="C14" i="20"/>
  <c r="E13" i="20"/>
  <c r="G12" i="20"/>
  <c r="C12" i="20"/>
  <c r="E11" i="20"/>
  <c r="G10" i="20"/>
  <c r="C10" i="20"/>
  <c r="E9" i="20"/>
  <c r="G8" i="20"/>
  <c r="C8" i="20"/>
  <c r="E7" i="20"/>
  <c r="G6" i="20"/>
  <c r="C6" i="20"/>
  <c r="E5" i="20"/>
  <c r="G4" i="20"/>
  <c r="C4" i="20"/>
  <c r="E3" i="20"/>
  <c r="G2" i="20"/>
  <c r="C2" i="20"/>
  <c r="F20" i="20"/>
  <c r="B20" i="20"/>
  <c r="D19" i="20"/>
  <c r="F18" i="20"/>
  <c r="B18" i="20"/>
  <c r="D17" i="20"/>
  <c r="F16" i="20"/>
  <c r="B16" i="20"/>
  <c r="D15" i="20"/>
  <c r="F14" i="20"/>
  <c r="B14" i="20"/>
  <c r="D13" i="20"/>
  <c r="F12" i="20"/>
  <c r="B12" i="20"/>
  <c r="D11" i="20"/>
  <c r="F10" i="20"/>
  <c r="B10" i="20"/>
  <c r="D9" i="20"/>
  <c r="F8" i="20"/>
  <c r="B8" i="20"/>
  <c r="D7" i="20"/>
  <c r="F6" i="20"/>
  <c r="B6" i="20"/>
  <c r="D5" i="20"/>
  <c r="F4" i="20"/>
  <c r="B4" i="20"/>
  <c r="D3" i="20"/>
  <c r="F2" i="20"/>
  <c r="E19" i="19"/>
  <c r="G16" i="19"/>
  <c r="C14" i="19"/>
  <c r="E11" i="19"/>
  <c r="G8" i="19"/>
  <c r="C6" i="19"/>
  <c r="E3" i="19"/>
  <c r="G18" i="19"/>
  <c r="C16" i="19"/>
  <c r="E13" i="19"/>
  <c r="G10" i="19"/>
  <c r="C8" i="19"/>
  <c r="E5" i="19"/>
  <c r="G2" i="19"/>
  <c r="C20" i="19"/>
  <c r="E17" i="19"/>
  <c r="G14" i="19"/>
  <c r="F20" i="19"/>
  <c r="B20" i="19"/>
  <c r="D19" i="19"/>
  <c r="F18" i="19"/>
  <c r="B18" i="19"/>
  <c r="D17" i="19"/>
  <c r="F16" i="19"/>
  <c r="B16" i="19"/>
  <c r="D15" i="19"/>
  <c r="F14" i="19"/>
  <c r="B14" i="19"/>
  <c r="D13" i="19"/>
  <c r="F12" i="19"/>
  <c r="B12" i="19"/>
  <c r="D11" i="19"/>
  <c r="F10" i="19"/>
  <c r="B10" i="19"/>
  <c r="D9" i="19"/>
  <c r="F8" i="19"/>
  <c r="B8" i="19"/>
  <c r="D7" i="19"/>
  <c r="F6" i="19"/>
  <c r="B6" i="19"/>
  <c r="D5" i="19"/>
  <c r="F4" i="19"/>
  <c r="B4" i="19"/>
  <c r="D3" i="19"/>
  <c r="F2" i="19"/>
  <c r="B2" i="19"/>
  <c r="E20" i="19"/>
  <c r="G19" i="19"/>
  <c r="C19" i="19"/>
  <c r="E18" i="19"/>
  <c r="G17" i="19"/>
  <c r="C17" i="19"/>
  <c r="E16" i="19"/>
  <c r="G15" i="19"/>
  <c r="C15" i="19"/>
  <c r="E14" i="19"/>
  <c r="G13" i="19"/>
  <c r="C13" i="19"/>
  <c r="E12" i="19"/>
  <c r="G11" i="19"/>
  <c r="C11" i="19"/>
  <c r="E10" i="19"/>
  <c r="G9" i="19"/>
  <c r="C9" i="19"/>
  <c r="E8" i="19"/>
  <c r="G7" i="19"/>
  <c r="C7" i="19"/>
  <c r="E6" i="19"/>
  <c r="G5" i="19"/>
  <c r="C5" i="19"/>
  <c r="E4" i="19"/>
  <c r="G3" i="19"/>
  <c r="C3" i="19"/>
  <c r="E2" i="19"/>
  <c r="D20" i="19"/>
  <c r="F19" i="19"/>
  <c r="B19" i="19"/>
  <c r="D18" i="19"/>
  <c r="F17" i="19"/>
  <c r="B17" i="19"/>
  <c r="D16" i="19"/>
  <c r="F15" i="19"/>
  <c r="B15" i="19"/>
  <c r="D14" i="19"/>
  <c r="F13" i="19"/>
  <c r="B13" i="19"/>
  <c r="D12" i="19"/>
  <c r="F11" i="19"/>
  <c r="B11" i="19"/>
  <c r="D10" i="19"/>
  <c r="F9" i="19"/>
  <c r="B9" i="19"/>
  <c r="D8" i="19"/>
  <c r="F7" i="19"/>
  <c r="B7" i="19"/>
  <c r="D6" i="19"/>
  <c r="F5" i="19"/>
  <c r="B5" i="19"/>
  <c r="D4" i="19"/>
  <c r="F3" i="19"/>
  <c r="B3" i="19"/>
  <c r="C22" i="18"/>
  <c r="D21" i="18"/>
  <c r="E20" i="18"/>
  <c r="E19" i="18"/>
  <c r="F18" i="18"/>
  <c r="G17" i="18"/>
  <c r="G16" i="18"/>
  <c r="B16" i="18"/>
  <c r="C15" i="18"/>
  <c r="C14" i="18"/>
  <c r="D13" i="18"/>
  <c r="E12" i="18"/>
  <c r="E11" i="18"/>
  <c r="F10" i="18"/>
  <c r="G9" i="18"/>
  <c r="G8" i="18"/>
  <c r="B8" i="18"/>
  <c r="C7" i="18"/>
  <c r="C6" i="18"/>
  <c r="D5" i="18"/>
  <c r="E4" i="18"/>
  <c r="G22" i="18"/>
  <c r="B22" i="18"/>
  <c r="C21" i="18"/>
  <c r="C20" i="18"/>
  <c r="D19" i="18"/>
  <c r="E18" i="18"/>
  <c r="E17" i="18"/>
  <c r="F16" i="18"/>
  <c r="G15" i="18"/>
  <c r="G14" i="18"/>
  <c r="B14" i="18"/>
  <c r="C13" i="18"/>
  <c r="C12" i="18"/>
  <c r="D11" i="18"/>
  <c r="E10" i="18"/>
  <c r="E9" i="18"/>
  <c r="F8" i="18"/>
  <c r="G7" i="18"/>
  <c r="G6" i="18"/>
  <c r="B6" i="18"/>
  <c r="C5" i="18"/>
  <c r="C4" i="18"/>
  <c r="D22" i="18"/>
  <c r="F21" i="18"/>
  <c r="B21" i="18"/>
  <c r="D20" i="18"/>
  <c r="F19" i="18"/>
  <c r="B19" i="18"/>
  <c r="D18" i="18"/>
  <c r="F17" i="18"/>
  <c r="B17" i="18"/>
  <c r="D16" i="18"/>
  <c r="F15" i="18"/>
  <c r="B15" i="18"/>
  <c r="D14" i="18"/>
  <c r="F13" i="18"/>
  <c r="B13" i="18"/>
  <c r="D12" i="18"/>
  <c r="F11" i="18"/>
  <c r="B11" i="18"/>
  <c r="D10" i="18"/>
  <c r="F9" i="18"/>
  <c r="B9" i="18"/>
  <c r="D8" i="18"/>
  <c r="F7" i="18"/>
  <c r="B7" i="18"/>
  <c r="D6" i="18"/>
  <c r="F5" i="18"/>
  <c r="B5" i="18"/>
  <c r="E22" i="7"/>
  <c r="D22" i="7"/>
  <c r="F21" i="7"/>
  <c r="B21" i="7"/>
  <c r="D20" i="7"/>
  <c r="F19" i="7"/>
  <c r="B19" i="7"/>
  <c r="D18" i="7"/>
  <c r="F17" i="7"/>
  <c r="B17" i="7"/>
  <c r="D16" i="7"/>
  <c r="F15" i="7"/>
  <c r="B15" i="7"/>
  <c r="D14" i="7"/>
  <c r="F13" i="7"/>
  <c r="B13" i="7"/>
  <c r="D12" i="7"/>
  <c r="F11" i="7"/>
  <c r="B11" i="7"/>
  <c r="D10" i="7"/>
  <c r="F9" i="7"/>
  <c r="B9" i="7"/>
  <c r="D8" i="7"/>
  <c r="F7" i="7"/>
  <c r="B7" i="7"/>
  <c r="D6" i="7"/>
  <c r="F5" i="7"/>
  <c r="B5" i="7"/>
  <c r="D4" i="7"/>
  <c r="G21" i="7"/>
  <c r="C21" i="7"/>
  <c r="E20" i="7"/>
  <c r="G19" i="7"/>
  <c r="C19" i="7"/>
  <c r="E18" i="7"/>
  <c r="G17" i="7"/>
  <c r="C17" i="7"/>
  <c r="E16" i="7"/>
  <c r="G15" i="7"/>
  <c r="C15" i="7"/>
  <c r="E14" i="7"/>
  <c r="G13" i="7"/>
  <c r="C13" i="7"/>
  <c r="E12" i="7"/>
  <c r="G11" i="7"/>
  <c r="C11" i="7"/>
  <c r="E10" i="7"/>
  <c r="G9" i="7"/>
  <c r="C9" i="7"/>
  <c r="E8" i="7"/>
  <c r="G7" i="7"/>
  <c r="C7" i="7"/>
  <c r="E6" i="7"/>
  <c r="G5" i="7"/>
  <c r="C5" i="7"/>
  <c r="E4" i="7"/>
  <c r="G22" i="7"/>
  <c r="C22" i="7"/>
  <c r="E21" i="7"/>
  <c r="G20" i="7"/>
  <c r="C20" i="7"/>
  <c r="E19" i="7"/>
  <c r="G18" i="7"/>
  <c r="C18" i="7"/>
  <c r="E17" i="7"/>
  <c r="G16" i="7"/>
  <c r="C16" i="7"/>
  <c r="E15" i="7"/>
  <c r="G14" i="7"/>
  <c r="C14" i="7"/>
  <c r="E13" i="7"/>
  <c r="G12" i="7"/>
  <c r="C12" i="7"/>
  <c r="E11" i="7"/>
  <c r="G10" i="7"/>
  <c r="C10" i="7"/>
  <c r="E9" i="7"/>
  <c r="G8" i="7"/>
  <c r="C8" i="7"/>
  <c r="E7" i="7"/>
  <c r="G6" i="7"/>
  <c r="C6" i="7"/>
  <c r="E5" i="7"/>
  <c r="G4" i="7"/>
  <c r="C4" i="7"/>
  <c r="F22" i="7"/>
  <c r="B22" i="7"/>
  <c r="D21" i="7"/>
  <c r="F20" i="7"/>
  <c r="B20" i="7"/>
  <c r="D19" i="7"/>
  <c r="F18" i="7"/>
  <c r="B18" i="7"/>
  <c r="D17" i="7"/>
  <c r="F16" i="7"/>
  <c r="B16" i="7"/>
  <c r="D15" i="7"/>
  <c r="F14" i="7"/>
  <c r="B14" i="7"/>
  <c r="D13" i="7"/>
  <c r="F12" i="7"/>
  <c r="B12" i="7"/>
  <c r="D11" i="7"/>
  <c r="F10" i="7"/>
  <c r="B10" i="7"/>
  <c r="D9" i="7"/>
  <c r="F8" i="7"/>
  <c r="B8" i="7"/>
  <c r="D7" i="7"/>
  <c r="F6" i="7"/>
  <c r="B6" i="7"/>
  <c r="D5" i="7"/>
  <c r="F4" i="7"/>
</calcChain>
</file>

<file path=xl/sharedStrings.xml><?xml version="1.0" encoding="utf-8"?>
<sst xmlns="http://schemas.openxmlformats.org/spreadsheetml/2006/main" count="664" uniqueCount="90">
  <si>
    <t>1 an</t>
  </si>
  <si>
    <t>2 ans</t>
  </si>
  <si>
    <t>3 ans</t>
  </si>
  <si>
    <t>5 ans</t>
  </si>
  <si>
    <t>10 ans</t>
  </si>
  <si>
    <t>35 ans</t>
  </si>
  <si>
    <t>PIB en volume</t>
  </si>
  <si>
    <t>VA du secteur marchand</t>
  </si>
  <si>
    <t>Consommation des ménages</t>
  </si>
  <si>
    <t>Investissement</t>
  </si>
  <si>
    <t>Investissement des SNF et SI</t>
  </si>
  <si>
    <t>Exportations</t>
  </si>
  <si>
    <t>Importations</t>
  </si>
  <si>
    <t>Prix à la consommation des ménages</t>
  </si>
  <si>
    <t>Prix de production marchande</t>
  </si>
  <si>
    <t>Salaire réel net</t>
  </si>
  <si>
    <t>Coût réel du travail</t>
  </si>
  <si>
    <t>Emploi salarié en milliers</t>
  </si>
  <si>
    <t>Taux de chômage (en points)</t>
  </si>
  <si>
    <t>Balance commerciale (en points de PIB)</t>
  </si>
  <si>
    <t>Emissions de CO2</t>
  </si>
  <si>
    <t>Energie finale</t>
  </si>
  <si>
    <t>Electricité finale</t>
  </si>
  <si>
    <t>Produits pétroliers (en Mtep ep)</t>
  </si>
  <si>
    <t>Gaz naturel (en Mtep ep)</t>
  </si>
  <si>
    <t>Hausse permanente de 1% de PIB en valeur de la taxe sur l'électricité</t>
  </si>
  <si>
    <t>Hausse permanente de 1% de PIB en valeur de la TVA</t>
  </si>
  <si>
    <t>Baisse permanente de 1% de PIB en valeur des cotisations employeurs</t>
  </si>
  <si>
    <t>Hausse permanente de 1% de PIB en volume des IAPU</t>
  </si>
  <si>
    <t xml:space="preserve">Dépréciation permanente de 10% de l'euro </t>
  </si>
  <si>
    <t>Hausse de la dépense publique d'un montant de 1 point de PIB</t>
  </si>
  <si>
    <t xml:space="preserve">Baisse des cotisations sociales employeurs de 1% du PIB ex ante </t>
  </si>
  <si>
    <t>Revenu disponible des ménages</t>
  </si>
  <si>
    <t>Taux d'épargne</t>
  </si>
  <si>
    <t>Prix de la consommation des ménages</t>
  </si>
  <si>
    <t xml:space="preserve">Prix de production </t>
  </si>
  <si>
    <t xml:space="preserve">Prix de VA </t>
  </si>
  <si>
    <t>Prix de CI</t>
  </si>
  <si>
    <t>Prix des exportations</t>
  </si>
  <si>
    <t>Prix des importations</t>
  </si>
  <si>
    <t xml:space="preserve">Salaire nominal brut </t>
  </si>
  <si>
    <t>Emploi salarié (en milliers)</t>
  </si>
  <si>
    <t>Taux de chômage</t>
  </si>
  <si>
    <t>Balance commerciale (en pts de PIB)</t>
  </si>
  <si>
    <t>Solde primaire des APU  (en pts de PIB)</t>
  </si>
  <si>
    <t xml:space="preserve">ThreeME </t>
  </si>
  <si>
    <t>Mesange</t>
  </si>
  <si>
    <t>ThreeME</t>
  </si>
  <si>
    <t>Baisse de l'impôt sur le revenu des ménages de 1% du PIB ex ante</t>
  </si>
  <si>
    <t>Hausse de la TVA de 1% du PIB ex ante</t>
  </si>
  <si>
    <t>Hausse permanente de 1% de la demande mondiale adressée à la France</t>
  </si>
  <si>
    <t xml:space="preserve">Hausse de 10% du prix des énergies fossiles </t>
  </si>
  <si>
    <t>Hausse de la taxe carbone de 1 point de PIB</t>
  </si>
  <si>
    <t>GDP in value</t>
  </si>
  <si>
    <t>Investment</t>
  </si>
  <si>
    <t>Exports</t>
  </si>
  <si>
    <t>Imports</t>
  </si>
  <si>
    <t>Household consumption</t>
  </si>
  <si>
    <t xml:space="preserve">Household disposable income </t>
  </si>
  <si>
    <t>Saving rate</t>
  </si>
  <si>
    <t>1 year</t>
  </si>
  <si>
    <t>2 years</t>
  </si>
  <si>
    <t>3 years</t>
  </si>
  <si>
    <t>5 years</t>
  </si>
  <si>
    <t>10 years</t>
  </si>
  <si>
    <t>35 years</t>
  </si>
  <si>
    <t xml:space="preserve">3 years </t>
  </si>
  <si>
    <t>Increase of the carbon tax by 1% of GDP</t>
  </si>
  <si>
    <t>Export price index</t>
  </si>
  <si>
    <t>Import price index</t>
  </si>
  <si>
    <t>Household consumption price index</t>
  </si>
  <si>
    <t>Production price index</t>
  </si>
  <si>
    <t>Added value price index</t>
  </si>
  <si>
    <t>Gross nominal wage</t>
  </si>
  <si>
    <t>Real cost of labor</t>
  </si>
  <si>
    <t>Unemployment rate</t>
  </si>
  <si>
    <t>Intermediate consumption price index</t>
  </si>
  <si>
    <t>Wage employment (in thousands)</t>
  </si>
  <si>
    <t>Trade balance (in points of GDP)</t>
  </si>
  <si>
    <t>Public budget balance (in points of GDP)</t>
  </si>
  <si>
    <t>10% permanent devaluation of the euro</t>
  </si>
  <si>
    <t xml:space="preserve">1 point of GDP increase of public spending </t>
  </si>
  <si>
    <t xml:space="preserve">Decrease of Social Employer Contributions by 1% of the ex ante GDP </t>
  </si>
  <si>
    <t>1% of ex ante GDP increase of the VAT</t>
  </si>
  <si>
    <t>Decrease of the household income tax by 1% of the ex ante GDP</t>
  </si>
  <si>
    <t xml:space="preserve">1% permanent increase of the world demand to France </t>
  </si>
  <si>
    <t>10% increase of fossil fuel prices</t>
  </si>
  <si>
    <t>% en écart au compte central</t>
  </si>
  <si>
    <t xml:space="preserve">% en écart au compte central </t>
  </si>
  <si>
    <t xml:space="preserve">% deviation from baseline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</si>
</sst>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13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rgb="FF000000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68">
    <xf numFmtId="0" fontId="0" fillId="0" borderId="0" xfId="0"/>
    <xf numFmtId="2" fontId="0" fillId="0" borderId="2" xfId="0" applyNumberFormat="1" applyBorder="1"/>
    <xf numFmtId="2" fontId="0" fillId="0" borderId="3" xfId="0" applyNumberFormat="1" applyBorder="1"/>
    <xf numFmtId="2" fontId="0" fillId="0" borderId="4" xfId="0" applyNumberFormat="1" applyBorder="1"/>
    <xf numFmtId="0" fontId="4" fillId="2" borderId="1" xfId="0" applyFont="1" applyFill="1" applyBorder="1" applyAlignment="1">
      <alignment wrapText="1"/>
    </xf>
    <xf numFmtId="0" fontId="4" fillId="2" borderId="1" xfId="0" applyFont="1" applyFill="1" applyBorder="1" applyAlignment="1">
      <alignment horizontal="center"/>
    </xf>
    <xf numFmtId="164" fontId="0" fillId="0" borderId="3" xfId="0" applyNumberFormat="1" applyBorder="1"/>
    <xf numFmtId="164" fontId="0" fillId="0" borderId="4" xfId="0" applyNumberFormat="1" applyBorder="1"/>
    <xf numFmtId="0" fontId="0" fillId="0" borderId="0" xfId="0" applyBorder="1"/>
    <xf numFmtId="0" fontId="5" fillId="3" borderId="5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 wrapText="1"/>
    </xf>
    <xf numFmtId="0" fontId="6" fillId="4" borderId="0" xfId="0" applyFont="1" applyFill="1" applyAlignment="1">
      <alignment horizontal="center" vertical="center" wrapText="1"/>
    </xf>
    <xf numFmtId="2" fontId="7" fillId="0" borderId="0" xfId="0" applyNumberFormat="1" applyFont="1" applyBorder="1" applyAlignment="1">
      <alignment horizontal="center" vertical="center"/>
    </xf>
    <xf numFmtId="2" fontId="7" fillId="0" borderId="7" xfId="0" applyNumberFormat="1" applyFont="1" applyBorder="1" applyAlignment="1">
      <alignment horizontal="center" vertical="center"/>
    </xf>
    <xf numFmtId="0" fontId="0" fillId="0" borderId="7" xfId="0" applyBorder="1"/>
    <xf numFmtId="0" fontId="0" fillId="0" borderId="6" xfId="0" applyBorder="1"/>
    <xf numFmtId="2" fontId="5" fillId="0" borderId="7" xfId="0" applyNumberFormat="1" applyFont="1" applyBorder="1"/>
    <xf numFmtId="2" fontId="8" fillId="0" borderId="0" xfId="0" applyNumberFormat="1" applyFont="1" applyBorder="1" applyAlignment="1">
      <alignment horizontal="center" vertical="center"/>
    </xf>
    <xf numFmtId="2" fontId="8" fillId="0" borderId="8" xfId="0" applyNumberFormat="1" applyFont="1" applyBorder="1" applyAlignment="1">
      <alignment horizontal="center" vertical="center"/>
    </xf>
    <xf numFmtId="2" fontId="8" fillId="0" borderId="7" xfId="0" applyNumberFormat="1" applyFont="1" applyBorder="1" applyAlignment="1">
      <alignment horizontal="center" vertical="center"/>
    </xf>
    <xf numFmtId="0" fontId="5" fillId="4" borderId="6" xfId="0" applyFont="1" applyFill="1" applyBorder="1" applyAlignment="1">
      <alignment wrapText="1"/>
    </xf>
    <xf numFmtId="0" fontId="5" fillId="3" borderId="9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2" fillId="0" borderId="0" xfId="0" applyFont="1"/>
    <xf numFmtId="0" fontId="2" fillId="4" borderId="0" xfId="0" applyFont="1" applyFill="1" applyBorder="1"/>
    <xf numFmtId="0" fontId="2" fillId="4" borderId="7" xfId="0" applyFont="1" applyFill="1" applyBorder="1"/>
    <xf numFmtId="2" fontId="7" fillId="4" borderId="0" xfId="0" applyNumberFormat="1" applyFont="1" applyFill="1" applyBorder="1" applyAlignment="1">
      <alignment horizontal="center" vertical="center"/>
    </xf>
    <xf numFmtId="2" fontId="7" fillId="4" borderId="7" xfId="0" applyNumberFormat="1" applyFont="1" applyFill="1" applyBorder="1" applyAlignment="1">
      <alignment horizontal="center" vertical="center"/>
    </xf>
    <xf numFmtId="2" fontId="5" fillId="4" borderId="7" xfId="0" applyNumberFormat="1" applyFont="1" applyFill="1" applyBorder="1"/>
    <xf numFmtId="0" fontId="6" fillId="4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wrapText="1"/>
    </xf>
    <xf numFmtId="0" fontId="9" fillId="4" borderId="0" xfId="0" applyFont="1" applyFill="1" applyBorder="1" applyAlignment="1">
      <alignment horizontal="left" vertical="center" wrapText="1"/>
    </xf>
    <xf numFmtId="0" fontId="9" fillId="0" borderId="0" xfId="0" applyFont="1" applyBorder="1" applyAlignment="1">
      <alignment vertical="center" wrapText="1"/>
    </xf>
    <xf numFmtId="0" fontId="6" fillId="4" borderId="0" xfId="0" applyFont="1" applyFill="1" applyBorder="1" applyAlignment="1">
      <alignment horizontal="center" vertical="center" wrapText="1"/>
    </xf>
    <xf numFmtId="0" fontId="0" fillId="4" borderId="0" xfId="0" applyFill="1"/>
    <xf numFmtId="0" fontId="0" fillId="4" borderId="7" xfId="0" applyFill="1" applyBorder="1"/>
    <xf numFmtId="0" fontId="0" fillId="4" borderId="6" xfId="0" applyFill="1" applyBorder="1"/>
    <xf numFmtId="0" fontId="0" fillId="4" borderId="0" xfId="0" applyFill="1" applyBorder="1"/>
    <xf numFmtId="0" fontId="1" fillId="4" borderId="7" xfId="0" applyFont="1" applyFill="1" applyBorder="1"/>
    <xf numFmtId="0" fontId="10" fillId="6" borderId="8" xfId="0" applyFont="1" applyFill="1" applyBorder="1" applyAlignment="1">
      <alignment horizontal="center" vertical="center" wrapText="1"/>
    </xf>
    <xf numFmtId="0" fontId="10" fillId="6" borderId="0" xfId="0" applyFont="1" applyFill="1" applyBorder="1" applyAlignment="1">
      <alignment horizontal="center" vertical="center" wrapText="1"/>
    </xf>
    <xf numFmtId="0" fontId="10" fillId="6" borderId="7" xfId="0" applyFont="1" applyFill="1" applyBorder="1" applyAlignment="1">
      <alignment horizontal="center" vertical="center" wrapText="1"/>
    </xf>
    <xf numFmtId="2" fontId="5" fillId="4" borderId="7" xfId="0" applyNumberFormat="1" applyFont="1" applyFill="1" applyBorder="1" applyAlignment="1">
      <alignment wrapText="1"/>
    </xf>
    <xf numFmtId="0" fontId="4" fillId="3" borderId="0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0" fontId="11" fillId="0" borderId="0" xfId="0" applyFont="1" applyAlignment="1">
      <alignment horizontal="right"/>
    </xf>
    <xf numFmtId="0" fontId="4" fillId="3" borderId="8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0" xfId="0" applyFont="1" applyFill="1" applyBorder="1" applyAlignment="1">
      <alignment horizontal="center"/>
    </xf>
    <xf numFmtId="0" fontId="4" fillId="5" borderId="7" xfId="0" applyFont="1" applyFill="1" applyBorder="1" applyAlignment="1">
      <alignment horizontal="center"/>
    </xf>
    <xf numFmtId="0" fontId="12" fillId="0" borderId="0" xfId="0" applyFont="1" applyBorder="1" applyAlignment="1">
      <alignment horizontal="right"/>
    </xf>
    <xf numFmtId="0" fontId="11" fillId="0" borderId="0" xfId="0" applyFont="1" applyBorder="1" applyAlignment="1">
      <alignment horizontal="right"/>
    </xf>
    <xf numFmtId="0" fontId="5" fillId="3" borderId="0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11" fillId="4" borderId="0" xfId="0" applyFont="1" applyFill="1" applyAlignment="1">
      <alignment horizontal="right"/>
    </xf>
    <xf numFmtId="0" fontId="12" fillId="4" borderId="0" xfId="0" applyFont="1" applyFill="1" applyAlignment="1">
      <alignment horizontal="right"/>
    </xf>
    <xf numFmtId="2" fontId="0" fillId="0" borderId="0" xfId="0" applyNumberFormat="1" applyAlignment="1">
      <alignment horizontal="left" vertic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M69"/>
  <sheetViews>
    <sheetView showGridLines="0" topLeftCell="A40" workbookViewId="0">
      <selection activeCell="A50" sqref="A50"/>
    </sheetView>
  </sheetViews>
  <sheetFormatPr baseColWidth="10" defaultColWidth="11" defaultRowHeight="15.75" x14ac:dyDescent="0.25"/>
  <cols>
    <col min="1" max="1" width="37.125" customWidth="1"/>
  </cols>
  <sheetData>
    <row r="1" spans="1:13" ht="30" customHeight="1" x14ac:dyDescent="0.25">
      <c r="A1" s="34" t="s">
        <v>29</v>
      </c>
      <c r="B1" s="51" t="s">
        <v>87</v>
      </c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</row>
    <row r="2" spans="1:13" ht="29.25" customHeight="1" x14ac:dyDescent="0.25">
      <c r="A2" s="16"/>
      <c r="B2" s="46" t="s">
        <v>45</v>
      </c>
      <c r="C2" s="46"/>
      <c r="D2" s="46"/>
      <c r="E2" s="46"/>
      <c r="F2" s="46"/>
      <c r="G2" s="47"/>
      <c r="H2" s="48" t="s">
        <v>46</v>
      </c>
      <c r="I2" s="49"/>
      <c r="J2" s="49"/>
      <c r="K2" s="49"/>
      <c r="L2" s="49"/>
      <c r="M2" s="50"/>
    </row>
    <row r="3" spans="1:13" x14ac:dyDescent="0.25">
      <c r="A3" s="17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18" t="s">
        <v>6</v>
      </c>
      <c r="B4" s="14">
        <f t="array" ref="B4:G22">TRANSPOSE('EXR10'!$B$3:$T$8)</f>
        <v>0</v>
      </c>
      <c r="C4" s="14">
        <v>0</v>
      </c>
      <c r="D4" s="14">
        <v>0</v>
      </c>
      <c r="E4" s="14">
        <v>0</v>
      </c>
      <c r="F4" s="14">
        <v>0</v>
      </c>
      <c r="G4" s="15">
        <v>0</v>
      </c>
      <c r="H4" s="12">
        <v>0.48</v>
      </c>
      <c r="I4" s="36">
        <v>0.96</v>
      </c>
      <c r="J4" s="36">
        <v>1.36</v>
      </c>
      <c r="K4" s="36">
        <v>1.39</v>
      </c>
      <c r="L4" s="36">
        <v>0.99</v>
      </c>
      <c r="M4" s="32">
        <v>0.02</v>
      </c>
    </row>
    <row r="5" spans="1:13" x14ac:dyDescent="0.25">
      <c r="A5" s="18" t="s">
        <v>8</v>
      </c>
      <c r="B5" s="14">
        <v>0</v>
      </c>
      <c r="C5" s="14">
        <v>0</v>
      </c>
      <c r="D5" s="14">
        <v>0</v>
      </c>
      <c r="E5" s="14">
        <v>0</v>
      </c>
      <c r="F5" s="14">
        <v>0</v>
      </c>
      <c r="G5" s="15">
        <v>0</v>
      </c>
      <c r="H5" s="12">
        <v>-0.03</v>
      </c>
      <c r="I5" s="36">
        <v>0.22</v>
      </c>
      <c r="J5" s="36">
        <v>0.69</v>
      </c>
      <c r="K5" s="36">
        <v>1.1599999999999999</v>
      </c>
      <c r="L5" s="36">
        <v>1.1000000000000001</v>
      </c>
      <c r="M5" s="32">
        <v>-0.03</v>
      </c>
    </row>
    <row r="6" spans="1:13" x14ac:dyDescent="0.25">
      <c r="A6" s="18" t="s">
        <v>9</v>
      </c>
      <c r="B6" s="14">
        <v>0</v>
      </c>
      <c r="C6" s="14">
        <v>0</v>
      </c>
      <c r="D6" s="14">
        <v>0</v>
      </c>
      <c r="E6" s="14">
        <v>0</v>
      </c>
      <c r="F6" s="14">
        <v>0</v>
      </c>
      <c r="G6" s="15">
        <v>0</v>
      </c>
      <c r="H6" s="12">
        <v>0.7</v>
      </c>
      <c r="I6" s="36">
        <v>1.61</v>
      </c>
      <c r="J6" s="36">
        <v>2.2400000000000002</v>
      </c>
      <c r="K6" s="36">
        <v>1.94</v>
      </c>
      <c r="L6" s="36">
        <v>0.93</v>
      </c>
      <c r="M6" s="32">
        <v>0</v>
      </c>
    </row>
    <row r="7" spans="1:13" x14ac:dyDescent="0.25">
      <c r="A7" s="18" t="s">
        <v>11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5">
        <v>0</v>
      </c>
      <c r="H7" s="12">
        <v>1.33</v>
      </c>
      <c r="I7" s="36">
        <v>2.15</v>
      </c>
      <c r="J7" s="36">
        <v>2.37</v>
      </c>
      <c r="K7" s="36">
        <v>2.31</v>
      </c>
      <c r="L7" s="36">
        <v>1.76</v>
      </c>
      <c r="M7" s="32">
        <v>0.47</v>
      </c>
    </row>
    <row r="8" spans="1:13" x14ac:dyDescent="0.25">
      <c r="A8" s="18" t="s">
        <v>12</v>
      </c>
      <c r="B8" s="14">
        <v>0</v>
      </c>
      <c r="C8" s="14">
        <v>0</v>
      </c>
      <c r="D8" s="14">
        <v>0</v>
      </c>
      <c r="E8" s="14">
        <v>0</v>
      </c>
      <c r="F8" s="14">
        <v>0</v>
      </c>
      <c r="G8" s="15">
        <v>0</v>
      </c>
      <c r="H8" s="12">
        <v>0.38</v>
      </c>
      <c r="I8" s="36">
        <v>0.65</v>
      </c>
      <c r="J8" s="36">
        <v>1.1399999999999999</v>
      </c>
      <c r="K8" s="36">
        <v>1.07</v>
      </c>
      <c r="L8" s="36">
        <v>0.74</v>
      </c>
      <c r="M8" s="32">
        <v>0.28999999999999998</v>
      </c>
    </row>
    <row r="9" spans="1:13" x14ac:dyDescent="0.25">
      <c r="A9" s="18" t="s">
        <v>32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5">
        <v>0</v>
      </c>
      <c r="H9" s="12">
        <v>-0.12</v>
      </c>
      <c r="I9" s="36">
        <v>0.35</v>
      </c>
      <c r="J9" s="36">
        <v>0.84</v>
      </c>
      <c r="K9" s="36">
        <v>1.28</v>
      </c>
      <c r="L9" s="36">
        <v>1.06</v>
      </c>
      <c r="M9" s="32">
        <v>-0.03</v>
      </c>
    </row>
    <row r="10" spans="1:13" x14ac:dyDescent="0.25">
      <c r="A10" s="18" t="s">
        <v>33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5">
        <v>0</v>
      </c>
      <c r="H10" s="12">
        <v>-7.0000000000000007E-2</v>
      </c>
      <c r="I10" s="36">
        <v>0.11</v>
      </c>
      <c r="J10" s="36">
        <v>0.12</v>
      </c>
      <c r="K10" s="36">
        <v>0.1</v>
      </c>
      <c r="L10" s="36">
        <v>-0.03</v>
      </c>
      <c r="M10" s="32">
        <v>0</v>
      </c>
    </row>
    <row r="11" spans="1:13" x14ac:dyDescent="0.25">
      <c r="A11" s="18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5">
        <v>0</v>
      </c>
      <c r="H11" s="12">
        <v>0.57999999999999996</v>
      </c>
      <c r="I11" s="36">
        <v>1.04</v>
      </c>
      <c r="J11" s="36">
        <v>1.46</v>
      </c>
      <c r="K11" s="36">
        <v>2.25</v>
      </c>
      <c r="L11" s="36">
        <v>3.26</v>
      </c>
      <c r="M11" s="32">
        <v>5.14</v>
      </c>
    </row>
    <row r="12" spans="1:13" x14ac:dyDescent="0.25">
      <c r="A12" s="18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5">
        <v>0</v>
      </c>
      <c r="H12" s="12">
        <v>0.41</v>
      </c>
      <c r="I12" s="36">
        <v>0.92</v>
      </c>
      <c r="J12" s="36">
        <v>1.45</v>
      </c>
      <c r="K12" s="36">
        <v>2.39</v>
      </c>
      <c r="L12" s="36">
        <v>3.42</v>
      </c>
      <c r="M12" s="32">
        <v>5.2</v>
      </c>
    </row>
    <row r="13" spans="1:13" x14ac:dyDescent="0.25">
      <c r="A13" s="18" t="s">
        <v>36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5">
        <v>0</v>
      </c>
      <c r="H13" s="12">
        <v>0.05</v>
      </c>
      <c r="I13" s="36">
        <v>0.44</v>
      </c>
      <c r="J13" s="36">
        <v>0.92</v>
      </c>
      <c r="K13" s="36">
        <v>1.81</v>
      </c>
      <c r="L13" s="36">
        <v>2.95</v>
      </c>
      <c r="M13" s="32">
        <v>5.22</v>
      </c>
    </row>
    <row r="14" spans="1:13" x14ac:dyDescent="0.25">
      <c r="A14" s="18" t="s">
        <v>37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5">
        <v>0</v>
      </c>
      <c r="H14" s="12">
        <v>0.67</v>
      </c>
      <c r="I14" s="36">
        <v>1.18</v>
      </c>
      <c r="J14" s="36">
        <v>1.66</v>
      </c>
      <c r="K14" s="36">
        <v>2.54</v>
      </c>
      <c r="L14" s="36">
        <v>3.5</v>
      </c>
      <c r="M14" s="32">
        <v>5.17</v>
      </c>
    </row>
    <row r="15" spans="1:13" x14ac:dyDescent="0.25">
      <c r="A15" s="18" t="s">
        <v>38</v>
      </c>
      <c r="B15" s="14">
        <v>0</v>
      </c>
      <c r="C15" s="14">
        <v>0</v>
      </c>
      <c r="D15" s="14">
        <v>0</v>
      </c>
      <c r="E15" s="14">
        <v>0</v>
      </c>
      <c r="F15" s="14">
        <v>0</v>
      </c>
      <c r="G15" s="15">
        <v>0</v>
      </c>
      <c r="H15" s="12">
        <v>1.18</v>
      </c>
      <c r="I15" s="36">
        <v>1.74</v>
      </c>
      <c r="J15" s="36">
        <v>2.19</v>
      </c>
      <c r="K15" s="36">
        <v>3.01</v>
      </c>
      <c r="L15" s="36">
        <v>3.91</v>
      </c>
      <c r="M15" s="32">
        <v>5.33</v>
      </c>
    </row>
    <row r="16" spans="1:13" x14ac:dyDescent="0.25">
      <c r="A16" s="18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5">
        <v>0</v>
      </c>
      <c r="H16" s="12">
        <v>1.74</v>
      </c>
      <c r="I16" s="36">
        <v>2.34</v>
      </c>
      <c r="J16" s="36">
        <v>2.66</v>
      </c>
      <c r="K16" s="36">
        <v>3.3</v>
      </c>
      <c r="L16" s="36">
        <v>4.09</v>
      </c>
      <c r="M16" s="32">
        <v>5.35</v>
      </c>
    </row>
    <row r="17" spans="1:13" x14ac:dyDescent="0.25">
      <c r="A17" s="18" t="s">
        <v>40</v>
      </c>
      <c r="B17" s="14">
        <v>0</v>
      </c>
      <c r="C17" s="14">
        <v>0</v>
      </c>
      <c r="D17" s="14">
        <v>0</v>
      </c>
      <c r="E17" s="14">
        <v>0</v>
      </c>
      <c r="F17" s="14">
        <v>0</v>
      </c>
      <c r="G17" s="15">
        <v>0</v>
      </c>
      <c r="H17" s="12">
        <v>0.52</v>
      </c>
      <c r="I17" s="36">
        <v>1.47</v>
      </c>
      <c r="J17" s="36">
        <v>2.3199999999999998</v>
      </c>
      <c r="K17" s="36">
        <v>3.69</v>
      </c>
      <c r="L17" s="36">
        <v>4.6399999999999997</v>
      </c>
      <c r="M17" s="32">
        <v>5.25</v>
      </c>
    </row>
    <row r="18" spans="1:13" x14ac:dyDescent="0.25">
      <c r="A18" s="18" t="s">
        <v>16</v>
      </c>
      <c r="B18" s="14">
        <v>0</v>
      </c>
      <c r="C18" s="14">
        <v>0</v>
      </c>
      <c r="D18" s="14">
        <v>0</v>
      </c>
      <c r="E18" s="14">
        <v>0</v>
      </c>
      <c r="F18" s="14">
        <v>0</v>
      </c>
      <c r="G18" s="15">
        <v>0</v>
      </c>
      <c r="H18" s="12">
        <v>0.47</v>
      </c>
      <c r="I18" s="36">
        <v>1.02</v>
      </c>
      <c r="J18" s="36">
        <v>1.39</v>
      </c>
      <c r="K18" s="36">
        <v>1.85</v>
      </c>
      <c r="L18" s="36">
        <v>1.65</v>
      </c>
      <c r="M18" s="32">
        <v>0.03</v>
      </c>
    </row>
    <row r="19" spans="1:13" x14ac:dyDescent="0.25">
      <c r="A19" s="18" t="s">
        <v>41</v>
      </c>
      <c r="B19" s="14">
        <v>0</v>
      </c>
      <c r="C19" s="14">
        <v>0</v>
      </c>
      <c r="D19" s="14">
        <v>0</v>
      </c>
      <c r="E19" s="14">
        <v>0</v>
      </c>
      <c r="F19" s="14">
        <v>0</v>
      </c>
      <c r="G19" s="15">
        <v>0</v>
      </c>
      <c r="H19" s="12">
        <v>24</v>
      </c>
      <c r="I19" s="36">
        <v>90</v>
      </c>
      <c r="J19" s="36">
        <v>160</v>
      </c>
      <c r="K19" s="36">
        <v>186</v>
      </c>
      <c r="L19" s="36">
        <v>98</v>
      </c>
      <c r="M19" s="32">
        <v>2</v>
      </c>
    </row>
    <row r="20" spans="1:13" x14ac:dyDescent="0.25">
      <c r="A20" s="18" t="s">
        <v>42</v>
      </c>
      <c r="B20" s="14">
        <v>0</v>
      </c>
      <c r="C20" s="14">
        <v>0</v>
      </c>
      <c r="D20" s="14">
        <v>0</v>
      </c>
      <c r="E20" s="14">
        <v>0</v>
      </c>
      <c r="F20" s="14">
        <v>0</v>
      </c>
      <c r="G20" s="15">
        <v>0</v>
      </c>
      <c r="H20" s="12">
        <v>-0.1</v>
      </c>
      <c r="I20" s="36">
        <v>-0.38</v>
      </c>
      <c r="J20" s="36">
        <v>-0.67</v>
      </c>
      <c r="K20" s="36">
        <v>-0.78</v>
      </c>
      <c r="L20" s="36">
        <v>-0.41</v>
      </c>
      <c r="M20" s="32">
        <v>-0.01</v>
      </c>
    </row>
    <row r="21" spans="1:13" x14ac:dyDescent="0.25">
      <c r="A21" s="18" t="s">
        <v>43</v>
      </c>
      <c r="B21" s="14">
        <v>0</v>
      </c>
      <c r="C21" s="14">
        <v>0</v>
      </c>
      <c r="D21" s="14">
        <v>0</v>
      </c>
      <c r="E21" s="14">
        <v>0</v>
      </c>
      <c r="F21" s="14">
        <v>0</v>
      </c>
      <c r="G21" s="15">
        <v>0</v>
      </c>
      <c r="H21" s="12">
        <v>0.09</v>
      </c>
      <c r="I21" s="36">
        <v>0.25</v>
      </c>
      <c r="J21" s="36">
        <v>0.21</v>
      </c>
      <c r="K21" s="36">
        <v>0.28000000000000003</v>
      </c>
      <c r="L21" s="36">
        <v>0.24</v>
      </c>
      <c r="M21" s="32">
        <v>0.04</v>
      </c>
    </row>
    <row r="22" spans="1:13" x14ac:dyDescent="0.25">
      <c r="A22" s="18" t="s">
        <v>44</v>
      </c>
      <c r="B22" s="14">
        <v>0</v>
      </c>
      <c r="C22" s="14">
        <v>0</v>
      </c>
      <c r="D22" s="14">
        <v>0</v>
      </c>
      <c r="E22" s="14">
        <v>0</v>
      </c>
      <c r="F22" s="14">
        <v>0</v>
      </c>
      <c r="G22" s="15">
        <v>0</v>
      </c>
      <c r="H22" s="12">
        <v>0.11</v>
      </c>
      <c r="I22" s="36">
        <v>0.28000000000000003</v>
      </c>
      <c r="J22" s="36">
        <v>0.44</v>
      </c>
      <c r="K22" s="36">
        <v>0.41</v>
      </c>
      <c r="L22" s="36">
        <v>0.16</v>
      </c>
      <c r="M22" s="32">
        <v>-0.28000000000000003</v>
      </c>
    </row>
    <row r="23" spans="1:13" x14ac:dyDescent="0.25">
      <c r="A23" s="8"/>
      <c r="B23" s="8"/>
      <c r="C23" s="8"/>
      <c r="D23" s="8"/>
      <c r="E23" s="8"/>
      <c r="F23" s="8"/>
      <c r="G23" s="8"/>
      <c r="I23" s="8"/>
    </row>
    <row r="24" spans="1:13" x14ac:dyDescent="0.25">
      <c r="A24" s="8"/>
      <c r="B24" s="8"/>
      <c r="C24" s="8"/>
      <c r="D24" s="8"/>
      <c r="E24" s="8"/>
      <c r="F24" s="8"/>
      <c r="G24" s="8"/>
    </row>
    <row r="26" spans="1:13" x14ac:dyDescent="0.25">
      <c r="A26" s="34" t="s">
        <v>80</v>
      </c>
      <c r="B26" s="51" t="s">
        <v>89</v>
      </c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</row>
    <row r="27" spans="1:13" x14ac:dyDescent="0.25">
      <c r="A27" s="16"/>
      <c r="B27" s="46" t="s">
        <v>45</v>
      </c>
      <c r="C27" s="46"/>
      <c r="D27" s="46"/>
      <c r="E27" s="46"/>
      <c r="F27" s="46"/>
      <c r="G27" s="47"/>
      <c r="H27" s="48" t="s">
        <v>46</v>
      </c>
      <c r="I27" s="49"/>
      <c r="J27" s="49"/>
      <c r="K27" s="49"/>
      <c r="L27" s="49"/>
      <c r="M27" s="50"/>
    </row>
    <row r="28" spans="1:13" x14ac:dyDescent="0.25">
      <c r="A28" s="17"/>
      <c r="B28" s="9" t="s">
        <v>60</v>
      </c>
      <c r="C28" s="9" t="s">
        <v>61</v>
      </c>
      <c r="D28" s="9" t="s">
        <v>62</v>
      </c>
      <c r="E28" s="9" t="s">
        <v>63</v>
      </c>
      <c r="F28" s="9" t="s">
        <v>64</v>
      </c>
      <c r="G28" s="11" t="s">
        <v>65</v>
      </c>
      <c r="H28" s="24" t="s">
        <v>60</v>
      </c>
      <c r="I28" s="10" t="s">
        <v>61</v>
      </c>
      <c r="J28" s="10" t="s">
        <v>66</v>
      </c>
      <c r="K28" s="10" t="s">
        <v>63</v>
      </c>
      <c r="L28" s="10" t="s">
        <v>64</v>
      </c>
      <c r="M28" s="25" t="s">
        <v>65</v>
      </c>
    </row>
    <row r="29" spans="1:13" x14ac:dyDescent="0.25">
      <c r="A29" s="31" t="s">
        <v>53</v>
      </c>
      <c r="B29" s="14">
        <f t="array" ref="B29:G47">TRANSPOSE('EXR10'!$B$3:$T$8)</f>
        <v>0</v>
      </c>
      <c r="C29" s="14">
        <v>0</v>
      </c>
      <c r="D29" s="14">
        <v>0</v>
      </c>
      <c r="E29" s="14">
        <v>0</v>
      </c>
      <c r="F29" s="14">
        <v>0</v>
      </c>
      <c r="G29" s="15">
        <v>0</v>
      </c>
      <c r="H29" s="12">
        <v>0.48</v>
      </c>
      <c r="I29" s="36">
        <v>0.96</v>
      </c>
      <c r="J29" s="36">
        <v>1.36</v>
      </c>
      <c r="K29" s="36">
        <v>1.39</v>
      </c>
      <c r="L29" s="36">
        <v>0.99</v>
      </c>
      <c r="M29" s="32">
        <v>0.02</v>
      </c>
    </row>
    <row r="30" spans="1:13" x14ac:dyDescent="0.25">
      <c r="A30" s="31" t="s">
        <v>57</v>
      </c>
      <c r="B30" s="14">
        <v>0</v>
      </c>
      <c r="C30" s="14">
        <v>0</v>
      </c>
      <c r="D30" s="14">
        <v>0</v>
      </c>
      <c r="E30" s="14">
        <v>0</v>
      </c>
      <c r="F30" s="14">
        <v>0</v>
      </c>
      <c r="G30" s="15">
        <v>0</v>
      </c>
      <c r="H30" s="12">
        <v>-0.03</v>
      </c>
      <c r="I30" s="36">
        <v>0.22</v>
      </c>
      <c r="J30" s="36">
        <v>0.69</v>
      </c>
      <c r="K30" s="36">
        <v>1.1599999999999999</v>
      </c>
      <c r="L30" s="36">
        <v>1.1000000000000001</v>
      </c>
      <c r="M30" s="32">
        <v>-0.03</v>
      </c>
    </row>
    <row r="31" spans="1:13" x14ac:dyDescent="0.25">
      <c r="A31" s="31" t="s">
        <v>54</v>
      </c>
      <c r="B31" s="14">
        <v>0</v>
      </c>
      <c r="C31" s="14">
        <v>0</v>
      </c>
      <c r="D31" s="14">
        <v>0</v>
      </c>
      <c r="E31" s="14">
        <v>0</v>
      </c>
      <c r="F31" s="14">
        <v>0</v>
      </c>
      <c r="G31" s="15">
        <v>0</v>
      </c>
      <c r="H31" s="12">
        <v>0.7</v>
      </c>
      <c r="I31" s="36">
        <v>1.61</v>
      </c>
      <c r="J31" s="36">
        <v>2.2400000000000002</v>
      </c>
      <c r="K31" s="36">
        <v>1.94</v>
      </c>
      <c r="L31" s="36">
        <v>0.93</v>
      </c>
      <c r="M31" s="32">
        <v>0</v>
      </c>
    </row>
    <row r="32" spans="1:13" x14ac:dyDescent="0.25">
      <c r="A32" s="31" t="s">
        <v>55</v>
      </c>
      <c r="B32" s="14">
        <v>0</v>
      </c>
      <c r="C32" s="14">
        <v>0</v>
      </c>
      <c r="D32" s="14">
        <v>0</v>
      </c>
      <c r="E32" s="14">
        <v>0</v>
      </c>
      <c r="F32" s="14">
        <v>0</v>
      </c>
      <c r="G32" s="15">
        <v>0</v>
      </c>
      <c r="H32" s="12">
        <v>1.33</v>
      </c>
      <c r="I32" s="36">
        <v>2.15</v>
      </c>
      <c r="J32" s="36">
        <v>2.37</v>
      </c>
      <c r="K32" s="36">
        <v>2.31</v>
      </c>
      <c r="L32" s="36">
        <v>1.76</v>
      </c>
      <c r="M32" s="32">
        <v>0.47</v>
      </c>
    </row>
    <row r="33" spans="1:13" x14ac:dyDescent="0.25">
      <c r="A33" s="31" t="s">
        <v>56</v>
      </c>
      <c r="B33" s="14">
        <v>0</v>
      </c>
      <c r="C33" s="14">
        <v>0</v>
      </c>
      <c r="D33" s="14">
        <v>0</v>
      </c>
      <c r="E33" s="14">
        <v>0</v>
      </c>
      <c r="F33" s="14">
        <v>0</v>
      </c>
      <c r="G33" s="15">
        <v>0</v>
      </c>
      <c r="H33" s="12">
        <v>0.38</v>
      </c>
      <c r="I33" s="36">
        <v>0.65</v>
      </c>
      <c r="J33" s="36">
        <v>1.1399999999999999</v>
      </c>
      <c r="K33" s="36">
        <v>1.07</v>
      </c>
      <c r="L33" s="36">
        <v>0.74</v>
      </c>
      <c r="M33" s="32">
        <v>0.28999999999999998</v>
      </c>
    </row>
    <row r="34" spans="1:13" x14ac:dyDescent="0.25">
      <c r="A34" s="31" t="s">
        <v>58</v>
      </c>
      <c r="B34" s="14">
        <v>0</v>
      </c>
      <c r="C34" s="14">
        <v>0</v>
      </c>
      <c r="D34" s="14">
        <v>0</v>
      </c>
      <c r="E34" s="14">
        <v>0</v>
      </c>
      <c r="F34" s="14">
        <v>0</v>
      </c>
      <c r="G34" s="15">
        <v>0</v>
      </c>
      <c r="H34" s="12">
        <v>-0.12</v>
      </c>
      <c r="I34" s="36">
        <v>0.35</v>
      </c>
      <c r="J34" s="36">
        <v>0.84</v>
      </c>
      <c r="K34" s="36">
        <v>1.28</v>
      </c>
      <c r="L34" s="36">
        <v>1.06</v>
      </c>
      <c r="M34" s="32">
        <v>-0.03</v>
      </c>
    </row>
    <row r="35" spans="1:13" x14ac:dyDescent="0.25">
      <c r="A35" s="31" t="s">
        <v>59</v>
      </c>
      <c r="B35" s="14">
        <v>0</v>
      </c>
      <c r="C35" s="14">
        <v>0</v>
      </c>
      <c r="D35" s="14">
        <v>0</v>
      </c>
      <c r="E35" s="14">
        <v>0</v>
      </c>
      <c r="F35" s="14">
        <v>0</v>
      </c>
      <c r="G35" s="15">
        <v>0</v>
      </c>
      <c r="H35" s="12">
        <v>-7.0000000000000007E-2</v>
      </c>
      <c r="I35" s="36">
        <v>0.11</v>
      </c>
      <c r="J35" s="36">
        <v>0.12</v>
      </c>
      <c r="K35" s="36">
        <v>0.1</v>
      </c>
      <c r="L35" s="36">
        <v>-0.03</v>
      </c>
      <c r="M35" s="32">
        <v>0</v>
      </c>
    </row>
    <row r="36" spans="1:13" x14ac:dyDescent="0.25">
      <c r="A36" s="31" t="s">
        <v>70</v>
      </c>
      <c r="B36" s="14">
        <v>0</v>
      </c>
      <c r="C36" s="14">
        <v>0</v>
      </c>
      <c r="D36" s="14">
        <v>0</v>
      </c>
      <c r="E36" s="14">
        <v>0</v>
      </c>
      <c r="F36" s="14">
        <v>0</v>
      </c>
      <c r="G36" s="15">
        <v>0</v>
      </c>
      <c r="H36" s="12">
        <v>0.57999999999999996</v>
      </c>
      <c r="I36" s="36">
        <v>1.04</v>
      </c>
      <c r="J36" s="36">
        <v>1.46</v>
      </c>
      <c r="K36" s="36">
        <v>2.25</v>
      </c>
      <c r="L36" s="36">
        <v>3.26</v>
      </c>
      <c r="M36" s="32">
        <v>5.14</v>
      </c>
    </row>
    <row r="37" spans="1:13" x14ac:dyDescent="0.25">
      <c r="A37" s="31" t="s">
        <v>71</v>
      </c>
      <c r="B37" s="14">
        <v>0</v>
      </c>
      <c r="C37" s="14">
        <v>0</v>
      </c>
      <c r="D37" s="14">
        <v>0</v>
      </c>
      <c r="E37" s="14">
        <v>0</v>
      </c>
      <c r="F37" s="14">
        <v>0</v>
      </c>
      <c r="G37" s="15">
        <v>0</v>
      </c>
      <c r="H37" s="12">
        <v>0.41</v>
      </c>
      <c r="I37" s="36">
        <v>0.92</v>
      </c>
      <c r="J37" s="36">
        <v>1.45</v>
      </c>
      <c r="K37" s="36">
        <v>2.39</v>
      </c>
      <c r="L37" s="36">
        <v>3.42</v>
      </c>
      <c r="M37" s="32">
        <v>5.2</v>
      </c>
    </row>
    <row r="38" spans="1:13" x14ac:dyDescent="0.25">
      <c r="A38" s="31" t="s">
        <v>72</v>
      </c>
      <c r="B38" s="14">
        <v>0</v>
      </c>
      <c r="C38" s="14">
        <v>0</v>
      </c>
      <c r="D38" s="14">
        <v>0</v>
      </c>
      <c r="E38" s="14">
        <v>0</v>
      </c>
      <c r="F38" s="14">
        <v>0</v>
      </c>
      <c r="G38" s="15">
        <v>0</v>
      </c>
      <c r="H38" s="12">
        <v>0.05</v>
      </c>
      <c r="I38" s="36">
        <v>0.44</v>
      </c>
      <c r="J38" s="36">
        <v>0.92</v>
      </c>
      <c r="K38" s="36">
        <v>1.81</v>
      </c>
      <c r="L38" s="36">
        <v>2.95</v>
      </c>
      <c r="M38" s="32">
        <v>5.22</v>
      </c>
    </row>
    <row r="39" spans="1:13" x14ac:dyDescent="0.25">
      <c r="A39" s="31" t="s">
        <v>76</v>
      </c>
      <c r="B39" s="14">
        <v>0</v>
      </c>
      <c r="C39" s="14">
        <v>0</v>
      </c>
      <c r="D39" s="14">
        <v>0</v>
      </c>
      <c r="E39" s="14">
        <v>0</v>
      </c>
      <c r="F39" s="14">
        <v>0</v>
      </c>
      <c r="G39" s="15">
        <v>0</v>
      </c>
      <c r="H39" s="12">
        <v>0.67</v>
      </c>
      <c r="I39" s="36">
        <v>1.18</v>
      </c>
      <c r="J39" s="36">
        <v>1.66</v>
      </c>
      <c r="K39" s="36">
        <v>2.54</v>
      </c>
      <c r="L39" s="36">
        <v>3.5</v>
      </c>
      <c r="M39" s="32">
        <v>5.17</v>
      </c>
    </row>
    <row r="40" spans="1:13" x14ac:dyDescent="0.25">
      <c r="A40" s="31" t="s">
        <v>68</v>
      </c>
      <c r="B40" s="14">
        <v>0</v>
      </c>
      <c r="C40" s="14">
        <v>0</v>
      </c>
      <c r="D40" s="14">
        <v>0</v>
      </c>
      <c r="E40" s="14">
        <v>0</v>
      </c>
      <c r="F40" s="14">
        <v>0</v>
      </c>
      <c r="G40" s="15">
        <v>0</v>
      </c>
      <c r="H40" s="12">
        <v>1.18</v>
      </c>
      <c r="I40" s="36">
        <v>1.74</v>
      </c>
      <c r="J40" s="36">
        <v>2.19</v>
      </c>
      <c r="K40" s="36">
        <v>3.01</v>
      </c>
      <c r="L40" s="36">
        <v>3.91</v>
      </c>
      <c r="M40" s="32">
        <v>5.33</v>
      </c>
    </row>
    <row r="41" spans="1:13" x14ac:dyDescent="0.25">
      <c r="A41" s="31" t="s">
        <v>69</v>
      </c>
      <c r="B41" s="14">
        <v>0</v>
      </c>
      <c r="C41" s="14">
        <v>0</v>
      </c>
      <c r="D41" s="14">
        <v>0</v>
      </c>
      <c r="E41" s="14">
        <v>0</v>
      </c>
      <c r="F41" s="14">
        <v>0</v>
      </c>
      <c r="G41" s="15">
        <v>0</v>
      </c>
      <c r="H41" s="12">
        <v>1.74</v>
      </c>
      <c r="I41" s="36">
        <v>2.34</v>
      </c>
      <c r="J41" s="36">
        <v>2.66</v>
      </c>
      <c r="K41" s="36">
        <v>3.3</v>
      </c>
      <c r="L41" s="36">
        <v>4.09</v>
      </c>
      <c r="M41" s="32">
        <v>5.35</v>
      </c>
    </row>
    <row r="42" spans="1:13" x14ac:dyDescent="0.25">
      <c r="A42" s="31" t="s">
        <v>73</v>
      </c>
      <c r="B42" s="14">
        <v>0</v>
      </c>
      <c r="C42" s="14">
        <v>0</v>
      </c>
      <c r="D42" s="14">
        <v>0</v>
      </c>
      <c r="E42" s="14">
        <v>0</v>
      </c>
      <c r="F42" s="14">
        <v>0</v>
      </c>
      <c r="G42" s="15">
        <v>0</v>
      </c>
      <c r="H42" s="12">
        <v>0.52</v>
      </c>
      <c r="I42" s="36">
        <v>1.47</v>
      </c>
      <c r="J42" s="36">
        <v>2.3199999999999998</v>
      </c>
      <c r="K42" s="36">
        <v>3.69</v>
      </c>
      <c r="L42" s="36">
        <v>4.6399999999999997</v>
      </c>
      <c r="M42" s="32">
        <v>5.25</v>
      </c>
    </row>
    <row r="43" spans="1:13" x14ac:dyDescent="0.25">
      <c r="A43" s="31" t="s">
        <v>74</v>
      </c>
      <c r="B43" s="14">
        <v>0</v>
      </c>
      <c r="C43" s="14">
        <v>0</v>
      </c>
      <c r="D43" s="14">
        <v>0</v>
      </c>
      <c r="E43" s="14">
        <v>0</v>
      </c>
      <c r="F43" s="14">
        <v>0</v>
      </c>
      <c r="G43" s="15">
        <v>0</v>
      </c>
      <c r="H43" s="12">
        <v>0.47</v>
      </c>
      <c r="I43" s="36">
        <v>1.02</v>
      </c>
      <c r="J43" s="36">
        <v>1.39</v>
      </c>
      <c r="K43" s="36">
        <v>1.85</v>
      </c>
      <c r="L43" s="36">
        <v>1.65</v>
      </c>
      <c r="M43" s="32">
        <v>0.03</v>
      </c>
    </row>
    <row r="44" spans="1:13" x14ac:dyDescent="0.25">
      <c r="A44" s="31" t="s">
        <v>77</v>
      </c>
      <c r="B44" s="14">
        <v>0</v>
      </c>
      <c r="C44" s="14">
        <v>0</v>
      </c>
      <c r="D44" s="14">
        <v>0</v>
      </c>
      <c r="E44" s="14">
        <v>0</v>
      </c>
      <c r="F44" s="14">
        <v>0</v>
      </c>
      <c r="G44" s="15">
        <v>0</v>
      </c>
      <c r="H44" s="12">
        <v>24</v>
      </c>
      <c r="I44" s="36">
        <v>90</v>
      </c>
      <c r="J44" s="36">
        <v>160</v>
      </c>
      <c r="K44" s="36">
        <v>186</v>
      </c>
      <c r="L44" s="36">
        <v>98</v>
      </c>
      <c r="M44" s="32">
        <v>2</v>
      </c>
    </row>
    <row r="45" spans="1:13" x14ac:dyDescent="0.25">
      <c r="A45" s="31" t="s">
        <v>75</v>
      </c>
      <c r="B45" s="14">
        <v>0</v>
      </c>
      <c r="C45" s="14">
        <v>0</v>
      </c>
      <c r="D45" s="14">
        <v>0</v>
      </c>
      <c r="E45" s="14">
        <v>0</v>
      </c>
      <c r="F45" s="14">
        <v>0</v>
      </c>
      <c r="G45" s="15">
        <v>0</v>
      </c>
      <c r="H45" s="12">
        <v>-0.1</v>
      </c>
      <c r="I45" s="36">
        <v>-0.38</v>
      </c>
      <c r="J45" s="36">
        <v>-0.67</v>
      </c>
      <c r="K45" s="36">
        <v>-0.78</v>
      </c>
      <c r="L45" s="36">
        <v>-0.41</v>
      </c>
      <c r="M45" s="32">
        <v>-0.01</v>
      </c>
    </row>
    <row r="46" spans="1:13" x14ac:dyDescent="0.25">
      <c r="A46" s="31" t="s">
        <v>78</v>
      </c>
      <c r="B46" s="14">
        <v>0</v>
      </c>
      <c r="C46" s="14">
        <v>0</v>
      </c>
      <c r="D46" s="14">
        <v>0</v>
      </c>
      <c r="E46" s="14">
        <v>0</v>
      </c>
      <c r="F46" s="14">
        <v>0</v>
      </c>
      <c r="G46" s="15">
        <v>0</v>
      </c>
      <c r="H46" s="12">
        <v>0.09</v>
      </c>
      <c r="I46" s="36">
        <v>0.25</v>
      </c>
      <c r="J46" s="36">
        <v>0.21</v>
      </c>
      <c r="K46" s="36">
        <v>0.28000000000000003</v>
      </c>
      <c r="L46" s="36">
        <v>0.24</v>
      </c>
      <c r="M46" s="32">
        <v>0.04</v>
      </c>
    </row>
    <row r="47" spans="1:13" x14ac:dyDescent="0.25">
      <c r="A47" s="45" t="s">
        <v>79</v>
      </c>
      <c r="B47" s="14">
        <v>0</v>
      </c>
      <c r="C47" s="14">
        <v>0</v>
      </c>
      <c r="D47" s="14">
        <v>0</v>
      </c>
      <c r="E47" s="14">
        <v>0</v>
      </c>
      <c r="F47" s="14">
        <v>0</v>
      </c>
      <c r="G47" s="15">
        <v>0</v>
      </c>
      <c r="H47" s="12">
        <v>0.11</v>
      </c>
      <c r="I47" s="36">
        <v>0.28000000000000003</v>
      </c>
      <c r="J47" s="36">
        <v>0.44</v>
      </c>
      <c r="K47" s="36">
        <v>0.41</v>
      </c>
      <c r="L47" s="36">
        <v>0.16</v>
      </c>
      <c r="M47" s="32">
        <v>-0.28000000000000003</v>
      </c>
    </row>
    <row r="50" spans="1:1" x14ac:dyDescent="0.25">
      <c r="A50" s="67" t="str">
        <f>"0.00"</f>
        <v>0.00</v>
      </c>
    </row>
    <row r="51" spans="1:1" x14ac:dyDescent="0.25">
      <c r="A51" t="str">
        <f>"\textbf{"&amp;A29&amp;"} &amp; "&amp;TEXT(B29,formatResults)&amp;" &amp; "&amp;TEXT(C29,formatResults)&amp;" &amp; "&amp;TEXT(D29,formatResults)&amp;" &amp; "&amp;TEXT(E29,formatResults)&amp;" &amp; "&amp;TEXT(F29,formatResults)&amp;" &amp; "&amp;TEXT(G29,formatResults)&amp;" \\"</f>
        <v>\textbf{GDP in value} &amp; 0.00 &amp; 0.00 &amp; 0.00 &amp; 0.00 &amp; 0.00 &amp; 0.00 \\</v>
      </c>
    </row>
    <row r="52" spans="1:1" x14ac:dyDescent="0.25">
      <c r="A52" t="str">
        <f>"\textbf{"&amp;A30&amp;"} &amp; "&amp;TEXT(B30,formatResults)&amp;" &amp; "&amp;TEXT(C30,formatResults)&amp;" &amp; "&amp;TEXT(D30,formatResults)&amp;" &amp; "&amp;TEXT(E30,formatResults)&amp;" &amp; "&amp;TEXT(F30,formatResults)&amp;" &amp; "&amp;TEXT(G30,formatResults)&amp;" \\"</f>
        <v>\textbf{Household consumption} &amp; 0.00 &amp; 0.00 &amp; 0.00 &amp; 0.00 &amp; 0.00 &amp; 0.00 \\</v>
      </c>
    </row>
    <row r="53" spans="1:1" x14ac:dyDescent="0.25">
      <c r="A53" t="str">
        <f>"\textbf{"&amp;A31&amp;"} &amp; "&amp;TEXT(B31,formatResults)&amp;" &amp; "&amp;TEXT(C31,formatResults)&amp;" &amp; "&amp;TEXT(D31,formatResults)&amp;" &amp; "&amp;TEXT(E31,formatResults)&amp;" &amp; "&amp;TEXT(F31,formatResults)&amp;" &amp; "&amp;TEXT(G31,formatResults)&amp;" \\"</f>
        <v>\textbf{Investment} &amp; 0.00 &amp; 0.00 &amp; 0.00 &amp; 0.00 &amp; 0.00 &amp; 0.00 \\</v>
      </c>
    </row>
    <row r="54" spans="1:1" x14ac:dyDescent="0.25">
      <c r="A54" t="str">
        <f>"\textbf{"&amp;A32&amp;"} &amp; "&amp;TEXT(B32,formatResults)&amp;" &amp; "&amp;TEXT(C32,formatResults)&amp;" &amp; "&amp;TEXT(D32,formatResults)&amp;" &amp; "&amp;TEXT(E32,formatResults)&amp;" &amp; "&amp;TEXT(F32,formatResults)&amp;" &amp; "&amp;TEXT(G32,formatResults)&amp;" \\"</f>
        <v>\textbf{Exports} &amp; 0.00 &amp; 0.00 &amp; 0.00 &amp; 0.00 &amp; 0.00 &amp; 0.00 \\</v>
      </c>
    </row>
    <row r="55" spans="1:1" x14ac:dyDescent="0.25">
      <c r="A55" t="str">
        <f>"\textbf{"&amp;A33&amp;"} &amp; "&amp;TEXT(B33,formatResults)&amp;" &amp; "&amp;TEXT(C33,formatResults)&amp;" &amp; "&amp;TEXT(D33,formatResults)&amp;" &amp; "&amp;TEXT(E33,formatResults)&amp;" &amp; "&amp;TEXT(F33,formatResults)&amp;" &amp; "&amp;TEXT(G33,formatResults)&amp;" \\"</f>
        <v>\textbf{Imports} &amp; 0.00 &amp; 0.00 &amp; 0.00 &amp; 0.00 &amp; 0.00 &amp; 0.00 \\</v>
      </c>
    </row>
    <row r="56" spans="1:1" x14ac:dyDescent="0.25">
      <c r="A56" t="str">
        <f>"\textbf{"&amp;A34&amp;"} &amp; "&amp;TEXT(B34,formatResults)&amp;" &amp; "&amp;TEXT(C34,formatResults)&amp;" &amp; "&amp;TEXT(D34,formatResults)&amp;" &amp; "&amp;TEXT(E34,formatResults)&amp;" &amp; "&amp;TEXT(F34,formatResults)&amp;" &amp; "&amp;TEXT(G34,formatResults)&amp;" \\"</f>
        <v>\textbf{Household disposable income } &amp; 0.00 &amp; 0.00 &amp; 0.00 &amp; 0.00 &amp; 0.00 &amp; 0.00 \\</v>
      </c>
    </row>
    <row r="57" spans="1:1" x14ac:dyDescent="0.25">
      <c r="A57" t="str">
        <f>"\textbf{"&amp;A35&amp;"} &amp; "&amp;TEXT(B35,formatResults)&amp;" &amp; "&amp;TEXT(C35,formatResults)&amp;" &amp; "&amp;TEXT(D35,formatResults)&amp;" &amp; "&amp;TEXT(E35,formatResults)&amp;" &amp; "&amp;TEXT(F35,formatResults)&amp;" &amp; "&amp;TEXT(G35,formatResults)&amp;" \\"</f>
        <v>\textbf{Saving rate} &amp; 0.00 &amp; 0.00 &amp; 0.00 &amp; 0.00 &amp; 0.00 &amp; 0.00 \\</v>
      </c>
    </row>
    <row r="58" spans="1:1" x14ac:dyDescent="0.25">
      <c r="A58" t="str">
        <f>"\textbf{"&amp;A36&amp;"} &amp; "&amp;TEXT(B36,formatResults)&amp;" &amp; "&amp;TEXT(C36,formatResults)&amp;" &amp; "&amp;TEXT(D36,formatResults)&amp;" &amp; "&amp;TEXT(E36,formatResults)&amp;" &amp; "&amp;TEXT(F36,formatResults)&amp;" &amp; "&amp;TEXT(G36,formatResults)&amp;" \\"</f>
        <v>\textbf{Household consumption price index} &amp; 0.00 &amp; 0.00 &amp; 0.00 &amp; 0.00 &amp; 0.00 &amp; 0.00 \\</v>
      </c>
    </row>
    <row r="59" spans="1:1" x14ac:dyDescent="0.25">
      <c r="A59" t="str">
        <f>"\textbf{"&amp;A37&amp;"} &amp; "&amp;TEXT(B37,formatResults)&amp;" &amp; "&amp;TEXT(C37,formatResults)&amp;" &amp; "&amp;TEXT(D37,formatResults)&amp;" &amp; "&amp;TEXT(E37,formatResults)&amp;" &amp; "&amp;TEXT(F37,formatResults)&amp;" &amp; "&amp;TEXT(G37,formatResults)&amp;" \\"</f>
        <v>\textbf{Production price index} &amp; 0.00 &amp; 0.00 &amp; 0.00 &amp; 0.00 &amp; 0.00 &amp; 0.00 \\</v>
      </c>
    </row>
    <row r="60" spans="1:1" x14ac:dyDescent="0.25">
      <c r="A60" t="str">
        <f>"\textbf{"&amp;A38&amp;"} &amp; "&amp;TEXT(B38,formatResults)&amp;" &amp; "&amp;TEXT(C38,formatResults)&amp;" &amp; "&amp;TEXT(D38,formatResults)&amp;" &amp; "&amp;TEXT(E38,formatResults)&amp;" &amp; "&amp;TEXT(F38,formatResults)&amp;" &amp; "&amp;TEXT(G38,formatResults)&amp;" \\"</f>
        <v>\textbf{Added value price index} &amp; 0.00 &amp; 0.00 &amp; 0.00 &amp; 0.00 &amp; 0.00 &amp; 0.00 \\</v>
      </c>
    </row>
    <row r="61" spans="1:1" x14ac:dyDescent="0.25">
      <c r="A61" t="str">
        <f>"\textbf{"&amp;A39&amp;"} &amp; "&amp;TEXT(B39,formatResults)&amp;" &amp; "&amp;TEXT(C39,formatResults)&amp;" &amp; "&amp;TEXT(D39,formatResults)&amp;" &amp; "&amp;TEXT(E39,formatResults)&amp;" &amp; "&amp;TEXT(F39,formatResults)&amp;" &amp; "&amp;TEXT(G39,formatResults)&amp;" \\"</f>
        <v>\textbf{Intermediate consumption price index} &amp; 0.00 &amp; 0.00 &amp; 0.00 &amp; 0.00 &amp; 0.00 &amp; 0.00 \\</v>
      </c>
    </row>
    <row r="62" spans="1:1" x14ac:dyDescent="0.25">
      <c r="A62" t="str">
        <f>"\textbf{"&amp;A40&amp;"} &amp; "&amp;TEXT(B40,formatResults)&amp;" &amp; "&amp;TEXT(C40,formatResults)&amp;" &amp; "&amp;TEXT(D40,formatResults)&amp;" &amp; "&amp;TEXT(E40,formatResults)&amp;" &amp; "&amp;TEXT(F40,formatResults)&amp;" &amp; "&amp;TEXT(G40,formatResults)&amp;" \\"</f>
        <v>\textbf{Export price index} &amp; 0.00 &amp; 0.00 &amp; 0.00 &amp; 0.00 &amp; 0.00 &amp; 0.00 \\</v>
      </c>
    </row>
    <row r="63" spans="1:1" x14ac:dyDescent="0.25">
      <c r="A63" t="str">
        <f>"\textbf{"&amp;A41&amp;"} &amp; "&amp;TEXT(B41,formatResults)&amp;" &amp; "&amp;TEXT(C41,formatResults)&amp;" &amp; "&amp;TEXT(D41,formatResults)&amp;" &amp; "&amp;TEXT(E41,formatResults)&amp;" &amp; "&amp;TEXT(F41,formatResults)&amp;" &amp; "&amp;TEXT(G41,formatResults)&amp;" \\"</f>
        <v>\textbf{Import price index} &amp; 0.00 &amp; 0.00 &amp; 0.00 &amp; 0.00 &amp; 0.00 &amp; 0.00 \\</v>
      </c>
    </row>
    <row r="64" spans="1:1" x14ac:dyDescent="0.25">
      <c r="A64" t="str">
        <f>"\textbf{"&amp;A42&amp;"} &amp; "&amp;TEXT(B42,formatResults)&amp;" &amp; "&amp;TEXT(C42,formatResults)&amp;" &amp; "&amp;TEXT(D42,formatResults)&amp;" &amp; "&amp;TEXT(E42,formatResults)&amp;" &amp; "&amp;TEXT(F42,formatResults)&amp;" &amp; "&amp;TEXT(G42,formatResults)&amp;" \\"</f>
        <v>\textbf{Gross nominal wage} &amp; 0.00 &amp; 0.00 &amp; 0.00 &amp; 0.00 &amp; 0.00 &amp; 0.00 \\</v>
      </c>
    </row>
    <row r="65" spans="1:1" x14ac:dyDescent="0.25">
      <c r="A65" t="str">
        <f>"\textbf{"&amp;A43&amp;"} &amp; "&amp;TEXT(B43,formatResults)&amp;" &amp; "&amp;TEXT(C43,formatResults)&amp;" &amp; "&amp;TEXT(D43,formatResults)&amp;" &amp; "&amp;TEXT(E43,formatResults)&amp;" &amp; "&amp;TEXT(F43,formatResults)&amp;" &amp; "&amp;TEXT(G43,formatResults)&amp;" \\"</f>
        <v>\textbf{Real cost of labor} &amp; 0.00 &amp; 0.00 &amp; 0.00 &amp; 0.00 &amp; 0.00 &amp; 0.00 \\</v>
      </c>
    </row>
    <row r="66" spans="1:1" x14ac:dyDescent="0.25">
      <c r="A66" t="str">
        <f>"\textbf{"&amp;A44&amp;"} &amp; "&amp;TEXT(B44,formatResults)&amp;" &amp; "&amp;TEXT(C44,formatResults)&amp;" &amp; "&amp;TEXT(D44,formatResults)&amp;" &amp; "&amp;TEXT(E44,formatResults)&amp;" &amp; "&amp;TEXT(F44,formatResults)&amp;" &amp; "&amp;TEXT(G44,formatResults)&amp;" \\"</f>
        <v>\textbf{Wage employment (in thousands)} &amp; 0.00 &amp; 0.00 &amp; 0.00 &amp; 0.00 &amp; 0.00 &amp; 0.00 \\</v>
      </c>
    </row>
    <row r="67" spans="1:1" x14ac:dyDescent="0.25">
      <c r="A67" t="str">
        <f>"\textbf{"&amp;A45&amp;"} &amp; "&amp;TEXT(B45,formatResults)&amp;" &amp; "&amp;TEXT(C45,formatResults)&amp;" &amp; "&amp;TEXT(D45,formatResults)&amp;" &amp; "&amp;TEXT(E45,formatResults)&amp;" &amp; "&amp;TEXT(F45,formatResults)&amp;" &amp; "&amp;TEXT(G45,formatResults)&amp;" \\"</f>
        <v>\textbf{Unemployment rate} &amp; 0.00 &amp; 0.00 &amp; 0.00 &amp; 0.00 &amp; 0.00 &amp; 0.00 \\</v>
      </c>
    </row>
    <row r="68" spans="1:1" x14ac:dyDescent="0.25">
      <c r="A68" t="str">
        <f>"\textbf{"&amp;A46&amp;"} &amp; "&amp;TEXT(B46,formatResults)&amp;" &amp; "&amp;TEXT(C46,formatResults)&amp;" &amp; "&amp;TEXT(D46,formatResults)&amp;" &amp; "&amp;TEXT(E46,formatResults)&amp;" &amp; "&amp;TEXT(F46,formatResults)&amp;" &amp; "&amp;TEXT(G46,formatResults)&amp;" \\"</f>
        <v>\textbf{Trade balance (in points of GDP)} &amp; 0.00 &amp; 0.00 &amp; 0.00 &amp; 0.00 &amp; 0.00 &amp; 0.00 \\</v>
      </c>
    </row>
    <row r="69" spans="1:1" x14ac:dyDescent="0.25">
      <c r="A69" t="str">
        <f>"\textbf{"&amp;A47&amp;"} &amp; "&amp;TEXT(B47,formatResults)&amp;" &amp; "&amp;TEXT(C47,formatResults)&amp;" &amp; "&amp;TEXT(D47,formatResults)&amp;" &amp; "&amp;TEXT(E47,formatResults)&amp;" &amp; "&amp;TEXT(F47,formatResults)&amp;" &amp; "&amp;TEXT(G47,formatResults)&amp;" \\"</f>
        <v>\textbf{Public budget balance (in points of GDP)} &amp; 0.00 &amp; 0.00 &amp; 0.00 &amp; 0.00 &amp; 0.00 &amp; 0.00 \\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M69"/>
  <sheetViews>
    <sheetView showGridLines="0" topLeftCell="A37" workbookViewId="0">
      <selection activeCell="A67" sqref="A67"/>
    </sheetView>
  </sheetViews>
  <sheetFormatPr baseColWidth="10" defaultColWidth="11" defaultRowHeight="15.75" x14ac:dyDescent="0.25"/>
  <cols>
    <col min="1" max="1" width="33.625" customWidth="1"/>
  </cols>
  <sheetData>
    <row r="1" spans="1:13" ht="30" customHeight="1" x14ac:dyDescent="0.25">
      <c r="A1" s="35" t="s">
        <v>30</v>
      </c>
      <c r="B1" s="58" t="s">
        <v>88</v>
      </c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</row>
    <row r="2" spans="1:13" x14ac:dyDescent="0.25">
      <c r="A2" s="16"/>
      <c r="B2" s="52" t="s">
        <v>47</v>
      </c>
      <c r="C2" s="53"/>
      <c r="D2" s="53"/>
      <c r="E2" s="53"/>
      <c r="F2" s="53"/>
      <c r="G2" s="54"/>
      <c r="H2" s="55" t="s">
        <v>46</v>
      </c>
      <c r="I2" s="56"/>
      <c r="J2" s="56"/>
      <c r="K2" s="56"/>
      <c r="L2" s="56"/>
      <c r="M2" s="57"/>
    </row>
    <row r="3" spans="1:13" x14ac:dyDescent="0.25">
      <c r="A3" s="22"/>
      <c r="B3" s="23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18" t="s">
        <v>6</v>
      </c>
      <c r="B4" s="20">
        <f t="array" ref="B4:G22">TRANSPOSE(EXPG1!$B$3:$T$8)</f>
        <v>0</v>
      </c>
      <c r="C4" s="19">
        <v>0</v>
      </c>
      <c r="D4" s="19">
        <v>0</v>
      </c>
      <c r="E4" s="19">
        <v>0</v>
      </c>
      <c r="F4" s="19">
        <v>0</v>
      </c>
      <c r="G4" s="21">
        <v>0</v>
      </c>
      <c r="H4" s="13">
        <v>0.78</v>
      </c>
      <c r="I4" s="13">
        <v>1.06</v>
      </c>
      <c r="J4" s="13">
        <v>1.03</v>
      </c>
      <c r="K4" s="13">
        <v>0.86</v>
      </c>
      <c r="L4" s="13">
        <v>0.53</v>
      </c>
      <c r="M4" s="32">
        <v>0.16</v>
      </c>
    </row>
    <row r="5" spans="1:13" x14ac:dyDescent="0.25">
      <c r="A5" s="18" t="s">
        <v>8</v>
      </c>
      <c r="B5" s="20">
        <v>0</v>
      </c>
      <c r="C5" s="19">
        <v>0</v>
      </c>
      <c r="D5" s="19">
        <v>0</v>
      </c>
      <c r="E5" s="19">
        <v>0</v>
      </c>
      <c r="F5" s="19">
        <v>0</v>
      </c>
      <c r="G5" s="21">
        <v>0</v>
      </c>
      <c r="H5" s="13">
        <v>0.69</v>
      </c>
      <c r="I5" s="13">
        <v>1.35</v>
      </c>
      <c r="J5" s="13">
        <v>1.64</v>
      </c>
      <c r="K5" s="13">
        <v>1.85</v>
      </c>
      <c r="L5" s="13">
        <v>1.63</v>
      </c>
      <c r="M5" s="32">
        <v>1.1499999999999999</v>
      </c>
    </row>
    <row r="6" spans="1:13" x14ac:dyDescent="0.25">
      <c r="A6" s="18" t="s">
        <v>9</v>
      </c>
      <c r="B6" s="20">
        <v>0</v>
      </c>
      <c r="C6" s="19">
        <v>0</v>
      </c>
      <c r="D6" s="19">
        <v>0</v>
      </c>
      <c r="E6" s="19">
        <v>0</v>
      </c>
      <c r="F6" s="19">
        <v>0</v>
      </c>
      <c r="G6" s="21">
        <v>0</v>
      </c>
      <c r="H6" s="13">
        <v>1.24</v>
      </c>
      <c r="I6" s="13">
        <v>1.96</v>
      </c>
      <c r="J6" s="13">
        <v>1.83</v>
      </c>
      <c r="K6" s="13">
        <v>1.29</v>
      </c>
      <c r="L6" s="13">
        <v>0.76</v>
      </c>
      <c r="M6" s="32">
        <v>0.47</v>
      </c>
    </row>
    <row r="7" spans="1:13" x14ac:dyDescent="0.25">
      <c r="A7" s="18" t="s">
        <v>11</v>
      </c>
      <c r="B7" s="20">
        <v>0</v>
      </c>
      <c r="C7" s="19">
        <v>0</v>
      </c>
      <c r="D7" s="19">
        <v>0</v>
      </c>
      <c r="E7" s="19">
        <v>0</v>
      </c>
      <c r="F7" s="19">
        <v>0</v>
      </c>
      <c r="G7" s="21">
        <v>0</v>
      </c>
      <c r="H7" s="13">
        <v>0</v>
      </c>
      <c r="I7" s="13">
        <v>-0.16</v>
      </c>
      <c r="J7" s="13">
        <v>-0.38</v>
      </c>
      <c r="K7" s="13">
        <v>-0.78</v>
      </c>
      <c r="L7" s="13">
        <v>-1.27</v>
      </c>
      <c r="M7" s="32">
        <v>-1.73</v>
      </c>
    </row>
    <row r="8" spans="1:13" x14ac:dyDescent="0.25">
      <c r="A8" s="18" t="s">
        <v>12</v>
      </c>
      <c r="B8" s="20">
        <v>0</v>
      </c>
      <c r="C8" s="19">
        <v>0</v>
      </c>
      <c r="D8" s="19">
        <v>0</v>
      </c>
      <c r="E8" s="19">
        <v>0</v>
      </c>
      <c r="F8" s="19">
        <v>0</v>
      </c>
      <c r="G8" s="21">
        <v>0</v>
      </c>
      <c r="H8" s="13">
        <v>0.98</v>
      </c>
      <c r="I8" s="13">
        <v>1.51</v>
      </c>
      <c r="J8" s="13">
        <v>1.45</v>
      </c>
      <c r="K8" s="13">
        <v>1.33</v>
      </c>
      <c r="L8" s="13">
        <v>1.1599999999999999</v>
      </c>
      <c r="M8" s="32">
        <v>1.03</v>
      </c>
    </row>
    <row r="9" spans="1:13" x14ac:dyDescent="0.25">
      <c r="A9" s="18" t="s">
        <v>32</v>
      </c>
      <c r="B9" s="20">
        <v>0</v>
      </c>
      <c r="C9" s="19">
        <v>0</v>
      </c>
      <c r="D9" s="19">
        <v>0</v>
      </c>
      <c r="E9" s="19">
        <v>0</v>
      </c>
      <c r="F9" s="19">
        <v>0</v>
      </c>
      <c r="G9" s="21">
        <v>0</v>
      </c>
      <c r="H9" s="13">
        <v>1.22</v>
      </c>
      <c r="I9" s="13">
        <v>1.57</v>
      </c>
      <c r="J9" s="13">
        <v>1.82</v>
      </c>
      <c r="K9" s="13">
        <v>1.98</v>
      </c>
      <c r="L9" s="13">
        <v>1.58</v>
      </c>
      <c r="M9" s="32">
        <v>1.1499999999999999</v>
      </c>
    </row>
    <row r="10" spans="1:13" x14ac:dyDescent="0.25">
      <c r="A10" s="18" t="s">
        <v>33</v>
      </c>
      <c r="B10" s="20">
        <v>0</v>
      </c>
      <c r="C10" s="19">
        <v>0</v>
      </c>
      <c r="D10" s="19">
        <v>0</v>
      </c>
      <c r="E10" s="19">
        <v>0</v>
      </c>
      <c r="F10" s="19">
        <v>0</v>
      </c>
      <c r="G10" s="21">
        <v>0</v>
      </c>
      <c r="H10" s="13">
        <v>0.46</v>
      </c>
      <c r="I10" s="13">
        <v>0.19</v>
      </c>
      <c r="J10" s="13">
        <v>0.15</v>
      </c>
      <c r="K10" s="13">
        <v>0.11</v>
      </c>
      <c r="L10" s="13">
        <v>-0.04</v>
      </c>
      <c r="M10" s="32">
        <v>0</v>
      </c>
    </row>
    <row r="11" spans="1:13" x14ac:dyDescent="0.25">
      <c r="A11" s="18" t="s">
        <v>34</v>
      </c>
      <c r="B11" s="20">
        <v>0</v>
      </c>
      <c r="C11" s="19">
        <v>0</v>
      </c>
      <c r="D11" s="19">
        <v>0</v>
      </c>
      <c r="E11" s="19">
        <v>0</v>
      </c>
      <c r="F11" s="19">
        <v>0</v>
      </c>
      <c r="G11" s="21">
        <v>0</v>
      </c>
      <c r="H11" s="13">
        <v>0.2</v>
      </c>
      <c r="I11" s="13">
        <v>0.57999999999999996</v>
      </c>
      <c r="J11" s="13">
        <v>0.94</v>
      </c>
      <c r="K11" s="13">
        <v>1.42</v>
      </c>
      <c r="L11" s="13">
        <v>1.88</v>
      </c>
      <c r="M11" s="32">
        <v>2.69</v>
      </c>
    </row>
    <row r="12" spans="1:13" x14ac:dyDescent="0.25">
      <c r="A12" s="18" t="s">
        <v>35</v>
      </c>
      <c r="B12" s="20">
        <v>0</v>
      </c>
      <c r="C12" s="19">
        <v>0</v>
      </c>
      <c r="D12" s="19">
        <v>0</v>
      </c>
      <c r="E12" s="19">
        <v>0</v>
      </c>
      <c r="F12" s="19">
        <v>0</v>
      </c>
      <c r="G12" s="21">
        <v>0</v>
      </c>
      <c r="H12" s="13">
        <v>0.32</v>
      </c>
      <c r="I12" s="13">
        <v>0.77</v>
      </c>
      <c r="J12" s="13">
        <v>1.21</v>
      </c>
      <c r="K12" s="13">
        <v>1.76</v>
      </c>
      <c r="L12" s="13">
        <v>2.17</v>
      </c>
      <c r="M12" s="32">
        <v>2.95</v>
      </c>
    </row>
    <row r="13" spans="1:13" x14ac:dyDescent="0.25">
      <c r="A13" s="18" t="s">
        <v>36</v>
      </c>
      <c r="B13" s="20">
        <v>0</v>
      </c>
      <c r="C13" s="19">
        <v>0</v>
      </c>
      <c r="D13" s="19">
        <v>0</v>
      </c>
      <c r="E13" s="19">
        <v>0</v>
      </c>
      <c r="F13" s="19">
        <v>0</v>
      </c>
      <c r="G13" s="21">
        <v>0</v>
      </c>
      <c r="H13" s="13">
        <v>0.15</v>
      </c>
      <c r="I13" s="13">
        <v>0.59</v>
      </c>
      <c r="J13" s="13">
        <v>0.99</v>
      </c>
      <c r="K13" s="13">
        <v>1.51</v>
      </c>
      <c r="L13" s="13">
        <v>2.0299999999999998</v>
      </c>
      <c r="M13" s="32">
        <v>3.04</v>
      </c>
    </row>
    <row r="14" spans="1:13" x14ac:dyDescent="0.25">
      <c r="A14" s="18" t="s">
        <v>37</v>
      </c>
      <c r="B14" s="20">
        <v>0</v>
      </c>
      <c r="C14" s="19">
        <v>0</v>
      </c>
      <c r="D14" s="19">
        <v>0</v>
      </c>
      <c r="E14" s="19">
        <v>0</v>
      </c>
      <c r="F14" s="19">
        <v>0</v>
      </c>
      <c r="G14" s="21">
        <v>0</v>
      </c>
      <c r="H14" s="13">
        <v>0.16</v>
      </c>
      <c r="I14" s="13">
        <v>0.55000000000000004</v>
      </c>
      <c r="J14" s="13">
        <v>0.96</v>
      </c>
      <c r="K14" s="13">
        <v>1.47</v>
      </c>
      <c r="L14" s="13">
        <v>1.88</v>
      </c>
      <c r="M14" s="32">
        <v>2.59</v>
      </c>
    </row>
    <row r="15" spans="1:13" x14ac:dyDescent="0.25">
      <c r="A15" s="18" t="s">
        <v>38</v>
      </c>
      <c r="B15" s="20">
        <v>0</v>
      </c>
      <c r="C15" s="19">
        <v>0</v>
      </c>
      <c r="D15" s="19">
        <v>0</v>
      </c>
      <c r="E15" s="19">
        <v>0</v>
      </c>
      <c r="F15" s="19">
        <v>0</v>
      </c>
      <c r="G15" s="21">
        <v>0</v>
      </c>
      <c r="H15" s="13">
        <v>0.08</v>
      </c>
      <c r="I15" s="13">
        <v>0.37</v>
      </c>
      <c r="J15" s="13">
        <v>0.7</v>
      </c>
      <c r="K15" s="13">
        <v>1.1599999999999999</v>
      </c>
      <c r="L15" s="13">
        <v>1.58</v>
      </c>
      <c r="M15" s="32">
        <v>2.09</v>
      </c>
    </row>
    <row r="16" spans="1:13" x14ac:dyDescent="0.25">
      <c r="A16" s="18" t="s">
        <v>39</v>
      </c>
      <c r="B16" s="20">
        <v>0</v>
      </c>
      <c r="C16" s="19">
        <v>0</v>
      </c>
      <c r="D16" s="19">
        <v>0</v>
      </c>
      <c r="E16" s="19">
        <v>0</v>
      </c>
      <c r="F16" s="19">
        <v>0</v>
      </c>
      <c r="G16" s="21">
        <v>0</v>
      </c>
      <c r="H16" s="13">
        <v>0.13</v>
      </c>
      <c r="I16" s="13">
        <v>0.41</v>
      </c>
      <c r="J16" s="13">
        <v>0.7</v>
      </c>
      <c r="K16" s="13">
        <v>1.1299999999999999</v>
      </c>
      <c r="L16" s="13">
        <v>1.52</v>
      </c>
      <c r="M16" s="32">
        <v>1.96</v>
      </c>
    </row>
    <row r="17" spans="1:13" x14ac:dyDescent="0.25">
      <c r="A17" s="18" t="s">
        <v>40</v>
      </c>
      <c r="B17" s="20">
        <v>0</v>
      </c>
      <c r="C17" s="19">
        <v>0</v>
      </c>
      <c r="D17" s="19">
        <v>0</v>
      </c>
      <c r="E17" s="19">
        <v>0</v>
      </c>
      <c r="F17" s="19">
        <v>0</v>
      </c>
      <c r="G17" s="21">
        <v>0</v>
      </c>
      <c r="H17" s="13">
        <v>0.52</v>
      </c>
      <c r="I17" s="13">
        <v>1.34</v>
      </c>
      <c r="J17" s="13">
        <v>2.0299999999999998</v>
      </c>
      <c r="K17" s="13">
        <v>2.85</v>
      </c>
      <c r="L17" s="13">
        <v>2.89</v>
      </c>
      <c r="M17" s="32">
        <v>3.21</v>
      </c>
    </row>
    <row r="18" spans="1:13" x14ac:dyDescent="0.25">
      <c r="A18" s="18" t="s">
        <v>16</v>
      </c>
      <c r="B18" s="20">
        <v>0</v>
      </c>
      <c r="C18" s="19">
        <v>0</v>
      </c>
      <c r="D18" s="19">
        <v>0</v>
      </c>
      <c r="E18" s="19">
        <v>0</v>
      </c>
      <c r="F18" s="19">
        <v>0</v>
      </c>
      <c r="G18" s="21">
        <v>0</v>
      </c>
      <c r="H18" s="13">
        <v>0.37</v>
      </c>
      <c r="I18" s="13">
        <v>0.75</v>
      </c>
      <c r="J18" s="13">
        <v>1.03</v>
      </c>
      <c r="K18" s="13">
        <v>1.33</v>
      </c>
      <c r="L18" s="13">
        <v>0.84</v>
      </c>
      <c r="M18" s="32">
        <v>0.16</v>
      </c>
    </row>
    <row r="19" spans="1:13" x14ac:dyDescent="0.25">
      <c r="A19" s="18" t="s">
        <v>41</v>
      </c>
      <c r="B19" s="20">
        <v>0</v>
      </c>
      <c r="C19" s="19">
        <v>0</v>
      </c>
      <c r="D19" s="19">
        <v>0</v>
      </c>
      <c r="E19" s="19">
        <v>0</v>
      </c>
      <c r="F19" s="19">
        <v>0</v>
      </c>
      <c r="G19" s="21">
        <v>0</v>
      </c>
      <c r="H19" s="13">
        <v>33</v>
      </c>
      <c r="I19" s="13">
        <v>94</v>
      </c>
      <c r="J19" s="13">
        <v>107</v>
      </c>
      <c r="K19" s="13">
        <v>44</v>
      </c>
      <c r="L19" s="13">
        <v>-8</v>
      </c>
      <c r="M19" s="32">
        <v>-42</v>
      </c>
    </row>
    <row r="20" spans="1:13" x14ac:dyDescent="0.25">
      <c r="A20" s="18" t="s">
        <v>42</v>
      </c>
      <c r="B20" s="20">
        <v>0</v>
      </c>
      <c r="C20" s="19">
        <v>0</v>
      </c>
      <c r="D20" s="19">
        <v>0</v>
      </c>
      <c r="E20" s="19">
        <v>0</v>
      </c>
      <c r="F20" s="19">
        <v>0</v>
      </c>
      <c r="G20" s="21">
        <v>0</v>
      </c>
      <c r="H20" s="13">
        <v>-0.36</v>
      </c>
      <c r="I20" s="13">
        <v>-0.61</v>
      </c>
      <c r="J20" s="13">
        <v>-0.67</v>
      </c>
      <c r="K20" s="13">
        <v>-0.41</v>
      </c>
      <c r="L20" s="13">
        <v>-0.19</v>
      </c>
      <c r="M20" s="32">
        <v>-0.05</v>
      </c>
    </row>
    <row r="21" spans="1:13" x14ac:dyDescent="0.25">
      <c r="A21" s="18" t="s">
        <v>43</v>
      </c>
      <c r="B21" s="20">
        <v>0</v>
      </c>
      <c r="C21" s="19">
        <v>0</v>
      </c>
      <c r="D21" s="19">
        <v>0</v>
      </c>
      <c r="E21" s="19">
        <v>0</v>
      </c>
      <c r="F21" s="19">
        <v>0</v>
      </c>
      <c r="G21" s="21">
        <v>0</v>
      </c>
      <c r="H21" s="13">
        <v>-0.3</v>
      </c>
      <c r="I21" s="13">
        <v>-0.5</v>
      </c>
      <c r="J21" s="13">
        <v>-0.54</v>
      </c>
      <c r="K21" s="13">
        <v>-0.62</v>
      </c>
      <c r="L21" s="13">
        <v>-0.71</v>
      </c>
      <c r="M21" s="32">
        <v>-0.79</v>
      </c>
    </row>
    <row r="22" spans="1:13" x14ac:dyDescent="0.25">
      <c r="A22" s="18" t="s">
        <v>44</v>
      </c>
      <c r="B22" s="20">
        <v>0</v>
      </c>
      <c r="C22" s="19">
        <v>0</v>
      </c>
      <c r="D22" s="19">
        <v>0</v>
      </c>
      <c r="E22" s="19">
        <v>0</v>
      </c>
      <c r="F22" s="19">
        <v>0</v>
      </c>
      <c r="G22" s="21">
        <v>0</v>
      </c>
      <c r="H22" s="13">
        <v>-0.53</v>
      </c>
      <c r="I22" s="13">
        <v>-0.32</v>
      </c>
      <c r="J22" s="13">
        <v>-0.35</v>
      </c>
      <c r="K22" s="13">
        <v>-0.54</v>
      </c>
      <c r="L22" s="13">
        <v>-0.68</v>
      </c>
      <c r="M22" s="32">
        <v>-0.85</v>
      </c>
    </row>
    <row r="23" spans="1:13" x14ac:dyDescent="0.25">
      <c r="A23" s="8"/>
      <c r="B23" s="8"/>
      <c r="C23" s="8"/>
      <c r="D23" s="8"/>
      <c r="E23" s="8"/>
      <c r="F23" s="8"/>
      <c r="G23" s="8"/>
    </row>
    <row r="24" spans="1:13" x14ac:dyDescent="0.25">
      <c r="A24" s="8"/>
      <c r="B24" s="8"/>
      <c r="C24" s="8"/>
      <c r="D24" s="8"/>
      <c r="E24" s="8"/>
      <c r="F24" s="8"/>
      <c r="G24" s="8"/>
    </row>
    <row r="25" spans="1:13" x14ac:dyDescent="0.25">
      <c r="A25" s="8"/>
      <c r="B25" s="8"/>
      <c r="C25" s="8"/>
      <c r="D25" s="8"/>
      <c r="E25" s="8"/>
      <c r="F25" s="8"/>
      <c r="G25" s="8"/>
    </row>
    <row r="26" spans="1:13" ht="30" x14ac:dyDescent="0.25">
      <c r="A26" s="35" t="s">
        <v>81</v>
      </c>
      <c r="B26" s="59" t="s">
        <v>89</v>
      </c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</row>
    <row r="27" spans="1:13" x14ac:dyDescent="0.25">
      <c r="A27" s="16"/>
      <c r="B27" s="46" t="s">
        <v>45</v>
      </c>
      <c r="C27" s="46"/>
      <c r="D27" s="46"/>
      <c r="E27" s="46"/>
      <c r="F27" s="46"/>
      <c r="G27" s="47"/>
      <c r="H27" s="48" t="s">
        <v>46</v>
      </c>
      <c r="I27" s="49"/>
      <c r="J27" s="49"/>
      <c r="K27" s="49"/>
      <c r="L27" s="49"/>
      <c r="M27" s="50"/>
    </row>
    <row r="28" spans="1:13" x14ac:dyDescent="0.25">
      <c r="A28" s="22"/>
      <c r="B28" s="9" t="s">
        <v>60</v>
      </c>
      <c r="C28" s="9" t="s">
        <v>61</v>
      </c>
      <c r="D28" s="9" t="s">
        <v>62</v>
      </c>
      <c r="E28" s="9" t="s">
        <v>63</v>
      </c>
      <c r="F28" s="9" t="s">
        <v>64</v>
      </c>
      <c r="G28" s="11" t="s">
        <v>65</v>
      </c>
      <c r="H28" s="24" t="s">
        <v>60</v>
      </c>
      <c r="I28" s="10" t="s">
        <v>61</v>
      </c>
      <c r="J28" s="10" t="s">
        <v>66</v>
      </c>
      <c r="K28" s="10" t="s">
        <v>63</v>
      </c>
      <c r="L28" s="10" t="s">
        <v>64</v>
      </c>
      <c r="M28" s="25" t="s">
        <v>65</v>
      </c>
    </row>
    <row r="29" spans="1:13" x14ac:dyDescent="0.25">
      <c r="A29" s="31" t="s">
        <v>53</v>
      </c>
      <c r="B29" s="20">
        <f t="array" ref="B29:G47">TRANSPOSE(EXPG1!$B$3:$T$8)</f>
        <v>0</v>
      </c>
      <c r="C29" s="19">
        <v>0</v>
      </c>
      <c r="D29" s="19">
        <v>0</v>
      </c>
      <c r="E29" s="19">
        <v>0</v>
      </c>
      <c r="F29" s="19">
        <v>0</v>
      </c>
      <c r="G29" s="21">
        <v>0</v>
      </c>
      <c r="H29" s="13">
        <v>0.78</v>
      </c>
      <c r="I29" s="13">
        <v>1.06</v>
      </c>
      <c r="J29" s="13">
        <v>1.03</v>
      </c>
      <c r="K29" s="13">
        <v>0.86</v>
      </c>
      <c r="L29" s="13">
        <v>0.53</v>
      </c>
      <c r="M29" s="32">
        <v>0.16</v>
      </c>
    </row>
    <row r="30" spans="1:13" x14ac:dyDescent="0.25">
      <c r="A30" s="31" t="s">
        <v>57</v>
      </c>
      <c r="B30" s="20">
        <v>0</v>
      </c>
      <c r="C30" s="19">
        <v>0</v>
      </c>
      <c r="D30" s="19">
        <v>0</v>
      </c>
      <c r="E30" s="19">
        <v>0</v>
      </c>
      <c r="F30" s="19">
        <v>0</v>
      </c>
      <c r="G30" s="21">
        <v>0</v>
      </c>
      <c r="H30" s="13">
        <v>0.69</v>
      </c>
      <c r="I30" s="13">
        <v>1.35</v>
      </c>
      <c r="J30" s="13">
        <v>1.64</v>
      </c>
      <c r="K30" s="13">
        <v>1.85</v>
      </c>
      <c r="L30" s="13">
        <v>1.63</v>
      </c>
      <c r="M30" s="32">
        <v>1.1499999999999999</v>
      </c>
    </row>
    <row r="31" spans="1:13" x14ac:dyDescent="0.25">
      <c r="A31" s="31" t="s">
        <v>54</v>
      </c>
      <c r="B31" s="20">
        <v>0</v>
      </c>
      <c r="C31" s="19">
        <v>0</v>
      </c>
      <c r="D31" s="19">
        <v>0</v>
      </c>
      <c r="E31" s="19">
        <v>0</v>
      </c>
      <c r="F31" s="19">
        <v>0</v>
      </c>
      <c r="G31" s="21">
        <v>0</v>
      </c>
      <c r="H31" s="13">
        <v>1.24</v>
      </c>
      <c r="I31" s="13">
        <v>1.96</v>
      </c>
      <c r="J31" s="13">
        <v>1.83</v>
      </c>
      <c r="K31" s="13">
        <v>1.29</v>
      </c>
      <c r="L31" s="13">
        <v>0.76</v>
      </c>
      <c r="M31" s="32">
        <v>0.47</v>
      </c>
    </row>
    <row r="32" spans="1:13" x14ac:dyDescent="0.25">
      <c r="A32" s="31" t="s">
        <v>55</v>
      </c>
      <c r="B32" s="20">
        <v>0</v>
      </c>
      <c r="C32" s="19">
        <v>0</v>
      </c>
      <c r="D32" s="19">
        <v>0</v>
      </c>
      <c r="E32" s="19">
        <v>0</v>
      </c>
      <c r="F32" s="19">
        <v>0</v>
      </c>
      <c r="G32" s="21">
        <v>0</v>
      </c>
      <c r="H32" s="13">
        <v>0</v>
      </c>
      <c r="I32" s="13">
        <v>-0.16</v>
      </c>
      <c r="J32" s="13">
        <v>-0.38</v>
      </c>
      <c r="K32" s="13">
        <v>-0.78</v>
      </c>
      <c r="L32" s="13">
        <v>-1.27</v>
      </c>
      <c r="M32" s="32">
        <v>-1.73</v>
      </c>
    </row>
    <row r="33" spans="1:13" x14ac:dyDescent="0.25">
      <c r="A33" s="31" t="s">
        <v>56</v>
      </c>
      <c r="B33" s="20">
        <v>0</v>
      </c>
      <c r="C33" s="19">
        <v>0</v>
      </c>
      <c r="D33" s="19">
        <v>0</v>
      </c>
      <c r="E33" s="19">
        <v>0</v>
      </c>
      <c r="F33" s="19">
        <v>0</v>
      </c>
      <c r="G33" s="21">
        <v>0</v>
      </c>
      <c r="H33" s="13">
        <v>0.98</v>
      </c>
      <c r="I33" s="13">
        <v>1.51</v>
      </c>
      <c r="J33" s="13">
        <v>1.45</v>
      </c>
      <c r="K33" s="13">
        <v>1.33</v>
      </c>
      <c r="L33" s="13">
        <v>1.1599999999999999</v>
      </c>
      <c r="M33" s="32">
        <v>1.03</v>
      </c>
    </row>
    <row r="34" spans="1:13" x14ac:dyDescent="0.25">
      <c r="A34" s="31" t="s">
        <v>58</v>
      </c>
      <c r="B34" s="20">
        <v>0</v>
      </c>
      <c r="C34" s="19">
        <v>0</v>
      </c>
      <c r="D34" s="19">
        <v>0</v>
      </c>
      <c r="E34" s="19">
        <v>0</v>
      </c>
      <c r="F34" s="19">
        <v>0</v>
      </c>
      <c r="G34" s="21">
        <v>0</v>
      </c>
      <c r="H34" s="13">
        <v>1.22</v>
      </c>
      <c r="I34" s="13">
        <v>1.57</v>
      </c>
      <c r="J34" s="13">
        <v>1.82</v>
      </c>
      <c r="K34" s="13">
        <v>1.98</v>
      </c>
      <c r="L34" s="13">
        <v>1.58</v>
      </c>
      <c r="M34" s="32">
        <v>1.1499999999999999</v>
      </c>
    </row>
    <row r="35" spans="1:13" x14ac:dyDescent="0.25">
      <c r="A35" s="31" t="s">
        <v>59</v>
      </c>
      <c r="B35" s="20">
        <v>0</v>
      </c>
      <c r="C35" s="19">
        <v>0</v>
      </c>
      <c r="D35" s="19">
        <v>0</v>
      </c>
      <c r="E35" s="19">
        <v>0</v>
      </c>
      <c r="F35" s="19">
        <v>0</v>
      </c>
      <c r="G35" s="21">
        <v>0</v>
      </c>
      <c r="H35" s="13">
        <v>0.46</v>
      </c>
      <c r="I35" s="13">
        <v>0.19</v>
      </c>
      <c r="J35" s="13">
        <v>0.15</v>
      </c>
      <c r="K35" s="13">
        <v>0.11</v>
      </c>
      <c r="L35" s="13">
        <v>-0.04</v>
      </c>
      <c r="M35" s="32">
        <v>0</v>
      </c>
    </row>
    <row r="36" spans="1:13" x14ac:dyDescent="0.25">
      <c r="A36" s="31" t="s">
        <v>70</v>
      </c>
      <c r="B36" s="20">
        <v>0</v>
      </c>
      <c r="C36" s="19">
        <v>0</v>
      </c>
      <c r="D36" s="19">
        <v>0</v>
      </c>
      <c r="E36" s="19">
        <v>0</v>
      </c>
      <c r="F36" s="19">
        <v>0</v>
      </c>
      <c r="G36" s="21">
        <v>0</v>
      </c>
      <c r="H36" s="13">
        <v>0.2</v>
      </c>
      <c r="I36" s="13">
        <v>0.57999999999999996</v>
      </c>
      <c r="J36" s="13">
        <v>0.94</v>
      </c>
      <c r="K36" s="13">
        <v>1.42</v>
      </c>
      <c r="L36" s="13">
        <v>1.88</v>
      </c>
      <c r="M36" s="32">
        <v>2.69</v>
      </c>
    </row>
    <row r="37" spans="1:13" x14ac:dyDescent="0.25">
      <c r="A37" s="31" t="s">
        <v>71</v>
      </c>
      <c r="B37" s="20">
        <v>0</v>
      </c>
      <c r="C37" s="19">
        <v>0</v>
      </c>
      <c r="D37" s="19">
        <v>0</v>
      </c>
      <c r="E37" s="19">
        <v>0</v>
      </c>
      <c r="F37" s="19">
        <v>0</v>
      </c>
      <c r="G37" s="21">
        <v>0</v>
      </c>
      <c r="H37" s="13">
        <v>0.32</v>
      </c>
      <c r="I37" s="13">
        <v>0.77</v>
      </c>
      <c r="J37" s="13">
        <v>1.21</v>
      </c>
      <c r="K37" s="13">
        <v>1.76</v>
      </c>
      <c r="L37" s="13">
        <v>2.17</v>
      </c>
      <c r="M37" s="32">
        <v>2.95</v>
      </c>
    </row>
    <row r="38" spans="1:13" x14ac:dyDescent="0.25">
      <c r="A38" s="31" t="s">
        <v>72</v>
      </c>
      <c r="B38" s="20">
        <v>0</v>
      </c>
      <c r="C38" s="19">
        <v>0</v>
      </c>
      <c r="D38" s="19">
        <v>0</v>
      </c>
      <c r="E38" s="19">
        <v>0</v>
      </c>
      <c r="F38" s="19">
        <v>0</v>
      </c>
      <c r="G38" s="21">
        <v>0</v>
      </c>
      <c r="H38" s="13">
        <v>0.15</v>
      </c>
      <c r="I38" s="13">
        <v>0.59</v>
      </c>
      <c r="J38" s="13">
        <v>0.99</v>
      </c>
      <c r="K38" s="13">
        <v>1.51</v>
      </c>
      <c r="L38" s="13">
        <v>2.0299999999999998</v>
      </c>
      <c r="M38" s="32">
        <v>3.04</v>
      </c>
    </row>
    <row r="39" spans="1:13" x14ac:dyDescent="0.25">
      <c r="A39" s="31" t="s">
        <v>76</v>
      </c>
      <c r="B39" s="20">
        <v>0</v>
      </c>
      <c r="C39" s="19">
        <v>0</v>
      </c>
      <c r="D39" s="19">
        <v>0</v>
      </c>
      <c r="E39" s="19">
        <v>0</v>
      </c>
      <c r="F39" s="19">
        <v>0</v>
      </c>
      <c r="G39" s="21">
        <v>0</v>
      </c>
      <c r="H39" s="13">
        <v>0.16</v>
      </c>
      <c r="I39" s="13">
        <v>0.55000000000000004</v>
      </c>
      <c r="J39" s="13">
        <v>0.96</v>
      </c>
      <c r="K39" s="13">
        <v>1.47</v>
      </c>
      <c r="L39" s="13">
        <v>1.88</v>
      </c>
      <c r="M39" s="32">
        <v>2.59</v>
      </c>
    </row>
    <row r="40" spans="1:13" x14ac:dyDescent="0.25">
      <c r="A40" s="31" t="s">
        <v>68</v>
      </c>
      <c r="B40" s="20">
        <v>0</v>
      </c>
      <c r="C40" s="19">
        <v>0</v>
      </c>
      <c r="D40" s="19">
        <v>0</v>
      </c>
      <c r="E40" s="19">
        <v>0</v>
      </c>
      <c r="F40" s="19">
        <v>0</v>
      </c>
      <c r="G40" s="21">
        <v>0</v>
      </c>
      <c r="H40" s="13">
        <v>0.08</v>
      </c>
      <c r="I40" s="13">
        <v>0.37</v>
      </c>
      <c r="J40" s="13">
        <v>0.7</v>
      </c>
      <c r="K40" s="13">
        <v>1.1599999999999999</v>
      </c>
      <c r="L40" s="13">
        <v>1.58</v>
      </c>
      <c r="M40" s="32">
        <v>2.09</v>
      </c>
    </row>
    <row r="41" spans="1:13" x14ac:dyDescent="0.25">
      <c r="A41" s="31" t="s">
        <v>69</v>
      </c>
      <c r="B41" s="20">
        <v>0</v>
      </c>
      <c r="C41" s="19">
        <v>0</v>
      </c>
      <c r="D41" s="19">
        <v>0</v>
      </c>
      <c r="E41" s="19">
        <v>0</v>
      </c>
      <c r="F41" s="19">
        <v>0</v>
      </c>
      <c r="G41" s="21">
        <v>0</v>
      </c>
      <c r="H41" s="13">
        <v>0.13</v>
      </c>
      <c r="I41" s="13">
        <v>0.41</v>
      </c>
      <c r="J41" s="13">
        <v>0.7</v>
      </c>
      <c r="K41" s="13">
        <v>1.1299999999999999</v>
      </c>
      <c r="L41" s="13">
        <v>1.52</v>
      </c>
      <c r="M41" s="32">
        <v>1.96</v>
      </c>
    </row>
    <row r="42" spans="1:13" x14ac:dyDescent="0.25">
      <c r="A42" s="31" t="s">
        <v>73</v>
      </c>
      <c r="B42" s="20">
        <v>0</v>
      </c>
      <c r="C42" s="19">
        <v>0</v>
      </c>
      <c r="D42" s="19">
        <v>0</v>
      </c>
      <c r="E42" s="19">
        <v>0</v>
      </c>
      <c r="F42" s="19">
        <v>0</v>
      </c>
      <c r="G42" s="21">
        <v>0</v>
      </c>
      <c r="H42" s="13">
        <v>0.52</v>
      </c>
      <c r="I42" s="13">
        <v>1.34</v>
      </c>
      <c r="J42" s="13">
        <v>2.0299999999999998</v>
      </c>
      <c r="K42" s="13">
        <v>2.85</v>
      </c>
      <c r="L42" s="13">
        <v>2.89</v>
      </c>
      <c r="M42" s="32">
        <v>3.21</v>
      </c>
    </row>
    <row r="43" spans="1:13" x14ac:dyDescent="0.25">
      <c r="A43" s="31" t="s">
        <v>74</v>
      </c>
      <c r="B43" s="20">
        <v>0</v>
      </c>
      <c r="C43" s="19">
        <v>0</v>
      </c>
      <c r="D43" s="19">
        <v>0</v>
      </c>
      <c r="E43" s="19">
        <v>0</v>
      </c>
      <c r="F43" s="19">
        <v>0</v>
      </c>
      <c r="G43" s="21">
        <v>0</v>
      </c>
      <c r="H43" s="13">
        <v>0.37</v>
      </c>
      <c r="I43" s="13">
        <v>0.75</v>
      </c>
      <c r="J43" s="13">
        <v>1.03</v>
      </c>
      <c r="K43" s="13">
        <v>1.33</v>
      </c>
      <c r="L43" s="13">
        <v>0.84</v>
      </c>
      <c r="M43" s="32">
        <v>0.16</v>
      </c>
    </row>
    <row r="44" spans="1:13" x14ac:dyDescent="0.25">
      <c r="A44" s="31" t="s">
        <v>77</v>
      </c>
      <c r="B44" s="20">
        <v>0</v>
      </c>
      <c r="C44" s="19">
        <v>0</v>
      </c>
      <c r="D44" s="19">
        <v>0</v>
      </c>
      <c r="E44" s="19">
        <v>0</v>
      </c>
      <c r="F44" s="19">
        <v>0</v>
      </c>
      <c r="G44" s="21">
        <v>0</v>
      </c>
      <c r="H44" s="13">
        <v>33</v>
      </c>
      <c r="I44" s="13">
        <v>94</v>
      </c>
      <c r="J44" s="13">
        <v>107</v>
      </c>
      <c r="K44" s="13">
        <v>44</v>
      </c>
      <c r="L44" s="13">
        <v>-8</v>
      </c>
      <c r="M44" s="32">
        <v>-42</v>
      </c>
    </row>
    <row r="45" spans="1:13" x14ac:dyDescent="0.25">
      <c r="A45" s="31" t="s">
        <v>75</v>
      </c>
      <c r="B45" s="20">
        <v>0</v>
      </c>
      <c r="C45" s="19">
        <v>0</v>
      </c>
      <c r="D45" s="19">
        <v>0</v>
      </c>
      <c r="E45" s="19">
        <v>0</v>
      </c>
      <c r="F45" s="19">
        <v>0</v>
      </c>
      <c r="G45" s="21">
        <v>0</v>
      </c>
      <c r="H45" s="13">
        <v>-0.36</v>
      </c>
      <c r="I45" s="13">
        <v>-0.61</v>
      </c>
      <c r="J45" s="13">
        <v>-0.67</v>
      </c>
      <c r="K45" s="13">
        <v>-0.41</v>
      </c>
      <c r="L45" s="13">
        <v>-0.19</v>
      </c>
      <c r="M45" s="32">
        <v>-0.05</v>
      </c>
    </row>
    <row r="46" spans="1:13" x14ac:dyDescent="0.25">
      <c r="A46" s="31" t="s">
        <v>78</v>
      </c>
      <c r="B46" s="20">
        <v>0</v>
      </c>
      <c r="C46" s="19">
        <v>0</v>
      </c>
      <c r="D46" s="19">
        <v>0</v>
      </c>
      <c r="E46" s="19">
        <v>0</v>
      </c>
      <c r="F46" s="19">
        <v>0</v>
      </c>
      <c r="G46" s="21">
        <v>0</v>
      </c>
      <c r="H46" s="13">
        <v>-0.3</v>
      </c>
      <c r="I46" s="13">
        <v>-0.5</v>
      </c>
      <c r="J46" s="13">
        <v>-0.54</v>
      </c>
      <c r="K46" s="13">
        <v>-0.62</v>
      </c>
      <c r="L46" s="13">
        <v>-0.71</v>
      </c>
      <c r="M46" s="32">
        <v>-0.79</v>
      </c>
    </row>
    <row r="47" spans="1:13" x14ac:dyDescent="0.25">
      <c r="A47" s="45" t="s">
        <v>79</v>
      </c>
      <c r="B47" s="20">
        <v>0</v>
      </c>
      <c r="C47" s="19">
        <v>0</v>
      </c>
      <c r="D47" s="19">
        <v>0</v>
      </c>
      <c r="E47" s="19">
        <v>0</v>
      </c>
      <c r="F47" s="19">
        <v>0</v>
      </c>
      <c r="G47" s="21">
        <v>0</v>
      </c>
      <c r="H47" s="13">
        <v>-0.53</v>
      </c>
      <c r="I47" s="13">
        <v>-0.32</v>
      </c>
      <c r="J47" s="13">
        <v>-0.35</v>
      </c>
      <c r="K47" s="13">
        <v>-0.54</v>
      </c>
      <c r="L47" s="13">
        <v>-0.68</v>
      </c>
      <c r="M47" s="32">
        <v>-0.85</v>
      </c>
    </row>
    <row r="50" spans="1:1" x14ac:dyDescent="0.25">
      <c r="A50" t="str">
        <f>"0.00"</f>
        <v>0.00</v>
      </c>
    </row>
    <row r="51" spans="1:1" x14ac:dyDescent="0.25">
      <c r="A51" t="str">
        <f>"\textbf{"&amp;A29&amp;"} &amp; "&amp;TEXT(B29,formatResults)&amp;" &amp; "&amp;TEXT(C29,formatResults)&amp;" &amp; "&amp;TEXT(D29,formatResults)&amp;" &amp; "&amp;TEXT(E29,formatResults)&amp;" &amp; "&amp;TEXT(F29,formatResults)&amp;" &amp; "&amp;TEXT(G29,formatResults)&amp;" \\"</f>
        <v>\textbf{GDP in value} &amp; 0.00 &amp; 0.00 &amp; 0.00 &amp; 0.00 &amp; 0.00 &amp; 0.00 \\</v>
      </c>
    </row>
    <row r="52" spans="1:1" x14ac:dyDescent="0.25">
      <c r="A52" t="str">
        <f>"\textbf{"&amp;A30&amp;"} &amp; "&amp;TEXT(B30,formatResults)&amp;" &amp; "&amp;TEXT(C30,formatResults)&amp;" &amp; "&amp;TEXT(D30,formatResults)&amp;" &amp; "&amp;TEXT(E30,formatResults)&amp;" &amp; "&amp;TEXT(F30,formatResults)&amp;" &amp; "&amp;TEXT(G30,formatResults)&amp;" \\"</f>
        <v>\textbf{Household consumption} &amp; 0.00 &amp; 0.00 &amp; 0.00 &amp; 0.00 &amp; 0.00 &amp; 0.00 \\</v>
      </c>
    </row>
    <row r="53" spans="1:1" x14ac:dyDescent="0.25">
      <c r="A53" t="str">
        <f>"\textbf{"&amp;A31&amp;"} &amp; "&amp;TEXT(B31,formatResults)&amp;" &amp; "&amp;TEXT(C31,formatResults)&amp;" &amp; "&amp;TEXT(D31,formatResults)&amp;" &amp; "&amp;TEXT(E31,formatResults)&amp;" &amp; "&amp;TEXT(F31,formatResults)&amp;" &amp; "&amp;TEXT(G31,formatResults)&amp;" \\"</f>
        <v>\textbf{Investment} &amp; 0.00 &amp; 0.00 &amp; 0.00 &amp; 0.00 &amp; 0.00 &amp; 0.00 \\</v>
      </c>
    </row>
    <row r="54" spans="1:1" x14ac:dyDescent="0.25">
      <c r="A54" t="str">
        <f>"\textbf{"&amp;A32&amp;"} &amp; "&amp;TEXT(B32,formatResults)&amp;" &amp; "&amp;TEXT(C32,formatResults)&amp;" &amp; "&amp;TEXT(D32,formatResults)&amp;" &amp; "&amp;TEXT(E32,formatResults)&amp;" &amp; "&amp;TEXT(F32,formatResults)&amp;" &amp; "&amp;TEXT(G32,formatResults)&amp;" \\"</f>
        <v>\textbf{Exports} &amp; 0.00 &amp; 0.00 &amp; 0.00 &amp; 0.00 &amp; 0.00 &amp; 0.00 \\</v>
      </c>
    </row>
    <row r="55" spans="1:1" x14ac:dyDescent="0.25">
      <c r="A55" t="str">
        <f>"\textbf{"&amp;A33&amp;"} &amp; "&amp;TEXT(B33,formatResults)&amp;" &amp; "&amp;TEXT(C33,formatResults)&amp;" &amp; "&amp;TEXT(D33,formatResults)&amp;" &amp; "&amp;TEXT(E33,formatResults)&amp;" &amp; "&amp;TEXT(F33,formatResults)&amp;" &amp; "&amp;TEXT(G33,formatResults)&amp;" \\"</f>
        <v>\textbf{Imports} &amp; 0.00 &amp; 0.00 &amp; 0.00 &amp; 0.00 &amp; 0.00 &amp; 0.00 \\</v>
      </c>
    </row>
    <row r="56" spans="1:1" x14ac:dyDescent="0.25">
      <c r="A56" t="str">
        <f>"\textbf{"&amp;A34&amp;"} &amp; "&amp;TEXT(B34,formatResults)&amp;" &amp; "&amp;TEXT(C34,formatResults)&amp;" &amp; "&amp;TEXT(D34,formatResults)&amp;" &amp; "&amp;TEXT(E34,formatResults)&amp;" &amp; "&amp;TEXT(F34,formatResults)&amp;" &amp; "&amp;TEXT(G34,formatResults)&amp;" \\"</f>
        <v>\textbf{Household disposable income } &amp; 0.00 &amp; 0.00 &amp; 0.00 &amp; 0.00 &amp; 0.00 &amp; 0.00 \\</v>
      </c>
    </row>
    <row r="57" spans="1:1" x14ac:dyDescent="0.25">
      <c r="A57" t="str">
        <f>"\textbf{"&amp;A35&amp;"} &amp; "&amp;TEXT(B35,formatResults)&amp;" &amp; "&amp;TEXT(C35,formatResults)&amp;" &amp; "&amp;TEXT(D35,formatResults)&amp;" &amp; "&amp;TEXT(E35,formatResults)&amp;" &amp; "&amp;TEXT(F35,formatResults)&amp;" &amp; "&amp;TEXT(G35,formatResults)&amp;" \\"</f>
        <v>\textbf{Saving rate} &amp; 0.00 &amp; 0.00 &amp; 0.00 &amp; 0.00 &amp; 0.00 &amp; 0.00 \\</v>
      </c>
    </row>
    <row r="58" spans="1:1" x14ac:dyDescent="0.25">
      <c r="A58" t="str">
        <f>"\textbf{"&amp;A36&amp;"} &amp; "&amp;TEXT(B36,formatResults)&amp;" &amp; "&amp;TEXT(C36,formatResults)&amp;" &amp; "&amp;TEXT(D36,formatResults)&amp;" &amp; "&amp;TEXT(E36,formatResults)&amp;" &amp; "&amp;TEXT(F36,formatResults)&amp;" &amp; "&amp;TEXT(G36,formatResults)&amp;" \\"</f>
        <v>\textbf{Household consumption price index} &amp; 0.00 &amp; 0.00 &amp; 0.00 &amp; 0.00 &amp; 0.00 &amp; 0.00 \\</v>
      </c>
    </row>
    <row r="59" spans="1:1" x14ac:dyDescent="0.25">
      <c r="A59" t="str">
        <f>"\textbf{"&amp;A37&amp;"} &amp; "&amp;TEXT(B37,formatResults)&amp;" &amp; "&amp;TEXT(C37,formatResults)&amp;" &amp; "&amp;TEXT(D37,formatResults)&amp;" &amp; "&amp;TEXT(E37,formatResults)&amp;" &amp; "&amp;TEXT(F37,formatResults)&amp;" &amp; "&amp;TEXT(G37,formatResults)&amp;" \\"</f>
        <v>\textbf{Production price index} &amp; 0.00 &amp; 0.00 &amp; 0.00 &amp; 0.00 &amp; 0.00 &amp; 0.00 \\</v>
      </c>
    </row>
    <row r="60" spans="1:1" x14ac:dyDescent="0.25">
      <c r="A60" t="str">
        <f>"\textbf{"&amp;A38&amp;"} &amp; "&amp;TEXT(B38,formatResults)&amp;" &amp; "&amp;TEXT(C38,formatResults)&amp;" &amp; "&amp;TEXT(D38,formatResults)&amp;" &amp; "&amp;TEXT(E38,formatResults)&amp;" &amp; "&amp;TEXT(F38,formatResults)&amp;" &amp; "&amp;TEXT(G38,formatResults)&amp;" \\"</f>
        <v>\textbf{Added value price index} &amp; 0.00 &amp; 0.00 &amp; 0.00 &amp; 0.00 &amp; 0.00 &amp; 0.00 \\</v>
      </c>
    </row>
    <row r="61" spans="1:1" x14ac:dyDescent="0.25">
      <c r="A61" t="str">
        <f>"\textbf{"&amp;A39&amp;"} &amp; "&amp;TEXT(B39,formatResults)&amp;" &amp; "&amp;TEXT(C39,formatResults)&amp;" &amp; "&amp;TEXT(D39,formatResults)&amp;" &amp; "&amp;TEXT(E39,formatResults)&amp;" &amp; "&amp;TEXT(F39,formatResults)&amp;" &amp; "&amp;TEXT(G39,formatResults)&amp;" \\"</f>
        <v>\textbf{Intermediate consumption price index} &amp; 0.00 &amp; 0.00 &amp; 0.00 &amp; 0.00 &amp; 0.00 &amp; 0.00 \\</v>
      </c>
    </row>
    <row r="62" spans="1:1" x14ac:dyDescent="0.25">
      <c r="A62" t="str">
        <f>"\textbf{"&amp;A40&amp;"} &amp; "&amp;TEXT(B40,formatResults)&amp;" &amp; "&amp;TEXT(C40,formatResults)&amp;" &amp; "&amp;TEXT(D40,formatResults)&amp;" &amp; "&amp;TEXT(E40,formatResults)&amp;" &amp; "&amp;TEXT(F40,formatResults)&amp;" &amp; "&amp;TEXT(G40,formatResults)&amp;" \\"</f>
        <v>\textbf{Export price index} &amp; 0.00 &amp; 0.00 &amp; 0.00 &amp; 0.00 &amp; 0.00 &amp; 0.00 \\</v>
      </c>
    </row>
    <row r="63" spans="1:1" x14ac:dyDescent="0.25">
      <c r="A63" t="str">
        <f>"\textbf{"&amp;A41&amp;"} &amp; "&amp;TEXT(B41,formatResults)&amp;" &amp; "&amp;TEXT(C41,formatResults)&amp;" &amp; "&amp;TEXT(D41,formatResults)&amp;" &amp; "&amp;TEXT(E41,formatResults)&amp;" &amp; "&amp;TEXT(F41,formatResults)&amp;" &amp; "&amp;TEXT(G41,formatResults)&amp;" \\"</f>
        <v>\textbf{Import price index} &amp; 0.00 &amp; 0.00 &amp; 0.00 &amp; 0.00 &amp; 0.00 &amp; 0.00 \\</v>
      </c>
    </row>
    <row r="64" spans="1:1" x14ac:dyDescent="0.25">
      <c r="A64" t="str">
        <f>"\textbf{"&amp;A42&amp;"} &amp; "&amp;TEXT(B42,formatResults)&amp;" &amp; "&amp;TEXT(C42,formatResults)&amp;" &amp; "&amp;TEXT(D42,formatResults)&amp;" &amp; "&amp;TEXT(E42,formatResults)&amp;" &amp; "&amp;TEXT(F42,formatResults)&amp;" &amp; "&amp;TEXT(G42,formatResults)&amp;" \\"</f>
        <v>\textbf{Gross nominal wage} &amp; 0.00 &amp; 0.00 &amp; 0.00 &amp; 0.00 &amp; 0.00 &amp; 0.00 \\</v>
      </c>
    </row>
    <row r="65" spans="1:1" x14ac:dyDescent="0.25">
      <c r="A65" t="str">
        <f>"\textbf{"&amp;A43&amp;"} &amp; "&amp;TEXT(B43,formatResults)&amp;" &amp; "&amp;TEXT(C43,formatResults)&amp;" &amp; "&amp;TEXT(D43,formatResults)&amp;" &amp; "&amp;TEXT(E43,formatResults)&amp;" &amp; "&amp;TEXT(F43,formatResults)&amp;" &amp; "&amp;TEXT(G43,formatResults)&amp;" \\"</f>
        <v>\textbf{Real cost of labor} &amp; 0.00 &amp; 0.00 &amp; 0.00 &amp; 0.00 &amp; 0.00 &amp; 0.00 \\</v>
      </c>
    </row>
    <row r="66" spans="1:1" x14ac:dyDescent="0.25">
      <c r="A66" t="str">
        <f>"\textbf{"&amp;A44&amp;"} &amp; "&amp;TEXT(B44,formatResults)&amp;" &amp; "&amp;TEXT(C44,formatResults)&amp;" &amp; "&amp;TEXT(D44,formatResults)&amp;" &amp; "&amp;TEXT(E44,formatResults)&amp;" &amp; "&amp;TEXT(F44,formatResults)&amp;" &amp; "&amp;TEXT(G44,formatResults)&amp;" \\"</f>
        <v>\textbf{Wage employment (in thousands)} &amp; 0.00 &amp; 0.00 &amp; 0.00 &amp; 0.00 &amp; 0.00 &amp; 0.00 \\</v>
      </c>
    </row>
    <row r="67" spans="1:1" x14ac:dyDescent="0.25">
      <c r="A67" t="str">
        <f>"\textbf{"&amp;A45&amp;"} &amp; "&amp;TEXT(B45,formatResults)&amp;" &amp; "&amp;TEXT(C45,formatResults)&amp;" &amp; "&amp;TEXT(D45,formatResults)&amp;" &amp; "&amp;TEXT(E45,formatResults)&amp;" &amp; "&amp;TEXT(F45,formatResults)&amp;" &amp; "&amp;TEXT(G45,formatResults)&amp;" \\"</f>
        <v>\textbf{Unemployment rate} &amp; 0.00 &amp; 0.00 &amp; 0.00 &amp; 0.00 &amp; 0.00 &amp; 0.00 \\</v>
      </c>
    </row>
    <row r="68" spans="1:1" x14ac:dyDescent="0.25">
      <c r="A68" t="str">
        <f>"\textbf{"&amp;A46&amp;"} &amp; "&amp;TEXT(B46,formatResults)&amp;" &amp; "&amp;TEXT(C46,formatResults)&amp;" &amp; "&amp;TEXT(D46,formatResults)&amp;" &amp; "&amp;TEXT(E46,formatResults)&amp;" &amp; "&amp;TEXT(F46,formatResults)&amp;" &amp; "&amp;TEXT(G46,formatResults)&amp;" \\"</f>
        <v>\textbf{Trade balance (in points of GDP)} &amp; 0.00 &amp; 0.00 &amp; 0.00 &amp; 0.00 &amp; 0.00 &amp; 0.00 \\</v>
      </c>
    </row>
    <row r="69" spans="1:1" x14ac:dyDescent="0.25">
      <c r="A69" t="str">
        <f>"\textbf{"&amp;A47&amp;"} &amp; "&amp;TEXT(B47,formatResults)&amp;" &amp; "&amp;TEXT(C47,formatResults)&amp;" &amp; "&amp;TEXT(D47,formatResults)&amp;" &amp; "&amp;TEXT(E47,formatResults)&amp;" &amp; "&amp;TEXT(F47,formatResults)&amp;" &amp; "&amp;TEXT(G47,formatResults)&amp;" \\"</f>
        <v>\textbf{Public budget balance (in points of GDP)} &amp; 0.00 &amp; 0.00 &amp; 0.00 &amp; 0.00 &amp; 0.00 &amp; 0.00 \\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M69"/>
  <sheetViews>
    <sheetView showGridLines="0" topLeftCell="A36" workbookViewId="0">
      <selection activeCell="H67" sqref="H67"/>
    </sheetView>
  </sheetViews>
  <sheetFormatPr baseColWidth="10" defaultColWidth="11" defaultRowHeight="15.75" x14ac:dyDescent="0.25"/>
  <cols>
    <col min="1" max="1" width="33.625" customWidth="1"/>
  </cols>
  <sheetData>
    <row r="1" spans="1:13" ht="30" customHeight="1" x14ac:dyDescent="0.25">
      <c r="A1" s="33" t="s">
        <v>31</v>
      </c>
      <c r="B1" s="51" t="s">
        <v>88</v>
      </c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</row>
    <row r="2" spans="1:13" ht="20.25" customHeight="1" x14ac:dyDescent="0.25">
      <c r="A2" s="28"/>
      <c r="B2" s="60" t="s">
        <v>47</v>
      </c>
      <c r="C2" s="60"/>
      <c r="D2" s="60"/>
      <c r="E2" s="60"/>
      <c r="F2" s="60"/>
      <c r="G2" s="61"/>
      <c r="H2" s="62" t="s">
        <v>46</v>
      </c>
      <c r="I2" s="63"/>
      <c r="J2" s="63"/>
      <c r="K2" s="63"/>
      <c r="L2" s="63"/>
      <c r="M2" s="64"/>
    </row>
    <row r="3" spans="1:13" ht="16.5" customHeight="1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TRANSPOSE(RSSC1!$B$3:$T$8)</f>
        <v>0</v>
      </c>
      <c r="C4" s="29">
        <v>0</v>
      </c>
      <c r="D4" s="29">
        <v>0</v>
      </c>
      <c r="E4" s="29">
        <v>0</v>
      </c>
      <c r="F4" s="29">
        <v>0</v>
      </c>
      <c r="G4" s="30">
        <v>0</v>
      </c>
      <c r="H4" s="12">
        <v>0.2</v>
      </c>
      <c r="I4" s="36">
        <v>0.55000000000000004</v>
      </c>
      <c r="J4" s="36">
        <v>0.76</v>
      </c>
      <c r="K4" s="36">
        <v>0.97</v>
      </c>
      <c r="L4" s="36">
        <v>1.29</v>
      </c>
      <c r="M4" s="32">
        <v>1.73</v>
      </c>
    </row>
    <row r="5" spans="1:13" x14ac:dyDescent="0.25">
      <c r="A5" s="31" t="s">
        <v>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30">
        <v>0</v>
      </c>
      <c r="H5" s="12">
        <v>0.3</v>
      </c>
      <c r="I5" s="36">
        <v>0.73</v>
      </c>
      <c r="J5" s="36">
        <v>0.92</v>
      </c>
      <c r="K5" s="36">
        <v>1.21</v>
      </c>
      <c r="L5" s="36">
        <v>1.82</v>
      </c>
      <c r="M5" s="32">
        <v>2.33</v>
      </c>
    </row>
    <row r="6" spans="1:13" x14ac:dyDescent="0.25">
      <c r="A6" s="31" t="s">
        <v>9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30">
        <v>0</v>
      </c>
      <c r="H6" s="12">
        <v>0.28000000000000003</v>
      </c>
      <c r="I6" s="36">
        <v>0.98</v>
      </c>
      <c r="J6" s="36">
        <v>1.38</v>
      </c>
      <c r="K6" s="36">
        <v>1.5</v>
      </c>
      <c r="L6" s="36">
        <v>1.63</v>
      </c>
      <c r="M6" s="32">
        <v>1.91</v>
      </c>
    </row>
    <row r="7" spans="1:13" x14ac:dyDescent="0.25">
      <c r="A7" s="31" t="s">
        <v>11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30">
        <v>0</v>
      </c>
      <c r="H7" s="12">
        <v>0.18</v>
      </c>
      <c r="I7" s="36">
        <v>0.47</v>
      </c>
      <c r="J7" s="36">
        <v>0.67</v>
      </c>
      <c r="K7" s="36">
        <v>0.96</v>
      </c>
      <c r="L7" s="36">
        <v>1.25</v>
      </c>
      <c r="M7" s="32">
        <v>1.86</v>
      </c>
    </row>
    <row r="8" spans="1:13" x14ac:dyDescent="0.25">
      <c r="A8" s="31" t="s">
        <v>12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30">
        <v>0</v>
      </c>
      <c r="H8" s="12">
        <v>0.32</v>
      </c>
      <c r="I8" s="36">
        <v>0.72</v>
      </c>
      <c r="J8" s="36">
        <v>0.86</v>
      </c>
      <c r="K8" s="36">
        <v>0.94</v>
      </c>
      <c r="L8" s="36">
        <v>1.1000000000000001</v>
      </c>
      <c r="M8" s="32">
        <v>1.25</v>
      </c>
    </row>
    <row r="9" spans="1:13" x14ac:dyDescent="0.25">
      <c r="A9" s="31" t="s">
        <v>32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30">
        <v>0</v>
      </c>
      <c r="H9" s="12">
        <v>0.4</v>
      </c>
      <c r="I9" s="36">
        <v>0.65</v>
      </c>
      <c r="J9" s="36">
        <v>0.85</v>
      </c>
      <c r="K9" s="36">
        <v>1.32</v>
      </c>
      <c r="L9" s="36">
        <v>1.87</v>
      </c>
      <c r="M9" s="32">
        <v>2.33</v>
      </c>
    </row>
    <row r="10" spans="1:13" x14ac:dyDescent="0.25">
      <c r="A10" s="31" t="s">
        <v>33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30">
        <v>0</v>
      </c>
      <c r="H10" s="12">
        <v>0.08</v>
      </c>
      <c r="I10" s="36">
        <v>-7.0000000000000007E-2</v>
      </c>
      <c r="J10" s="36">
        <v>-7.0000000000000007E-2</v>
      </c>
      <c r="K10" s="36">
        <v>0.09</v>
      </c>
      <c r="L10" s="36">
        <v>0.04</v>
      </c>
      <c r="M10" s="32">
        <v>0</v>
      </c>
    </row>
    <row r="11" spans="1:13" x14ac:dyDescent="0.25">
      <c r="A11" s="31" t="s">
        <v>34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30">
        <v>0</v>
      </c>
      <c r="H11" s="12">
        <v>-0.36</v>
      </c>
      <c r="I11" s="36">
        <v>-0.7</v>
      </c>
      <c r="J11" s="36">
        <v>-0.87</v>
      </c>
      <c r="K11" s="36">
        <v>-1.0900000000000001</v>
      </c>
      <c r="L11" s="36">
        <v>-1.32</v>
      </c>
      <c r="M11" s="32">
        <v>-2.27</v>
      </c>
    </row>
    <row r="12" spans="1:13" x14ac:dyDescent="0.25">
      <c r="A12" s="31" t="s">
        <v>35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30">
        <v>0</v>
      </c>
      <c r="H12" s="12">
        <v>-0.46</v>
      </c>
      <c r="I12" s="36">
        <v>-0.87</v>
      </c>
      <c r="J12" s="36">
        <v>-1.02</v>
      </c>
      <c r="K12" s="36">
        <v>-1.17</v>
      </c>
      <c r="L12" s="36">
        <v>-1.32</v>
      </c>
      <c r="M12" s="32">
        <v>-2.2400000000000002</v>
      </c>
    </row>
    <row r="13" spans="1:13" x14ac:dyDescent="0.25">
      <c r="A13" s="31" t="s">
        <v>36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30">
        <v>0</v>
      </c>
      <c r="H13" s="12">
        <v>-0.49</v>
      </c>
      <c r="I13" s="36">
        <v>-0.89</v>
      </c>
      <c r="J13" s="36">
        <v>-1.06</v>
      </c>
      <c r="K13" s="36">
        <v>-1.32</v>
      </c>
      <c r="L13" s="36">
        <v>-1.62</v>
      </c>
      <c r="M13" s="32">
        <v>-2.77</v>
      </c>
    </row>
    <row r="14" spans="1:13" x14ac:dyDescent="0.25">
      <c r="A14" s="31" t="s">
        <v>37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30">
        <v>0</v>
      </c>
      <c r="H14" s="12">
        <v>-0.51</v>
      </c>
      <c r="I14" s="36">
        <v>-0.95</v>
      </c>
      <c r="J14" s="36">
        <v>-1.0900000000000001</v>
      </c>
      <c r="K14" s="36">
        <v>-1.26</v>
      </c>
      <c r="L14" s="36">
        <v>-1.44</v>
      </c>
      <c r="M14" s="32">
        <v>-2.2999999999999998</v>
      </c>
    </row>
    <row r="15" spans="1:13" x14ac:dyDescent="0.25">
      <c r="A15" s="31" t="s">
        <v>38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30">
        <v>0</v>
      </c>
      <c r="H15" s="12">
        <v>-0.28000000000000003</v>
      </c>
      <c r="I15" s="36">
        <v>-0.65</v>
      </c>
      <c r="J15" s="36">
        <v>-0.82</v>
      </c>
      <c r="K15" s="36">
        <v>-1.02</v>
      </c>
      <c r="L15" s="36">
        <v>-1.25</v>
      </c>
      <c r="M15" s="32">
        <v>-1.89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2">
        <v>-0.3</v>
      </c>
      <c r="I16" s="36">
        <v>-0.6</v>
      </c>
      <c r="J16" s="36">
        <v>-0.79</v>
      </c>
      <c r="K16" s="36">
        <v>-1</v>
      </c>
      <c r="L16" s="36">
        <v>-1.18</v>
      </c>
      <c r="M16" s="32">
        <v>-1.76</v>
      </c>
    </row>
    <row r="17" spans="1:13" x14ac:dyDescent="0.25">
      <c r="A17" s="31" t="s">
        <v>40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30">
        <v>0</v>
      </c>
      <c r="H17" s="12">
        <v>-0.14000000000000001</v>
      </c>
      <c r="I17" s="36">
        <v>-0.48</v>
      </c>
      <c r="J17" s="36">
        <v>-0.59</v>
      </c>
      <c r="K17" s="36">
        <v>-0.28000000000000003</v>
      </c>
      <c r="L17" s="36">
        <v>0.23</v>
      </c>
      <c r="M17" s="32">
        <v>-0.25</v>
      </c>
    </row>
    <row r="18" spans="1:13" x14ac:dyDescent="0.25">
      <c r="A18" s="31" t="s">
        <v>16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30">
        <v>0</v>
      </c>
      <c r="H18" s="12">
        <v>-2.39</v>
      </c>
      <c r="I18" s="36">
        <v>-2.34</v>
      </c>
      <c r="J18" s="36">
        <v>-2.2799999999999998</v>
      </c>
      <c r="K18" s="36">
        <v>-1.71</v>
      </c>
      <c r="L18" s="36">
        <v>-0.9</v>
      </c>
      <c r="M18" s="32">
        <v>-0.21</v>
      </c>
    </row>
    <row r="19" spans="1:13" x14ac:dyDescent="0.25">
      <c r="A19" s="31" t="s">
        <v>41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30">
        <v>0</v>
      </c>
      <c r="H19" s="12">
        <v>83</v>
      </c>
      <c r="I19" s="36">
        <v>210</v>
      </c>
      <c r="J19" s="36">
        <v>290</v>
      </c>
      <c r="K19" s="36">
        <v>316</v>
      </c>
      <c r="L19" s="36">
        <v>318</v>
      </c>
      <c r="M19" s="32">
        <v>362</v>
      </c>
    </row>
    <row r="20" spans="1:13" x14ac:dyDescent="0.25">
      <c r="A20" s="31" t="s">
        <v>42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30">
        <v>0</v>
      </c>
      <c r="H20" s="12">
        <v>-0.35</v>
      </c>
      <c r="I20" s="36">
        <v>-0.87</v>
      </c>
      <c r="J20" s="36">
        <v>-1.21</v>
      </c>
      <c r="K20" s="36">
        <v>-1.32</v>
      </c>
      <c r="L20" s="36">
        <v>-1.33</v>
      </c>
      <c r="M20" s="32">
        <v>-1.51</v>
      </c>
    </row>
    <row r="21" spans="1:13" x14ac:dyDescent="0.25">
      <c r="A21" s="31" t="s">
        <v>43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30">
        <v>0</v>
      </c>
      <c r="H21" s="12">
        <v>-0.04</v>
      </c>
      <c r="I21" s="36">
        <v>-0.1</v>
      </c>
      <c r="J21" s="36">
        <v>-0.08</v>
      </c>
      <c r="K21" s="36">
        <v>0</v>
      </c>
      <c r="L21" s="36">
        <v>0.03</v>
      </c>
      <c r="M21" s="32">
        <v>0.14000000000000001</v>
      </c>
    </row>
    <row r="22" spans="1:13" x14ac:dyDescent="0.25">
      <c r="A22" s="31" t="s">
        <v>44</v>
      </c>
      <c r="B22" s="29">
        <v>0</v>
      </c>
      <c r="C22" s="29">
        <v>0</v>
      </c>
      <c r="D22" s="29">
        <v>0</v>
      </c>
      <c r="E22" s="29">
        <v>0</v>
      </c>
      <c r="F22" s="29">
        <v>0</v>
      </c>
      <c r="G22" s="30">
        <v>0</v>
      </c>
      <c r="H22" s="12">
        <v>-0.72</v>
      </c>
      <c r="I22" s="36">
        <v>-0.42</v>
      </c>
      <c r="J22" s="36">
        <v>-0.27</v>
      </c>
      <c r="K22" s="36">
        <v>-0.24</v>
      </c>
      <c r="L22" s="36">
        <v>-0.17</v>
      </c>
      <c r="M22" s="32">
        <v>0.03</v>
      </c>
    </row>
    <row r="23" spans="1:13" x14ac:dyDescent="0.25">
      <c r="A23" s="27"/>
      <c r="B23" s="27"/>
      <c r="C23" s="27"/>
      <c r="D23" s="27"/>
      <c r="E23" s="27"/>
      <c r="F23" s="27"/>
      <c r="G23" s="27"/>
    </row>
    <row r="24" spans="1:13" x14ac:dyDescent="0.25">
      <c r="A24" s="26"/>
      <c r="B24" s="26"/>
      <c r="C24" s="26"/>
      <c r="D24" s="26"/>
      <c r="E24" s="26"/>
      <c r="F24" s="26"/>
      <c r="G24" s="26"/>
    </row>
    <row r="26" spans="1:13" ht="30" x14ac:dyDescent="0.25">
      <c r="A26" s="33" t="s">
        <v>82</v>
      </c>
      <c r="B26" s="51" t="s">
        <v>89</v>
      </c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</row>
    <row r="27" spans="1:13" x14ac:dyDescent="0.25">
      <c r="A27" s="28"/>
      <c r="B27" s="46" t="s">
        <v>45</v>
      </c>
      <c r="C27" s="46"/>
      <c r="D27" s="46"/>
      <c r="E27" s="46"/>
      <c r="F27" s="46"/>
      <c r="G27" s="47"/>
      <c r="H27" s="48" t="s">
        <v>46</v>
      </c>
      <c r="I27" s="49"/>
      <c r="J27" s="49"/>
      <c r="K27" s="49"/>
      <c r="L27" s="49"/>
      <c r="M27" s="50"/>
    </row>
    <row r="28" spans="1:13" x14ac:dyDescent="0.25">
      <c r="A28" s="22"/>
      <c r="B28" s="9" t="s">
        <v>60</v>
      </c>
      <c r="C28" s="9" t="s">
        <v>61</v>
      </c>
      <c r="D28" s="9" t="s">
        <v>62</v>
      </c>
      <c r="E28" s="9" t="s">
        <v>63</v>
      </c>
      <c r="F28" s="9" t="s">
        <v>64</v>
      </c>
      <c r="G28" s="11" t="s">
        <v>65</v>
      </c>
      <c r="H28" s="24" t="s">
        <v>60</v>
      </c>
      <c r="I28" s="10" t="s">
        <v>61</v>
      </c>
      <c r="J28" s="10" t="s">
        <v>66</v>
      </c>
      <c r="K28" s="10" t="s">
        <v>63</v>
      </c>
      <c r="L28" s="10" t="s">
        <v>64</v>
      </c>
      <c r="M28" s="25" t="s">
        <v>65</v>
      </c>
    </row>
    <row r="29" spans="1:13" x14ac:dyDescent="0.25">
      <c r="A29" s="31" t="s">
        <v>53</v>
      </c>
      <c r="B29" s="29">
        <f t="array" ref="B29:G47">TRANSPOSE(RSSC1!$B$3:$T$8)</f>
        <v>0</v>
      </c>
      <c r="C29" s="29">
        <v>0</v>
      </c>
      <c r="D29" s="29">
        <v>0</v>
      </c>
      <c r="E29" s="29">
        <v>0</v>
      </c>
      <c r="F29" s="29">
        <v>0</v>
      </c>
      <c r="G29" s="30">
        <v>0</v>
      </c>
      <c r="H29" s="12">
        <v>0.2</v>
      </c>
      <c r="I29" s="36">
        <v>0.55000000000000004</v>
      </c>
      <c r="J29" s="36">
        <v>0.76</v>
      </c>
      <c r="K29" s="36">
        <v>0.97</v>
      </c>
      <c r="L29" s="36">
        <v>1.29</v>
      </c>
      <c r="M29" s="32">
        <v>1.73</v>
      </c>
    </row>
    <row r="30" spans="1:13" x14ac:dyDescent="0.25">
      <c r="A30" s="31" t="s">
        <v>57</v>
      </c>
      <c r="B30" s="29">
        <v>0</v>
      </c>
      <c r="C30" s="29">
        <v>0</v>
      </c>
      <c r="D30" s="29">
        <v>0</v>
      </c>
      <c r="E30" s="29">
        <v>0</v>
      </c>
      <c r="F30" s="29">
        <v>0</v>
      </c>
      <c r="G30" s="30">
        <v>0</v>
      </c>
      <c r="H30" s="12">
        <v>0.3</v>
      </c>
      <c r="I30" s="36">
        <v>0.73</v>
      </c>
      <c r="J30" s="36">
        <v>0.92</v>
      </c>
      <c r="K30" s="36">
        <v>1.21</v>
      </c>
      <c r="L30" s="36">
        <v>1.82</v>
      </c>
      <c r="M30" s="32">
        <v>2.33</v>
      </c>
    </row>
    <row r="31" spans="1:13" x14ac:dyDescent="0.25">
      <c r="A31" s="31" t="s">
        <v>54</v>
      </c>
      <c r="B31" s="29">
        <v>0</v>
      </c>
      <c r="C31" s="29">
        <v>0</v>
      </c>
      <c r="D31" s="29">
        <v>0</v>
      </c>
      <c r="E31" s="29">
        <v>0</v>
      </c>
      <c r="F31" s="29">
        <v>0</v>
      </c>
      <c r="G31" s="30">
        <v>0</v>
      </c>
      <c r="H31" s="12">
        <v>0.28000000000000003</v>
      </c>
      <c r="I31" s="36">
        <v>0.98</v>
      </c>
      <c r="J31" s="36">
        <v>1.38</v>
      </c>
      <c r="K31" s="36">
        <v>1.5</v>
      </c>
      <c r="L31" s="36">
        <v>1.63</v>
      </c>
      <c r="M31" s="32">
        <v>1.91</v>
      </c>
    </row>
    <row r="32" spans="1:13" x14ac:dyDescent="0.25">
      <c r="A32" s="31" t="s">
        <v>55</v>
      </c>
      <c r="B32" s="29">
        <v>0</v>
      </c>
      <c r="C32" s="29">
        <v>0</v>
      </c>
      <c r="D32" s="29">
        <v>0</v>
      </c>
      <c r="E32" s="29">
        <v>0</v>
      </c>
      <c r="F32" s="29">
        <v>0</v>
      </c>
      <c r="G32" s="30">
        <v>0</v>
      </c>
      <c r="H32" s="12">
        <v>0.18</v>
      </c>
      <c r="I32" s="36">
        <v>0.47</v>
      </c>
      <c r="J32" s="36">
        <v>0.67</v>
      </c>
      <c r="K32" s="36">
        <v>0.96</v>
      </c>
      <c r="L32" s="36">
        <v>1.25</v>
      </c>
      <c r="M32" s="32">
        <v>1.86</v>
      </c>
    </row>
    <row r="33" spans="1:13" x14ac:dyDescent="0.25">
      <c r="A33" s="31" t="s">
        <v>56</v>
      </c>
      <c r="B33" s="29">
        <v>0</v>
      </c>
      <c r="C33" s="29">
        <v>0</v>
      </c>
      <c r="D33" s="29">
        <v>0</v>
      </c>
      <c r="E33" s="29">
        <v>0</v>
      </c>
      <c r="F33" s="29">
        <v>0</v>
      </c>
      <c r="G33" s="30">
        <v>0</v>
      </c>
      <c r="H33" s="12">
        <v>0.32</v>
      </c>
      <c r="I33" s="36">
        <v>0.72</v>
      </c>
      <c r="J33" s="36">
        <v>0.86</v>
      </c>
      <c r="K33" s="36">
        <v>0.94</v>
      </c>
      <c r="L33" s="36">
        <v>1.1000000000000001</v>
      </c>
      <c r="M33" s="32">
        <v>1.25</v>
      </c>
    </row>
    <row r="34" spans="1:13" x14ac:dyDescent="0.25">
      <c r="A34" s="31" t="s">
        <v>58</v>
      </c>
      <c r="B34" s="29">
        <v>0</v>
      </c>
      <c r="C34" s="29">
        <v>0</v>
      </c>
      <c r="D34" s="29">
        <v>0</v>
      </c>
      <c r="E34" s="29">
        <v>0</v>
      </c>
      <c r="F34" s="29">
        <v>0</v>
      </c>
      <c r="G34" s="30">
        <v>0</v>
      </c>
      <c r="H34" s="12">
        <v>0.4</v>
      </c>
      <c r="I34" s="36">
        <v>0.65</v>
      </c>
      <c r="J34" s="36">
        <v>0.85</v>
      </c>
      <c r="K34" s="36">
        <v>1.32</v>
      </c>
      <c r="L34" s="36">
        <v>1.87</v>
      </c>
      <c r="M34" s="32">
        <v>2.33</v>
      </c>
    </row>
    <row r="35" spans="1:13" x14ac:dyDescent="0.25">
      <c r="A35" s="31" t="s">
        <v>59</v>
      </c>
      <c r="B35" s="29">
        <v>0</v>
      </c>
      <c r="C35" s="29">
        <v>0</v>
      </c>
      <c r="D35" s="29">
        <v>0</v>
      </c>
      <c r="E35" s="29">
        <v>0</v>
      </c>
      <c r="F35" s="29">
        <v>0</v>
      </c>
      <c r="G35" s="30">
        <v>0</v>
      </c>
      <c r="H35" s="12">
        <v>0.08</v>
      </c>
      <c r="I35" s="36">
        <v>-7.0000000000000007E-2</v>
      </c>
      <c r="J35" s="36">
        <v>-7.0000000000000007E-2</v>
      </c>
      <c r="K35" s="36">
        <v>0.09</v>
      </c>
      <c r="L35" s="36">
        <v>0.04</v>
      </c>
      <c r="M35" s="32">
        <v>0</v>
      </c>
    </row>
    <row r="36" spans="1:13" x14ac:dyDescent="0.25">
      <c r="A36" s="31" t="s">
        <v>70</v>
      </c>
      <c r="B36" s="29">
        <v>0</v>
      </c>
      <c r="C36" s="29">
        <v>0</v>
      </c>
      <c r="D36" s="29">
        <v>0</v>
      </c>
      <c r="E36" s="29">
        <v>0</v>
      </c>
      <c r="F36" s="29">
        <v>0</v>
      </c>
      <c r="G36" s="30">
        <v>0</v>
      </c>
      <c r="H36" s="12">
        <v>-0.36</v>
      </c>
      <c r="I36" s="36">
        <v>-0.7</v>
      </c>
      <c r="J36" s="36">
        <v>-0.87</v>
      </c>
      <c r="K36" s="36">
        <v>-1.0900000000000001</v>
      </c>
      <c r="L36" s="36">
        <v>-1.32</v>
      </c>
      <c r="M36" s="32">
        <v>-2.27</v>
      </c>
    </row>
    <row r="37" spans="1:13" x14ac:dyDescent="0.25">
      <c r="A37" s="31" t="s">
        <v>71</v>
      </c>
      <c r="B37" s="29">
        <v>0</v>
      </c>
      <c r="C37" s="29">
        <v>0</v>
      </c>
      <c r="D37" s="29">
        <v>0</v>
      </c>
      <c r="E37" s="29">
        <v>0</v>
      </c>
      <c r="F37" s="29">
        <v>0</v>
      </c>
      <c r="G37" s="30">
        <v>0</v>
      </c>
      <c r="H37" s="12">
        <v>-0.46</v>
      </c>
      <c r="I37" s="36">
        <v>-0.87</v>
      </c>
      <c r="J37" s="36">
        <v>-1.02</v>
      </c>
      <c r="K37" s="36">
        <v>-1.17</v>
      </c>
      <c r="L37" s="36">
        <v>-1.32</v>
      </c>
      <c r="M37" s="32">
        <v>-2.2400000000000002</v>
      </c>
    </row>
    <row r="38" spans="1:13" x14ac:dyDescent="0.25">
      <c r="A38" s="31" t="s">
        <v>72</v>
      </c>
      <c r="B38" s="29">
        <v>0</v>
      </c>
      <c r="C38" s="29">
        <v>0</v>
      </c>
      <c r="D38" s="29">
        <v>0</v>
      </c>
      <c r="E38" s="29">
        <v>0</v>
      </c>
      <c r="F38" s="29">
        <v>0</v>
      </c>
      <c r="G38" s="30">
        <v>0</v>
      </c>
      <c r="H38" s="12">
        <v>-0.49</v>
      </c>
      <c r="I38" s="36">
        <v>-0.89</v>
      </c>
      <c r="J38" s="36">
        <v>-1.06</v>
      </c>
      <c r="K38" s="36">
        <v>-1.32</v>
      </c>
      <c r="L38" s="36">
        <v>-1.62</v>
      </c>
      <c r="M38" s="32">
        <v>-2.77</v>
      </c>
    </row>
    <row r="39" spans="1:13" x14ac:dyDescent="0.25">
      <c r="A39" s="31" t="s">
        <v>76</v>
      </c>
      <c r="B39" s="29">
        <v>0</v>
      </c>
      <c r="C39" s="29">
        <v>0</v>
      </c>
      <c r="D39" s="29">
        <v>0</v>
      </c>
      <c r="E39" s="29">
        <v>0</v>
      </c>
      <c r="F39" s="29">
        <v>0</v>
      </c>
      <c r="G39" s="30">
        <v>0</v>
      </c>
      <c r="H39" s="12">
        <v>-0.51</v>
      </c>
      <c r="I39" s="36">
        <v>-0.95</v>
      </c>
      <c r="J39" s="36">
        <v>-1.0900000000000001</v>
      </c>
      <c r="K39" s="36">
        <v>-1.26</v>
      </c>
      <c r="L39" s="36">
        <v>-1.44</v>
      </c>
      <c r="M39" s="32">
        <v>-2.2999999999999998</v>
      </c>
    </row>
    <row r="40" spans="1:13" x14ac:dyDescent="0.25">
      <c r="A40" s="31" t="s">
        <v>68</v>
      </c>
      <c r="B40" s="29">
        <v>0</v>
      </c>
      <c r="C40" s="29">
        <v>0</v>
      </c>
      <c r="D40" s="29">
        <v>0</v>
      </c>
      <c r="E40" s="29">
        <v>0</v>
      </c>
      <c r="F40" s="29">
        <v>0</v>
      </c>
      <c r="G40" s="30">
        <v>0</v>
      </c>
      <c r="H40" s="12">
        <v>-0.28000000000000003</v>
      </c>
      <c r="I40" s="36">
        <v>-0.65</v>
      </c>
      <c r="J40" s="36">
        <v>-0.82</v>
      </c>
      <c r="K40" s="36">
        <v>-1.02</v>
      </c>
      <c r="L40" s="36">
        <v>-1.25</v>
      </c>
      <c r="M40" s="32">
        <v>-1.89</v>
      </c>
    </row>
    <row r="41" spans="1:13" x14ac:dyDescent="0.25">
      <c r="A41" s="31" t="s">
        <v>69</v>
      </c>
      <c r="B41" s="29">
        <v>0</v>
      </c>
      <c r="C41" s="29">
        <v>0</v>
      </c>
      <c r="D41" s="29">
        <v>0</v>
      </c>
      <c r="E41" s="29">
        <v>0</v>
      </c>
      <c r="F41" s="29">
        <v>0</v>
      </c>
      <c r="G41" s="30">
        <v>0</v>
      </c>
      <c r="H41" s="12">
        <v>-0.3</v>
      </c>
      <c r="I41" s="36">
        <v>-0.6</v>
      </c>
      <c r="J41" s="36">
        <v>-0.79</v>
      </c>
      <c r="K41" s="36">
        <v>-1</v>
      </c>
      <c r="L41" s="36">
        <v>-1.18</v>
      </c>
      <c r="M41" s="32">
        <v>-1.76</v>
      </c>
    </row>
    <row r="42" spans="1:13" x14ac:dyDescent="0.25">
      <c r="A42" s="31" t="s">
        <v>73</v>
      </c>
      <c r="B42" s="29">
        <v>0</v>
      </c>
      <c r="C42" s="29">
        <v>0</v>
      </c>
      <c r="D42" s="29">
        <v>0</v>
      </c>
      <c r="E42" s="29">
        <v>0</v>
      </c>
      <c r="F42" s="29">
        <v>0</v>
      </c>
      <c r="G42" s="30">
        <v>0</v>
      </c>
      <c r="H42" s="12">
        <v>-0.14000000000000001</v>
      </c>
      <c r="I42" s="36">
        <v>-0.48</v>
      </c>
      <c r="J42" s="36">
        <v>-0.59</v>
      </c>
      <c r="K42" s="36">
        <v>-0.28000000000000003</v>
      </c>
      <c r="L42" s="36">
        <v>0.23</v>
      </c>
      <c r="M42" s="32">
        <v>-0.25</v>
      </c>
    </row>
    <row r="43" spans="1:13" x14ac:dyDescent="0.25">
      <c r="A43" s="31" t="s">
        <v>74</v>
      </c>
      <c r="B43" s="29">
        <v>0</v>
      </c>
      <c r="C43" s="29">
        <v>0</v>
      </c>
      <c r="D43" s="29">
        <v>0</v>
      </c>
      <c r="E43" s="29">
        <v>0</v>
      </c>
      <c r="F43" s="29">
        <v>0</v>
      </c>
      <c r="G43" s="30">
        <v>0</v>
      </c>
      <c r="H43" s="12">
        <v>-2.39</v>
      </c>
      <c r="I43" s="36">
        <v>-2.34</v>
      </c>
      <c r="J43" s="36">
        <v>-2.2799999999999998</v>
      </c>
      <c r="K43" s="36">
        <v>-1.71</v>
      </c>
      <c r="L43" s="36">
        <v>-0.9</v>
      </c>
      <c r="M43" s="32">
        <v>-0.21</v>
      </c>
    </row>
    <row r="44" spans="1:13" x14ac:dyDescent="0.25">
      <c r="A44" s="31" t="s">
        <v>77</v>
      </c>
      <c r="B44" s="29">
        <v>0</v>
      </c>
      <c r="C44" s="29">
        <v>0</v>
      </c>
      <c r="D44" s="29">
        <v>0</v>
      </c>
      <c r="E44" s="29">
        <v>0</v>
      </c>
      <c r="F44" s="29">
        <v>0</v>
      </c>
      <c r="G44" s="30">
        <v>0</v>
      </c>
      <c r="H44" s="12">
        <v>83</v>
      </c>
      <c r="I44" s="36">
        <v>210</v>
      </c>
      <c r="J44" s="36">
        <v>290</v>
      </c>
      <c r="K44" s="36">
        <v>316</v>
      </c>
      <c r="L44" s="36">
        <v>318</v>
      </c>
      <c r="M44" s="32">
        <v>362</v>
      </c>
    </row>
    <row r="45" spans="1:13" x14ac:dyDescent="0.25">
      <c r="A45" s="31" t="s">
        <v>75</v>
      </c>
      <c r="B45" s="29">
        <v>0</v>
      </c>
      <c r="C45" s="29">
        <v>0</v>
      </c>
      <c r="D45" s="29">
        <v>0</v>
      </c>
      <c r="E45" s="29">
        <v>0</v>
      </c>
      <c r="F45" s="29">
        <v>0</v>
      </c>
      <c r="G45" s="30">
        <v>0</v>
      </c>
      <c r="H45" s="12">
        <v>-0.35</v>
      </c>
      <c r="I45" s="36">
        <v>-0.87</v>
      </c>
      <c r="J45" s="36">
        <v>-1.21</v>
      </c>
      <c r="K45" s="36">
        <v>-1.32</v>
      </c>
      <c r="L45" s="36">
        <v>-1.33</v>
      </c>
      <c r="M45" s="32">
        <v>-1.51</v>
      </c>
    </row>
    <row r="46" spans="1:13" x14ac:dyDescent="0.25">
      <c r="A46" s="31" t="s">
        <v>78</v>
      </c>
      <c r="B46" s="29">
        <v>0</v>
      </c>
      <c r="C46" s="29">
        <v>0</v>
      </c>
      <c r="D46" s="29">
        <v>0</v>
      </c>
      <c r="E46" s="29">
        <v>0</v>
      </c>
      <c r="F46" s="29">
        <v>0</v>
      </c>
      <c r="G46" s="30">
        <v>0</v>
      </c>
      <c r="H46" s="12">
        <v>-0.04</v>
      </c>
      <c r="I46" s="36">
        <v>-0.1</v>
      </c>
      <c r="J46" s="36">
        <v>-0.08</v>
      </c>
      <c r="K46" s="36">
        <v>0</v>
      </c>
      <c r="L46" s="36">
        <v>0.03</v>
      </c>
      <c r="M46" s="32">
        <v>0.14000000000000001</v>
      </c>
    </row>
    <row r="47" spans="1:13" x14ac:dyDescent="0.25">
      <c r="A47" s="45" t="s">
        <v>79</v>
      </c>
      <c r="B47" s="29">
        <v>0</v>
      </c>
      <c r="C47" s="29">
        <v>0</v>
      </c>
      <c r="D47" s="29">
        <v>0</v>
      </c>
      <c r="E47" s="29">
        <v>0</v>
      </c>
      <c r="F47" s="29">
        <v>0</v>
      </c>
      <c r="G47" s="30">
        <v>0</v>
      </c>
      <c r="H47" s="12">
        <v>-0.72</v>
      </c>
      <c r="I47" s="36">
        <v>-0.42</v>
      </c>
      <c r="J47" s="36">
        <v>-0.27</v>
      </c>
      <c r="K47" s="36">
        <v>-0.24</v>
      </c>
      <c r="L47" s="36">
        <v>-0.17</v>
      </c>
      <c r="M47" s="32">
        <v>0.03</v>
      </c>
    </row>
    <row r="50" spans="1:1" x14ac:dyDescent="0.25">
      <c r="A50" t="str">
        <f>"0.00"</f>
        <v>0.00</v>
      </c>
    </row>
    <row r="51" spans="1:1" x14ac:dyDescent="0.25">
      <c r="A51" t="str">
        <f>"\textbf{"&amp;A29&amp;"} &amp; "&amp;TEXT(B29,formatResults)&amp;" &amp; "&amp;TEXT(C29,formatResults)&amp;" &amp; "&amp;TEXT(D29,formatResults)&amp;" &amp; "&amp;TEXT(E29,formatResults)&amp;" &amp; "&amp;TEXT(F29,formatResults)&amp;" &amp; "&amp;TEXT(G29,formatResults)&amp;" \\"</f>
        <v>\textbf{GDP in value} &amp; 0.00 &amp; 0.00 &amp; 0.00 &amp; 0.00 &amp; 0.00 &amp; 0.00 \\</v>
      </c>
    </row>
    <row r="52" spans="1:1" x14ac:dyDescent="0.25">
      <c r="A52" t="str">
        <f>"\textbf{"&amp;A30&amp;"} &amp; "&amp;TEXT(B30,formatResults)&amp;" &amp; "&amp;TEXT(C30,formatResults)&amp;" &amp; "&amp;TEXT(D30,formatResults)&amp;" &amp; "&amp;TEXT(E30,formatResults)&amp;" &amp; "&amp;TEXT(F30,formatResults)&amp;" &amp; "&amp;TEXT(G30,formatResults)&amp;" \\"</f>
        <v>\textbf{Household consumption} &amp; 0.00 &amp; 0.00 &amp; 0.00 &amp; 0.00 &amp; 0.00 &amp; 0.00 \\</v>
      </c>
    </row>
    <row r="53" spans="1:1" x14ac:dyDescent="0.25">
      <c r="A53" t="str">
        <f>"\textbf{"&amp;A31&amp;"} &amp; "&amp;TEXT(B31,formatResults)&amp;" &amp; "&amp;TEXT(C31,formatResults)&amp;" &amp; "&amp;TEXT(D31,formatResults)&amp;" &amp; "&amp;TEXT(E31,formatResults)&amp;" &amp; "&amp;TEXT(F31,formatResults)&amp;" &amp; "&amp;TEXT(G31,formatResults)&amp;" \\"</f>
        <v>\textbf{Investment} &amp; 0.00 &amp; 0.00 &amp; 0.00 &amp; 0.00 &amp; 0.00 &amp; 0.00 \\</v>
      </c>
    </row>
    <row r="54" spans="1:1" x14ac:dyDescent="0.25">
      <c r="A54" t="str">
        <f>"\textbf{"&amp;A32&amp;"} &amp; "&amp;TEXT(B32,formatResults)&amp;" &amp; "&amp;TEXT(C32,formatResults)&amp;" &amp; "&amp;TEXT(D32,formatResults)&amp;" &amp; "&amp;TEXT(E32,formatResults)&amp;" &amp; "&amp;TEXT(F32,formatResults)&amp;" &amp; "&amp;TEXT(G32,formatResults)&amp;" \\"</f>
        <v>\textbf{Exports} &amp; 0.00 &amp; 0.00 &amp; 0.00 &amp; 0.00 &amp; 0.00 &amp; 0.00 \\</v>
      </c>
    </row>
    <row r="55" spans="1:1" x14ac:dyDescent="0.25">
      <c r="A55" t="str">
        <f>"\textbf{"&amp;A33&amp;"} &amp; "&amp;TEXT(B33,formatResults)&amp;" &amp; "&amp;TEXT(C33,formatResults)&amp;" &amp; "&amp;TEXT(D33,formatResults)&amp;" &amp; "&amp;TEXT(E33,formatResults)&amp;" &amp; "&amp;TEXT(F33,formatResults)&amp;" &amp; "&amp;TEXT(G33,formatResults)&amp;" \\"</f>
        <v>\textbf{Imports} &amp; 0.00 &amp; 0.00 &amp; 0.00 &amp; 0.00 &amp; 0.00 &amp; 0.00 \\</v>
      </c>
    </row>
    <row r="56" spans="1:1" x14ac:dyDescent="0.25">
      <c r="A56" t="str">
        <f>"\textbf{"&amp;A34&amp;"} &amp; "&amp;TEXT(B34,formatResults)&amp;" &amp; "&amp;TEXT(C34,formatResults)&amp;" &amp; "&amp;TEXT(D34,formatResults)&amp;" &amp; "&amp;TEXT(E34,formatResults)&amp;" &amp; "&amp;TEXT(F34,formatResults)&amp;" &amp; "&amp;TEXT(G34,formatResults)&amp;" \\"</f>
        <v>\textbf{Household disposable income } &amp; 0.00 &amp; 0.00 &amp; 0.00 &amp; 0.00 &amp; 0.00 &amp; 0.00 \\</v>
      </c>
    </row>
    <row r="57" spans="1:1" x14ac:dyDescent="0.25">
      <c r="A57" t="str">
        <f>"\textbf{"&amp;A35&amp;"} &amp; "&amp;TEXT(B35,formatResults)&amp;" &amp; "&amp;TEXT(C35,formatResults)&amp;" &amp; "&amp;TEXT(D35,formatResults)&amp;" &amp; "&amp;TEXT(E35,formatResults)&amp;" &amp; "&amp;TEXT(F35,formatResults)&amp;" &amp; "&amp;TEXT(G35,formatResults)&amp;" \\"</f>
        <v>\textbf{Saving rate} &amp; 0.00 &amp; 0.00 &amp; 0.00 &amp; 0.00 &amp; 0.00 &amp; 0.00 \\</v>
      </c>
    </row>
    <row r="58" spans="1:1" x14ac:dyDescent="0.25">
      <c r="A58" t="str">
        <f>"\textbf{"&amp;A36&amp;"} &amp; "&amp;TEXT(B36,formatResults)&amp;" &amp; "&amp;TEXT(C36,formatResults)&amp;" &amp; "&amp;TEXT(D36,formatResults)&amp;" &amp; "&amp;TEXT(E36,formatResults)&amp;" &amp; "&amp;TEXT(F36,formatResults)&amp;" &amp; "&amp;TEXT(G36,formatResults)&amp;" \\"</f>
        <v>\textbf{Household consumption price index} &amp; 0.00 &amp; 0.00 &amp; 0.00 &amp; 0.00 &amp; 0.00 &amp; 0.00 \\</v>
      </c>
    </row>
    <row r="59" spans="1:1" x14ac:dyDescent="0.25">
      <c r="A59" t="str">
        <f>"\textbf{"&amp;A37&amp;"} &amp; "&amp;TEXT(B37,formatResults)&amp;" &amp; "&amp;TEXT(C37,formatResults)&amp;" &amp; "&amp;TEXT(D37,formatResults)&amp;" &amp; "&amp;TEXT(E37,formatResults)&amp;" &amp; "&amp;TEXT(F37,formatResults)&amp;" &amp; "&amp;TEXT(G37,formatResults)&amp;" \\"</f>
        <v>\textbf{Production price index} &amp; 0.00 &amp; 0.00 &amp; 0.00 &amp; 0.00 &amp; 0.00 &amp; 0.00 \\</v>
      </c>
    </row>
    <row r="60" spans="1:1" x14ac:dyDescent="0.25">
      <c r="A60" t="str">
        <f>"\textbf{"&amp;A38&amp;"} &amp; "&amp;TEXT(B38,formatResults)&amp;" &amp; "&amp;TEXT(C38,formatResults)&amp;" &amp; "&amp;TEXT(D38,formatResults)&amp;" &amp; "&amp;TEXT(E38,formatResults)&amp;" &amp; "&amp;TEXT(F38,formatResults)&amp;" &amp; "&amp;TEXT(G38,formatResults)&amp;" \\"</f>
        <v>\textbf{Added value price index} &amp; 0.00 &amp; 0.00 &amp; 0.00 &amp; 0.00 &amp; 0.00 &amp; 0.00 \\</v>
      </c>
    </row>
    <row r="61" spans="1:1" x14ac:dyDescent="0.25">
      <c r="A61" t="str">
        <f>"\textbf{"&amp;A39&amp;"} &amp; "&amp;TEXT(B39,formatResults)&amp;" &amp; "&amp;TEXT(C39,formatResults)&amp;" &amp; "&amp;TEXT(D39,formatResults)&amp;" &amp; "&amp;TEXT(E39,formatResults)&amp;" &amp; "&amp;TEXT(F39,formatResults)&amp;" &amp; "&amp;TEXT(G39,formatResults)&amp;" \\"</f>
        <v>\textbf{Intermediate consumption price index} &amp; 0.00 &amp; 0.00 &amp; 0.00 &amp; 0.00 &amp; 0.00 &amp; 0.00 \\</v>
      </c>
    </row>
    <row r="62" spans="1:1" x14ac:dyDescent="0.25">
      <c r="A62" t="str">
        <f>"\textbf{"&amp;A40&amp;"} &amp; "&amp;TEXT(B40,formatResults)&amp;" &amp; "&amp;TEXT(C40,formatResults)&amp;" &amp; "&amp;TEXT(D40,formatResults)&amp;" &amp; "&amp;TEXT(E40,formatResults)&amp;" &amp; "&amp;TEXT(F40,formatResults)&amp;" &amp; "&amp;TEXT(G40,formatResults)&amp;" \\"</f>
        <v>\textbf{Export price index} &amp; 0.00 &amp; 0.00 &amp; 0.00 &amp; 0.00 &amp; 0.00 &amp; 0.00 \\</v>
      </c>
    </row>
    <row r="63" spans="1:1" x14ac:dyDescent="0.25">
      <c r="A63" t="str">
        <f>"\textbf{"&amp;A41&amp;"} &amp; "&amp;TEXT(B41,formatResults)&amp;" &amp; "&amp;TEXT(C41,formatResults)&amp;" &amp; "&amp;TEXT(D41,formatResults)&amp;" &amp; "&amp;TEXT(E41,formatResults)&amp;" &amp; "&amp;TEXT(F41,formatResults)&amp;" &amp; "&amp;TEXT(G41,formatResults)&amp;" \\"</f>
        <v>\textbf{Import price index} &amp; 0.00 &amp; 0.00 &amp; 0.00 &amp; 0.00 &amp; 0.00 &amp; 0.00 \\</v>
      </c>
    </row>
    <row r="64" spans="1:1" x14ac:dyDescent="0.25">
      <c r="A64" t="str">
        <f>"\textbf{"&amp;A42&amp;"} &amp; "&amp;TEXT(B42,formatResults)&amp;" &amp; "&amp;TEXT(C42,formatResults)&amp;" &amp; "&amp;TEXT(D42,formatResults)&amp;" &amp; "&amp;TEXT(E42,formatResults)&amp;" &amp; "&amp;TEXT(F42,formatResults)&amp;" &amp; "&amp;TEXT(G42,formatResults)&amp;" \\"</f>
        <v>\textbf{Gross nominal wage} &amp; 0.00 &amp; 0.00 &amp; 0.00 &amp; 0.00 &amp; 0.00 &amp; 0.00 \\</v>
      </c>
    </row>
    <row r="65" spans="1:1" x14ac:dyDescent="0.25">
      <c r="A65" t="str">
        <f>"\textbf{"&amp;A43&amp;"} &amp; "&amp;TEXT(B43,formatResults)&amp;" &amp; "&amp;TEXT(C43,formatResults)&amp;" &amp; "&amp;TEXT(D43,formatResults)&amp;" &amp; "&amp;TEXT(E43,formatResults)&amp;" &amp; "&amp;TEXT(F43,formatResults)&amp;" &amp; "&amp;TEXT(G43,formatResults)&amp;" \\"</f>
        <v>\textbf{Real cost of labor} &amp; 0.00 &amp; 0.00 &amp; 0.00 &amp; 0.00 &amp; 0.00 &amp; 0.00 \\</v>
      </c>
    </row>
    <row r="66" spans="1:1" x14ac:dyDescent="0.25">
      <c r="A66" t="str">
        <f>"\textbf{"&amp;A44&amp;"} &amp; "&amp;TEXT(B44,formatResults)&amp;" &amp; "&amp;TEXT(C44,formatResults)&amp;" &amp; "&amp;TEXT(D44,formatResults)&amp;" &amp; "&amp;TEXT(E44,formatResults)&amp;" &amp; "&amp;TEXT(F44,formatResults)&amp;" &amp; "&amp;TEXT(G44,formatResults)&amp;" \\"</f>
        <v>\textbf{Wage employment (in thousands)} &amp; 0.00 &amp; 0.00 &amp; 0.00 &amp; 0.00 &amp; 0.00 &amp; 0.00 \\</v>
      </c>
    </row>
    <row r="67" spans="1:1" x14ac:dyDescent="0.25">
      <c r="A67" t="str">
        <f>"\textbf{"&amp;A45&amp;"} &amp; "&amp;TEXT(B45,formatResults)&amp;" &amp; "&amp;TEXT(C45,formatResults)&amp;" &amp; "&amp;TEXT(D45,formatResults)&amp;" &amp; "&amp;TEXT(E45,formatResults)&amp;" &amp; "&amp;TEXT(F45,formatResults)&amp;" &amp; "&amp;TEXT(G45,formatResults)&amp;" \\"</f>
        <v>\textbf{Unemployment rate} &amp; 0.00 &amp; 0.00 &amp; 0.00 &amp; 0.00 &amp; 0.00 &amp; 0.00 \\</v>
      </c>
    </row>
    <row r="68" spans="1:1" x14ac:dyDescent="0.25">
      <c r="A68" t="str">
        <f>"\textbf{"&amp;A46&amp;"} &amp; "&amp;TEXT(B46,formatResults)&amp;" &amp; "&amp;TEXT(C46,formatResults)&amp;" &amp; "&amp;TEXT(D46,formatResults)&amp;" &amp; "&amp;TEXT(E46,formatResults)&amp;" &amp; "&amp;TEXT(F46,formatResults)&amp;" &amp; "&amp;TEXT(G46,formatResults)&amp;" \\"</f>
        <v>\textbf{Trade balance (in points of GDP)} &amp; 0.00 &amp; 0.00 &amp; 0.00 &amp; 0.00 &amp; 0.00 &amp; 0.00 \\</v>
      </c>
    </row>
    <row r="69" spans="1:1" x14ac:dyDescent="0.25">
      <c r="A69" t="str">
        <f>"\textbf{"&amp;A47&amp;"} &amp; "&amp;TEXT(B47,formatResults)&amp;" &amp; "&amp;TEXT(C47,formatResults)&amp;" &amp; "&amp;TEXT(D47,formatResults)&amp;" &amp; "&amp;TEXT(E47,formatResults)&amp;" &amp; "&amp;TEXT(F47,formatResults)&amp;" &amp; "&amp;TEXT(G47,formatResults)&amp;" \\"</f>
        <v>\textbf{Public budget balance (in points of GDP)} &amp; 0.00 &amp; 0.00 &amp; 0.00 &amp; 0.00 &amp; 0.00 &amp; 0.00 \\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M69"/>
  <sheetViews>
    <sheetView topLeftCell="A40" workbookViewId="0">
      <selection activeCell="K68" sqref="K68"/>
    </sheetView>
  </sheetViews>
  <sheetFormatPr baseColWidth="10" defaultColWidth="11" defaultRowHeight="15.75" x14ac:dyDescent="0.25"/>
  <cols>
    <col min="1" max="1" width="37.125" style="37" customWidth="1"/>
    <col min="2" max="16384" width="11" style="37"/>
  </cols>
  <sheetData>
    <row r="1" spans="1:13" ht="30" customHeight="1" x14ac:dyDescent="0.25">
      <c r="A1" s="34" t="s">
        <v>49</v>
      </c>
      <c r="B1" s="65" t="s">
        <v>88</v>
      </c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</row>
    <row r="2" spans="1:13" ht="29.25" customHeight="1" x14ac:dyDescent="0.25">
      <c r="A2" s="38"/>
      <c r="B2" s="46" t="s">
        <v>45</v>
      </c>
      <c r="C2" s="46"/>
      <c r="D2" s="46"/>
      <c r="E2" s="46"/>
      <c r="F2" s="46"/>
      <c r="G2" s="47"/>
      <c r="H2" s="48" t="s">
        <v>46</v>
      </c>
      <c r="I2" s="49"/>
      <c r="J2" s="49"/>
      <c r="K2" s="49"/>
      <c r="L2" s="49"/>
      <c r="M2" s="50"/>
    </row>
    <row r="3" spans="1:13" x14ac:dyDescent="0.25">
      <c r="A3" s="39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TRANSPOSE('VAT1'!$B$3:$T$8)</f>
        <v>0</v>
      </c>
      <c r="C4" s="29">
        <v>0</v>
      </c>
      <c r="D4" s="29">
        <v>0</v>
      </c>
      <c r="E4" s="29">
        <v>0</v>
      </c>
      <c r="F4" s="29">
        <v>0</v>
      </c>
      <c r="G4" s="30">
        <v>0</v>
      </c>
      <c r="H4" s="13">
        <v>-0.32</v>
      </c>
      <c r="I4" s="13">
        <v>-0.66</v>
      </c>
      <c r="J4" s="13">
        <v>-0.72</v>
      </c>
      <c r="K4" s="13">
        <v>-0.81</v>
      </c>
      <c r="L4" s="13">
        <v>-0.78</v>
      </c>
      <c r="M4" s="13">
        <v>-0.7</v>
      </c>
    </row>
    <row r="5" spans="1:13" x14ac:dyDescent="0.25">
      <c r="A5" s="31" t="s">
        <v>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30">
        <v>0</v>
      </c>
      <c r="H5" s="13">
        <v>-0.57999999999999996</v>
      </c>
      <c r="I5" s="13">
        <v>-1.04</v>
      </c>
      <c r="J5" s="13">
        <v>-1.1399999999999999</v>
      </c>
      <c r="K5" s="13">
        <v>-1.53</v>
      </c>
      <c r="L5" s="13">
        <v>-1.87</v>
      </c>
      <c r="M5" s="13">
        <v>-1.76</v>
      </c>
    </row>
    <row r="6" spans="1:13" x14ac:dyDescent="0.25">
      <c r="A6" s="31" t="s">
        <v>9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30">
        <v>0</v>
      </c>
      <c r="H6" s="13">
        <v>-0.45</v>
      </c>
      <c r="I6" s="13">
        <v>-1.36</v>
      </c>
      <c r="J6" s="13">
        <v>-1.44</v>
      </c>
      <c r="K6" s="13">
        <v>-1.34</v>
      </c>
      <c r="L6" s="13">
        <v>-1.1399999999999999</v>
      </c>
      <c r="M6" s="13">
        <v>-1.04</v>
      </c>
    </row>
    <row r="7" spans="1:13" x14ac:dyDescent="0.25">
      <c r="A7" s="31" t="s">
        <v>11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30">
        <v>0</v>
      </c>
      <c r="H7" s="13">
        <v>-0.17</v>
      </c>
      <c r="I7" s="13">
        <v>-0.33</v>
      </c>
      <c r="J7" s="13">
        <v>-0.37</v>
      </c>
      <c r="K7" s="13">
        <v>-0.32</v>
      </c>
      <c r="L7" s="13">
        <v>0.02</v>
      </c>
      <c r="M7" s="13">
        <v>0.08</v>
      </c>
    </row>
    <row r="8" spans="1:13" x14ac:dyDescent="0.25">
      <c r="A8" s="31" t="s">
        <v>12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30">
        <v>0</v>
      </c>
      <c r="H8" s="13">
        <v>-0.65</v>
      </c>
      <c r="I8" s="13">
        <v>-1.08</v>
      </c>
      <c r="J8" s="13">
        <v>-1.02</v>
      </c>
      <c r="K8" s="13">
        <v>-1.1299999999999999</v>
      </c>
      <c r="L8" s="13">
        <v>-1.18</v>
      </c>
      <c r="M8" s="13">
        <v>-1.1599999999999999</v>
      </c>
    </row>
    <row r="9" spans="1:13" x14ac:dyDescent="0.25">
      <c r="A9" s="31" t="s">
        <v>32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30">
        <v>0</v>
      </c>
      <c r="H9" s="13">
        <v>-1.1000000000000001</v>
      </c>
      <c r="I9" s="13">
        <v>-1.01</v>
      </c>
      <c r="J9" s="13">
        <v>-1.22</v>
      </c>
      <c r="K9" s="13">
        <v>-1.73</v>
      </c>
      <c r="L9" s="13">
        <v>-1.88</v>
      </c>
      <c r="M9" s="13">
        <v>-1.76</v>
      </c>
    </row>
    <row r="10" spans="1:13" x14ac:dyDescent="0.25">
      <c r="A10" s="31" t="s">
        <v>33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30">
        <v>0</v>
      </c>
      <c r="H10" s="13">
        <v>-0.45</v>
      </c>
      <c r="I10" s="13">
        <v>0.03</v>
      </c>
      <c r="J10" s="13">
        <v>-7.0000000000000007E-2</v>
      </c>
      <c r="K10" s="13">
        <v>-0.18</v>
      </c>
      <c r="L10" s="13">
        <v>-0.01</v>
      </c>
      <c r="M10" s="13">
        <v>0</v>
      </c>
    </row>
    <row r="11" spans="1:13" x14ac:dyDescent="0.25">
      <c r="A11" s="31" t="s">
        <v>34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30">
        <v>0</v>
      </c>
      <c r="H11" s="13">
        <v>1.48</v>
      </c>
      <c r="I11" s="13">
        <v>1.58</v>
      </c>
      <c r="J11" s="13">
        <v>1.52</v>
      </c>
      <c r="K11" s="13">
        <v>1.3</v>
      </c>
      <c r="L11" s="13">
        <v>0.89</v>
      </c>
      <c r="M11" s="13">
        <v>0.76</v>
      </c>
    </row>
    <row r="12" spans="1:13" x14ac:dyDescent="0.25">
      <c r="A12" s="31" t="s">
        <v>35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30">
        <v>0</v>
      </c>
      <c r="H12" s="13">
        <v>0.43</v>
      </c>
      <c r="I12" s="13">
        <v>0.54</v>
      </c>
      <c r="J12" s="13">
        <v>0.41</v>
      </c>
      <c r="K12" s="13">
        <v>0.05</v>
      </c>
      <c r="L12" s="13">
        <v>-0.41</v>
      </c>
      <c r="M12" s="13">
        <v>-0.51</v>
      </c>
    </row>
    <row r="13" spans="1:13" x14ac:dyDescent="0.25">
      <c r="A13" s="31" t="s">
        <v>36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30">
        <v>0</v>
      </c>
      <c r="H13" s="13">
        <v>0.02</v>
      </c>
      <c r="I13" s="13">
        <v>0.12</v>
      </c>
      <c r="J13" s="13">
        <v>0.06</v>
      </c>
      <c r="K13" s="13">
        <v>-0.17</v>
      </c>
      <c r="L13" s="13">
        <v>-0.6</v>
      </c>
      <c r="M13" s="13">
        <v>-0.76</v>
      </c>
    </row>
    <row r="14" spans="1:13" x14ac:dyDescent="0.25">
      <c r="A14" s="31" t="s">
        <v>37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30">
        <v>0</v>
      </c>
      <c r="H14" s="13">
        <v>0.72</v>
      </c>
      <c r="I14" s="13">
        <v>0.84</v>
      </c>
      <c r="J14" s="13">
        <v>0.76</v>
      </c>
      <c r="K14" s="13">
        <v>0.48</v>
      </c>
      <c r="L14" s="13">
        <v>0.06</v>
      </c>
      <c r="M14" s="13">
        <v>-0.02</v>
      </c>
    </row>
    <row r="15" spans="1:13" x14ac:dyDescent="0.25">
      <c r="A15" s="31" t="s">
        <v>38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30">
        <v>0</v>
      </c>
      <c r="H15" s="13">
        <v>0.31</v>
      </c>
      <c r="I15" s="13">
        <v>0.47</v>
      </c>
      <c r="J15" s="13">
        <v>0.45</v>
      </c>
      <c r="K15" s="13">
        <v>0.27</v>
      </c>
      <c r="L15" s="13">
        <v>-0.09</v>
      </c>
      <c r="M15" s="13">
        <v>-0.14000000000000001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3">
        <v>0.3</v>
      </c>
      <c r="I16" s="13">
        <v>0.4</v>
      </c>
      <c r="J16" s="13">
        <v>0.4</v>
      </c>
      <c r="K16" s="13">
        <v>0.23</v>
      </c>
      <c r="L16" s="13">
        <v>-0.14000000000000001</v>
      </c>
      <c r="M16" s="13">
        <v>-0.16</v>
      </c>
    </row>
    <row r="17" spans="1:13" x14ac:dyDescent="0.25">
      <c r="A17" s="31" t="s">
        <v>40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30">
        <v>0</v>
      </c>
      <c r="H17" s="13">
        <v>0.61</v>
      </c>
      <c r="I17" s="13">
        <v>0.65</v>
      </c>
      <c r="J17" s="13">
        <v>0.15</v>
      </c>
      <c r="K17" s="13">
        <v>-0.93</v>
      </c>
      <c r="L17" s="13">
        <v>-1.67</v>
      </c>
      <c r="M17" s="13">
        <v>-1.64</v>
      </c>
    </row>
    <row r="18" spans="1:13" x14ac:dyDescent="0.25">
      <c r="A18" s="31" t="s">
        <v>16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30">
        <v>0</v>
      </c>
      <c r="H18" s="13">
        <v>0.59</v>
      </c>
      <c r="I18" s="13">
        <v>0.53</v>
      </c>
      <c r="J18" s="13">
        <v>0.1</v>
      </c>
      <c r="K18" s="13">
        <v>-0.77</v>
      </c>
      <c r="L18" s="13">
        <v>-1.08</v>
      </c>
      <c r="M18" s="13">
        <v>-0.89</v>
      </c>
    </row>
    <row r="19" spans="1:13" x14ac:dyDescent="0.25">
      <c r="A19" s="31" t="s">
        <v>41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30">
        <v>0</v>
      </c>
      <c r="H19" s="13">
        <v>-32</v>
      </c>
      <c r="I19" s="13">
        <v>-118</v>
      </c>
      <c r="J19" s="13">
        <v>-153</v>
      </c>
      <c r="K19" s="13">
        <v>-113</v>
      </c>
      <c r="L19" s="13">
        <v>-69</v>
      </c>
      <c r="M19" s="13">
        <v>-64</v>
      </c>
    </row>
    <row r="20" spans="1:13" x14ac:dyDescent="0.25">
      <c r="A20" s="31" t="s">
        <v>42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30">
        <v>0</v>
      </c>
      <c r="H20" s="13">
        <v>0.13</v>
      </c>
      <c r="I20" s="13">
        <v>0.49</v>
      </c>
      <c r="J20" s="13">
        <v>0.64</v>
      </c>
      <c r="K20" s="13">
        <v>0.47</v>
      </c>
      <c r="L20" s="13">
        <v>0.28999999999999998</v>
      </c>
      <c r="M20" s="13">
        <v>0.27</v>
      </c>
    </row>
    <row r="21" spans="1:13" x14ac:dyDescent="0.25">
      <c r="A21" s="31" t="s">
        <v>43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30">
        <v>0</v>
      </c>
      <c r="H21" s="13">
        <v>0.17</v>
      </c>
      <c r="I21" s="13">
        <v>0.27</v>
      </c>
      <c r="J21" s="13">
        <v>0.24</v>
      </c>
      <c r="K21" s="13">
        <v>0.28000000000000003</v>
      </c>
      <c r="L21" s="13">
        <v>0.4</v>
      </c>
      <c r="M21" s="13">
        <v>0.41</v>
      </c>
    </row>
    <row r="22" spans="1:13" x14ac:dyDescent="0.25">
      <c r="A22" s="31" t="s">
        <v>44</v>
      </c>
      <c r="B22" s="29">
        <v>0</v>
      </c>
      <c r="C22" s="29">
        <v>0</v>
      </c>
      <c r="D22" s="29">
        <v>0</v>
      </c>
      <c r="E22" s="29">
        <v>0</v>
      </c>
      <c r="F22" s="29">
        <v>0</v>
      </c>
      <c r="G22" s="30">
        <v>0</v>
      </c>
      <c r="H22" s="13">
        <v>0.8</v>
      </c>
      <c r="I22" s="13">
        <v>0.36</v>
      </c>
      <c r="J22" s="13">
        <v>0.28000000000000003</v>
      </c>
      <c r="K22" s="13">
        <v>0.37</v>
      </c>
      <c r="L22" s="13">
        <v>0.44</v>
      </c>
      <c r="M22" s="13">
        <v>0.47</v>
      </c>
    </row>
    <row r="23" spans="1:13" x14ac:dyDescent="0.25">
      <c r="A23" s="40"/>
      <c r="B23" s="40"/>
      <c r="C23" s="40"/>
      <c r="D23" s="40"/>
      <c r="E23" s="40"/>
      <c r="F23" s="40"/>
      <c r="G23" s="40"/>
      <c r="I23" s="40"/>
    </row>
    <row r="24" spans="1:13" x14ac:dyDescent="0.25">
      <c r="A24" s="40"/>
      <c r="B24" s="40"/>
      <c r="C24" s="40"/>
      <c r="D24" s="40"/>
      <c r="E24" s="40"/>
      <c r="F24" s="40"/>
      <c r="G24" s="40"/>
    </row>
    <row r="26" spans="1:13" x14ac:dyDescent="0.25">
      <c r="A26" s="34" t="s">
        <v>83</v>
      </c>
      <c r="B26" s="65" t="s">
        <v>89</v>
      </c>
      <c r="C26" s="65"/>
      <c r="D26" s="65"/>
      <c r="E26" s="65"/>
      <c r="F26" s="65"/>
      <c r="G26" s="65"/>
      <c r="H26" s="65"/>
      <c r="I26" s="65"/>
      <c r="J26" s="65"/>
      <c r="K26" s="65"/>
      <c r="L26" s="65"/>
      <c r="M26" s="65"/>
    </row>
    <row r="27" spans="1:13" x14ac:dyDescent="0.25">
      <c r="A27" s="38"/>
      <c r="B27" s="46" t="s">
        <v>45</v>
      </c>
      <c r="C27" s="46"/>
      <c r="D27" s="46"/>
      <c r="E27" s="46"/>
      <c r="F27" s="46"/>
      <c r="G27" s="47"/>
      <c r="H27" s="48" t="s">
        <v>46</v>
      </c>
      <c r="I27" s="49"/>
      <c r="J27" s="49"/>
      <c r="K27" s="49"/>
      <c r="L27" s="49"/>
      <c r="M27" s="50"/>
    </row>
    <row r="28" spans="1:13" x14ac:dyDescent="0.25">
      <c r="A28" s="39"/>
      <c r="B28" s="9" t="s">
        <v>60</v>
      </c>
      <c r="C28" s="9" t="s">
        <v>61</v>
      </c>
      <c r="D28" s="9" t="s">
        <v>62</v>
      </c>
      <c r="E28" s="9" t="s">
        <v>63</v>
      </c>
      <c r="F28" s="9" t="s">
        <v>64</v>
      </c>
      <c r="G28" s="11" t="s">
        <v>65</v>
      </c>
      <c r="H28" s="24" t="s">
        <v>60</v>
      </c>
      <c r="I28" s="10" t="s">
        <v>61</v>
      </c>
      <c r="J28" s="10" t="s">
        <v>66</v>
      </c>
      <c r="K28" s="10" t="s">
        <v>63</v>
      </c>
      <c r="L28" s="10" t="s">
        <v>64</v>
      </c>
      <c r="M28" s="25" t="s">
        <v>65</v>
      </c>
    </row>
    <row r="29" spans="1:13" x14ac:dyDescent="0.25">
      <c r="A29" s="31" t="s">
        <v>53</v>
      </c>
      <c r="B29" s="29">
        <f t="array" ref="B29:G47">TRANSPOSE('VAT1'!$B$3:$T$8)</f>
        <v>0</v>
      </c>
      <c r="C29" s="29">
        <v>0</v>
      </c>
      <c r="D29" s="29">
        <v>0</v>
      </c>
      <c r="E29" s="29">
        <v>0</v>
      </c>
      <c r="F29" s="29">
        <v>0</v>
      </c>
      <c r="G29" s="30">
        <v>0</v>
      </c>
      <c r="H29" s="13">
        <v>-0.32</v>
      </c>
      <c r="I29" s="13">
        <v>-0.66</v>
      </c>
      <c r="J29" s="13">
        <v>-0.72</v>
      </c>
      <c r="K29" s="13">
        <v>-0.81</v>
      </c>
      <c r="L29" s="13">
        <v>-0.78</v>
      </c>
      <c r="M29" s="13">
        <v>-0.7</v>
      </c>
    </row>
    <row r="30" spans="1:13" x14ac:dyDescent="0.25">
      <c r="A30" s="31" t="s">
        <v>57</v>
      </c>
      <c r="B30" s="29">
        <v>0</v>
      </c>
      <c r="C30" s="29">
        <v>0</v>
      </c>
      <c r="D30" s="29">
        <v>0</v>
      </c>
      <c r="E30" s="29">
        <v>0</v>
      </c>
      <c r="F30" s="29">
        <v>0</v>
      </c>
      <c r="G30" s="30">
        <v>0</v>
      </c>
      <c r="H30" s="13">
        <v>-0.57999999999999996</v>
      </c>
      <c r="I30" s="13">
        <v>-1.04</v>
      </c>
      <c r="J30" s="13">
        <v>-1.1399999999999999</v>
      </c>
      <c r="K30" s="13">
        <v>-1.53</v>
      </c>
      <c r="L30" s="13">
        <v>-1.87</v>
      </c>
      <c r="M30" s="13">
        <v>-1.76</v>
      </c>
    </row>
    <row r="31" spans="1:13" x14ac:dyDescent="0.25">
      <c r="A31" s="31" t="s">
        <v>54</v>
      </c>
      <c r="B31" s="29">
        <v>0</v>
      </c>
      <c r="C31" s="29">
        <v>0</v>
      </c>
      <c r="D31" s="29">
        <v>0</v>
      </c>
      <c r="E31" s="29">
        <v>0</v>
      </c>
      <c r="F31" s="29">
        <v>0</v>
      </c>
      <c r="G31" s="30">
        <v>0</v>
      </c>
      <c r="H31" s="13">
        <v>-0.45</v>
      </c>
      <c r="I31" s="13">
        <v>-1.36</v>
      </c>
      <c r="J31" s="13">
        <v>-1.44</v>
      </c>
      <c r="K31" s="13">
        <v>-1.34</v>
      </c>
      <c r="L31" s="13">
        <v>-1.1399999999999999</v>
      </c>
      <c r="M31" s="13">
        <v>-1.04</v>
      </c>
    </row>
    <row r="32" spans="1:13" x14ac:dyDescent="0.25">
      <c r="A32" s="31" t="s">
        <v>55</v>
      </c>
      <c r="B32" s="29">
        <v>0</v>
      </c>
      <c r="C32" s="29">
        <v>0</v>
      </c>
      <c r="D32" s="29">
        <v>0</v>
      </c>
      <c r="E32" s="29">
        <v>0</v>
      </c>
      <c r="F32" s="29">
        <v>0</v>
      </c>
      <c r="G32" s="30">
        <v>0</v>
      </c>
      <c r="H32" s="13">
        <v>-0.17</v>
      </c>
      <c r="I32" s="13">
        <v>-0.33</v>
      </c>
      <c r="J32" s="13">
        <v>-0.37</v>
      </c>
      <c r="K32" s="13">
        <v>-0.32</v>
      </c>
      <c r="L32" s="13">
        <v>0.02</v>
      </c>
      <c r="M32" s="13">
        <v>0.08</v>
      </c>
    </row>
    <row r="33" spans="1:13" x14ac:dyDescent="0.25">
      <c r="A33" s="31" t="s">
        <v>56</v>
      </c>
      <c r="B33" s="29">
        <v>0</v>
      </c>
      <c r="C33" s="29">
        <v>0</v>
      </c>
      <c r="D33" s="29">
        <v>0</v>
      </c>
      <c r="E33" s="29">
        <v>0</v>
      </c>
      <c r="F33" s="29">
        <v>0</v>
      </c>
      <c r="G33" s="30">
        <v>0</v>
      </c>
      <c r="H33" s="13">
        <v>-0.65</v>
      </c>
      <c r="I33" s="13">
        <v>-1.08</v>
      </c>
      <c r="J33" s="13">
        <v>-1.02</v>
      </c>
      <c r="K33" s="13">
        <v>-1.1299999999999999</v>
      </c>
      <c r="L33" s="13">
        <v>-1.18</v>
      </c>
      <c r="M33" s="13">
        <v>-1.1599999999999999</v>
      </c>
    </row>
    <row r="34" spans="1:13" x14ac:dyDescent="0.25">
      <c r="A34" s="31" t="s">
        <v>58</v>
      </c>
      <c r="B34" s="29">
        <v>0</v>
      </c>
      <c r="C34" s="29">
        <v>0</v>
      </c>
      <c r="D34" s="29">
        <v>0</v>
      </c>
      <c r="E34" s="29">
        <v>0</v>
      </c>
      <c r="F34" s="29">
        <v>0</v>
      </c>
      <c r="G34" s="30">
        <v>0</v>
      </c>
      <c r="H34" s="13">
        <v>-1.1000000000000001</v>
      </c>
      <c r="I34" s="13">
        <v>-1.01</v>
      </c>
      <c r="J34" s="13">
        <v>-1.22</v>
      </c>
      <c r="K34" s="13">
        <v>-1.73</v>
      </c>
      <c r="L34" s="13">
        <v>-1.88</v>
      </c>
      <c r="M34" s="13">
        <v>-1.76</v>
      </c>
    </row>
    <row r="35" spans="1:13" x14ac:dyDescent="0.25">
      <c r="A35" s="31" t="s">
        <v>59</v>
      </c>
      <c r="B35" s="29">
        <v>0</v>
      </c>
      <c r="C35" s="29">
        <v>0</v>
      </c>
      <c r="D35" s="29">
        <v>0</v>
      </c>
      <c r="E35" s="29">
        <v>0</v>
      </c>
      <c r="F35" s="29">
        <v>0</v>
      </c>
      <c r="G35" s="30">
        <v>0</v>
      </c>
      <c r="H35" s="13">
        <v>-0.45</v>
      </c>
      <c r="I35" s="13">
        <v>0.03</v>
      </c>
      <c r="J35" s="13">
        <v>-7.0000000000000007E-2</v>
      </c>
      <c r="K35" s="13">
        <v>-0.18</v>
      </c>
      <c r="L35" s="13">
        <v>-0.01</v>
      </c>
      <c r="M35" s="13">
        <v>0</v>
      </c>
    </row>
    <row r="36" spans="1:13" x14ac:dyDescent="0.25">
      <c r="A36" s="31" t="s">
        <v>70</v>
      </c>
      <c r="B36" s="29">
        <v>0</v>
      </c>
      <c r="C36" s="29">
        <v>0</v>
      </c>
      <c r="D36" s="29">
        <v>0</v>
      </c>
      <c r="E36" s="29">
        <v>0</v>
      </c>
      <c r="F36" s="29">
        <v>0</v>
      </c>
      <c r="G36" s="30">
        <v>0</v>
      </c>
      <c r="H36" s="13">
        <v>1.48</v>
      </c>
      <c r="I36" s="13">
        <v>1.58</v>
      </c>
      <c r="J36" s="13">
        <v>1.52</v>
      </c>
      <c r="K36" s="13">
        <v>1.3</v>
      </c>
      <c r="L36" s="13">
        <v>0.89</v>
      </c>
      <c r="M36" s="13">
        <v>0.76</v>
      </c>
    </row>
    <row r="37" spans="1:13" x14ac:dyDescent="0.25">
      <c r="A37" s="31" t="s">
        <v>71</v>
      </c>
      <c r="B37" s="29">
        <v>0</v>
      </c>
      <c r="C37" s="29">
        <v>0</v>
      </c>
      <c r="D37" s="29">
        <v>0</v>
      </c>
      <c r="E37" s="29">
        <v>0</v>
      </c>
      <c r="F37" s="29">
        <v>0</v>
      </c>
      <c r="G37" s="30">
        <v>0</v>
      </c>
      <c r="H37" s="13">
        <v>0.43</v>
      </c>
      <c r="I37" s="13">
        <v>0.54</v>
      </c>
      <c r="J37" s="13">
        <v>0.41</v>
      </c>
      <c r="K37" s="13">
        <v>0.05</v>
      </c>
      <c r="L37" s="13">
        <v>-0.41</v>
      </c>
      <c r="M37" s="13">
        <v>-0.51</v>
      </c>
    </row>
    <row r="38" spans="1:13" x14ac:dyDescent="0.25">
      <c r="A38" s="31" t="s">
        <v>72</v>
      </c>
      <c r="B38" s="29">
        <v>0</v>
      </c>
      <c r="C38" s="29">
        <v>0</v>
      </c>
      <c r="D38" s="29">
        <v>0</v>
      </c>
      <c r="E38" s="29">
        <v>0</v>
      </c>
      <c r="F38" s="29">
        <v>0</v>
      </c>
      <c r="G38" s="30">
        <v>0</v>
      </c>
      <c r="H38" s="13">
        <v>0.02</v>
      </c>
      <c r="I38" s="13">
        <v>0.12</v>
      </c>
      <c r="J38" s="13">
        <v>0.06</v>
      </c>
      <c r="K38" s="13">
        <v>-0.17</v>
      </c>
      <c r="L38" s="13">
        <v>-0.6</v>
      </c>
      <c r="M38" s="13">
        <v>-0.76</v>
      </c>
    </row>
    <row r="39" spans="1:13" x14ac:dyDescent="0.25">
      <c r="A39" s="31" t="s">
        <v>76</v>
      </c>
      <c r="B39" s="29">
        <v>0</v>
      </c>
      <c r="C39" s="29">
        <v>0</v>
      </c>
      <c r="D39" s="29">
        <v>0</v>
      </c>
      <c r="E39" s="29">
        <v>0</v>
      </c>
      <c r="F39" s="29">
        <v>0</v>
      </c>
      <c r="G39" s="30">
        <v>0</v>
      </c>
      <c r="H39" s="13">
        <v>0.72</v>
      </c>
      <c r="I39" s="13">
        <v>0.84</v>
      </c>
      <c r="J39" s="13">
        <v>0.76</v>
      </c>
      <c r="K39" s="13">
        <v>0.48</v>
      </c>
      <c r="L39" s="13">
        <v>0.06</v>
      </c>
      <c r="M39" s="13">
        <v>-0.02</v>
      </c>
    </row>
    <row r="40" spans="1:13" x14ac:dyDescent="0.25">
      <c r="A40" s="31" t="s">
        <v>68</v>
      </c>
      <c r="B40" s="29">
        <v>0</v>
      </c>
      <c r="C40" s="29">
        <v>0</v>
      </c>
      <c r="D40" s="29">
        <v>0</v>
      </c>
      <c r="E40" s="29">
        <v>0</v>
      </c>
      <c r="F40" s="29">
        <v>0</v>
      </c>
      <c r="G40" s="30">
        <v>0</v>
      </c>
      <c r="H40" s="13">
        <v>0.31</v>
      </c>
      <c r="I40" s="13">
        <v>0.47</v>
      </c>
      <c r="J40" s="13">
        <v>0.45</v>
      </c>
      <c r="K40" s="13">
        <v>0.27</v>
      </c>
      <c r="L40" s="13">
        <v>-0.09</v>
      </c>
      <c r="M40" s="13">
        <v>-0.14000000000000001</v>
      </c>
    </row>
    <row r="41" spans="1:13" x14ac:dyDescent="0.25">
      <c r="A41" s="31" t="s">
        <v>69</v>
      </c>
      <c r="B41" s="29">
        <v>0</v>
      </c>
      <c r="C41" s="29">
        <v>0</v>
      </c>
      <c r="D41" s="29">
        <v>0</v>
      </c>
      <c r="E41" s="29">
        <v>0</v>
      </c>
      <c r="F41" s="29">
        <v>0</v>
      </c>
      <c r="G41" s="30">
        <v>0</v>
      </c>
      <c r="H41" s="13">
        <v>0.3</v>
      </c>
      <c r="I41" s="13">
        <v>0.4</v>
      </c>
      <c r="J41" s="13">
        <v>0.4</v>
      </c>
      <c r="K41" s="13">
        <v>0.23</v>
      </c>
      <c r="L41" s="13">
        <v>-0.14000000000000001</v>
      </c>
      <c r="M41" s="13">
        <v>-0.16</v>
      </c>
    </row>
    <row r="42" spans="1:13" x14ac:dyDescent="0.25">
      <c r="A42" s="31" t="s">
        <v>73</v>
      </c>
      <c r="B42" s="29">
        <v>0</v>
      </c>
      <c r="C42" s="29">
        <v>0</v>
      </c>
      <c r="D42" s="29">
        <v>0</v>
      </c>
      <c r="E42" s="29">
        <v>0</v>
      </c>
      <c r="F42" s="29">
        <v>0</v>
      </c>
      <c r="G42" s="30">
        <v>0</v>
      </c>
      <c r="H42" s="13">
        <v>0.61</v>
      </c>
      <c r="I42" s="13">
        <v>0.65</v>
      </c>
      <c r="J42" s="13">
        <v>0.15</v>
      </c>
      <c r="K42" s="13">
        <v>-0.93</v>
      </c>
      <c r="L42" s="13">
        <v>-1.67</v>
      </c>
      <c r="M42" s="13">
        <v>-1.64</v>
      </c>
    </row>
    <row r="43" spans="1:13" x14ac:dyDescent="0.25">
      <c r="A43" s="31" t="s">
        <v>74</v>
      </c>
      <c r="B43" s="29">
        <v>0</v>
      </c>
      <c r="C43" s="29">
        <v>0</v>
      </c>
      <c r="D43" s="29">
        <v>0</v>
      </c>
      <c r="E43" s="29">
        <v>0</v>
      </c>
      <c r="F43" s="29">
        <v>0</v>
      </c>
      <c r="G43" s="30">
        <v>0</v>
      </c>
      <c r="H43" s="13">
        <v>0.59</v>
      </c>
      <c r="I43" s="13">
        <v>0.53</v>
      </c>
      <c r="J43" s="13">
        <v>0.1</v>
      </c>
      <c r="K43" s="13">
        <v>-0.77</v>
      </c>
      <c r="L43" s="13">
        <v>-1.08</v>
      </c>
      <c r="M43" s="13">
        <v>-0.89</v>
      </c>
    </row>
    <row r="44" spans="1:13" x14ac:dyDescent="0.25">
      <c r="A44" s="31" t="s">
        <v>77</v>
      </c>
      <c r="B44" s="29">
        <v>0</v>
      </c>
      <c r="C44" s="29">
        <v>0</v>
      </c>
      <c r="D44" s="29">
        <v>0</v>
      </c>
      <c r="E44" s="29">
        <v>0</v>
      </c>
      <c r="F44" s="29">
        <v>0</v>
      </c>
      <c r="G44" s="30">
        <v>0</v>
      </c>
      <c r="H44" s="13">
        <v>-32</v>
      </c>
      <c r="I44" s="13">
        <v>-118</v>
      </c>
      <c r="J44" s="13">
        <v>-153</v>
      </c>
      <c r="K44" s="13">
        <v>-113</v>
      </c>
      <c r="L44" s="13">
        <v>-69</v>
      </c>
      <c r="M44" s="13">
        <v>-64</v>
      </c>
    </row>
    <row r="45" spans="1:13" x14ac:dyDescent="0.25">
      <c r="A45" s="31" t="s">
        <v>75</v>
      </c>
      <c r="B45" s="29">
        <v>0</v>
      </c>
      <c r="C45" s="29">
        <v>0</v>
      </c>
      <c r="D45" s="29">
        <v>0</v>
      </c>
      <c r="E45" s="29">
        <v>0</v>
      </c>
      <c r="F45" s="29">
        <v>0</v>
      </c>
      <c r="G45" s="30">
        <v>0</v>
      </c>
      <c r="H45" s="13">
        <v>0.13</v>
      </c>
      <c r="I45" s="13">
        <v>0.49</v>
      </c>
      <c r="J45" s="13">
        <v>0.64</v>
      </c>
      <c r="K45" s="13">
        <v>0.47</v>
      </c>
      <c r="L45" s="13">
        <v>0.28999999999999998</v>
      </c>
      <c r="M45" s="13">
        <v>0.27</v>
      </c>
    </row>
    <row r="46" spans="1:13" x14ac:dyDescent="0.25">
      <c r="A46" s="31" t="s">
        <v>78</v>
      </c>
      <c r="B46" s="29">
        <v>0</v>
      </c>
      <c r="C46" s="29">
        <v>0</v>
      </c>
      <c r="D46" s="29">
        <v>0</v>
      </c>
      <c r="E46" s="29">
        <v>0</v>
      </c>
      <c r="F46" s="29">
        <v>0</v>
      </c>
      <c r="G46" s="30">
        <v>0</v>
      </c>
      <c r="H46" s="13">
        <v>0.17</v>
      </c>
      <c r="I46" s="13">
        <v>0.27</v>
      </c>
      <c r="J46" s="13">
        <v>0.24</v>
      </c>
      <c r="K46" s="13">
        <v>0.28000000000000003</v>
      </c>
      <c r="L46" s="13">
        <v>0.4</v>
      </c>
      <c r="M46" s="13">
        <v>0.41</v>
      </c>
    </row>
    <row r="47" spans="1:13" x14ac:dyDescent="0.25">
      <c r="A47" s="45" t="s">
        <v>79</v>
      </c>
      <c r="B47" s="29">
        <v>0</v>
      </c>
      <c r="C47" s="29">
        <v>0</v>
      </c>
      <c r="D47" s="29">
        <v>0</v>
      </c>
      <c r="E47" s="29">
        <v>0</v>
      </c>
      <c r="F47" s="29">
        <v>0</v>
      </c>
      <c r="G47" s="30">
        <v>0</v>
      </c>
      <c r="H47" s="13">
        <v>0.8</v>
      </c>
      <c r="I47" s="13">
        <v>0.36</v>
      </c>
      <c r="J47" s="13">
        <v>0.28000000000000003</v>
      </c>
      <c r="K47" s="13">
        <v>0.37</v>
      </c>
      <c r="L47" s="13">
        <v>0.44</v>
      </c>
      <c r="M47" s="13">
        <v>0.47</v>
      </c>
    </row>
    <row r="50" spans="1:1" x14ac:dyDescent="0.25">
      <c r="A50" s="37" t="str">
        <f>"0.00"</f>
        <v>0.00</v>
      </c>
    </row>
    <row r="51" spans="1:1" x14ac:dyDescent="0.25">
      <c r="A51" s="37" t="str">
        <f>"\textbf{"&amp;A29&amp;"} &amp; "&amp;TEXT(B29,formatResults)&amp;" &amp; "&amp;TEXT(C29,formatResults)&amp;" &amp; "&amp;TEXT(D29,formatResults)&amp;" &amp; "&amp;TEXT(E29,formatResults)&amp;" &amp; "&amp;TEXT(F29,formatResults)&amp;" &amp; "&amp;TEXT(G29,formatResults)&amp;" \\"</f>
        <v>\textbf{GDP in value} &amp; 0.00 &amp; 0.00 &amp; 0.00 &amp; 0.00 &amp; 0.00 &amp; 0.00 \\</v>
      </c>
    </row>
    <row r="52" spans="1:1" x14ac:dyDescent="0.25">
      <c r="A52" s="37" t="str">
        <f>"\textbf{"&amp;A30&amp;"} &amp; "&amp;TEXT(B30,formatResults)&amp;" &amp; "&amp;TEXT(C30,formatResults)&amp;" &amp; "&amp;TEXT(D30,formatResults)&amp;" &amp; "&amp;TEXT(E30,formatResults)&amp;" &amp; "&amp;TEXT(F30,formatResults)&amp;" &amp; "&amp;TEXT(G30,formatResults)&amp;" \\"</f>
        <v>\textbf{Household consumption} &amp; 0.00 &amp; 0.00 &amp; 0.00 &amp; 0.00 &amp; 0.00 &amp; 0.00 \\</v>
      </c>
    </row>
    <row r="53" spans="1:1" x14ac:dyDescent="0.25">
      <c r="A53" s="37" t="str">
        <f>"\textbf{"&amp;A31&amp;"} &amp; "&amp;TEXT(B31,formatResults)&amp;" &amp; "&amp;TEXT(C31,formatResults)&amp;" &amp; "&amp;TEXT(D31,formatResults)&amp;" &amp; "&amp;TEXT(E31,formatResults)&amp;" &amp; "&amp;TEXT(F31,formatResults)&amp;" &amp; "&amp;TEXT(G31,formatResults)&amp;" \\"</f>
        <v>\textbf{Investment} &amp; 0.00 &amp; 0.00 &amp; 0.00 &amp; 0.00 &amp; 0.00 &amp; 0.00 \\</v>
      </c>
    </row>
    <row r="54" spans="1:1" x14ac:dyDescent="0.25">
      <c r="A54" s="37" t="str">
        <f>"\textbf{"&amp;A32&amp;"} &amp; "&amp;TEXT(B32,formatResults)&amp;" &amp; "&amp;TEXT(C32,formatResults)&amp;" &amp; "&amp;TEXT(D32,formatResults)&amp;" &amp; "&amp;TEXT(E32,formatResults)&amp;" &amp; "&amp;TEXT(F32,formatResults)&amp;" &amp; "&amp;TEXT(G32,formatResults)&amp;" \\"</f>
        <v>\textbf{Exports} &amp; 0.00 &amp; 0.00 &amp; 0.00 &amp; 0.00 &amp; 0.00 &amp; 0.00 \\</v>
      </c>
    </row>
    <row r="55" spans="1:1" x14ac:dyDescent="0.25">
      <c r="A55" s="37" t="str">
        <f>"\textbf{"&amp;A33&amp;"} &amp; "&amp;TEXT(B33,formatResults)&amp;" &amp; "&amp;TEXT(C33,formatResults)&amp;" &amp; "&amp;TEXT(D33,formatResults)&amp;" &amp; "&amp;TEXT(E33,formatResults)&amp;" &amp; "&amp;TEXT(F33,formatResults)&amp;" &amp; "&amp;TEXT(G33,formatResults)&amp;" \\"</f>
        <v>\textbf{Imports} &amp; 0.00 &amp; 0.00 &amp; 0.00 &amp; 0.00 &amp; 0.00 &amp; 0.00 \\</v>
      </c>
    </row>
    <row r="56" spans="1:1" x14ac:dyDescent="0.25">
      <c r="A56" s="37" t="str">
        <f>"\textbf{"&amp;A34&amp;"} &amp; "&amp;TEXT(B34,formatResults)&amp;" &amp; "&amp;TEXT(C34,formatResults)&amp;" &amp; "&amp;TEXT(D34,formatResults)&amp;" &amp; "&amp;TEXT(E34,formatResults)&amp;" &amp; "&amp;TEXT(F34,formatResults)&amp;" &amp; "&amp;TEXT(G34,formatResults)&amp;" \\"</f>
        <v>\textbf{Household disposable income } &amp; 0.00 &amp; 0.00 &amp; 0.00 &amp; 0.00 &amp; 0.00 &amp; 0.00 \\</v>
      </c>
    </row>
    <row r="57" spans="1:1" x14ac:dyDescent="0.25">
      <c r="A57" s="37" t="str">
        <f>"\textbf{"&amp;A35&amp;"} &amp; "&amp;TEXT(B35,formatResults)&amp;" &amp; "&amp;TEXT(C35,formatResults)&amp;" &amp; "&amp;TEXT(D35,formatResults)&amp;" &amp; "&amp;TEXT(E35,formatResults)&amp;" &amp; "&amp;TEXT(F35,formatResults)&amp;" &amp; "&amp;TEXT(G35,formatResults)&amp;" \\"</f>
        <v>\textbf{Saving rate} &amp; 0.00 &amp; 0.00 &amp; 0.00 &amp; 0.00 &amp; 0.00 &amp; 0.00 \\</v>
      </c>
    </row>
    <row r="58" spans="1:1" x14ac:dyDescent="0.25">
      <c r="A58" s="37" t="str">
        <f>"\textbf{"&amp;A36&amp;"} &amp; "&amp;TEXT(B36,formatResults)&amp;" &amp; "&amp;TEXT(C36,formatResults)&amp;" &amp; "&amp;TEXT(D36,formatResults)&amp;" &amp; "&amp;TEXT(E36,formatResults)&amp;" &amp; "&amp;TEXT(F36,formatResults)&amp;" &amp; "&amp;TEXT(G36,formatResults)&amp;" \\"</f>
        <v>\textbf{Household consumption price index} &amp; 0.00 &amp; 0.00 &amp; 0.00 &amp; 0.00 &amp; 0.00 &amp; 0.00 \\</v>
      </c>
    </row>
    <row r="59" spans="1:1" x14ac:dyDescent="0.25">
      <c r="A59" s="37" t="str">
        <f>"\textbf{"&amp;A37&amp;"} &amp; "&amp;TEXT(B37,formatResults)&amp;" &amp; "&amp;TEXT(C37,formatResults)&amp;" &amp; "&amp;TEXT(D37,formatResults)&amp;" &amp; "&amp;TEXT(E37,formatResults)&amp;" &amp; "&amp;TEXT(F37,formatResults)&amp;" &amp; "&amp;TEXT(G37,formatResults)&amp;" \\"</f>
        <v>\textbf{Production price index} &amp; 0.00 &amp; 0.00 &amp; 0.00 &amp; 0.00 &amp; 0.00 &amp; 0.00 \\</v>
      </c>
    </row>
    <row r="60" spans="1:1" x14ac:dyDescent="0.25">
      <c r="A60" s="37" t="str">
        <f>"\textbf{"&amp;A38&amp;"} &amp; "&amp;TEXT(B38,formatResults)&amp;" &amp; "&amp;TEXT(C38,formatResults)&amp;" &amp; "&amp;TEXT(D38,formatResults)&amp;" &amp; "&amp;TEXT(E38,formatResults)&amp;" &amp; "&amp;TEXT(F38,formatResults)&amp;" &amp; "&amp;TEXT(G38,formatResults)&amp;" \\"</f>
        <v>\textbf{Added value price index} &amp; 0.00 &amp; 0.00 &amp; 0.00 &amp; 0.00 &amp; 0.00 &amp; 0.00 \\</v>
      </c>
    </row>
    <row r="61" spans="1:1" x14ac:dyDescent="0.25">
      <c r="A61" s="37" t="str">
        <f>"\textbf{"&amp;A39&amp;"} &amp; "&amp;TEXT(B39,formatResults)&amp;" &amp; "&amp;TEXT(C39,formatResults)&amp;" &amp; "&amp;TEXT(D39,formatResults)&amp;" &amp; "&amp;TEXT(E39,formatResults)&amp;" &amp; "&amp;TEXT(F39,formatResults)&amp;" &amp; "&amp;TEXT(G39,formatResults)&amp;" \\"</f>
        <v>\textbf{Intermediate consumption price index} &amp; 0.00 &amp; 0.00 &amp; 0.00 &amp; 0.00 &amp; 0.00 &amp; 0.00 \\</v>
      </c>
    </row>
    <row r="62" spans="1:1" x14ac:dyDescent="0.25">
      <c r="A62" s="37" t="str">
        <f>"\textbf{"&amp;A40&amp;"} &amp; "&amp;TEXT(B40,formatResults)&amp;" &amp; "&amp;TEXT(C40,formatResults)&amp;" &amp; "&amp;TEXT(D40,formatResults)&amp;" &amp; "&amp;TEXT(E40,formatResults)&amp;" &amp; "&amp;TEXT(F40,formatResults)&amp;" &amp; "&amp;TEXT(G40,formatResults)&amp;" \\"</f>
        <v>\textbf{Export price index} &amp; 0.00 &amp; 0.00 &amp; 0.00 &amp; 0.00 &amp; 0.00 &amp; 0.00 \\</v>
      </c>
    </row>
    <row r="63" spans="1:1" x14ac:dyDescent="0.25">
      <c r="A63" s="37" t="str">
        <f>"\textbf{"&amp;A41&amp;"} &amp; "&amp;TEXT(B41,formatResults)&amp;" &amp; "&amp;TEXT(C41,formatResults)&amp;" &amp; "&amp;TEXT(D41,formatResults)&amp;" &amp; "&amp;TEXT(E41,formatResults)&amp;" &amp; "&amp;TEXT(F41,formatResults)&amp;" &amp; "&amp;TEXT(G41,formatResults)&amp;" \\"</f>
        <v>\textbf{Import price index} &amp; 0.00 &amp; 0.00 &amp; 0.00 &amp; 0.00 &amp; 0.00 &amp; 0.00 \\</v>
      </c>
    </row>
    <row r="64" spans="1:1" x14ac:dyDescent="0.25">
      <c r="A64" s="37" t="str">
        <f>"\textbf{"&amp;A42&amp;"} &amp; "&amp;TEXT(B42,formatResults)&amp;" &amp; "&amp;TEXT(C42,formatResults)&amp;" &amp; "&amp;TEXT(D42,formatResults)&amp;" &amp; "&amp;TEXT(E42,formatResults)&amp;" &amp; "&amp;TEXT(F42,formatResults)&amp;" &amp; "&amp;TEXT(G42,formatResults)&amp;" \\"</f>
        <v>\textbf{Gross nominal wage} &amp; 0.00 &amp; 0.00 &amp; 0.00 &amp; 0.00 &amp; 0.00 &amp; 0.00 \\</v>
      </c>
    </row>
    <row r="65" spans="1:1" x14ac:dyDescent="0.25">
      <c r="A65" s="37" t="str">
        <f>"\textbf{"&amp;A43&amp;"} &amp; "&amp;TEXT(B43,formatResults)&amp;" &amp; "&amp;TEXT(C43,formatResults)&amp;" &amp; "&amp;TEXT(D43,formatResults)&amp;" &amp; "&amp;TEXT(E43,formatResults)&amp;" &amp; "&amp;TEXT(F43,formatResults)&amp;" &amp; "&amp;TEXT(G43,formatResults)&amp;" \\"</f>
        <v>\textbf{Real cost of labor} &amp; 0.00 &amp; 0.00 &amp; 0.00 &amp; 0.00 &amp; 0.00 &amp; 0.00 \\</v>
      </c>
    </row>
    <row r="66" spans="1:1" x14ac:dyDescent="0.25">
      <c r="A66" s="37" t="str">
        <f>"\textbf{"&amp;A44&amp;"} &amp; "&amp;TEXT(B44,formatResults)&amp;" &amp; "&amp;TEXT(C44,formatResults)&amp;" &amp; "&amp;TEXT(D44,formatResults)&amp;" &amp; "&amp;TEXT(E44,formatResults)&amp;" &amp; "&amp;TEXT(F44,formatResults)&amp;" &amp; "&amp;TEXT(G44,formatResults)&amp;" \\"</f>
        <v>\textbf{Wage employment (in thousands)} &amp; 0.00 &amp; 0.00 &amp; 0.00 &amp; 0.00 &amp; 0.00 &amp; 0.00 \\</v>
      </c>
    </row>
    <row r="67" spans="1:1" x14ac:dyDescent="0.25">
      <c r="A67" s="37" t="str">
        <f>"\textbf{"&amp;A45&amp;"} &amp; "&amp;TEXT(B45,formatResults)&amp;" &amp; "&amp;TEXT(C45,formatResults)&amp;" &amp; "&amp;TEXT(D45,formatResults)&amp;" &amp; "&amp;TEXT(E45,formatResults)&amp;" &amp; "&amp;TEXT(F45,formatResults)&amp;" &amp; "&amp;TEXT(G45,formatResults)&amp;" \\"</f>
        <v>\textbf{Unemployment rate} &amp; 0.00 &amp; 0.00 &amp; 0.00 &amp; 0.00 &amp; 0.00 &amp; 0.00 \\</v>
      </c>
    </row>
    <row r="68" spans="1:1" x14ac:dyDescent="0.25">
      <c r="A68" s="37" t="str">
        <f>"\textbf{"&amp;A46&amp;"} &amp; "&amp;TEXT(B46,formatResults)&amp;" &amp; "&amp;TEXT(C46,formatResults)&amp;" &amp; "&amp;TEXT(D46,formatResults)&amp;" &amp; "&amp;TEXT(E46,formatResults)&amp;" &amp; "&amp;TEXT(F46,formatResults)&amp;" &amp; "&amp;TEXT(G46,formatResults)&amp;" \\"</f>
        <v>\textbf{Trade balance (in points of GDP)} &amp; 0.00 &amp; 0.00 &amp; 0.00 &amp; 0.00 &amp; 0.00 &amp; 0.00 \\</v>
      </c>
    </row>
    <row r="69" spans="1:1" x14ac:dyDescent="0.25">
      <c r="A69" s="37" t="str">
        <f>"\textbf{"&amp;A47&amp;"} &amp; "&amp;TEXT(B47,formatResults)&amp;" &amp; "&amp;TEXT(C47,formatResults)&amp;" &amp; "&amp;TEXT(D47,formatResults)&amp;" &amp; "&amp;TEXT(E47,formatResults)&amp;" &amp; "&amp;TEXT(F47,formatResults)&amp;" &amp; "&amp;TEXT(G47,formatResults)&amp;" \\"</f>
        <v>\textbf{Public budget balance (in points of GDP)} &amp; 0.00 &amp; 0.00 &amp; 0.00 &amp; 0.00 &amp; 0.00 &amp; 0.00 \\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/>
  <dimension ref="A1:M69"/>
  <sheetViews>
    <sheetView topLeftCell="A37" workbookViewId="0">
      <selection activeCell="A51" sqref="A51:A69"/>
    </sheetView>
  </sheetViews>
  <sheetFormatPr baseColWidth="10" defaultColWidth="11" defaultRowHeight="15.75" x14ac:dyDescent="0.25"/>
  <cols>
    <col min="1" max="1" width="37.125" style="37" customWidth="1"/>
    <col min="2" max="16384" width="11" style="37"/>
  </cols>
  <sheetData>
    <row r="1" spans="1:13" ht="30" customHeight="1" x14ac:dyDescent="0.25">
      <c r="A1" s="34" t="s">
        <v>48</v>
      </c>
      <c r="B1" s="65" t="s">
        <v>87</v>
      </c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</row>
    <row r="2" spans="1:13" ht="29.25" customHeight="1" x14ac:dyDescent="0.25">
      <c r="A2" s="38"/>
      <c r="B2" s="46" t="s">
        <v>45</v>
      </c>
      <c r="C2" s="46"/>
      <c r="D2" s="46"/>
      <c r="E2" s="46"/>
      <c r="F2" s="46"/>
      <c r="G2" s="47"/>
      <c r="H2" s="48" t="s">
        <v>46</v>
      </c>
      <c r="I2" s="49"/>
      <c r="J2" s="49"/>
      <c r="K2" s="49"/>
      <c r="L2" s="49"/>
      <c r="M2" s="50"/>
    </row>
    <row r="3" spans="1:13" x14ac:dyDescent="0.25">
      <c r="A3" s="39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TRANSPOSE(INCT1!$B$3:$T$8)</f>
        <v>0</v>
      </c>
      <c r="C4" s="29">
        <v>0</v>
      </c>
      <c r="D4" s="29">
        <v>0</v>
      </c>
      <c r="E4" s="29">
        <v>0</v>
      </c>
      <c r="F4" s="29">
        <v>0</v>
      </c>
      <c r="G4" s="30">
        <v>0</v>
      </c>
      <c r="H4" s="12">
        <v>0.41</v>
      </c>
      <c r="I4" s="36">
        <v>0.83</v>
      </c>
      <c r="J4" s="36">
        <v>0.88</v>
      </c>
      <c r="K4" s="36">
        <v>0.81</v>
      </c>
      <c r="L4" s="36">
        <v>0.87</v>
      </c>
      <c r="M4" s="32">
        <v>1.05</v>
      </c>
    </row>
    <row r="5" spans="1:13" x14ac:dyDescent="0.25">
      <c r="A5" s="31" t="s">
        <v>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30">
        <v>0</v>
      </c>
      <c r="H5" s="12">
        <v>0.81</v>
      </c>
      <c r="I5" s="36">
        <v>1.66</v>
      </c>
      <c r="J5" s="36">
        <v>1.9</v>
      </c>
      <c r="K5" s="36">
        <v>2.0099999999999998</v>
      </c>
      <c r="L5" s="36">
        <v>2.06</v>
      </c>
      <c r="M5" s="32">
        <v>2.27</v>
      </c>
    </row>
    <row r="6" spans="1:13" x14ac:dyDescent="0.25">
      <c r="A6" s="31" t="s">
        <v>9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30">
        <v>0</v>
      </c>
      <c r="H6" s="12">
        <v>0.61</v>
      </c>
      <c r="I6" s="36">
        <v>1.6</v>
      </c>
      <c r="J6" s="36">
        <v>1.65</v>
      </c>
      <c r="K6" s="36">
        <v>1.23</v>
      </c>
      <c r="L6" s="36">
        <v>1.1499999999999999</v>
      </c>
      <c r="M6" s="32">
        <v>1.27</v>
      </c>
    </row>
    <row r="7" spans="1:13" x14ac:dyDescent="0.25">
      <c r="A7" s="31" t="s">
        <v>11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30">
        <v>0</v>
      </c>
      <c r="H7" s="12">
        <v>0.04</v>
      </c>
      <c r="I7" s="36">
        <v>0.01</v>
      </c>
      <c r="J7" s="36">
        <v>-7.0000000000000007E-2</v>
      </c>
      <c r="K7" s="36">
        <v>-0.13</v>
      </c>
      <c r="L7" s="36">
        <v>0.01</v>
      </c>
      <c r="M7" s="32">
        <v>0.28000000000000003</v>
      </c>
    </row>
    <row r="8" spans="1:13" x14ac:dyDescent="0.25">
      <c r="A8" s="31" t="s">
        <v>12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30">
        <v>0</v>
      </c>
      <c r="H8" s="12">
        <v>0.7</v>
      </c>
      <c r="I8" s="36">
        <v>1.42</v>
      </c>
      <c r="J8" s="36">
        <v>1.43</v>
      </c>
      <c r="K8" s="36">
        <v>1.27</v>
      </c>
      <c r="L8" s="36">
        <v>1.24</v>
      </c>
      <c r="M8" s="32">
        <v>1.31</v>
      </c>
    </row>
    <row r="9" spans="1:13" x14ac:dyDescent="0.25">
      <c r="A9" s="31" t="s">
        <v>32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30">
        <v>0</v>
      </c>
      <c r="H9" s="12">
        <v>1.7</v>
      </c>
      <c r="I9" s="36">
        <v>1.82</v>
      </c>
      <c r="J9" s="36">
        <v>1.92</v>
      </c>
      <c r="K9" s="36">
        <v>2.04</v>
      </c>
      <c r="L9" s="36">
        <v>2.06</v>
      </c>
      <c r="M9" s="32">
        <v>2.27</v>
      </c>
    </row>
    <row r="10" spans="1:13" x14ac:dyDescent="0.25">
      <c r="A10" s="31" t="s">
        <v>33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30">
        <v>0</v>
      </c>
      <c r="H10" s="12">
        <v>0.75</v>
      </c>
      <c r="I10" s="36">
        <v>0.14000000000000001</v>
      </c>
      <c r="J10" s="36">
        <v>0.02</v>
      </c>
      <c r="K10" s="36">
        <v>0.03</v>
      </c>
      <c r="L10" s="36">
        <v>0</v>
      </c>
      <c r="M10" s="32">
        <v>0</v>
      </c>
    </row>
    <row r="11" spans="1:13" x14ac:dyDescent="0.25">
      <c r="A11" s="31" t="s">
        <v>34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30">
        <v>0</v>
      </c>
      <c r="H11" s="12">
        <v>0.04</v>
      </c>
      <c r="I11" s="36">
        <v>0.21</v>
      </c>
      <c r="J11" s="36">
        <v>0.34</v>
      </c>
      <c r="K11" s="36">
        <v>0.35</v>
      </c>
      <c r="L11" s="36">
        <v>0.14000000000000001</v>
      </c>
      <c r="M11" s="32">
        <v>-0.18</v>
      </c>
    </row>
    <row r="12" spans="1:13" x14ac:dyDescent="0.25">
      <c r="A12" s="31" t="s">
        <v>35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30">
        <v>0</v>
      </c>
      <c r="H12" s="12">
        <v>0.04</v>
      </c>
      <c r="I12" s="36">
        <v>0.2</v>
      </c>
      <c r="J12" s="36">
        <v>0.33</v>
      </c>
      <c r="K12" s="36">
        <v>0.34</v>
      </c>
      <c r="L12" s="36">
        <v>0.12</v>
      </c>
      <c r="M12" s="32">
        <v>-0.19</v>
      </c>
    </row>
    <row r="13" spans="1:13" x14ac:dyDescent="0.25">
      <c r="A13" s="31" t="s">
        <v>36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30">
        <v>0</v>
      </c>
      <c r="H13" s="12">
        <v>0.04</v>
      </c>
      <c r="I13" s="36">
        <v>0.26</v>
      </c>
      <c r="J13" s="36">
        <v>0.41</v>
      </c>
      <c r="K13" s="36">
        <v>0.41</v>
      </c>
      <c r="L13" s="36">
        <v>0.17</v>
      </c>
      <c r="M13" s="32">
        <v>-0.22</v>
      </c>
    </row>
    <row r="14" spans="1:13" x14ac:dyDescent="0.25">
      <c r="A14" s="31" t="s">
        <v>37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30">
        <v>0</v>
      </c>
      <c r="H14" s="12">
        <v>0.03</v>
      </c>
      <c r="I14" s="36">
        <v>0.18</v>
      </c>
      <c r="J14" s="36">
        <v>0.32</v>
      </c>
      <c r="K14" s="36">
        <v>0.35</v>
      </c>
      <c r="L14" s="36">
        <v>0.13</v>
      </c>
      <c r="M14" s="32">
        <v>-0.17</v>
      </c>
    </row>
    <row r="15" spans="1:13" x14ac:dyDescent="0.25">
      <c r="A15" s="31" t="s">
        <v>38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30">
        <v>0</v>
      </c>
      <c r="H15" s="12">
        <v>0.02</v>
      </c>
      <c r="I15" s="36">
        <v>0.14000000000000001</v>
      </c>
      <c r="J15" s="36">
        <v>0.26</v>
      </c>
      <c r="K15" s="36">
        <v>0.31</v>
      </c>
      <c r="L15" s="36">
        <v>0.12</v>
      </c>
      <c r="M15" s="32">
        <v>-0.15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2">
        <v>0.05</v>
      </c>
      <c r="I16" s="36">
        <v>0.17</v>
      </c>
      <c r="J16" s="36">
        <v>0.27</v>
      </c>
      <c r="K16" s="36">
        <v>0.3</v>
      </c>
      <c r="L16" s="36">
        <v>0.11</v>
      </c>
      <c r="M16" s="32">
        <v>-0.13</v>
      </c>
    </row>
    <row r="17" spans="1:13" x14ac:dyDescent="0.25">
      <c r="A17" s="31" t="s">
        <v>40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30">
        <v>0</v>
      </c>
      <c r="H17" s="12">
        <v>0.05</v>
      </c>
      <c r="I17" s="36">
        <v>0.09</v>
      </c>
      <c r="J17" s="36">
        <v>0.09</v>
      </c>
      <c r="K17" s="36">
        <v>0.05</v>
      </c>
      <c r="L17" s="36">
        <v>-0.16</v>
      </c>
      <c r="M17" s="32">
        <v>-0.25</v>
      </c>
    </row>
    <row r="18" spans="1:13" x14ac:dyDescent="0.25">
      <c r="A18" s="31" t="s">
        <v>16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30">
        <v>0</v>
      </c>
      <c r="H18" s="12">
        <v>0.01</v>
      </c>
      <c r="I18" s="36">
        <v>-0.16</v>
      </c>
      <c r="J18" s="36">
        <v>-0.32</v>
      </c>
      <c r="K18" s="36">
        <v>-0.35</v>
      </c>
      <c r="L18" s="36">
        <v>-0.33</v>
      </c>
      <c r="M18" s="32">
        <v>-0.03</v>
      </c>
    </row>
    <row r="19" spans="1:13" x14ac:dyDescent="0.25">
      <c r="A19" s="31" t="s">
        <v>41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30">
        <v>0</v>
      </c>
      <c r="H19" s="12">
        <v>24</v>
      </c>
      <c r="I19" s="36">
        <v>109</v>
      </c>
      <c r="J19" s="36">
        <v>174</v>
      </c>
      <c r="K19" s="36">
        <v>184</v>
      </c>
      <c r="L19" s="36">
        <v>181</v>
      </c>
      <c r="M19" s="32">
        <v>200</v>
      </c>
    </row>
    <row r="20" spans="1:13" x14ac:dyDescent="0.25">
      <c r="A20" s="31" t="s">
        <v>42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30">
        <v>0</v>
      </c>
      <c r="H20" s="12">
        <v>-0.1</v>
      </c>
      <c r="I20" s="36">
        <v>-0.45</v>
      </c>
      <c r="J20" s="36">
        <v>-0.72</v>
      </c>
      <c r="K20" s="36">
        <v>-0.77</v>
      </c>
      <c r="L20" s="36">
        <v>-0.75</v>
      </c>
      <c r="M20" s="32">
        <v>-0.83</v>
      </c>
    </row>
    <row r="21" spans="1:13" x14ac:dyDescent="0.25">
      <c r="A21" s="31" t="s">
        <v>43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30">
        <v>0</v>
      </c>
      <c r="H21" s="12">
        <v>-0.21</v>
      </c>
      <c r="I21" s="36">
        <v>-0.44</v>
      </c>
      <c r="J21" s="36">
        <v>-0.47</v>
      </c>
      <c r="K21" s="36">
        <v>-0.44</v>
      </c>
      <c r="L21" s="36">
        <v>-0.38</v>
      </c>
      <c r="M21" s="32">
        <v>-0.33</v>
      </c>
    </row>
    <row r="22" spans="1:13" x14ac:dyDescent="0.25">
      <c r="A22" s="31" t="s">
        <v>44</v>
      </c>
      <c r="B22" s="29">
        <v>0</v>
      </c>
      <c r="C22" s="29">
        <v>0</v>
      </c>
      <c r="D22" s="29">
        <v>0</v>
      </c>
      <c r="E22" s="29">
        <v>0</v>
      </c>
      <c r="F22" s="29">
        <v>0</v>
      </c>
      <c r="G22" s="30">
        <v>0</v>
      </c>
      <c r="H22" s="12">
        <v>-0.81</v>
      </c>
      <c r="I22" s="36">
        <v>-0.5</v>
      </c>
      <c r="J22" s="36">
        <v>-0.42</v>
      </c>
      <c r="K22" s="36">
        <v>-0.51</v>
      </c>
      <c r="L22" s="36">
        <v>-0.5</v>
      </c>
      <c r="M22" s="32">
        <v>-0.43</v>
      </c>
    </row>
    <row r="23" spans="1:13" x14ac:dyDescent="0.25">
      <c r="A23" s="40"/>
      <c r="B23" s="40"/>
      <c r="C23" s="40"/>
      <c r="D23" s="40"/>
      <c r="E23" s="40"/>
      <c r="F23" s="40"/>
      <c r="G23" s="40"/>
      <c r="I23" s="40"/>
    </row>
    <row r="24" spans="1:13" x14ac:dyDescent="0.25">
      <c r="A24" s="40"/>
      <c r="B24" s="40"/>
      <c r="C24" s="40"/>
      <c r="D24" s="40"/>
      <c r="E24" s="40"/>
      <c r="F24" s="40"/>
      <c r="G24" s="40"/>
    </row>
    <row r="26" spans="1:13" ht="30" x14ac:dyDescent="0.25">
      <c r="A26" s="34" t="s">
        <v>84</v>
      </c>
      <c r="B26" s="66" t="s">
        <v>89</v>
      </c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</row>
    <row r="27" spans="1:13" x14ac:dyDescent="0.25">
      <c r="A27" s="38"/>
      <c r="B27" s="46" t="s">
        <v>45</v>
      </c>
      <c r="C27" s="46"/>
      <c r="D27" s="46"/>
      <c r="E27" s="46"/>
      <c r="F27" s="46"/>
      <c r="G27" s="47"/>
      <c r="H27" s="48" t="s">
        <v>46</v>
      </c>
      <c r="I27" s="49"/>
      <c r="J27" s="49"/>
      <c r="K27" s="49"/>
      <c r="L27" s="49"/>
      <c r="M27" s="50"/>
    </row>
    <row r="28" spans="1:13" x14ac:dyDescent="0.25">
      <c r="A28" s="39"/>
      <c r="B28" s="9" t="s">
        <v>60</v>
      </c>
      <c r="C28" s="9" t="s">
        <v>61</v>
      </c>
      <c r="D28" s="9" t="s">
        <v>62</v>
      </c>
      <c r="E28" s="9" t="s">
        <v>63</v>
      </c>
      <c r="F28" s="9" t="s">
        <v>64</v>
      </c>
      <c r="G28" s="11" t="s">
        <v>65</v>
      </c>
      <c r="H28" s="24" t="s">
        <v>60</v>
      </c>
      <c r="I28" s="10" t="s">
        <v>61</v>
      </c>
      <c r="J28" s="10" t="s">
        <v>66</v>
      </c>
      <c r="K28" s="10" t="s">
        <v>63</v>
      </c>
      <c r="L28" s="10" t="s">
        <v>64</v>
      </c>
      <c r="M28" s="25" t="s">
        <v>65</v>
      </c>
    </row>
    <row r="29" spans="1:13" x14ac:dyDescent="0.25">
      <c r="A29" s="31" t="s">
        <v>53</v>
      </c>
      <c r="B29" s="29">
        <f t="array" ref="B29:G47">TRANSPOSE(INCT1!$B$3:$T$8)</f>
        <v>0</v>
      </c>
      <c r="C29" s="29">
        <v>0</v>
      </c>
      <c r="D29" s="29">
        <v>0</v>
      </c>
      <c r="E29" s="29">
        <v>0</v>
      </c>
      <c r="F29" s="29">
        <v>0</v>
      </c>
      <c r="G29" s="30">
        <v>0</v>
      </c>
      <c r="H29" s="12">
        <v>0.41</v>
      </c>
      <c r="I29" s="36">
        <v>0.83</v>
      </c>
      <c r="J29" s="36">
        <v>0.88</v>
      </c>
      <c r="K29" s="36">
        <v>0.81</v>
      </c>
      <c r="L29" s="36">
        <v>0.87</v>
      </c>
      <c r="M29" s="32">
        <v>1.05</v>
      </c>
    </row>
    <row r="30" spans="1:13" x14ac:dyDescent="0.25">
      <c r="A30" s="31" t="s">
        <v>57</v>
      </c>
      <c r="B30" s="29">
        <v>0</v>
      </c>
      <c r="C30" s="29">
        <v>0</v>
      </c>
      <c r="D30" s="29">
        <v>0</v>
      </c>
      <c r="E30" s="29">
        <v>0</v>
      </c>
      <c r="F30" s="29">
        <v>0</v>
      </c>
      <c r="G30" s="30">
        <v>0</v>
      </c>
      <c r="H30" s="12">
        <v>0.81</v>
      </c>
      <c r="I30" s="36">
        <v>1.66</v>
      </c>
      <c r="J30" s="36">
        <v>1.9</v>
      </c>
      <c r="K30" s="36">
        <v>2.0099999999999998</v>
      </c>
      <c r="L30" s="36">
        <v>2.06</v>
      </c>
      <c r="M30" s="32">
        <v>2.27</v>
      </c>
    </row>
    <row r="31" spans="1:13" x14ac:dyDescent="0.25">
      <c r="A31" s="31" t="s">
        <v>54</v>
      </c>
      <c r="B31" s="29">
        <v>0</v>
      </c>
      <c r="C31" s="29">
        <v>0</v>
      </c>
      <c r="D31" s="29">
        <v>0</v>
      </c>
      <c r="E31" s="29">
        <v>0</v>
      </c>
      <c r="F31" s="29">
        <v>0</v>
      </c>
      <c r="G31" s="30">
        <v>0</v>
      </c>
      <c r="H31" s="12">
        <v>0.61</v>
      </c>
      <c r="I31" s="36">
        <v>1.6</v>
      </c>
      <c r="J31" s="36">
        <v>1.65</v>
      </c>
      <c r="K31" s="36">
        <v>1.23</v>
      </c>
      <c r="L31" s="36">
        <v>1.1499999999999999</v>
      </c>
      <c r="M31" s="32">
        <v>1.27</v>
      </c>
    </row>
    <row r="32" spans="1:13" x14ac:dyDescent="0.25">
      <c r="A32" s="31" t="s">
        <v>55</v>
      </c>
      <c r="B32" s="29">
        <v>0</v>
      </c>
      <c r="C32" s="29">
        <v>0</v>
      </c>
      <c r="D32" s="29">
        <v>0</v>
      </c>
      <c r="E32" s="29">
        <v>0</v>
      </c>
      <c r="F32" s="29">
        <v>0</v>
      </c>
      <c r="G32" s="30">
        <v>0</v>
      </c>
      <c r="H32" s="12">
        <v>0.04</v>
      </c>
      <c r="I32" s="36">
        <v>0.01</v>
      </c>
      <c r="J32" s="36">
        <v>-7.0000000000000007E-2</v>
      </c>
      <c r="K32" s="36">
        <v>-0.13</v>
      </c>
      <c r="L32" s="36">
        <v>0.01</v>
      </c>
      <c r="M32" s="32">
        <v>0.28000000000000003</v>
      </c>
    </row>
    <row r="33" spans="1:13" x14ac:dyDescent="0.25">
      <c r="A33" s="31" t="s">
        <v>56</v>
      </c>
      <c r="B33" s="29">
        <v>0</v>
      </c>
      <c r="C33" s="29">
        <v>0</v>
      </c>
      <c r="D33" s="29">
        <v>0</v>
      </c>
      <c r="E33" s="29">
        <v>0</v>
      </c>
      <c r="F33" s="29">
        <v>0</v>
      </c>
      <c r="G33" s="30">
        <v>0</v>
      </c>
      <c r="H33" s="12">
        <v>0.7</v>
      </c>
      <c r="I33" s="36">
        <v>1.42</v>
      </c>
      <c r="J33" s="36">
        <v>1.43</v>
      </c>
      <c r="K33" s="36">
        <v>1.27</v>
      </c>
      <c r="L33" s="36">
        <v>1.24</v>
      </c>
      <c r="M33" s="32">
        <v>1.31</v>
      </c>
    </row>
    <row r="34" spans="1:13" x14ac:dyDescent="0.25">
      <c r="A34" s="31" t="s">
        <v>58</v>
      </c>
      <c r="B34" s="29">
        <v>0</v>
      </c>
      <c r="C34" s="29">
        <v>0</v>
      </c>
      <c r="D34" s="29">
        <v>0</v>
      </c>
      <c r="E34" s="29">
        <v>0</v>
      </c>
      <c r="F34" s="29">
        <v>0</v>
      </c>
      <c r="G34" s="30">
        <v>0</v>
      </c>
      <c r="H34" s="12">
        <v>1.7</v>
      </c>
      <c r="I34" s="36">
        <v>1.82</v>
      </c>
      <c r="J34" s="36">
        <v>1.92</v>
      </c>
      <c r="K34" s="36">
        <v>2.04</v>
      </c>
      <c r="L34" s="36">
        <v>2.06</v>
      </c>
      <c r="M34" s="32">
        <v>2.27</v>
      </c>
    </row>
    <row r="35" spans="1:13" x14ac:dyDescent="0.25">
      <c r="A35" s="31" t="s">
        <v>59</v>
      </c>
      <c r="B35" s="29">
        <v>0</v>
      </c>
      <c r="C35" s="29">
        <v>0</v>
      </c>
      <c r="D35" s="29">
        <v>0</v>
      </c>
      <c r="E35" s="29">
        <v>0</v>
      </c>
      <c r="F35" s="29">
        <v>0</v>
      </c>
      <c r="G35" s="30">
        <v>0</v>
      </c>
      <c r="H35" s="12">
        <v>0.75</v>
      </c>
      <c r="I35" s="36">
        <v>0.14000000000000001</v>
      </c>
      <c r="J35" s="36">
        <v>0.02</v>
      </c>
      <c r="K35" s="36">
        <v>0.03</v>
      </c>
      <c r="L35" s="36">
        <v>0</v>
      </c>
      <c r="M35" s="32">
        <v>0</v>
      </c>
    </row>
    <row r="36" spans="1:13" x14ac:dyDescent="0.25">
      <c r="A36" s="31" t="s">
        <v>70</v>
      </c>
      <c r="B36" s="29">
        <v>0</v>
      </c>
      <c r="C36" s="29">
        <v>0</v>
      </c>
      <c r="D36" s="29">
        <v>0</v>
      </c>
      <c r="E36" s="29">
        <v>0</v>
      </c>
      <c r="F36" s="29">
        <v>0</v>
      </c>
      <c r="G36" s="30">
        <v>0</v>
      </c>
      <c r="H36" s="12">
        <v>0.04</v>
      </c>
      <c r="I36" s="36">
        <v>0.21</v>
      </c>
      <c r="J36" s="36">
        <v>0.34</v>
      </c>
      <c r="K36" s="36">
        <v>0.35</v>
      </c>
      <c r="L36" s="36">
        <v>0.14000000000000001</v>
      </c>
      <c r="M36" s="32">
        <v>-0.18</v>
      </c>
    </row>
    <row r="37" spans="1:13" x14ac:dyDescent="0.25">
      <c r="A37" s="31" t="s">
        <v>71</v>
      </c>
      <c r="B37" s="29">
        <v>0</v>
      </c>
      <c r="C37" s="29">
        <v>0</v>
      </c>
      <c r="D37" s="29">
        <v>0</v>
      </c>
      <c r="E37" s="29">
        <v>0</v>
      </c>
      <c r="F37" s="29">
        <v>0</v>
      </c>
      <c r="G37" s="30">
        <v>0</v>
      </c>
      <c r="H37" s="12">
        <v>0.04</v>
      </c>
      <c r="I37" s="36">
        <v>0.2</v>
      </c>
      <c r="J37" s="36">
        <v>0.33</v>
      </c>
      <c r="K37" s="36">
        <v>0.34</v>
      </c>
      <c r="L37" s="36">
        <v>0.12</v>
      </c>
      <c r="M37" s="32">
        <v>-0.19</v>
      </c>
    </row>
    <row r="38" spans="1:13" x14ac:dyDescent="0.25">
      <c r="A38" s="31" t="s">
        <v>72</v>
      </c>
      <c r="B38" s="29">
        <v>0</v>
      </c>
      <c r="C38" s="29">
        <v>0</v>
      </c>
      <c r="D38" s="29">
        <v>0</v>
      </c>
      <c r="E38" s="29">
        <v>0</v>
      </c>
      <c r="F38" s="29">
        <v>0</v>
      </c>
      <c r="G38" s="30">
        <v>0</v>
      </c>
      <c r="H38" s="12">
        <v>0.04</v>
      </c>
      <c r="I38" s="36">
        <v>0.26</v>
      </c>
      <c r="J38" s="36">
        <v>0.41</v>
      </c>
      <c r="K38" s="36">
        <v>0.41</v>
      </c>
      <c r="L38" s="36">
        <v>0.17</v>
      </c>
      <c r="M38" s="32">
        <v>-0.22</v>
      </c>
    </row>
    <row r="39" spans="1:13" x14ac:dyDescent="0.25">
      <c r="A39" s="31" t="s">
        <v>76</v>
      </c>
      <c r="B39" s="29">
        <v>0</v>
      </c>
      <c r="C39" s="29">
        <v>0</v>
      </c>
      <c r="D39" s="29">
        <v>0</v>
      </c>
      <c r="E39" s="29">
        <v>0</v>
      </c>
      <c r="F39" s="29">
        <v>0</v>
      </c>
      <c r="G39" s="30">
        <v>0</v>
      </c>
      <c r="H39" s="12">
        <v>0.03</v>
      </c>
      <c r="I39" s="36">
        <v>0.18</v>
      </c>
      <c r="J39" s="36">
        <v>0.32</v>
      </c>
      <c r="K39" s="36">
        <v>0.35</v>
      </c>
      <c r="L39" s="36">
        <v>0.13</v>
      </c>
      <c r="M39" s="32">
        <v>-0.17</v>
      </c>
    </row>
    <row r="40" spans="1:13" x14ac:dyDescent="0.25">
      <c r="A40" s="31" t="s">
        <v>68</v>
      </c>
      <c r="B40" s="29">
        <v>0</v>
      </c>
      <c r="C40" s="29">
        <v>0</v>
      </c>
      <c r="D40" s="29">
        <v>0</v>
      </c>
      <c r="E40" s="29">
        <v>0</v>
      </c>
      <c r="F40" s="29">
        <v>0</v>
      </c>
      <c r="G40" s="30">
        <v>0</v>
      </c>
      <c r="H40" s="12">
        <v>0.02</v>
      </c>
      <c r="I40" s="36">
        <v>0.14000000000000001</v>
      </c>
      <c r="J40" s="36">
        <v>0.26</v>
      </c>
      <c r="K40" s="36">
        <v>0.31</v>
      </c>
      <c r="L40" s="36">
        <v>0.12</v>
      </c>
      <c r="M40" s="32">
        <v>-0.15</v>
      </c>
    </row>
    <row r="41" spans="1:13" x14ac:dyDescent="0.25">
      <c r="A41" s="31" t="s">
        <v>69</v>
      </c>
      <c r="B41" s="29">
        <v>0</v>
      </c>
      <c r="C41" s="29">
        <v>0</v>
      </c>
      <c r="D41" s="29">
        <v>0</v>
      </c>
      <c r="E41" s="29">
        <v>0</v>
      </c>
      <c r="F41" s="29">
        <v>0</v>
      </c>
      <c r="G41" s="30">
        <v>0</v>
      </c>
      <c r="H41" s="12">
        <v>0.05</v>
      </c>
      <c r="I41" s="36">
        <v>0.17</v>
      </c>
      <c r="J41" s="36">
        <v>0.27</v>
      </c>
      <c r="K41" s="36">
        <v>0.3</v>
      </c>
      <c r="L41" s="36">
        <v>0.11</v>
      </c>
      <c r="M41" s="32">
        <v>-0.13</v>
      </c>
    </row>
    <row r="42" spans="1:13" x14ac:dyDescent="0.25">
      <c r="A42" s="31" t="s">
        <v>73</v>
      </c>
      <c r="B42" s="29">
        <v>0</v>
      </c>
      <c r="C42" s="29">
        <v>0</v>
      </c>
      <c r="D42" s="29">
        <v>0</v>
      </c>
      <c r="E42" s="29">
        <v>0</v>
      </c>
      <c r="F42" s="29">
        <v>0</v>
      </c>
      <c r="G42" s="30">
        <v>0</v>
      </c>
      <c r="H42" s="12">
        <v>0.05</v>
      </c>
      <c r="I42" s="36">
        <v>0.09</v>
      </c>
      <c r="J42" s="36">
        <v>0.09</v>
      </c>
      <c r="K42" s="36">
        <v>0.05</v>
      </c>
      <c r="L42" s="36">
        <v>-0.16</v>
      </c>
      <c r="M42" s="32">
        <v>-0.25</v>
      </c>
    </row>
    <row r="43" spans="1:13" x14ac:dyDescent="0.25">
      <c r="A43" s="31" t="s">
        <v>74</v>
      </c>
      <c r="B43" s="29">
        <v>0</v>
      </c>
      <c r="C43" s="29">
        <v>0</v>
      </c>
      <c r="D43" s="29">
        <v>0</v>
      </c>
      <c r="E43" s="29">
        <v>0</v>
      </c>
      <c r="F43" s="29">
        <v>0</v>
      </c>
      <c r="G43" s="30">
        <v>0</v>
      </c>
      <c r="H43" s="12">
        <v>0.01</v>
      </c>
      <c r="I43" s="36">
        <v>-0.16</v>
      </c>
      <c r="J43" s="36">
        <v>-0.32</v>
      </c>
      <c r="K43" s="36">
        <v>-0.35</v>
      </c>
      <c r="L43" s="36">
        <v>-0.33</v>
      </c>
      <c r="M43" s="32">
        <v>-0.03</v>
      </c>
    </row>
    <row r="44" spans="1:13" x14ac:dyDescent="0.25">
      <c r="A44" s="31" t="s">
        <v>77</v>
      </c>
      <c r="B44" s="29">
        <v>0</v>
      </c>
      <c r="C44" s="29">
        <v>0</v>
      </c>
      <c r="D44" s="29">
        <v>0</v>
      </c>
      <c r="E44" s="29">
        <v>0</v>
      </c>
      <c r="F44" s="29">
        <v>0</v>
      </c>
      <c r="G44" s="30">
        <v>0</v>
      </c>
      <c r="H44" s="12">
        <v>24</v>
      </c>
      <c r="I44" s="36">
        <v>109</v>
      </c>
      <c r="J44" s="36">
        <v>174</v>
      </c>
      <c r="K44" s="36">
        <v>184</v>
      </c>
      <c r="L44" s="36">
        <v>181</v>
      </c>
      <c r="M44" s="32">
        <v>200</v>
      </c>
    </row>
    <row r="45" spans="1:13" x14ac:dyDescent="0.25">
      <c r="A45" s="31" t="s">
        <v>75</v>
      </c>
      <c r="B45" s="29">
        <v>0</v>
      </c>
      <c r="C45" s="29">
        <v>0</v>
      </c>
      <c r="D45" s="29">
        <v>0</v>
      </c>
      <c r="E45" s="29">
        <v>0</v>
      </c>
      <c r="F45" s="29">
        <v>0</v>
      </c>
      <c r="G45" s="30">
        <v>0</v>
      </c>
      <c r="H45" s="12">
        <v>-0.1</v>
      </c>
      <c r="I45" s="36">
        <v>-0.45</v>
      </c>
      <c r="J45" s="36">
        <v>-0.72</v>
      </c>
      <c r="K45" s="36">
        <v>-0.77</v>
      </c>
      <c r="L45" s="36">
        <v>-0.75</v>
      </c>
      <c r="M45" s="32">
        <v>-0.83</v>
      </c>
    </row>
    <row r="46" spans="1:13" x14ac:dyDescent="0.25">
      <c r="A46" s="31" t="s">
        <v>78</v>
      </c>
      <c r="B46" s="29">
        <v>0</v>
      </c>
      <c r="C46" s="29">
        <v>0</v>
      </c>
      <c r="D46" s="29">
        <v>0</v>
      </c>
      <c r="E46" s="29">
        <v>0</v>
      </c>
      <c r="F46" s="29">
        <v>0</v>
      </c>
      <c r="G46" s="30">
        <v>0</v>
      </c>
      <c r="H46" s="12">
        <v>-0.21</v>
      </c>
      <c r="I46" s="36">
        <v>-0.44</v>
      </c>
      <c r="J46" s="36">
        <v>-0.47</v>
      </c>
      <c r="K46" s="36">
        <v>-0.44</v>
      </c>
      <c r="L46" s="36">
        <v>-0.38</v>
      </c>
      <c r="M46" s="32">
        <v>-0.33</v>
      </c>
    </row>
    <row r="47" spans="1:13" x14ac:dyDescent="0.25">
      <c r="A47" s="45" t="s">
        <v>79</v>
      </c>
      <c r="B47" s="29">
        <v>0</v>
      </c>
      <c r="C47" s="29">
        <v>0</v>
      </c>
      <c r="D47" s="29">
        <v>0</v>
      </c>
      <c r="E47" s="29">
        <v>0</v>
      </c>
      <c r="F47" s="29">
        <v>0</v>
      </c>
      <c r="G47" s="30">
        <v>0</v>
      </c>
      <c r="H47" s="12">
        <v>-0.81</v>
      </c>
      <c r="I47" s="36">
        <v>-0.5</v>
      </c>
      <c r="J47" s="36">
        <v>-0.42</v>
      </c>
      <c r="K47" s="36">
        <v>-0.51</v>
      </c>
      <c r="L47" s="36">
        <v>-0.5</v>
      </c>
      <c r="M47" s="32">
        <v>-0.43</v>
      </c>
    </row>
    <row r="51" spans="1:1" x14ac:dyDescent="0.25">
      <c r="A51" s="37" t="str">
        <f>"\textbf{"&amp;A29&amp;"} &amp; "&amp;TEXT(B29,formatResults)&amp;" &amp; "&amp;TEXT(C29,formatResults)&amp;" &amp; "&amp;TEXT(D29,formatResults)&amp;" &amp; "&amp;TEXT(E29,formatResults)&amp;" &amp; "&amp;TEXT(F29,formatResults)&amp;" &amp; "&amp;TEXT(G29,formatResults)&amp;" \\"</f>
        <v>\textbf{GDP in value} &amp; 0.00 &amp; 0.00 &amp; 0.00 &amp; 0.00 &amp; 0.00 &amp; 0.00 \\</v>
      </c>
    </row>
    <row r="52" spans="1:1" x14ac:dyDescent="0.25">
      <c r="A52" s="37" t="str">
        <f>"\textbf{"&amp;A30&amp;"} &amp; "&amp;TEXT(B30,formatResults)&amp;" &amp; "&amp;TEXT(C30,formatResults)&amp;" &amp; "&amp;TEXT(D30,formatResults)&amp;" &amp; "&amp;TEXT(E30,formatResults)&amp;" &amp; "&amp;TEXT(F30,formatResults)&amp;" &amp; "&amp;TEXT(G30,formatResults)&amp;" \\"</f>
        <v>\textbf{Household consumption} &amp; 0.00 &amp; 0.00 &amp; 0.00 &amp; 0.00 &amp; 0.00 &amp; 0.00 \\</v>
      </c>
    </row>
    <row r="53" spans="1:1" x14ac:dyDescent="0.25">
      <c r="A53" s="37" t="str">
        <f>"\textbf{"&amp;A31&amp;"} &amp; "&amp;TEXT(B31,formatResults)&amp;" &amp; "&amp;TEXT(C31,formatResults)&amp;" &amp; "&amp;TEXT(D31,formatResults)&amp;" &amp; "&amp;TEXT(E31,formatResults)&amp;" &amp; "&amp;TEXT(F31,formatResults)&amp;" &amp; "&amp;TEXT(G31,formatResults)&amp;" \\"</f>
        <v>\textbf{Investment} &amp; 0.00 &amp; 0.00 &amp; 0.00 &amp; 0.00 &amp; 0.00 &amp; 0.00 \\</v>
      </c>
    </row>
    <row r="54" spans="1:1" x14ac:dyDescent="0.25">
      <c r="A54" s="37" t="str">
        <f>"\textbf{"&amp;A32&amp;"} &amp; "&amp;TEXT(B32,formatResults)&amp;" &amp; "&amp;TEXT(C32,formatResults)&amp;" &amp; "&amp;TEXT(D32,formatResults)&amp;" &amp; "&amp;TEXT(E32,formatResults)&amp;" &amp; "&amp;TEXT(F32,formatResults)&amp;" &amp; "&amp;TEXT(G32,formatResults)&amp;" \\"</f>
        <v>\textbf{Exports} &amp; 0.00 &amp; 0.00 &amp; 0.00 &amp; 0.00 &amp; 0.00 &amp; 0.00 \\</v>
      </c>
    </row>
    <row r="55" spans="1:1" x14ac:dyDescent="0.25">
      <c r="A55" s="37" t="str">
        <f>"\textbf{"&amp;A33&amp;"} &amp; "&amp;TEXT(B33,formatResults)&amp;" &amp; "&amp;TEXT(C33,formatResults)&amp;" &amp; "&amp;TEXT(D33,formatResults)&amp;" &amp; "&amp;TEXT(E33,formatResults)&amp;" &amp; "&amp;TEXT(F33,formatResults)&amp;" &amp; "&amp;TEXT(G33,formatResults)&amp;" \\"</f>
        <v>\textbf{Imports} &amp; 0.00 &amp; 0.00 &amp; 0.00 &amp; 0.00 &amp; 0.00 &amp; 0.00 \\</v>
      </c>
    </row>
    <row r="56" spans="1:1" x14ac:dyDescent="0.25">
      <c r="A56" s="37" t="str">
        <f>"\textbf{"&amp;A34&amp;"} &amp; "&amp;TEXT(B34,formatResults)&amp;" &amp; "&amp;TEXT(C34,formatResults)&amp;" &amp; "&amp;TEXT(D34,formatResults)&amp;" &amp; "&amp;TEXT(E34,formatResults)&amp;" &amp; "&amp;TEXT(F34,formatResults)&amp;" &amp; "&amp;TEXT(G34,formatResults)&amp;" \\"</f>
        <v>\textbf{Household disposable income } &amp; 0.00 &amp; 0.00 &amp; 0.00 &amp; 0.00 &amp; 0.00 &amp; 0.00 \\</v>
      </c>
    </row>
    <row r="57" spans="1:1" x14ac:dyDescent="0.25">
      <c r="A57" s="37" t="str">
        <f>"\textbf{"&amp;A35&amp;"} &amp; "&amp;TEXT(B35,formatResults)&amp;" &amp; "&amp;TEXT(C35,formatResults)&amp;" &amp; "&amp;TEXT(D35,formatResults)&amp;" &amp; "&amp;TEXT(E35,formatResults)&amp;" &amp; "&amp;TEXT(F35,formatResults)&amp;" &amp; "&amp;TEXT(G35,formatResults)&amp;" \\"</f>
        <v>\textbf{Saving rate} &amp; 0.00 &amp; 0.00 &amp; 0.00 &amp; 0.00 &amp; 0.00 &amp; 0.00 \\</v>
      </c>
    </row>
    <row r="58" spans="1:1" x14ac:dyDescent="0.25">
      <c r="A58" s="37" t="str">
        <f>"\textbf{"&amp;A36&amp;"} &amp; "&amp;TEXT(B36,formatResults)&amp;" &amp; "&amp;TEXT(C36,formatResults)&amp;" &amp; "&amp;TEXT(D36,formatResults)&amp;" &amp; "&amp;TEXT(E36,formatResults)&amp;" &amp; "&amp;TEXT(F36,formatResults)&amp;" &amp; "&amp;TEXT(G36,formatResults)&amp;" \\"</f>
        <v>\textbf{Household consumption price index} &amp; 0.00 &amp; 0.00 &amp; 0.00 &amp; 0.00 &amp; 0.00 &amp; 0.00 \\</v>
      </c>
    </row>
    <row r="59" spans="1:1" x14ac:dyDescent="0.25">
      <c r="A59" s="37" t="str">
        <f>"\textbf{"&amp;A37&amp;"} &amp; "&amp;TEXT(B37,formatResults)&amp;" &amp; "&amp;TEXT(C37,formatResults)&amp;" &amp; "&amp;TEXT(D37,formatResults)&amp;" &amp; "&amp;TEXT(E37,formatResults)&amp;" &amp; "&amp;TEXT(F37,formatResults)&amp;" &amp; "&amp;TEXT(G37,formatResults)&amp;" \\"</f>
        <v>\textbf{Production price index} &amp; 0.00 &amp; 0.00 &amp; 0.00 &amp; 0.00 &amp; 0.00 &amp; 0.00 \\</v>
      </c>
    </row>
    <row r="60" spans="1:1" x14ac:dyDescent="0.25">
      <c r="A60" s="37" t="str">
        <f>"\textbf{"&amp;A38&amp;"} &amp; "&amp;TEXT(B38,formatResults)&amp;" &amp; "&amp;TEXT(C38,formatResults)&amp;" &amp; "&amp;TEXT(D38,formatResults)&amp;" &amp; "&amp;TEXT(E38,formatResults)&amp;" &amp; "&amp;TEXT(F38,formatResults)&amp;" &amp; "&amp;TEXT(G38,formatResults)&amp;" \\"</f>
        <v>\textbf{Added value price index} &amp; 0.00 &amp; 0.00 &amp; 0.00 &amp; 0.00 &amp; 0.00 &amp; 0.00 \\</v>
      </c>
    </row>
    <row r="61" spans="1:1" x14ac:dyDescent="0.25">
      <c r="A61" s="37" t="str">
        <f>"\textbf{"&amp;A39&amp;"} &amp; "&amp;TEXT(B39,formatResults)&amp;" &amp; "&amp;TEXT(C39,formatResults)&amp;" &amp; "&amp;TEXT(D39,formatResults)&amp;" &amp; "&amp;TEXT(E39,formatResults)&amp;" &amp; "&amp;TEXT(F39,formatResults)&amp;" &amp; "&amp;TEXT(G39,formatResults)&amp;" \\"</f>
        <v>\textbf{Intermediate consumption price index} &amp; 0.00 &amp; 0.00 &amp; 0.00 &amp; 0.00 &amp; 0.00 &amp; 0.00 \\</v>
      </c>
    </row>
    <row r="62" spans="1:1" x14ac:dyDescent="0.25">
      <c r="A62" s="37" t="str">
        <f>"\textbf{"&amp;A40&amp;"} &amp; "&amp;TEXT(B40,formatResults)&amp;" &amp; "&amp;TEXT(C40,formatResults)&amp;" &amp; "&amp;TEXT(D40,formatResults)&amp;" &amp; "&amp;TEXT(E40,formatResults)&amp;" &amp; "&amp;TEXT(F40,formatResults)&amp;" &amp; "&amp;TEXT(G40,formatResults)&amp;" \\"</f>
        <v>\textbf{Export price index} &amp; 0.00 &amp; 0.00 &amp; 0.00 &amp; 0.00 &amp; 0.00 &amp; 0.00 \\</v>
      </c>
    </row>
    <row r="63" spans="1:1" x14ac:dyDescent="0.25">
      <c r="A63" s="37" t="str">
        <f>"\textbf{"&amp;A41&amp;"} &amp; "&amp;TEXT(B41,formatResults)&amp;" &amp; "&amp;TEXT(C41,formatResults)&amp;" &amp; "&amp;TEXT(D41,formatResults)&amp;" &amp; "&amp;TEXT(E41,formatResults)&amp;" &amp; "&amp;TEXT(F41,formatResults)&amp;" &amp; "&amp;TEXT(G41,formatResults)&amp;" \\"</f>
        <v>\textbf{Import price index} &amp; 0.00 &amp; 0.00 &amp; 0.00 &amp; 0.00 &amp; 0.00 &amp; 0.00 \\</v>
      </c>
    </row>
    <row r="64" spans="1:1" x14ac:dyDescent="0.25">
      <c r="A64" s="37" t="str">
        <f>"\textbf{"&amp;A42&amp;"} &amp; "&amp;TEXT(B42,formatResults)&amp;" &amp; "&amp;TEXT(C42,formatResults)&amp;" &amp; "&amp;TEXT(D42,formatResults)&amp;" &amp; "&amp;TEXT(E42,formatResults)&amp;" &amp; "&amp;TEXT(F42,formatResults)&amp;" &amp; "&amp;TEXT(G42,formatResults)&amp;" \\"</f>
        <v>\textbf{Gross nominal wage} &amp; 0.00 &amp; 0.00 &amp; 0.00 &amp; 0.00 &amp; 0.00 &amp; 0.00 \\</v>
      </c>
    </row>
    <row r="65" spans="1:1" x14ac:dyDescent="0.25">
      <c r="A65" s="37" t="str">
        <f>"\textbf{"&amp;A43&amp;"} &amp; "&amp;TEXT(B43,formatResults)&amp;" &amp; "&amp;TEXT(C43,formatResults)&amp;" &amp; "&amp;TEXT(D43,formatResults)&amp;" &amp; "&amp;TEXT(E43,formatResults)&amp;" &amp; "&amp;TEXT(F43,formatResults)&amp;" &amp; "&amp;TEXT(G43,formatResults)&amp;" \\"</f>
        <v>\textbf{Real cost of labor} &amp; 0.00 &amp; 0.00 &amp; 0.00 &amp; 0.00 &amp; 0.00 &amp; 0.00 \\</v>
      </c>
    </row>
    <row r="66" spans="1:1" x14ac:dyDescent="0.25">
      <c r="A66" s="37" t="str">
        <f>"\textbf{"&amp;A44&amp;"} &amp; "&amp;TEXT(B44,formatResults)&amp;" &amp; "&amp;TEXT(C44,formatResults)&amp;" &amp; "&amp;TEXT(D44,formatResults)&amp;" &amp; "&amp;TEXT(E44,formatResults)&amp;" &amp; "&amp;TEXT(F44,formatResults)&amp;" &amp; "&amp;TEXT(G44,formatResults)&amp;" \\"</f>
        <v>\textbf{Wage employment (in thousands)} &amp; 0.00 &amp; 0.00 &amp; 0.00 &amp; 0.00 &amp; 0.00 &amp; 0.00 \\</v>
      </c>
    </row>
    <row r="67" spans="1:1" x14ac:dyDescent="0.25">
      <c r="A67" s="37" t="str">
        <f>"\textbf{"&amp;A45&amp;"} &amp; "&amp;TEXT(B45,formatResults)&amp;" &amp; "&amp;TEXT(C45,formatResults)&amp;" &amp; "&amp;TEXT(D45,formatResults)&amp;" &amp; "&amp;TEXT(E45,formatResults)&amp;" &amp; "&amp;TEXT(F45,formatResults)&amp;" &amp; "&amp;TEXT(G45,formatResults)&amp;" \\"</f>
        <v>\textbf{Unemployment rate} &amp; 0.00 &amp; 0.00 &amp; 0.00 &amp; 0.00 &amp; 0.00 &amp; 0.00 \\</v>
      </c>
    </row>
    <row r="68" spans="1:1" x14ac:dyDescent="0.25">
      <c r="A68" s="37" t="str">
        <f>"\textbf{"&amp;A46&amp;"} &amp; "&amp;TEXT(B46,formatResults)&amp;" &amp; "&amp;TEXT(C46,formatResults)&amp;" &amp; "&amp;TEXT(D46,formatResults)&amp;" &amp; "&amp;TEXT(E46,formatResults)&amp;" &amp; "&amp;TEXT(F46,formatResults)&amp;" &amp; "&amp;TEXT(G46,formatResults)&amp;" \\"</f>
        <v>\textbf{Trade balance (in points of GDP)} &amp; 0.00 &amp; 0.00 &amp; 0.00 &amp; 0.00 &amp; 0.00 &amp; 0.00 \\</v>
      </c>
    </row>
    <row r="69" spans="1:1" x14ac:dyDescent="0.25">
      <c r="A69" s="37" t="str">
        <f>"\textbf{"&amp;A47&amp;"} &amp; "&amp;TEXT(B47,formatResults)&amp;" &amp; "&amp;TEXT(C47,formatResults)&amp;" &amp; "&amp;TEXT(D47,formatResults)&amp;" &amp; "&amp;TEXT(E47,formatResults)&amp;" &amp; "&amp;TEXT(F47,formatResults)&amp;" &amp; "&amp;TEXT(G47,formatResults)&amp;" \\"</f>
        <v>\textbf{Public budget balance (in points of GDP)} &amp; 0.00 &amp; 0.00 &amp; 0.00 &amp; 0.00 &amp; 0.00 &amp; 0.00 \\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/>
  <dimension ref="A1:M69"/>
  <sheetViews>
    <sheetView topLeftCell="A40" workbookViewId="0">
      <selection activeCell="I68" sqref="I68"/>
    </sheetView>
  </sheetViews>
  <sheetFormatPr baseColWidth="10" defaultRowHeight="15.75" x14ac:dyDescent="0.25"/>
  <cols>
    <col min="1" max="1" width="32.75" style="37" customWidth="1"/>
    <col min="2" max="16384" width="11" style="37"/>
  </cols>
  <sheetData>
    <row r="1" spans="1:13" ht="30" x14ac:dyDescent="0.25">
      <c r="A1" s="34" t="s">
        <v>50</v>
      </c>
      <c r="B1" s="65" t="s">
        <v>88</v>
      </c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</row>
    <row r="2" spans="1:13" x14ac:dyDescent="0.25">
      <c r="A2" s="41"/>
      <c r="B2" s="46" t="s">
        <v>45</v>
      </c>
      <c r="C2" s="46"/>
      <c r="D2" s="46"/>
      <c r="E2" s="46"/>
      <c r="F2" s="46"/>
      <c r="G2" s="47"/>
      <c r="H2" s="48" t="s">
        <v>46</v>
      </c>
      <c r="I2" s="49"/>
      <c r="J2" s="49"/>
      <c r="K2" s="49"/>
      <c r="L2" s="49"/>
      <c r="M2" s="50"/>
    </row>
    <row r="3" spans="1:13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TRANSPOSE('WD1'!$B$3:$T$8)</f>
        <v>0</v>
      </c>
      <c r="C4" s="29">
        <v>0</v>
      </c>
      <c r="D4" s="29">
        <v>0</v>
      </c>
      <c r="E4" s="29">
        <v>0</v>
      </c>
      <c r="F4" s="29">
        <v>0</v>
      </c>
      <c r="G4" s="30">
        <v>0</v>
      </c>
      <c r="H4" s="42">
        <v>0.27</v>
      </c>
      <c r="I4" s="43">
        <v>0.32</v>
      </c>
      <c r="J4" s="43">
        <v>0.31</v>
      </c>
      <c r="K4" s="43">
        <v>0.26</v>
      </c>
      <c r="L4" s="43">
        <v>0.17</v>
      </c>
      <c r="M4" s="44">
        <v>0.05</v>
      </c>
    </row>
    <row r="5" spans="1:13" x14ac:dyDescent="0.25">
      <c r="A5" s="31" t="s">
        <v>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30">
        <v>0</v>
      </c>
      <c r="H5" s="12">
        <v>0.09</v>
      </c>
      <c r="I5" s="36">
        <v>0.21</v>
      </c>
      <c r="J5" s="36">
        <v>0.28000000000000003</v>
      </c>
      <c r="K5" s="36">
        <v>0.33</v>
      </c>
      <c r="L5" s="36">
        <v>0.27</v>
      </c>
      <c r="M5" s="32">
        <v>0.12</v>
      </c>
    </row>
    <row r="6" spans="1:13" x14ac:dyDescent="0.25">
      <c r="A6" s="31" t="s">
        <v>9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30">
        <v>0</v>
      </c>
      <c r="H6" s="12">
        <v>0.39</v>
      </c>
      <c r="I6" s="36">
        <v>0.55000000000000004</v>
      </c>
      <c r="J6" s="36">
        <v>0.49</v>
      </c>
      <c r="K6" s="36">
        <v>0.32</v>
      </c>
      <c r="L6" s="36">
        <v>0.16</v>
      </c>
      <c r="M6" s="32">
        <v>0.05</v>
      </c>
    </row>
    <row r="7" spans="1:13" x14ac:dyDescent="0.25">
      <c r="A7" s="31" t="s">
        <v>11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30">
        <v>0</v>
      </c>
      <c r="H7" s="12">
        <v>0.72</v>
      </c>
      <c r="I7" s="36">
        <v>0.73</v>
      </c>
      <c r="J7" s="36">
        <v>0.69</v>
      </c>
      <c r="K7" s="36">
        <v>0.61</v>
      </c>
      <c r="L7" s="36">
        <v>0.49</v>
      </c>
      <c r="M7" s="32">
        <v>0.33</v>
      </c>
    </row>
    <row r="8" spans="1:13" x14ac:dyDescent="0.25">
      <c r="A8" s="31" t="s">
        <v>12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30">
        <v>0</v>
      </c>
      <c r="H8" s="12">
        <v>0.42</v>
      </c>
      <c r="I8" s="36">
        <v>0.52</v>
      </c>
      <c r="J8" s="36">
        <v>0.51</v>
      </c>
      <c r="K8" s="36">
        <v>0.47</v>
      </c>
      <c r="L8" s="36">
        <v>0.42</v>
      </c>
      <c r="M8" s="32">
        <v>0.38</v>
      </c>
    </row>
    <row r="9" spans="1:13" x14ac:dyDescent="0.25">
      <c r="A9" s="31" t="s">
        <v>32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30">
        <v>0</v>
      </c>
      <c r="H9" s="12">
        <v>0.13</v>
      </c>
      <c r="I9" s="36">
        <v>0.24</v>
      </c>
      <c r="J9" s="36">
        <v>0.31</v>
      </c>
      <c r="K9" s="36">
        <v>0.37</v>
      </c>
      <c r="L9" s="36">
        <v>0.26</v>
      </c>
      <c r="M9" s="32">
        <v>0.12</v>
      </c>
    </row>
    <row r="10" spans="1:13" x14ac:dyDescent="0.25">
      <c r="A10" s="31" t="s">
        <v>33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30">
        <v>0</v>
      </c>
      <c r="H10" s="12">
        <v>0.04</v>
      </c>
      <c r="I10" s="36">
        <v>0.02</v>
      </c>
      <c r="J10" s="36">
        <v>0.03</v>
      </c>
      <c r="K10" s="36">
        <v>0.03</v>
      </c>
      <c r="L10" s="36">
        <v>-0.01</v>
      </c>
      <c r="M10" s="32">
        <v>0</v>
      </c>
    </row>
    <row r="11" spans="1:13" x14ac:dyDescent="0.25">
      <c r="A11" s="31" t="s">
        <v>34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30">
        <v>0</v>
      </c>
      <c r="H11" s="12">
        <v>0.06</v>
      </c>
      <c r="I11" s="36">
        <v>0.18</v>
      </c>
      <c r="J11" s="36">
        <v>0.28000000000000003</v>
      </c>
      <c r="K11" s="36">
        <v>0.43</v>
      </c>
      <c r="L11" s="36">
        <v>0.57999999999999996</v>
      </c>
      <c r="M11" s="32">
        <v>0.87</v>
      </c>
    </row>
    <row r="12" spans="1:13" x14ac:dyDescent="0.25">
      <c r="A12" s="31" t="s">
        <v>35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30">
        <v>0</v>
      </c>
      <c r="H12" s="12">
        <v>0.08</v>
      </c>
      <c r="I12" s="36">
        <v>0.22</v>
      </c>
      <c r="J12" s="36">
        <v>0.35</v>
      </c>
      <c r="K12" s="36">
        <v>0.52</v>
      </c>
      <c r="L12" s="36">
        <v>0.66</v>
      </c>
      <c r="M12" s="32">
        <v>0.94</v>
      </c>
    </row>
    <row r="13" spans="1:13" x14ac:dyDescent="0.25">
      <c r="A13" s="31" t="s">
        <v>36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30">
        <v>0</v>
      </c>
      <c r="H13" s="12">
        <v>7.0000000000000007E-2</v>
      </c>
      <c r="I13" s="36">
        <v>0.2</v>
      </c>
      <c r="J13" s="36">
        <v>0.32</v>
      </c>
      <c r="K13" s="36">
        <v>0.47</v>
      </c>
      <c r="L13" s="36">
        <v>0.65</v>
      </c>
      <c r="M13" s="32">
        <v>1.01</v>
      </c>
    </row>
    <row r="14" spans="1:13" x14ac:dyDescent="0.25">
      <c r="A14" s="31" t="s">
        <v>37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30">
        <v>0</v>
      </c>
      <c r="H14" s="12">
        <v>0.06</v>
      </c>
      <c r="I14" s="36">
        <v>0.19</v>
      </c>
      <c r="J14" s="36">
        <v>0.31</v>
      </c>
      <c r="K14" s="36">
        <v>0.47</v>
      </c>
      <c r="L14" s="36">
        <v>0.6</v>
      </c>
      <c r="M14" s="32">
        <v>0.85</v>
      </c>
    </row>
    <row r="15" spans="1:13" x14ac:dyDescent="0.25">
      <c r="A15" s="31" t="s">
        <v>38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30">
        <v>0</v>
      </c>
      <c r="H15" s="12">
        <v>0.04</v>
      </c>
      <c r="I15" s="36">
        <v>0.14000000000000001</v>
      </c>
      <c r="J15" s="36">
        <v>0.24</v>
      </c>
      <c r="K15" s="36">
        <v>0.38</v>
      </c>
      <c r="L15" s="36">
        <v>0.51</v>
      </c>
      <c r="M15" s="32">
        <v>0.69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2">
        <v>0.06</v>
      </c>
      <c r="I16" s="36">
        <v>0.15</v>
      </c>
      <c r="J16" s="36">
        <v>0.25</v>
      </c>
      <c r="K16" s="36">
        <v>0.37</v>
      </c>
      <c r="L16" s="36">
        <v>0.49</v>
      </c>
      <c r="M16" s="32">
        <v>0.65</v>
      </c>
    </row>
    <row r="17" spans="1:13" x14ac:dyDescent="0.25">
      <c r="A17" s="31" t="s">
        <v>40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30">
        <v>0</v>
      </c>
      <c r="H17" s="12">
        <v>0.18</v>
      </c>
      <c r="I17" s="36">
        <v>0.42</v>
      </c>
      <c r="J17" s="36">
        <v>0.62</v>
      </c>
      <c r="K17" s="36">
        <v>0.88</v>
      </c>
      <c r="L17" s="36">
        <v>0.93</v>
      </c>
      <c r="M17" s="32">
        <v>1.07</v>
      </c>
    </row>
    <row r="18" spans="1:13" x14ac:dyDescent="0.25">
      <c r="A18" s="31" t="s">
        <v>16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30">
        <v>0</v>
      </c>
      <c r="H18" s="12">
        <v>0.11</v>
      </c>
      <c r="I18" s="36">
        <v>0.22</v>
      </c>
      <c r="J18" s="36">
        <v>0.3</v>
      </c>
      <c r="K18" s="36">
        <v>0.41</v>
      </c>
      <c r="L18" s="36">
        <v>0.28000000000000003</v>
      </c>
      <c r="M18" s="32">
        <v>0.06</v>
      </c>
    </row>
    <row r="19" spans="1:13" x14ac:dyDescent="0.25">
      <c r="A19" s="31" t="s">
        <v>41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30">
        <v>0</v>
      </c>
      <c r="H19" s="12">
        <v>19</v>
      </c>
      <c r="I19" s="36">
        <v>45</v>
      </c>
      <c r="J19" s="36">
        <v>50</v>
      </c>
      <c r="K19" s="36">
        <v>31</v>
      </c>
      <c r="L19" s="36">
        <v>16</v>
      </c>
      <c r="M19" s="32">
        <v>4</v>
      </c>
    </row>
    <row r="20" spans="1:13" x14ac:dyDescent="0.25">
      <c r="A20" s="31" t="s">
        <v>42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30">
        <v>0</v>
      </c>
      <c r="H20" s="12">
        <v>-0.08</v>
      </c>
      <c r="I20" s="36">
        <v>-0.19</v>
      </c>
      <c r="J20" s="36">
        <v>-0.21</v>
      </c>
      <c r="K20" s="36">
        <v>-0.13</v>
      </c>
      <c r="L20" s="36">
        <v>-7.0000000000000007E-2</v>
      </c>
      <c r="M20" s="32">
        <v>-0.02</v>
      </c>
    </row>
    <row r="21" spans="1:13" x14ac:dyDescent="0.25">
      <c r="A21" s="31" t="s">
        <v>43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30">
        <v>0</v>
      </c>
      <c r="H21" s="12">
        <v>0.08</v>
      </c>
      <c r="I21" s="36">
        <v>0.05</v>
      </c>
      <c r="J21" s="36">
        <v>0.05</v>
      </c>
      <c r="K21" s="36">
        <v>0.04</v>
      </c>
      <c r="L21" s="36">
        <v>0.02</v>
      </c>
      <c r="M21" s="32">
        <v>0</v>
      </c>
    </row>
    <row r="22" spans="1:13" x14ac:dyDescent="0.25">
      <c r="A22" s="31" t="s">
        <v>44</v>
      </c>
      <c r="B22" s="29">
        <v>0</v>
      </c>
      <c r="C22" s="29">
        <v>0</v>
      </c>
      <c r="D22" s="29">
        <v>0</v>
      </c>
      <c r="E22" s="29">
        <v>0</v>
      </c>
      <c r="F22" s="29">
        <v>0</v>
      </c>
      <c r="G22" s="30">
        <v>0</v>
      </c>
      <c r="H22" s="12">
        <v>0.09</v>
      </c>
      <c r="I22" s="36">
        <v>0.16</v>
      </c>
      <c r="J22" s="36">
        <v>0.15</v>
      </c>
      <c r="K22" s="36">
        <v>0.09</v>
      </c>
      <c r="L22" s="36">
        <v>0.05</v>
      </c>
      <c r="M22" s="32">
        <v>-0.01</v>
      </c>
    </row>
    <row r="26" spans="1:13" ht="30" x14ac:dyDescent="0.25">
      <c r="A26" s="34" t="s">
        <v>85</v>
      </c>
      <c r="B26" s="65" t="s">
        <v>89</v>
      </c>
      <c r="C26" s="65"/>
      <c r="D26" s="65"/>
      <c r="E26" s="65"/>
      <c r="F26" s="65"/>
      <c r="G26" s="65"/>
      <c r="H26" s="65"/>
      <c r="I26" s="65"/>
      <c r="J26" s="65"/>
      <c r="K26" s="65"/>
      <c r="L26" s="65"/>
      <c r="M26" s="65"/>
    </row>
    <row r="27" spans="1:13" x14ac:dyDescent="0.25">
      <c r="A27" s="41"/>
      <c r="B27" s="46" t="s">
        <v>45</v>
      </c>
      <c r="C27" s="46"/>
      <c r="D27" s="46"/>
      <c r="E27" s="46"/>
      <c r="F27" s="46"/>
      <c r="G27" s="47"/>
      <c r="H27" s="48" t="s">
        <v>46</v>
      </c>
      <c r="I27" s="49"/>
      <c r="J27" s="49"/>
      <c r="K27" s="49"/>
      <c r="L27" s="49"/>
      <c r="M27" s="50"/>
    </row>
    <row r="28" spans="1:13" x14ac:dyDescent="0.25">
      <c r="A28" s="22"/>
      <c r="B28" s="9" t="s">
        <v>60</v>
      </c>
      <c r="C28" s="9" t="s">
        <v>61</v>
      </c>
      <c r="D28" s="9" t="s">
        <v>62</v>
      </c>
      <c r="E28" s="9" t="s">
        <v>63</v>
      </c>
      <c r="F28" s="9" t="s">
        <v>64</v>
      </c>
      <c r="G28" s="11" t="s">
        <v>65</v>
      </c>
      <c r="H28" s="24" t="s">
        <v>60</v>
      </c>
      <c r="I28" s="10" t="s">
        <v>61</v>
      </c>
      <c r="J28" s="10" t="s">
        <v>66</v>
      </c>
      <c r="K28" s="10" t="s">
        <v>63</v>
      </c>
      <c r="L28" s="10" t="s">
        <v>64</v>
      </c>
      <c r="M28" s="25" t="s">
        <v>65</v>
      </c>
    </row>
    <row r="29" spans="1:13" x14ac:dyDescent="0.25">
      <c r="A29" s="31" t="s">
        <v>53</v>
      </c>
      <c r="B29" s="29">
        <f t="array" ref="B29:G47">TRANSPOSE('WD1'!$B$3:$T$8)</f>
        <v>0</v>
      </c>
      <c r="C29" s="29">
        <v>0</v>
      </c>
      <c r="D29" s="29">
        <v>0</v>
      </c>
      <c r="E29" s="29">
        <v>0</v>
      </c>
      <c r="F29" s="29">
        <v>0</v>
      </c>
      <c r="G29" s="30">
        <v>0</v>
      </c>
      <c r="H29" s="42">
        <v>0.27</v>
      </c>
      <c r="I29" s="43">
        <v>0.32</v>
      </c>
      <c r="J29" s="43">
        <v>0.31</v>
      </c>
      <c r="K29" s="43">
        <v>0.26</v>
      </c>
      <c r="L29" s="43">
        <v>0.17</v>
      </c>
      <c r="M29" s="44">
        <v>0.05</v>
      </c>
    </row>
    <row r="30" spans="1:13" x14ac:dyDescent="0.25">
      <c r="A30" s="31" t="s">
        <v>57</v>
      </c>
      <c r="B30" s="29">
        <v>0</v>
      </c>
      <c r="C30" s="29">
        <v>0</v>
      </c>
      <c r="D30" s="29">
        <v>0</v>
      </c>
      <c r="E30" s="29">
        <v>0</v>
      </c>
      <c r="F30" s="29">
        <v>0</v>
      </c>
      <c r="G30" s="30">
        <v>0</v>
      </c>
      <c r="H30" s="12">
        <v>0.09</v>
      </c>
      <c r="I30" s="36">
        <v>0.21</v>
      </c>
      <c r="J30" s="36">
        <v>0.28000000000000003</v>
      </c>
      <c r="K30" s="36">
        <v>0.33</v>
      </c>
      <c r="L30" s="36">
        <v>0.27</v>
      </c>
      <c r="M30" s="32">
        <v>0.12</v>
      </c>
    </row>
    <row r="31" spans="1:13" x14ac:dyDescent="0.25">
      <c r="A31" s="31" t="s">
        <v>54</v>
      </c>
      <c r="B31" s="29">
        <v>0</v>
      </c>
      <c r="C31" s="29">
        <v>0</v>
      </c>
      <c r="D31" s="29">
        <v>0</v>
      </c>
      <c r="E31" s="29">
        <v>0</v>
      </c>
      <c r="F31" s="29">
        <v>0</v>
      </c>
      <c r="G31" s="30">
        <v>0</v>
      </c>
      <c r="H31" s="12">
        <v>0.39</v>
      </c>
      <c r="I31" s="36">
        <v>0.55000000000000004</v>
      </c>
      <c r="J31" s="36">
        <v>0.49</v>
      </c>
      <c r="K31" s="36">
        <v>0.32</v>
      </c>
      <c r="L31" s="36">
        <v>0.16</v>
      </c>
      <c r="M31" s="32">
        <v>0.05</v>
      </c>
    </row>
    <row r="32" spans="1:13" x14ac:dyDescent="0.25">
      <c r="A32" s="31" t="s">
        <v>55</v>
      </c>
      <c r="B32" s="29">
        <v>0</v>
      </c>
      <c r="C32" s="29">
        <v>0</v>
      </c>
      <c r="D32" s="29">
        <v>0</v>
      </c>
      <c r="E32" s="29">
        <v>0</v>
      </c>
      <c r="F32" s="29">
        <v>0</v>
      </c>
      <c r="G32" s="30">
        <v>0</v>
      </c>
      <c r="H32" s="12">
        <v>0.72</v>
      </c>
      <c r="I32" s="36">
        <v>0.73</v>
      </c>
      <c r="J32" s="36">
        <v>0.69</v>
      </c>
      <c r="K32" s="36">
        <v>0.61</v>
      </c>
      <c r="L32" s="36">
        <v>0.49</v>
      </c>
      <c r="M32" s="32">
        <v>0.33</v>
      </c>
    </row>
    <row r="33" spans="1:13" x14ac:dyDescent="0.25">
      <c r="A33" s="31" t="s">
        <v>56</v>
      </c>
      <c r="B33" s="29">
        <v>0</v>
      </c>
      <c r="C33" s="29">
        <v>0</v>
      </c>
      <c r="D33" s="29">
        <v>0</v>
      </c>
      <c r="E33" s="29">
        <v>0</v>
      </c>
      <c r="F33" s="29">
        <v>0</v>
      </c>
      <c r="G33" s="30">
        <v>0</v>
      </c>
      <c r="H33" s="12">
        <v>0.42</v>
      </c>
      <c r="I33" s="36">
        <v>0.52</v>
      </c>
      <c r="J33" s="36">
        <v>0.51</v>
      </c>
      <c r="K33" s="36">
        <v>0.47</v>
      </c>
      <c r="L33" s="36">
        <v>0.42</v>
      </c>
      <c r="M33" s="32">
        <v>0.38</v>
      </c>
    </row>
    <row r="34" spans="1:13" x14ac:dyDescent="0.25">
      <c r="A34" s="31" t="s">
        <v>58</v>
      </c>
      <c r="B34" s="29">
        <v>0</v>
      </c>
      <c r="C34" s="29">
        <v>0</v>
      </c>
      <c r="D34" s="29">
        <v>0</v>
      </c>
      <c r="E34" s="29">
        <v>0</v>
      </c>
      <c r="F34" s="29">
        <v>0</v>
      </c>
      <c r="G34" s="30">
        <v>0</v>
      </c>
      <c r="H34" s="12">
        <v>0.13</v>
      </c>
      <c r="I34" s="36">
        <v>0.24</v>
      </c>
      <c r="J34" s="36">
        <v>0.31</v>
      </c>
      <c r="K34" s="36">
        <v>0.37</v>
      </c>
      <c r="L34" s="36">
        <v>0.26</v>
      </c>
      <c r="M34" s="32">
        <v>0.12</v>
      </c>
    </row>
    <row r="35" spans="1:13" x14ac:dyDescent="0.25">
      <c r="A35" s="31" t="s">
        <v>59</v>
      </c>
      <c r="B35" s="29">
        <v>0</v>
      </c>
      <c r="C35" s="29">
        <v>0</v>
      </c>
      <c r="D35" s="29">
        <v>0</v>
      </c>
      <c r="E35" s="29">
        <v>0</v>
      </c>
      <c r="F35" s="29">
        <v>0</v>
      </c>
      <c r="G35" s="30">
        <v>0</v>
      </c>
      <c r="H35" s="12">
        <v>0.04</v>
      </c>
      <c r="I35" s="36">
        <v>0.02</v>
      </c>
      <c r="J35" s="36">
        <v>0.03</v>
      </c>
      <c r="K35" s="36">
        <v>0.03</v>
      </c>
      <c r="L35" s="36">
        <v>-0.01</v>
      </c>
      <c r="M35" s="32">
        <v>0</v>
      </c>
    </row>
    <row r="36" spans="1:13" x14ac:dyDescent="0.25">
      <c r="A36" s="31" t="s">
        <v>70</v>
      </c>
      <c r="B36" s="29">
        <v>0</v>
      </c>
      <c r="C36" s="29">
        <v>0</v>
      </c>
      <c r="D36" s="29">
        <v>0</v>
      </c>
      <c r="E36" s="29">
        <v>0</v>
      </c>
      <c r="F36" s="29">
        <v>0</v>
      </c>
      <c r="G36" s="30">
        <v>0</v>
      </c>
      <c r="H36" s="12">
        <v>0.06</v>
      </c>
      <c r="I36" s="36">
        <v>0.18</v>
      </c>
      <c r="J36" s="36">
        <v>0.28000000000000003</v>
      </c>
      <c r="K36" s="36">
        <v>0.43</v>
      </c>
      <c r="L36" s="36">
        <v>0.57999999999999996</v>
      </c>
      <c r="M36" s="32">
        <v>0.87</v>
      </c>
    </row>
    <row r="37" spans="1:13" x14ac:dyDescent="0.25">
      <c r="A37" s="31" t="s">
        <v>71</v>
      </c>
      <c r="B37" s="29">
        <v>0</v>
      </c>
      <c r="C37" s="29">
        <v>0</v>
      </c>
      <c r="D37" s="29">
        <v>0</v>
      </c>
      <c r="E37" s="29">
        <v>0</v>
      </c>
      <c r="F37" s="29">
        <v>0</v>
      </c>
      <c r="G37" s="30">
        <v>0</v>
      </c>
      <c r="H37" s="12">
        <v>0.08</v>
      </c>
      <c r="I37" s="36">
        <v>0.22</v>
      </c>
      <c r="J37" s="36">
        <v>0.35</v>
      </c>
      <c r="K37" s="36">
        <v>0.52</v>
      </c>
      <c r="L37" s="36">
        <v>0.66</v>
      </c>
      <c r="M37" s="32">
        <v>0.94</v>
      </c>
    </row>
    <row r="38" spans="1:13" x14ac:dyDescent="0.25">
      <c r="A38" s="31" t="s">
        <v>72</v>
      </c>
      <c r="B38" s="29">
        <v>0</v>
      </c>
      <c r="C38" s="29">
        <v>0</v>
      </c>
      <c r="D38" s="29">
        <v>0</v>
      </c>
      <c r="E38" s="29">
        <v>0</v>
      </c>
      <c r="F38" s="29">
        <v>0</v>
      </c>
      <c r="G38" s="30">
        <v>0</v>
      </c>
      <c r="H38" s="12">
        <v>7.0000000000000007E-2</v>
      </c>
      <c r="I38" s="36">
        <v>0.2</v>
      </c>
      <c r="J38" s="36">
        <v>0.32</v>
      </c>
      <c r="K38" s="36">
        <v>0.47</v>
      </c>
      <c r="L38" s="36">
        <v>0.65</v>
      </c>
      <c r="M38" s="32">
        <v>1.01</v>
      </c>
    </row>
    <row r="39" spans="1:13" x14ac:dyDescent="0.25">
      <c r="A39" s="31" t="s">
        <v>76</v>
      </c>
      <c r="B39" s="29">
        <v>0</v>
      </c>
      <c r="C39" s="29">
        <v>0</v>
      </c>
      <c r="D39" s="29">
        <v>0</v>
      </c>
      <c r="E39" s="29">
        <v>0</v>
      </c>
      <c r="F39" s="29">
        <v>0</v>
      </c>
      <c r="G39" s="30">
        <v>0</v>
      </c>
      <c r="H39" s="12">
        <v>0.06</v>
      </c>
      <c r="I39" s="36">
        <v>0.19</v>
      </c>
      <c r="J39" s="36">
        <v>0.31</v>
      </c>
      <c r="K39" s="36">
        <v>0.47</v>
      </c>
      <c r="L39" s="36">
        <v>0.6</v>
      </c>
      <c r="M39" s="32">
        <v>0.85</v>
      </c>
    </row>
    <row r="40" spans="1:13" x14ac:dyDescent="0.25">
      <c r="A40" s="31" t="s">
        <v>68</v>
      </c>
      <c r="B40" s="29">
        <v>0</v>
      </c>
      <c r="C40" s="29">
        <v>0</v>
      </c>
      <c r="D40" s="29">
        <v>0</v>
      </c>
      <c r="E40" s="29">
        <v>0</v>
      </c>
      <c r="F40" s="29">
        <v>0</v>
      </c>
      <c r="G40" s="30">
        <v>0</v>
      </c>
      <c r="H40" s="12">
        <v>0.04</v>
      </c>
      <c r="I40" s="36">
        <v>0.14000000000000001</v>
      </c>
      <c r="J40" s="36">
        <v>0.24</v>
      </c>
      <c r="K40" s="36">
        <v>0.38</v>
      </c>
      <c r="L40" s="36">
        <v>0.51</v>
      </c>
      <c r="M40" s="32">
        <v>0.69</v>
      </c>
    </row>
    <row r="41" spans="1:13" x14ac:dyDescent="0.25">
      <c r="A41" s="31" t="s">
        <v>69</v>
      </c>
      <c r="B41" s="29">
        <v>0</v>
      </c>
      <c r="C41" s="29">
        <v>0</v>
      </c>
      <c r="D41" s="29">
        <v>0</v>
      </c>
      <c r="E41" s="29">
        <v>0</v>
      </c>
      <c r="F41" s="29">
        <v>0</v>
      </c>
      <c r="G41" s="30">
        <v>0</v>
      </c>
      <c r="H41" s="12">
        <v>0.06</v>
      </c>
      <c r="I41" s="36">
        <v>0.15</v>
      </c>
      <c r="J41" s="36">
        <v>0.25</v>
      </c>
      <c r="K41" s="36">
        <v>0.37</v>
      </c>
      <c r="L41" s="36">
        <v>0.49</v>
      </c>
      <c r="M41" s="32">
        <v>0.65</v>
      </c>
    </row>
    <row r="42" spans="1:13" x14ac:dyDescent="0.25">
      <c r="A42" s="31" t="s">
        <v>73</v>
      </c>
      <c r="B42" s="29">
        <v>0</v>
      </c>
      <c r="C42" s="29">
        <v>0</v>
      </c>
      <c r="D42" s="29">
        <v>0</v>
      </c>
      <c r="E42" s="29">
        <v>0</v>
      </c>
      <c r="F42" s="29">
        <v>0</v>
      </c>
      <c r="G42" s="30">
        <v>0</v>
      </c>
      <c r="H42" s="12">
        <v>0.18</v>
      </c>
      <c r="I42" s="36">
        <v>0.42</v>
      </c>
      <c r="J42" s="36">
        <v>0.62</v>
      </c>
      <c r="K42" s="36">
        <v>0.88</v>
      </c>
      <c r="L42" s="36">
        <v>0.93</v>
      </c>
      <c r="M42" s="32">
        <v>1.07</v>
      </c>
    </row>
    <row r="43" spans="1:13" x14ac:dyDescent="0.25">
      <c r="A43" s="31" t="s">
        <v>74</v>
      </c>
      <c r="B43" s="29">
        <v>0</v>
      </c>
      <c r="C43" s="29">
        <v>0</v>
      </c>
      <c r="D43" s="29">
        <v>0</v>
      </c>
      <c r="E43" s="29">
        <v>0</v>
      </c>
      <c r="F43" s="29">
        <v>0</v>
      </c>
      <c r="G43" s="30">
        <v>0</v>
      </c>
      <c r="H43" s="12">
        <v>0.11</v>
      </c>
      <c r="I43" s="36">
        <v>0.22</v>
      </c>
      <c r="J43" s="36">
        <v>0.3</v>
      </c>
      <c r="K43" s="36">
        <v>0.41</v>
      </c>
      <c r="L43" s="36">
        <v>0.28000000000000003</v>
      </c>
      <c r="M43" s="32">
        <v>0.06</v>
      </c>
    </row>
    <row r="44" spans="1:13" x14ac:dyDescent="0.25">
      <c r="A44" s="31" t="s">
        <v>77</v>
      </c>
      <c r="B44" s="29">
        <v>0</v>
      </c>
      <c r="C44" s="29">
        <v>0</v>
      </c>
      <c r="D44" s="29">
        <v>0</v>
      </c>
      <c r="E44" s="29">
        <v>0</v>
      </c>
      <c r="F44" s="29">
        <v>0</v>
      </c>
      <c r="G44" s="30">
        <v>0</v>
      </c>
      <c r="H44" s="12">
        <v>19</v>
      </c>
      <c r="I44" s="36">
        <v>45</v>
      </c>
      <c r="J44" s="36">
        <v>50</v>
      </c>
      <c r="K44" s="36">
        <v>31</v>
      </c>
      <c r="L44" s="36">
        <v>16</v>
      </c>
      <c r="M44" s="32">
        <v>4</v>
      </c>
    </row>
    <row r="45" spans="1:13" x14ac:dyDescent="0.25">
      <c r="A45" s="31" t="s">
        <v>75</v>
      </c>
      <c r="B45" s="29">
        <v>0</v>
      </c>
      <c r="C45" s="29">
        <v>0</v>
      </c>
      <c r="D45" s="29">
        <v>0</v>
      </c>
      <c r="E45" s="29">
        <v>0</v>
      </c>
      <c r="F45" s="29">
        <v>0</v>
      </c>
      <c r="G45" s="30">
        <v>0</v>
      </c>
      <c r="H45" s="12">
        <v>-0.08</v>
      </c>
      <c r="I45" s="36">
        <v>-0.19</v>
      </c>
      <c r="J45" s="36">
        <v>-0.21</v>
      </c>
      <c r="K45" s="36">
        <v>-0.13</v>
      </c>
      <c r="L45" s="36">
        <v>-7.0000000000000007E-2</v>
      </c>
      <c r="M45" s="32">
        <v>-0.02</v>
      </c>
    </row>
    <row r="46" spans="1:13" x14ac:dyDescent="0.25">
      <c r="A46" s="31" t="s">
        <v>78</v>
      </c>
      <c r="B46" s="29">
        <v>0</v>
      </c>
      <c r="C46" s="29">
        <v>0</v>
      </c>
      <c r="D46" s="29">
        <v>0</v>
      </c>
      <c r="E46" s="29">
        <v>0</v>
      </c>
      <c r="F46" s="29">
        <v>0</v>
      </c>
      <c r="G46" s="30">
        <v>0</v>
      </c>
      <c r="H46" s="12">
        <v>0.08</v>
      </c>
      <c r="I46" s="36">
        <v>0.05</v>
      </c>
      <c r="J46" s="36">
        <v>0.05</v>
      </c>
      <c r="K46" s="36">
        <v>0.04</v>
      </c>
      <c r="L46" s="36">
        <v>0.02</v>
      </c>
      <c r="M46" s="32">
        <v>0</v>
      </c>
    </row>
    <row r="47" spans="1:13" x14ac:dyDescent="0.25">
      <c r="A47" s="45" t="s">
        <v>79</v>
      </c>
      <c r="B47" s="29">
        <v>0</v>
      </c>
      <c r="C47" s="29">
        <v>0</v>
      </c>
      <c r="D47" s="29">
        <v>0</v>
      </c>
      <c r="E47" s="29">
        <v>0</v>
      </c>
      <c r="F47" s="29">
        <v>0</v>
      </c>
      <c r="G47" s="30">
        <v>0</v>
      </c>
      <c r="H47" s="12">
        <v>0.09</v>
      </c>
      <c r="I47" s="36">
        <v>0.16</v>
      </c>
      <c r="J47" s="36">
        <v>0.15</v>
      </c>
      <c r="K47" s="36">
        <v>0.09</v>
      </c>
      <c r="L47" s="36">
        <v>0.05</v>
      </c>
      <c r="M47" s="32">
        <v>-0.01</v>
      </c>
    </row>
    <row r="51" spans="1:1" x14ac:dyDescent="0.25">
      <c r="A51" s="37" t="str">
        <f>"\textbf{"&amp;A29&amp;"} &amp; "&amp;TEXT(B29,formatResults)&amp;" &amp; "&amp;TEXT(C29,formatResults)&amp;" &amp; "&amp;TEXT(D29,formatResults)&amp;" &amp; "&amp;TEXT(E29,formatResults)&amp;" &amp; "&amp;TEXT(F29,formatResults)&amp;" &amp; "&amp;TEXT(G29,formatResults)&amp;" \\"</f>
        <v>\textbf{GDP in value} &amp; 0.00 &amp; 0.00 &amp; 0.00 &amp; 0.00 &amp; 0.00 &amp; 0.00 \\</v>
      </c>
    </row>
    <row r="52" spans="1:1" x14ac:dyDescent="0.25">
      <c r="A52" s="37" t="str">
        <f>"\textbf{"&amp;A30&amp;"} &amp; "&amp;TEXT(B30,formatResults)&amp;" &amp; "&amp;TEXT(C30,formatResults)&amp;" &amp; "&amp;TEXT(D30,formatResults)&amp;" &amp; "&amp;TEXT(E30,formatResults)&amp;" &amp; "&amp;TEXT(F30,formatResults)&amp;" &amp; "&amp;TEXT(G30,formatResults)&amp;" \\"</f>
        <v>\textbf{Household consumption} &amp; 0.00 &amp; 0.00 &amp; 0.00 &amp; 0.00 &amp; 0.00 &amp; 0.00 \\</v>
      </c>
    </row>
    <row r="53" spans="1:1" x14ac:dyDescent="0.25">
      <c r="A53" s="37" t="str">
        <f>"\textbf{"&amp;A31&amp;"} &amp; "&amp;TEXT(B31,formatResults)&amp;" &amp; "&amp;TEXT(C31,formatResults)&amp;" &amp; "&amp;TEXT(D31,formatResults)&amp;" &amp; "&amp;TEXT(E31,formatResults)&amp;" &amp; "&amp;TEXT(F31,formatResults)&amp;" &amp; "&amp;TEXT(G31,formatResults)&amp;" \\"</f>
        <v>\textbf{Investment} &amp; 0.00 &amp; 0.00 &amp; 0.00 &amp; 0.00 &amp; 0.00 &amp; 0.00 \\</v>
      </c>
    </row>
    <row r="54" spans="1:1" x14ac:dyDescent="0.25">
      <c r="A54" s="37" t="str">
        <f>"\textbf{"&amp;A32&amp;"} &amp; "&amp;TEXT(B32,formatResults)&amp;" &amp; "&amp;TEXT(C32,formatResults)&amp;" &amp; "&amp;TEXT(D32,formatResults)&amp;" &amp; "&amp;TEXT(E32,formatResults)&amp;" &amp; "&amp;TEXT(F32,formatResults)&amp;" &amp; "&amp;TEXT(G32,formatResults)&amp;" \\"</f>
        <v>\textbf{Exports} &amp; 0.00 &amp; 0.00 &amp; 0.00 &amp; 0.00 &amp; 0.00 &amp; 0.00 \\</v>
      </c>
    </row>
    <row r="55" spans="1:1" x14ac:dyDescent="0.25">
      <c r="A55" s="37" t="str">
        <f>"\textbf{"&amp;A33&amp;"} &amp; "&amp;TEXT(B33,formatResults)&amp;" &amp; "&amp;TEXT(C33,formatResults)&amp;" &amp; "&amp;TEXT(D33,formatResults)&amp;" &amp; "&amp;TEXT(E33,formatResults)&amp;" &amp; "&amp;TEXT(F33,formatResults)&amp;" &amp; "&amp;TEXT(G33,formatResults)&amp;" \\"</f>
        <v>\textbf{Imports} &amp; 0.00 &amp; 0.00 &amp; 0.00 &amp; 0.00 &amp; 0.00 &amp; 0.00 \\</v>
      </c>
    </row>
    <row r="56" spans="1:1" x14ac:dyDescent="0.25">
      <c r="A56" s="37" t="str">
        <f>"\textbf{"&amp;A34&amp;"} &amp; "&amp;TEXT(B34,formatResults)&amp;" &amp; "&amp;TEXT(C34,formatResults)&amp;" &amp; "&amp;TEXT(D34,formatResults)&amp;" &amp; "&amp;TEXT(E34,formatResults)&amp;" &amp; "&amp;TEXT(F34,formatResults)&amp;" &amp; "&amp;TEXT(G34,formatResults)&amp;" \\"</f>
        <v>\textbf{Household disposable income } &amp; 0.00 &amp; 0.00 &amp; 0.00 &amp; 0.00 &amp; 0.00 &amp; 0.00 \\</v>
      </c>
    </row>
    <row r="57" spans="1:1" x14ac:dyDescent="0.25">
      <c r="A57" s="37" t="str">
        <f>"\textbf{"&amp;A35&amp;"} &amp; "&amp;TEXT(B35,formatResults)&amp;" &amp; "&amp;TEXT(C35,formatResults)&amp;" &amp; "&amp;TEXT(D35,formatResults)&amp;" &amp; "&amp;TEXT(E35,formatResults)&amp;" &amp; "&amp;TEXT(F35,formatResults)&amp;" &amp; "&amp;TEXT(G35,formatResults)&amp;" \\"</f>
        <v>\textbf{Saving rate} &amp; 0.00 &amp; 0.00 &amp; 0.00 &amp; 0.00 &amp; 0.00 &amp; 0.00 \\</v>
      </c>
    </row>
    <row r="58" spans="1:1" x14ac:dyDescent="0.25">
      <c r="A58" s="37" t="str">
        <f>"\textbf{"&amp;A36&amp;"} &amp; "&amp;TEXT(B36,formatResults)&amp;" &amp; "&amp;TEXT(C36,formatResults)&amp;" &amp; "&amp;TEXT(D36,formatResults)&amp;" &amp; "&amp;TEXT(E36,formatResults)&amp;" &amp; "&amp;TEXT(F36,formatResults)&amp;" &amp; "&amp;TEXT(G36,formatResults)&amp;" \\"</f>
        <v>\textbf{Household consumption price index} &amp; 0.00 &amp; 0.00 &amp; 0.00 &amp; 0.00 &amp; 0.00 &amp; 0.00 \\</v>
      </c>
    </row>
    <row r="59" spans="1:1" x14ac:dyDescent="0.25">
      <c r="A59" s="37" t="str">
        <f>"\textbf{"&amp;A37&amp;"} &amp; "&amp;TEXT(B37,formatResults)&amp;" &amp; "&amp;TEXT(C37,formatResults)&amp;" &amp; "&amp;TEXT(D37,formatResults)&amp;" &amp; "&amp;TEXT(E37,formatResults)&amp;" &amp; "&amp;TEXT(F37,formatResults)&amp;" &amp; "&amp;TEXT(G37,formatResults)&amp;" \\"</f>
        <v>\textbf{Production price index} &amp; 0.00 &amp; 0.00 &amp; 0.00 &amp; 0.00 &amp; 0.00 &amp; 0.00 \\</v>
      </c>
    </row>
    <row r="60" spans="1:1" x14ac:dyDescent="0.25">
      <c r="A60" s="37" t="str">
        <f>"\textbf{"&amp;A38&amp;"} &amp; "&amp;TEXT(B38,formatResults)&amp;" &amp; "&amp;TEXT(C38,formatResults)&amp;" &amp; "&amp;TEXT(D38,formatResults)&amp;" &amp; "&amp;TEXT(E38,formatResults)&amp;" &amp; "&amp;TEXT(F38,formatResults)&amp;" &amp; "&amp;TEXT(G38,formatResults)&amp;" \\"</f>
        <v>\textbf{Added value price index} &amp; 0.00 &amp; 0.00 &amp; 0.00 &amp; 0.00 &amp; 0.00 &amp; 0.00 \\</v>
      </c>
    </row>
    <row r="61" spans="1:1" x14ac:dyDescent="0.25">
      <c r="A61" s="37" t="str">
        <f>"\textbf{"&amp;A39&amp;"} &amp; "&amp;TEXT(B39,formatResults)&amp;" &amp; "&amp;TEXT(C39,formatResults)&amp;" &amp; "&amp;TEXT(D39,formatResults)&amp;" &amp; "&amp;TEXT(E39,formatResults)&amp;" &amp; "&amp;TEXT(F39,formatResults)&amp;" &amp; "&amp;TEXT(G39,formatResults)&amp;" \\"</f>
        <v>\textbf{Intermediate consumption price index} &amp; 0.00 &amp; 0.00 &amp; 0.00 &amp; 0.00 &amp; 0.00 &amp; 0.00 \\</v>
      </c>
    </row>
    <row r="62" spans="1:1" x14ac:dyDescent="0.25">
      <c r="A62" s="37" t="str">
        <f>"\textbf{"&amp;A40&amp;"} &amp; "&amp;TEXT(B40,formatResults)&amp;" &amp; "&amp;TEXT(C40,formatResults)&amp;" &amp; "&amp;TEXT(D40,formatResults)&amp;" &amp; "&amp;TEXT(E40,formatResults)&amp;" &amp; "&amp;TEXT(F40,formatResults)&amp;" &amp; "&amp;TEXT(G40,formatResults)&amp;" \\"</f>
        <v>\textbf{Export price index} &amp; 0.00 &amp; 0.00 &amp; 0.00 &amp; 0.00 &amp; 0.00 &amp; 0.00 \\</v>
      </c>
    </row>
    <row r="63" spans="1:1" x14ac:dyDescent="0.25">
      <c r="A63" s="37" t="str">
        <f>"\textbf{"&amp;A41&amp;"} &amp; "&amp;TEXT(B41,formatResults)&amp;" &amp; "&amp;TEXT(C41,formatResults)&amp;" &amp; "&amp;TEXT(D41,formatResults)&amp;" &amp; "&amp;TEXT(E41,formatResults)&amp;" &amp; "&amp;TEXT(F41,formatResults)&amp;" &amp; "&amp;TEXT(G41,formatResults)&amp;" \\"</f>
        <v>\textbf{Import price index} &amp; 0.00 &amp; 0.00 &amp; 0.00 &amp; 0.00 &amp; 0.00 &amp; 0.00 \\</v>
      </c>
    </row>
    <row r="64" spans="1:1" x14ac:dyDescent="0.25">
      <c r="A64" s="37" t="str">
        <f>"\textbf{"&amp;A42&amp;"} &amp; "&amp;TEXT(B42,formatResults)&amp;" &amp; "&amp;TEXT(C42,formatResults)&amp;" &amp; "&amp;TEXT(D42,formatResults)&amp;" &amp; "&amp;TEXT(E42,formatResults)&amp;" &amp; "&amp;TEXT(F42,formatResults)&amp;" &amp; "&amp;TEXT(G42,formatResults)&amp;" \\"</f>
        <v>\textbf{Gross nominal wage} &amp; 0.00 &amp; 0.00 &amp; 0.00 &amp; 0.00 &amp; 0.00 &amp; 0.00 \\</v>
      </c>
    </row>
    <row r="65" spans="1:1" x14ac:dyDescent="0.25">
      <c r="A65" s="37" t="str">
        <f>"\textbf{"&amp;A43&amp;"} &amp; "&amp;TEXT(B43,formatResults)&amp;" &amp; "&amp;TEXT(C43,formatResults)&amp;" &amp; "&amp;TEXT(D43,formatResults)&amp;" &amp; "&amp;TEXT(E43,formatResults)&amp;" &amp; "&amp;TEXT(F43,formatResults)&amp;" &amp; "&amp;TEXT(G43,formatResults)&amp;" \\"</f>
        <v>\textbf{Real cost of labor} &amp; 0.00 &amp; 0.00 &amp; 0.00 &amp; 0.00 &amp; 0.00 &amp; 0.00 \\</v>
      </c>
    </row>
    <row r="66" spans="1:1" x14ac:dyDescent="0.25">
      <c r="A66" s="37" t="str">
        <f>"\textbf{"&amp;A44&amp;"} &amp; "&amp;TEXT(B44,formatResults)&amp;" &amp; "&amp;TEXT(C44,formatResults)&amp;" &amp; "&amp;TEXT(D44,formatResults)&amp;" &amp; "&amp;TEXT(E44,formatResults)&amp;" &amp; "&amp;TEXT(F44,formatResults)&amp;" &amp; "&amp;TEXT(G44,formatResults)&amp;" \\"</f>
        <v>\textbf{Wage employment (in thousands)} &amp; 0.00 &amp; 0.00 &amp; 0.00 &amp; 0.00 &amp; 0.00 &amp; 0.00 \\</v>
      </c>
    </row>
    <row r="67" spans="1:1" x14ac:dyDescent="0.25">
      <c r="A67" s="37" t="str">
        <f>"\textbf{"&amp;A45&amp;"} &amp; "&amp;TEXT(B45,formatResults)&amp;" &amp; "&amp;TEXT(C45,formatResults)&amp;" &amp; "&amp;TEXT(D45,formatResults)&amp;" &amp; "&amp;TEXT(E45,formatResults)&amp;" &amp; "&amp;TEXT(F45,formatResults)&amp;" &amp; "&amp;TEXT(G45,formatResults)&amp;" \\"</f>
        <v>\textbf{Unemployment rate} &amp; 0.00 &amp; 0.00 &amp; 0.00 &amp; 0.00 &amp; 0.00 &amp; 0.00 \\</v>
      </c>
    </row>
    <row r="68" spans="1:1" x14ac:dyDescent="0.25">
      <c r="A68" s="37" t="str">
        <f>"\textbf{"&amp;A46&amp;"} &amp; "&amp;TEXT(B46,formatResults)&amp;" &amp; "&amp;TEXT(C46,formatResults)&amp;" &amp; "&amp;TEXT(D46,formatResults)&amp;" &amp; "&amp;TEXT(E46,formatResults)&amp;" &amp; "&amp;TEXT(F46,formatResults)&amp;" &amp; "&amp;TEXT(G46,formatResults)&amp;" \\"</f>
        <v>\textbf{Trade balance (in points of GDP)} &amp; 0.00 &amp; 0.00 &amp; 0.00 &amp; 0.00 &amp; 0.00 &amp; 0.00 \\</v>
      </c>
    </row>
    <row r="69" spans="1:1" x14ac:dyDescent="0.25">
      <c r="A69" s="37" t="str">
        <f>"\textbf{"&amp;A47&amp;"} &amp; "&amp;TEXT(B47,formatResults)&amp;" &amp; "&amp;TEXT(C47,formatResults)&amp;" &amp; "&amp;TEXT(D47,formatResults)&amp;" &amp; "&amp;TEXT(E47,formatResults)&amp;" &amp; "&amp;TEXT(F47,formatResults)&amp;" &amp; "&amp;TEXT(G47,formatResults)&amp;" \\"</f>
        <v>\textbf{Public budget balance (in points of GDP)} &amp; 0.00 &amp; 0.00 &amp; 0.00 &amp; 0.00 &amp; 0.00 &amp; 0.00 \\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A1:M69"/>
  <sheetViews>
    <sheetView topLeftCell="A37" workbookViewId="0">
      <selection activeCell="I64" sqref="I64"/>
    </sheetView>
  </sheetViews>
  <sheetFormatPr baseColWidth="10" defaultRowHeight="15.75" x14ac:dyDescent="0.25"/>
  <cols>
    <col min="1" max="1" width="32.375" style="37" bestFit="1" customWidth="1"/>
    <col min="2" max="16384" width="11" style="37"/>
  </cols>
  <sheetData>
    <row r="1" spans="1:13" ht="35.25" customHeight="1" x14ac:dyDescent="0.25">
      <c r="A1" s="34" t="s">
        <v>51</v>
      </c>
      <c r="B1" s="65" t="s">
        <v>88</v>
      </c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</row>
    <row r="2" spans="1:13" x14ac:dyDescent="0.25">
      <c r="A2" s="41"/>
      <c r="B2" s="46" t="s">
        <v>45</v>
      </c>
      <c r="C2" s="46"/>
      <c r="D2" s="46"/>
      <c r="E2" s="46"/>
      <c r="F2" s="46"/>
      <c r="G2" s="47"/>
      <c r="H2" s="48" t="s">
        <v>46</v>
      </c>
      <c r="I2" s="49"/>
      <c r="J2" s="49"/>
      <c r="K2" s="49"/>
      <c r="L2" s="49"/>
      <c r="M2" s="50"/>
    </row>
    <row r="3" spans="1:13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TRANSPOSE('FF10'!$B$3:$T$8)</f>
        <v>0</v>
      </c>
      <c r="C4" s="29">
        <v>0</v>
      </c>
      <c r="D4" s="29">
        <v>0</v>
      </c>
      <c r="E4" s="29">
        <v>0</v>
      </c>
      <c r="F4" s="29">
        <v>0</v>
      </c>
      <c r="G4" s="30">
        <v>0</v>
      </c>
      <c r="H4" s="43">
        <v>-0.1</v>
      </c>
      <c r="I4" s="43">
        <v>-0.24</v>
      </c>
      <c r="J4" s="43">
        <v>-0.18</v>
      </c>
      <c r="K4" s="43">
        <v>-0.21</v>
      </c>
      <c r="L4" s="43">
        <v>-0.22</v>
      </c>
      <c r="M4" s="44">
        <v>-0.17</v>
      </c>
    </row>
    <row r="5" spans="1:13" x14ac:dyDescent="0.25">
      <c r="A5" s="31" t="s">
        <v>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30">
        <v>0</v>
      </c>
      <c r="H5" s="13">
        <v>-0.14000000000000001</v>
      </c>
      <c r="I5" s="13">
        <v>-0.33</v>
      </c>
      <c r="J5" s="13">
        <v>-0.35</v>
      </c>
      <c r="K5" s="13">
        <v>-0.42</v>
      </c>
      <c r="L5" s="13">
        <v>-0.53</v>
      </c>
      <c r="M5" s="32">
        <v>-0.48</v>
      </c>
    </row>
    <row r="6" spans="1:13" x14ac:dyDescent="0.25">
      <c r="A6" s="31" t="s">
        <v>9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30">
        <v>0</v>
      </c>
      <c r="H6" s="13">
        <v>-0.12</v>
      </c>
      <c r="I6" s="13">
        <v>-0.39</v>
      </c>
      <c r="J6" s="13">
        <v>-0.27</v>
      </c>
      <c r="K6" s="13">
        <v>-0.25</v>
      </c>
      <c r="L6" s="13">
        <v>-0.23</v>
      </c>
      <c r="M6" s="32">
        <v>-0.17</v>
      </c>
    </row>
    <row r="7" spans="1:13" x14ac:dyDescent="0.25">
      <c r="A7" s="31" t="s">
        <v>11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30">
        <v>0</v>
      </c>
      <c r="H7" s="13">
        <v>-0.06</v>
      </c>
      <c r="I7" s="13">
        <v>-0.12</v>
      </c>
      <c r="J7" s="13">
        <v>-0.14000000000000001</v>
      </c>
      <c r="K7" s="13">
        <v>-0.16</v>
      </c>
      <c r="L7" s="13">
        <v>-0.08</v>
      </c>
      <c r="M7" s="32">
        <v>-0.02</v>
      </c>
    </row>
    <row r="8" spans="1:13" x14ac:dyDescent="0.25">
      <c r="A8" s="31" t="s">
        <v>12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30">
        <v>0</v>
      </c>
      <c r="H8" s="13">
        <v>-0.17</v>
      </c>
      <c r="I8" s="13">
        <v>-0.44</v>
      </c>
      <c r="J8" s="13">
        <v>-0.31</v>
      </c>
      <c r="K8" s="13">
        <v>-0.37</v>
      </c>
      <c r="L8" s="13">
        <v>-0.43</v>
      </c>
      <c r="M8" s="32">
        <v>-0.41</v>
      </c>
    </row>
    <row r="9" spans="1:13" x14ac:dyDescent="0.25">
      <c r="A9" s="31" t="s">
        <v>32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30">
        <v>0</v>
      </c>
      <c r="H9" s="13">
        <v>-0.28000000000000003</v>
      </c>
      <c r="I9" s="13">
        <v>-0.34</v>
      </c>
      <c r="J9" s="13">
        <v>-0.36</v>
      </c>
      <c r="K9" s="13">
        <v>-0.48</v>
      </c>
      <c r="L9" s="13">
        <v>-0.54</v>
      </c>
      <c r="M9" s="32">
        <v>-0.48</v>
      </c>
    </row>
    <row r="10" spans="1:13" x14ac:dyDescent="0.25">
      <c r="A10" s="31" t="s">
        <v>33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30">
        <v>0</v>
      </c>
      <c r="H10" s="13">
        <v>-0.12</v>
      </c>
      <c r="I10" s="13">
        <v>-0.01</v>
      </c>
      <c r="J10" s="13">
        <v>-0.01</v>
      </c>
      <c r="K10" s="13">
        <v>-0.05</v>
      </c>
      <c r="L10" s="13">
        <v>0</v>
      </c>
      <c r="M10" s="32">
        <v>0</v>
      </c>
    </row>
    <row r="11" spans="1:13" x14ac:dyDescent="0.25">
      <c r="A11" s="31" t="s">
        <v>34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30">
        <v>0</v>
      </c>
      <c r="H11" s="13">
        <v>0.33</v>
      </c>
      <c r="I11" s="13">
        <v>0.4</v>
      </c>
      <c r="J11" s="13">
        <v>0.4</v>
      </c>
      <c r="K11" s="13">
        <v>0.37</v>
      </c>
      <c r="L11" s="13">
        <v>0.24</v>
      </c>
      <c r="M11" s="32">
        <v>0.13</v>
      </c>
    </row>
    <row r="12" spans="1:13" x14ac:dyDescent="0.25">
      <c r="A12" s="31" t="s">
        <v>35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30">
        <v>0</v>
      </c>
      <c r="H12" s="13">
        <v>0.21</v>
      </c>
      <c r="I12" s="13">
        <v>0.26</v>
      </c>
      <c r="J12" s="13">
        <v>0.23</v>
      </c>
      <c r="K12" s="13">
        <v>0.17</v>
      </c>
      <c r="L12" s="13">
        <v>0.02</v>
      </c>
      <c r="M12" s="32">
        <v>-0.08</v>
      </c>
    </row>
    <row r="13" spans="1:13" x14ac:dyDescent="0.25">
      <c r="A13" s="31" t="s">
        <v>36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30">
        <v>0</v>
      </c>
      <c r="H13" s="13">
        <v>-0.03</v>
      </c>
      <c r="I13" s="13">
        <v>-0.03</v>
      </c>
      <c r="J13" s="13">
        <v>-0.05</v>
      </c>
      <c r="K13" s="13">
        <v>-7.0000000000000007E-2</v>
      </c>
      <c r="L13" s="13">
        <v>-0.22</v>
      </c>
      <c r="M13" s="32">
        <v>-0.35</v>
      </c>
    </row>
    <row r="14" spans="1:13" x14ac:dyDescent="0.25">
      <c r="A14" s="31" t="s">
        <v>37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30">
        <v>0</v>
      </c>
      <c r="H14" s="13">
        <v>0.43</v>
      </c>
      <c r="I14" s="13">
        <v>0.52</v>
      </c>
      <c r="J14" s="13">
        <v>0.51</v>
      </c>
      <c r="K14" s="13">
        <v>0.47</v>
      </c>
      <c r="L14" s="13">
        <v>0.34</v>
      </c>
      <c r="M14" s="32">
        <v>0.25</v>
      </c>
    </row>
    <row r="15" spans="1:13" x14ac:dyDescent="0.25">
      <c r="A15" s="31" t="s">
        <v>38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30">
        <v>0</v>
      </c>
      <c r="H15" s="13">
        <v>0.19</v>
      </c>
      <c r="I15" s="13">
        <v>0.25</v>
      </c>
      <c r="J15" s="13">
        <v>0.24</v>
      </c>
      <c r="K15" s="13">
        <v>0.22</v>
      </c>
      <c r="L15" s="13">
        <v>0.12</v>
      </c>
      <c r="M15" s="32">
        <v>0.06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3">
        <v>0.93</v>
      </c>
      <c r="I16" s="13">
        <v>1.1299999999999999</v>
      </c>
      <c r="J16" s="13">
        <v>1.1399999999999999</v>
      </c>
      <c r="K16" s="13">
        <v>1.1299999999999999</v>
      </c>
      <c r="L16" s="13">
        <v>1.03</v>
      </c>
      <c r="M16" s="32">
        <v>0.98</v>
      </c>
    </row>
    <row r="17" spans="1:13" x14ac:dyDescent="0.25">
      <c r="A17" s="31" t="s">
        <v>40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30">
        <v>0</v>
      </c>
      <c r="H17" s="13">
        <v>0.11</v>
      </c>
      <c r="I17" s="13">
        <v>0.11</v>
      </c>
      <c r="J17" s="13">
        <v>0.01</v>
      </c>
      <c r="K17" s="13">
        <v>-0.25</v>
      </c>
      <c r="L17" s="13">
        <v>-0.49</v>
      </c>
      <c r="M17" s="32">
        <v>-0.53</v>
      </c>
    </row>
    <row r="18" spans="1:13" x14ac:dyDescent="0.25">
      <c r="A18" s="31" t="s">
        <v>16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30">
        <v>0</v>
      </c>
      <c r="H18" s="13">
        <v>0.14000000000000001</v>
      </c>
      <c r="I18" s="13">
        <v>0.14000000000000001</v>
      </c>
      <c r="J18" s="13">
        <v>0.05</v>
      </c>
      <c r="K18" s="13">
        <v>-0.18</v>
      </c>
      <c r="L18" s="13">
        <v>-0.27</v>
      </c>
      <c r="M18" s="32">
        <v>-0.19</v>
      </c>
    </row>
    <row r="19" spans="1:13" x14ac:dyDescent="0.25">
      <c r="A19" s="31" t="s">
        <v>41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30">
        <v>0</v>
      </c>
      <c r="H19" s="13">
        <v>-9</v>
      </c>
      <c r="I19" s="13">
        <v>-38</v>
      </c>
      <c r="J19" s="13">
        <v>-45</v>
      </c>
      <c r="K19" s="13">
        <v>-25</v>
      </c>
      <c r="L19" s="13">
        <v>-19</v>
      </c>
      <c r="M19" s="32">
        <v>-13</v>
      </c>
    </row>
    <row r="20" spans="1:13" x14ac:dyDescent="0.25">
      <c r="A20" s="31" t="s">
        <v>42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30">
        <v>0</v>
      </c>
      <c r="H20" s="13">
        <v>0.04</v>
      </c>
      <c r="I20" s="13">
        <v>0.16</v>
      </c>
      <c r="J20" s="13">
        <v>0.19</v>
      </c>
      <c r="K20" s="13">
        <v>0.11</v>
      </c>
      <c r="L20" s="13">
        <v>0.08</v>
      </c>
      <c r="M20" s="32">
        <v>0.06</v>
      </c>
    </row>
    <row r="21" spans="1:13" x14ac:dyDescent="0.25">
      <c r="A21" s="31" t="s">
        <v>43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30">
        <v>0</v>
      </c>
      <c r="H21" s="13">
        <v>-0.2</v>
      </c>
      <c r="I21" s="13">
        <v>-0.18</v>
      </c>
      <c r="J21" s="13">
        <v>-0.24</v>
      </c>
      <c r="K21" s="13">
        <v>-0.24</v>
      </c>
      <c r="L21" s="13">
        <v>-0.2</v>
      </c>
      <c r="M21" s="32">
        <v>-0.19</v>
      </c>
    </row>
    <row r="22" spans="1:13" x14ac:dyDescent="0.25">
      <c r="A22" s="31" t="s">
        <v>44</v>
      </c>
      <c r="B22" s="29">
        <v>0</v>
      </c>
      <c r="C22" s="29">
        <v>0</v>
      </c>
      <c r="D22" s="29">
        <v>0</v>
      </c>
      <c r="E22" s="29">
        <v>0</v>
      </c>
      <c r="F22" s="29">
        <v>0</v>
      </c>
      <c r="G22" s="30">
        <v>0</v>
      </c>
      <c r="H22" s="13">
        <v>-0.05</v>
      </c>
      <c r="I22" s="13">
        <v>-0.2</v>
      </c>
      <c r="J22" s="13">
        <v>-0.21</v>
      </c>
      <c r="K22" s="13">
        <v>-0.18</v>
      </c>
      <c r="L22" s="13">
        <v>-0.17</v>
      </c>
      <c r="M22" s="32">
        <v>-0.15</v>
      </c>
    </row>
    <row r="26" spans="1:13" x14ac:dyDescent="0.25">
      <c r="A26" s="34" t="s">
        <v>86</v>
      </c>
      <c r="B26" s="65" t="s">
        <v>89</v>
      </c>
      <c r="C26" s="65"/>
      <c r="D26" s="65"/>
      <c r="E26" s="65"/>
      <c r="F26" s="65"/>
      <c r="G26" s="65"/>
      <c r="H26" s="65"/>
      <c r="I26" s="65"/>
      <c r="J26" s="65"/>
      <c r="K26" s="65"/>
      <c r="L26" s="65"/>
      <c r="M26" s="65"/>
    </row>
    <row r="27" spans="1:13" x14ac:dyDescent="0.25">
      <c r="A27" s="41"/>
      <c r="B27" s="46" t="s">
        <v>45</v>
      </c>
      <c r="C27" s="46"/>
      <c r="D27" s="46"/>
      <c r="E27" s="46"/>
      <c r="F27" s="46"/>
      <c r="G27" s="47"/>
      <c r="H27" s="48" t="s">
        <v>46</v>
      </c>
      <c r="I27" s="49"/>
      <c r="J27" s="49"/>
      <c r="K27" s="49"/>
      <c r="L27" s="49"/>
      <c r="M27" s="50"/>
    </row>
    <row r="28" spans="1:13" x14ac:dyDescent="0.25">
      <c r="A28" s="22"/>
      <c r="B28" s="9" t="s">
        <v>60</v>
      </c>
      <c r="C28" s="9" t="s">
        <v>61</v>
      </c>
      <c r="D28" s="9" t="s">
        <v>62</v>
      </c>
      <c r="E28" s="9" t="s">
        <v>63</v>
      </c>
      <c r="F28" s="9" t="s">
        <v>64</v>
      </c>
      <c r="G28" s="11" t="s">
        <v>65</v>
      </c>
      <c r="H28" s="24" t="s">
        <v>60</v>
      </c>
      <c r="I28" s="10" t="s">
        <v>61</v>
      </c>
      <c r="J28" s="10" t="s">
        <v>66</v>
      </c>
      <c r="K28" s="10" t="s">
        <v>63</v>
      </c>
      <c r="L28" s="10" t="s">
        <v>64</v>
      </c>
      <c r="M28" s="25" t="s">
        <v>65</v>
      </c>
    </row>
    <row r="29" spans="1:13" x14ac:dyDescent="0.25">
      <c r="A29" s="31" t="s">
        <v>53</v>
      </c>
      <c r="B29" s="29">
        <f t="array" ref="B29:G47">TRANSPOSE('FF10'!$B$3:$T$8)</f>
        <v>0</v>
      </c>
      <c r="C29" s="29">
        <v>0</v>
      </c>
      <c r="D29" s="29">
        <v>0</v>
      </c>
      <c r="E29" s="29">
        <v>0</v>
      </c>
      <c r="F29" s="29">
        <v>0</v>
      </c>
      <c r="G29" s="30">
        <v>0</v>
      </c>
      <c r="H29" s="43">
        <v>-0.1</v>
      </c>
      <c r="I29" s="43">
        <v>-0.24</v>
      </c>
      <c r="J29" s="43">
        <v>-0.18</v>
      </c>
      <c r="K29" s="43">
        <v>-0.21</v>
      </c>
      <c r="L29" s="43">
        <v>-0.22</v>
      </c>
      <c r="M29" s="44">
        <v>-0.17</v>
      </c>
    </row>
    <row r="30" spans="1:13" x14ac:dyDescent="0.25">
      <c r="A30" s="31" t="s">
        <v>57</v>
      </c>
      <c r="B30" s="29">
        <v>0</v>
      </c>
      <c r="C30" s="29">
        <v>0</v>
      </c>
      <c r="D30" s="29">
        <v>0</v>
      </c>
      <c r="E30" s="29">
        <v>0</v>
      </c>
      <c r="F30" s="29">
        <v>0</v>
      </c>
      <c r="G30" s="30">
        <v>0</v>
      </c>
      <c r="H30" s="13">
        <v>-0.14000000000000001</v>
      </c>
      <c r="I30" s="13">
        <v>-0.33</v>
      </c>
      <c r="J30" s="13">
        <v>-0.35</v>
      </c>
      <c r="K30" s="13">
        <v>-0.42</v>
      </c>
      <c r="L30" s="13">
        <v>-0.53</v>
      </c>
      <c r="M30" s="32">
        <v>-0.48</v>
      </c>
    </row>
    <row r="31" spans="1:13" x14ac:dyDescent="0.25">
      <c r="A31" s="31" t="s">
        <v>54</v>
      </c>
      <c r="B31" s="29">
        <v>0</v>
      </c>
      <c r="C31" s="29">
        <v>0</v>
      </c>
      <c r="D31" s="29">
        <v>0</v>
      </c>
      <c r="E31" s="29">
        <v>0</v>
      </c>
      <c r="F31" s="29">
        <v>0</v>
      </c>
      <c r="G31" s="30">
        <v>0</v>
      </c>
      <c r="H31" s="13">
        <v>-0.12</v>
      </c>
      <c r="I31" s="13">
        <v>-0.39</v>
      </c>
      <c r="J31" s="13">
        <v>-0.27</v>
      </c>
      <c r="K31" s="13">
        <v>-0.25</v>
      </c>
      <c r="L31" s="13">
        <v>-0.23</v>
      </c>
      <c r="M31" s="32">
        <v>-0.17</v>
      </c>
    </row>
    <row r="32" spans="1:13" x14ac:dyDescent="0.25">
      <c r="A32" s="31" t="s">
        <v>55</v>
      </c>
      <c r="B32" s="29">
        <v>0</v>
      </c>
      <c r="C32" s="29">
        <v>0</v>
      </c>
      <c r="D32" s="29">
        <v>0</v>
      </c>
      <c r="E32" s="29">
        <v>0</v>
      </c>
      <c r="F32" s="29">
        <v>0</v>
      </c>
      <c r="G32" s="30">
        <v>0</v>
      </c>
      <c r="H32" s="13">
        <v>-0.06</v>
      </c>
      <c r="I32" s="13">
        <v>-0.12</v>
      </c>
      <c r="J32" s="13">
        <v>-0.14000000000000001</v>
      </c>
      <c r="K32" s="13">
        <v>-0.16</v>
      </c>
      <c r="L32" s="13">
        <v>-0.08</v>
      </c>
      <c r="M32" s="32">
        <v>-0.02</v>
      </c>
    </row>
    <row r="33" spans="1:13" x14ac:dyDescent="0.25">
      <c r="A33" s="31" t="s">
        <v>56</v>
      </c>
      <c r="B33" s="29">
        <v>0</v>
      </c>
      <c r="C33" s="29">
        <v>0</v>
      </c>
      <c r="D33" s="29">
        <v>0</v>
      </c>
      <c r="E33" s="29">
        <v>0</v>
      </c>
      <c r="F33" s="29">
        <v>0</v>
      </c>
      <c r="G33" s="30">
        <v>0</v>
      </c>
      <c r="H33" s="13">
        <v>-0.17</v>
      </c>
      <c r="I33" s="13">
        <v>-0.44</v>
      </c>
      <c r="J33" s="13">
        <v>-0.31</v>
      </c>
      <c r="K33" s="13">
        <v>-0.37</v>
      </c>
      <c r="L33" s="13">
        <v>-0.43</v>
      </c>
      <c r="M33" s="32">
        <v>-0.41</v>
      </c>
    </row>
    <row r="34" spans="1:13" x14ac:dyDescent="0.25">
      <c r="A34" s="31" t="s">
        <v>58</v>
      </c>
      <c r="B34" s="29">
        <v>0</v>
      </c>
      <c r="C34" s="29">
        <v>0</v>
      </c>
      <c r="D34" s="29">
        <v>0</v>
      </c>
      <c r="E34" s="29">
        <v>0</v>
      </c>
      <c r="F34" s="29">
        <v>0</v>
      </c>
      <c r="G34" s="30">
        <v>0</v>
      </c>
      <c r="H34" s="13">
        <v>-0.28000000000000003</v>
      </c>
      <c r="I34" s="13">
        <v>-0.34</v>
      </c>
      <c r="J34" s="13">
        <v>-0.36</v>
      </c>
      <c r="K34" s="13">
        <v>-0.48</v>
      </c>
      <c r="L34" s="13">
        <v>-0.54</v>
      </c>
      <c r="M34" s="32">
        <v>-0.48</v>
      </c>
    </row>
    <row r="35" spans="1:13" x14ac:dyDescent="0.25">
      <c r="A35" s="31" t="s">
        <v>59</v>
      </c>
      <c r="B35" s="29">
        <v>0</v>
      </c>
      <c r="C35" s="29">
        <v>0</v>
      </c>
      <c r="D35" s="29">
        <v>0</v>
      </c>
      <c r="E35" s="29">
        <v>0</v>
      </c>
      <c r="F35" s="29">
        <v>0</v>
      </c>
      <c r="G35" s="30">
        <v>0</v>
      </c>
      <c r="H35" s="13">
        <v>-0.12</v>
      </c>
      <c r="I35" s="13">
        <v>-0.01</v>
      </c>
      <c r="J35" s="13">
        <v>-0.01</v>
      </c>
      <c r="K35" s="13">
        <v>-0.05</v>
      </c>
      <c r="L35" s="13">
        <v>0</v>
      </c>
      <c r="M35" s="32">
        <v>0</v>
      </c>
    </row>
    <row r="36" spans="1:13" x14ac:dyDescent="0.25">
      <c r="A36" s="31" t="s">
        <v>70</v>
      </c>
      <c r="B36" s="29">
        <v>0</v>
      </c>
      <c r="C36" s="29">
        <v>0</v>
      </c>
      <c r="D36" s="29">
        <v>0</v>
      </c>
      <c r="E36" s="29">
        <v>0</v>
      </c>
      <c r="F36" s="29">
        <v>0</v>
      </c>
      <c r="G36" s="30">
        <v>0</v>
      </c>
      <c r="H36" s="13">
        <v>0.33</v>
      </c>
      <c r="I36" s="13">
        <v>0.4</v>
      </c>
      <c r="J36" s="13">
        <v>0.4</v>
      </c>
      <c r="K36" s="13">
        <v>0.37</v>
      </c>
      <c r="L36" s="13">
        <v>0.24</v>
      </c>
      <c r="M36" s="32">
        <v>0.13</v>
      </c>
    </row>
    <row r="37" spans="1:13" x14ac:dyDescent="0.25">
      <c r="A37" s="31" t="s">
        <v>71</v>
      </c>
      <c r="B37" s="29">
        <v>0</v>
      </c>
      <c r="C37" s="29">
        <v>0</v>
      </c>
      <c r="D37" s="29">
        <v>0</v>
      </c>
      <c r="E37" s="29">
        <v>0</v>
      </c>
      <c r="F37" s="29">
        <v>0</v>
      </c>
      <c r="G37" s="30">
        <v>0</v>
      </c>
      <c r="H37" s="13">
        <v>0.21</v>
      </c>
      <c r="I37" s="13">
        <v>0.26</v>
      </c>
      <c r="J37" s="13">
        <v>0.23</v>
      </c>
      <c r="K37" s="13">
        <v>0.17</v>
      </c>
      <c r="L37" s="13">
        <v>0.02</v>
      </c>
      <c r="M37" s="32">
        <v>-0.08</v>
      </c>
    </row>
    <row r="38" spans="1:13" x14ac:dyDescent="0.25">
      <c r="A38" s="31" t="s">
        <v>72</v>
      </c>
      <c r="B38" s="29">
        <v>0</v>
      </c>
      <c r="C38" s="29">
        <v>0</v>
      </c>
      <c r="D38" s="29">
        <v>0</v>
      </c>
      <c r="E38" s="29">
        <v>0</v>
      </c>
      <c r="F38" s="29">
        <v>0</v>
      </c>
      <c r="G38" s="30">
        <v>0</v>
      </c>
      <c r="H38" s="13">
        <v>-0.03</v>
      </c>
      <c r="I38" s="13">
        <v>-0.03</v>
      </c>
      <c r="J38" s="13">
        <v>-0.05</v>
      </c>
      <c r="K38" s="13">
        <v>-7.0000000000000007E-2</v>
      </c>
      <c r="L38" s="13">
        <v>-0.22</v>
      </c>
      <c r="M38" s="32">
        <v>-0.35</v>
      </c>
    </row>
    <row r="39" spans="1:13" x14ac:dyDescent="0.25">
      <c r="A39" s="31" t="s">
        <v>76</v>
      </c>
      <c r="B39" s="29">
        <v>0</v>
      </c>
      <c r="C39" s="29">
        <v>0</v>
      </c>
      <c r="D39" s="29">
        <v>0</v>
      </c>
      <c r="E39" s="29">
        <v>0</v>
      </c>
      <c r="F39" s="29">
        <v>0</v>
      </c>
      <c r="G39" s="30">
        <v>0</v>
      </c>
      <c r="H39" s="13">
        <v>0.43</v>
      </c>
      <c r="I39" s="13">
        <v>0.52</v>
      </c>
      <c r="J39" s="13">
        <v>0.51</v>
      </c>
      <c r="K39" s="13">
        <v>0.47</v>
      </c>
      <c r="L39" s="13">
        <v>0.34</v>
      </c>
      <c r="M39" s="32">
        <v>0.25</v>
      </c>
    </row>
    <row r="40" spans="1:13" x14ac:dyDescent="0.25">
      <c r="A40" s="31" t="s">
        <v>68</v>
      </c>
      <c r="B40" s="29">
        <v>0</v>
      </c>
      <c r="C40" s="29">
        <v>0</v>
      </c>
      <c r="D40" s="29">
        <v>0</v>
      </c>
      <c r="E40" s="29">
        <v>0</v>
      </c>
      <c r="F40" s="29">
        <v>0</v>
      </c>
      <c r="G40" s="30">
        <v>0</v>
      </c>
      <c r="H40" s="13">
        <v>0.19</v>
      </c>
      <c r="I40" s="13">
        <v>0.25</v>
      </c>
      <c r="J40" s="13">
        <v>0.24</v>
      </c>
      <c r="K40" s="13">
        <v>0.22</v>
      </c>
      <c r="L40" s="13">
        <v>0.12</v>
      </c>
      <c r="M40" s="32">
        <v>0.06</v>
      </c>
    </row>
    <row r="41" spans="1:13" x14ac:dyDescent="0.25">
      <c r="A41" s="31" t="s">
        <v>69</v>
      </c>
      <c r="B41" s="29">
        <v>0</v>
      </c>
      <c r="C41" s="29">
        <v>0</v>
      </c>
      <c r="D41" s="29">
        <v>0</v>
      </c>
      <c r="E41" s="29">
        <v>0</v>
      </c>
      <c r="F41" s="29">
        <v>0</v>
      </c>
      <c r="G41" s="30">
        <v>0</v>
      </c>
      <c r="H41" s="13">
        <v>0.93</v>
      </c>
      <c r="I41" s="13">
        <v>1.1299999999999999</v>
      </c>
      <c r="J41" s="13">
        <v>1.1399999999999999</v>
      </c>
      <c r="K41" s="13">
        <v>1.1299999999999999</v>
      </c>
      <c r="L41" s="13">
        <v>1.03</v>
      </c>
      <c r="M41" s="32">
        <v>0.98</v>
      </c>
    </row>
    <row r="42" spans="1:13" x14ac:dyDescent="0.25">
      <c r="A42" s="31" t="s">
        <v>73</v>
      </c>
      <c r="B42" s="29">
        <v>0</v>
      </c>
      <c r="C42" s="29">
        <v>0</v>
      </c>
      <c r="D42" s="29">
        <v>0</v>
      </c>
      <c r="E42" s="29">
        <v>0</v>
      </c>
      <c r="F42" s="29">
        <v>0</v>
      </c>
      <c r="G42" s="30">
        <v>0</v>
      </c>
      <c r="H42" s="13">
        <v>0.11</v>
      </c>
      <c r="I42" s="13">
        <v>0.11</v>
      </c>
      <c r="J42" s="13">
        <v>0.01</v>
      </c>
      <c r="K42" s="13">
        <v>-0.25</v>
      </c>
      <c r="L42" s="13">
        <v>-0.49</v>
      </c>
      <c r="M42" s="32">
        <v>-0.53</v>
      </c>
    </row>
    <row r="43" spans="1:13" x14ac:dyDescent="0.25">
      <c r="A43" s="31" t="s">
        <v>74</v>
      </c>
      <c r="B43" s="29">
        <v>0</v>
      </c>
      <c r="C43" s="29">
        <v>0</v>
      </c>
      <c r="D43" s="29">
        <v>0</v>
      </c>
      <c r="E43" s="29">
        <v>0</v>
      </c>
      <c r="F43" s="29">
        <v>0</v>
      </c>
      <c r="G43" s="30">
        <v>0</v>
      </c>
      <c r="H43" s="13">
        <v>0.14000000000000001</v>
      </c>
      <c r="I43" s="13">
        <v>0.14000000000000001</v>
      </c>
      <c r="J43" s="13">
        <v>0.05</v>
      </c>
      <c r="K43" s="13">
        <v>-0.18</v>
      </c>
      <c r="L43" s="13">
        <v>-0.27</v>
      </c>
      <c r="M43" s="32">
        <v>-0.19</v>
      </c>
    </row>
    <row r="44" spans="1:13" x14ac:dyDescent="0.25">
      <c r="A44" s="31" t="s">
        <v>77</v>
      </c>
      <c r="B44" s="29">
        <v>0</v>
      </c>
      <c r="C44" s="29">
        <v>0</v>
      </c>
      <c r="D44" s="29">
        <v>0</v>
      </c>
      <c r="E44" s="29">
        <v>0</v>
      </c>
      <c r="F44" s="29">
        <v>0</v>
      </c>
      <c r="G44" s="30">
        <v>0</v>
      </c>
      <c r="H44" s="13">
        <v>-9</v>
      </c>
      <c r="I44" s="13">
        <v>-38</v>
      </c>
      <c r="J44" s="13">
        <v>-45</v>
      </c>
      <c r="K44" s="13">
        <v>-25</v>
      </c>
      <c r="L44" s="13">
        <v>-19</v>
      </c>
      <c r="M44" s="32">
        <v>-13</v>
      </c>
    </row>
    <row r="45" spans="1:13" x14ac:dyDescent="0.25">
      <c r="A45" s="31" t="s">
        <v>75</v>
      </c>
      <c r="B45" s="29">
        <v>0</v>
      </c>
      <c r="C45" s="29">
        <v>0</v>
      </c>
      <c r="D45" s="29">
        <v>0</v>
      </c>
      <c r="E45" s="29">
        <v>0</v>
      </c>
      <c r="F45" s="29">
        <v>0</v>
      </c>
      <c r="G45" s="30">
        <v>0</v>
      </c>
      <c r="H45" s="13">
        <v>0.04</v>
      </c>
      <c r="I45" s="13">
        <v>0.16</v>
      </c>
      <c r="J45" s="13">
        <v>0.19</v>
      </c>
      <c r="K45" s="13">
        <v>0.11</v>
      </c>
      <c r="L45" s="13">
        <v>0.08</v>
      </c>
      <c r="M45" s="32">
        <v>0.06</v>
      </c>
    </row>
    <row r="46" spans="1:13" x14ac:dyDescent="0.25">
      <c r="A46" s="31" t="s">
        <v>78</v>
      </c>
      <c r="B46" s="29">
        <v>0</v>
      </c>
      <c r="C46" s="29">
        <v>0</v>
      </c>
      <c r="D46" s="29">
        <v>0</v>
      </c>
      <c r="E46" s="29">
        <v>0</v>
      </c>
      <c r="F46" s="29">
        <v>0</v>
      </c>
      <c r="G46" s="30">
        <v>0</v>
      </c>
      <c r="H46" s="13">
        <v>-0.2</v>
      </c>
      <c r="I46" s="13">
        <v>-0.18</v>
      </c>
      <c r="J46" s="13">
        <v>-0.24</v>
      </c>
      <c r="K46" s="13">
        <v>-0.24</v>
      </c>
      <c r="L46" s="13">
        <v>-0.2</v>
      </c>
      <c r="M46" s="32">
        <v>-0.19</v>
      </c>
    </row>
    <row r="47" spans="1:13" ht="30" x14ac:dyDescent="0.25">
      <c r="A47" s="45" t="s">
        <v>79</v>
      </c>
      <c r="B47" s="29">
        <v>0</v>
      </c>
      <c r="C47" s="29">
        <v>0</v>
      </c>
      <c r="D47" s="29">
        <v>0</v>
      </c>
      <c r="E47" s="29">
        <v>0</v>
      </c>
      <c r="F47" s="29">
        <v>0</v>
      </c>
      <c r="G47" s="30">
        <v>0</v>
      </c>
      <c r="H47" s="13">
        <v>-0.05</v>
      </c>
      <c r="I47" s="13">
        <v>-0.2</v>
      </c>
      <c r="J47" s="13">
        <v>-0.21</v>
      </c>
      <c r="K47" s="13">
        <v>-0.18</v>
      </c>
      <c r="L47" s="13">
        <v>-0.17</v>
      </c>
      <c r="M47" s="32">
        <v>-0.15</v>
      </c>
    </row>
    <row r="51" spans="1:1" x14ac:dyDescent="0.25">
      <c r="A51" s="37" t="str">
        <f>"\textbf{"&amp;A29&amp;"} &amp; "&amp;TEXT(B29,formatResults)&amp;" &amp; "&amp;TEXT(C29,formatResults)&amp;" &amp; "&amp;TEXT(D29,formatResults)&amp;" &amp; "&amp;TEXT(E29,formatResults)&amp;" &amp; "&amp;TEXT(F29,formatResults)&amp;" &amp; "&amp;TEXT(G29,formatResults)&amp;" \\"</f>
        <v>\textbf{GDP in value} &amp; 0.00 &amp; 0.00 &amp; 0.00 &amp; 0.00 &amp; 0.00 &amp; 0.00 \\</v>
      </c>
    </row>
    <row r="52" spans="1:1" x14ac:dyDescent="0.25">
      <c r="A52" s="37" t="str">
        <f>"\textbf{"&amp;A30&amp;"} &amp; "&amp;TEXT(B30,formatResults)&amp;" &amp; "&amp;TEXT(C30,formatResults)&amp;" &amp; "&amp;TEXT(D30,formatResults)&amp;" &amp; "&amp;TEXT(E30,formatResults)&amp;" &amp; "&amp;TEXT(F30,formatResults)&amp;" &amp; "&amp;TEXT(G30,formatResults)&amp;" \\"</f>
        <v>\textbf{Household consumption} &amp; 0.00 &amp; 0.00 &amp; 0.00 &amp; 0.00 &amp; 0.00 &amp; 0.00 \\</v>
      </c>
    </row>
    <row r="53" spans="1:1" x14ac:dyDescent="0.25">
      <c r="A53" s="37" t="str">
        <f>"\textbf{"&amp;A31&amp;"} &amp; "&amp;TEXT(B31,formatResults)&amp;" &amp; "&amp;TEXT(C31,formatResults)&amp;" &amp; "&amp;TEXT(D31,formatResults)&amp;" &amp; "&amp;TEXT(E31,formatResults)&amp;" &amp; "&amp;TEXT(F31,formatResults)&amp;" &amp; "&amp;TEXT(G31,formatResults)&amp;" \\"</f>
        <v>\textbf{Investment} &amp; 0.00 &amp; 0.00 &amp; 0.00 &amp; 0.00 &amp; 0.00 &amp; 0.00 \\</v>
      </c>
    </row>
    <row r="54" spans="1:1" x14ac:dyDescent="0.25">
      <c r="A54" s="37" t="str">
        <f>"\textbf{"&amp;A32&amp;"} &amp; "&amp;TEXT(B32,formatResults)&amp;" &amp; "&amp;TEXT(C32,formatResults)&amp;" &amp; "&amp;TEXT(D32,formatResults)&amp;" &amp; "&amp;TEXT(E32,formatResults)&amp;" &amp; "&amp;TEXT(F32,formatResults)&amp;" &amp; "&amp;TEXT(G32,formatResults)&amp;" \\"</f>
        <v>\textbf{Exports} &amp; 0.00 &amp; 0.00 &amp; 0.00 &amp; 0.00 &amp; 0.00 &amp; 0.00 \\</v>
      </c>
    </row>
    <row r="55" spans="1:1" x14ac:dyDescent="0.25">
      <c r="A55" s="37" t="str">
        <f>"\textbf{"&amp;A33&amp;"} &amp; "&amp;TEXT(B33,formatResults)&amp;" &amp; "&amp;TEXT(C33,formatResults)&amp;" &amp; "&amp;TEXT(D33,formatResults)&amp;" &amp; "&amp;TEXT(E33,formatResults)&amp;" &amp; "&amp;TEXT(F33,formatResults)&amp;" &amp; "&amp;TEXT(G33,formatResults)&amp;" \\"</f>
        <v>\textbf{Imports} &amp; 0.00 &amp; 0.00 &amp; 0.00 &amp; 0.00 &amp; 0.00 &amp; 0.00 \\</v>
      </c>
    </row>
    <row r="56" spans="1:1" x14ac:dyDescent="0.25">
      <c r="A56" s="37" t="str">
        <f>"\textbf{"&amp;A34&amp;"} &amp; "&amp;TEXT(B34,formatResults)&amp;" &amp; "&amp;TEXT(C34,formatResults)&amp;" &amp; "&amp;TEXT(D34,formatResults)&amp;" &amp; "&amp;TEXT(E34,formatResults)&amp;" &amp; "&amp;TEXT(F34,formatResults)&amp;" &amp; "&amp;TEXT(G34,formatResults)&amp;" \\"</f>
        <v>\textbf{Household disposable income } &amp; 0.00 &amp; 0.00 &amp; 0.00 &amp; 0.00 &amp; 0.00 &amp; 0.00 \\</v>
      </c>
    </row>
    <row r="57" spans="1:1" x14ac:dyDescent="0.25">
      <c r="A57" s="37" t="str">
        <f>"\textbf{"&amp;A35&amp;"} &amp; "&amp;TEXT(B35,formatResults)&amp;" &amp; "&amp;TEXT(C35,formatResults)&amp;" &amp; "&amp;TEXT(D35,formatResults)&amp;" &amp; "&amp;TEXT(E35,formatResults)&amp;" &amp; "&amp;TEXT(F35,formatResults)&amp;" &amp; "&amp;TEXT(G35,formatResults)&amp;" \\"</f>
        <v>\textbf{Saving rate} &amp; 0.00 &amp; 0.00 &amp; 0.00 &amp; 0.00 &amp; 0.00 &amp; 0.00 \\</v>
      </c>
    </row>
    <row r="58" spans="1:1" x14ac:dyDescent="0.25">
      <c r="A58" s="37" t="str">
        <f>"\textbf{"&amp;A36&amp;"} &amp; "&amp;TEXT(B36,formatResults)&amp;" &amp; "&amp;TEXT(C36,formatResults)&amp;" &amp; "&amp;TEXT(D36,formatResults)&amp;" &amp; "&amp;TEXT(E36,formatResults)&amp;" &amp; "&amp;TEXT(F36,formatResults)&amp;" &amp; "&amp;TEXT(G36,formatResults)&amp;" \\"</f>
        <v>\textbf{Household consumption price index} &amp; 0.00 &amp; 0.00 &amp; 0.00 &amp; 0.00 &amp; 0.00 &amp; 0.00 \\</v>
      </c>
    </row>
    <row r="59" spans="1:1" x14ac:dyDescent="0.25">
      <c r="A59" s="37" t="str">
        <f>"\textbf{"&amp;A37&amp;"} &amp; "&amp;TEXT(B37,formatResults)&amp;" &amp; "&amp;TEXT(C37,formatResults)&amp;" &amp; "&amp;TEXT(D37,formatResults)&amp;" &amp; "&amp;TEXT(E37,formatResults)&amp;" &amp; "&amp;TEXT(F37,formatResults)&amp;" &amp; "&amp;TEXT(G37,formatResults)&amp;" \\"</f>
        <v>\textbf{Production price index} &amp; 0.00 &amp; 0.00 &amp; 0.00 &amp; 0.00 &amp; 0.00 &amp; 0.00 \\</v>
      </c>
    </row>
    <row r="60" spans="1:1" x14ac:dyDescent="0.25">
      <c r="A60" s="37" t="str">
        <f>"\textbf{"&amp;A38&amp;"} &amp; "&amp;TEXT(B38,formatResults)&amp;" &amp; "&amp;TEXT(C38,formatResults)&amp;" &amp; "&amp;TEXT(D38,formatResults)&amp;" &amp; "&amp;TEXT(E38,formatResults)&amp;" &amp; "&amp;TEXT(F38,formatResults)&amp;" &amp; "&amp;TEXT(G38,formatResults)&amp;" \\"</f>
        <v>\textbf{Added value price index} &amp; 0.00 &amp; 0.00 &amp; 0.00 &amp; 0.00 &amp; 0.00 &amp; 0.00 \\</v>
      </c>
    </row>
    <row r="61" spans="1:1" x14ac:dyDescent="0.25">
      <c r="A61" s="37" t="str">
        <f>"\textbf{"&amp;A39&amp;"} &amp; "&amp;TEXT(B39,formatResults)&amp;" &amp; "&amp;TEXT(C39,formatResults)&amp;" &amp; "&amp;TEXT(D39,formatResults)&amp;" &amp; "&amp;TEXT(E39,formatResults)&amp;" &amp; "&amp;TEXT(F39,formatResults)&amp;" &amp; "&amp;TEXT(G39,formatResults)&amp;" \\"</f>
        <v>\textbf{Intermediate consumption price index} &amp; 0.00 &amp; 0.00 &amp; 0.00 &amp; 0.00 &amp; 0.00 &amp; 0.00 \\</v>
      </c>
    </row>
    <row r="62" spans="1:1" x14ac:dyDescent="0.25">
      <c r="A62" s="37" t="str">
        <f>"\textbf{"&amp;A40&amp;"} &amp; "&amp;TEXT(B40,formatResults)&amp;" &amp; "&amp;TEXT(C40,formatResults)&amp;" &amp; "&amp;TEXT(D40,formatResults)&amp;" &amp; "&amp;TEXT(E40,formatResults)&amp;" &amp; "&amp;TEXT(F40,formatResults)&amp;" &amp; "&amp;TEXT(G40,formatResults)&amp;" \\"</f>
        <v>\textbf{Export price index} &amp; 0.00 &amp; 0.00 &amp; 0.00 &amp; 0.00 &amp; 0.00 &amp; 0.00 \\</v>
      </c>
    </row>
    <row r="63" spans="1:1" x14ac:dyDescent="0.25">
      <c r="A63" s="37" t="str">
        <f>"\textbf{"&amp;A41&amp;"} &amp; "&amp;TEXT(B41,formatResults)&amp;" &amp; "&amp;TEXT(C41,formatResults)&amp;" &amp; "&amp;TEXT(D41,formatResults)&amp;" &amp; "&amp;TEXT(E41,formatResults)&amp;" &amp; "&amp;TEXT(F41,formatResults)&amp;" &amp; "&amp;TEXT(G41,formatResults)&amp;" \\"</f>
        <v>\textbf{Import price index} &amp; 0.00 &amp; 0.00 &amp; 0.00 &amp; 0.00 &amp; 0.00 &amp; 0.00 \\</v>
      </c>
    </row>
    <row r="64" spans="1:1" x14ac:dyDescent="0.25">
      <c r="A64" s="37" t="str">
        <f>"\textbf{"&amp;A42&amp;"} &amp; "&amp;TEXT(B42,formatResults)&amp;" &amp; "&amp;TEXT(C42,formatResults)&amp;" &amp; "&amp;TEXT(D42,formatResults)&amp;" &amp; "&amp;TEXT(E42,formatResults)&amp;" &amp; "&amp;TEXT(F42,formatResults)&amp;" &amp; "&amp;TEXT(G42,formatResults)&amp;" \\"</f>
        <v>\textbf{Gross nominal wage} &amp; 0.00 &amp; 0.00 &amp; 0.00 &amp; 0.00 &amp; 0.00 &amp; 0.00 \\</v>
      </c>
    </row>
    <row r="65" spans="1:1" x14ac:dyDescent="0.25">
      <c r="A65" s="37" t="str">
        <f>"\textbf{"&amp;A43&amp;"} &amp; "&amp;TEXT(B43,formatResults)&amp;" &amp; "&amp;TEXT(C43,formatResults)&amp;" &amp; "&amp;TEXT(D43,formatResults)&amp;" &amp; "&amp;TEXT(E43,formatResults)&amp;" &amp; "&amp;TEXT(F43,formatResults)&amp;" &amp; "&amp;TEXT(G43,formatResults)&amp;" \\"</f>
        <v>\textbf{Real cost of labor} &amp; 0.00 &amp; 0.00 &amp; 0.00 &amp; 0.00 &amp; 0.00 &amp; 0.00 \\</v>
      </c>
    </row>
    <row r="66" spans="1:1" x14ac:dyDescent="0.25">
      <c r="A66" s="37" t="str">
        <f>"\textbf{"&amp;A44&amp;"} &amp; "&amp;TEXT(B44,formatResults)&amp;" &amp; "&amp;TEXT(C44,formatResults)&amp;" &amp; "&amp;TEXT(D44,formatResults)&amp;" &amp; "&amp;TEXT(E44,formatResults)&amp;" &amp; "&amp;TEXT(F44,formatResults)&amp;" &amp; "&amp;TEXT(G44,formatResults)&amp;" \\"</f>
        <v>\textbf{Wage employment (in thousands)} &amp; 0.00 &amp; 0.00 &amp; 0.00 &amp; 0.00 &amp; 0.00 &amp; 0.00 \\</v>
      </c>
    </row>
    <row r="67" spans="1:1" x14ac:dyDescent="0.25">
      <c r="A67" s="37" t="str">
        <f>"\textbf{"&amp;A45&amp;"} &amp; "&amp;TEXT(B45,formatResults)&amp;" &amp; "&amp;TEXT(C45,formatResults)&amp;" &amp; "&amp;TEXT(D45,formatResults)&amp;" &amp; "&amp;TEXT(E45,formatResults)&amp;" &amp; "&amp;TEXT(F45,formatResults)&amp;" &amp; "&amp;TEXT(G45,formatResults)&amp;" \\"</f>
        <v>\textbf{Unemployment rate} &amp; 0.00 &amp; 0.00 &amp; 0.00 &amp; 0.00 &amp; 0.00 &amp; 0.00 \\</v>
      </c>
    </row>
    <row r="68" spans="1:1" x14ac:dyDescent="0.25">
      <c r="A68" s="37" t="str">
        <f>"\textbf{"&amp;A46&amp;"} &amp; "&amp;TEXT(B46,formatResults)&amp;" &amp; "&amp;TEXT(C46,formatResults)&amp;" &amp; "&amp;TEXT(D46,formatResults)&amp;" &amp; "&amp;TEXT(E46,formatResults)&amp;" &amp; "&amp;TEXT(F46,formatResults)&amp;" &amp; "&amp;TEXT(G46,formatResults)&amp;" \\"</f>
        <v>\textbf{Trade balance (in points of GDP)} &amp; 0.00 &amp; 0.00 &amp; 0.00 &amp; 0.00 &amp; 0.00 &amp; 0.00 \\</v>
      </c>
    </row>
    <row r="69" spans="1:1" x14ac:dyDescent="0.25">
      <c r="A69" s="37" t="str">
        <f>"\textbf{"&amp;A47&amp;"} &amp; "&amp;TEXT(B47,formatResults)&amp;" &amp; "&amp;TEXT(C47,formatResults)&amp;" &amp; "&amp;TEXT(D47,formatResults)&amp;" &amp; "&amp;TEXT(E47,formatResults)&amp;" &amp; "&amp;TEXT(F47,formatResults)&amp;" &amp; "&amp;TEXT(G47,formatResults)&amp;" \\"</f>
        <v>\textbf{Public budget balance (in points of GDP)} &amp; 0.00 &amp; 0.00 &amp; 0.00 &amp; 0.00 &amp; 0.00 &amp; 0.00 \\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69"/>
  <sheetViews>
    <sheetView tabSelected="1" topLeftCell="A36" workbookViewId="0">
      <selection activeCell="J63" sqref="J63"/>
    </sheetView>
  </sheetViews>
  <sheetFormatPr baseColWidth="10" defaultRowHeight="15.75" x14ac:dyDescent="0.25"/>
  <cols>
    <col min="1" max="1" width="31.625" style="37" bestFit="1" customWidth="1"/>
    <col min="2" max="16384" width="11" style="37"/>
  </cols>
  <sheetData>
    <row r="1" spans="1:13" ht="30" x14ac:dyDescent="0.25">
      <c r="A1" s="34" t="s">
        <v>52</v>
      </c>
      <c r="B1" s="65" t="s">
        <v>87</v>
      </c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</row>
    <row r="2" spans="1:13" x14ac:dyDescent="0.25">
      <c r="A2" s="41"/>
      <c r="B2" s="46" t="s">
        <v>45</v>
      </c>
      <c r="C2" s="46"/>
      <c r="D2" s="46"/>
      <c r="E2" s="46"/>
      <c r="F2" s="46"/>
      <c r="G2" s="47"/>
      <c r="H2" s="48" t="s">
        <v>46</v>
      </c>
      <c r="I2" s="49"/>
      <c r="J2" s="49"/>
      <c r="K2" s="49"/>
      <c r="L2" s="49"/>
      <c r="M2" s="50"/>
    </row>
    <row r="3" spans="1:13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TRANSPOSE('CT1'!$B$3:$T$8)</f>
        <v>0</v>
      </c>
      <c r="C4" s="29">
        <v>0</v>
      </c>
      <c r="D4" s="29">
        <v>0</v>
      </c>
      <c r="E4" s="29">
        <v>0</v>
      </c>
      <c r="F4" s="29">
        <v>0</v>
      </c>
      <c r="G4" s="30">
        <v>0</v>
      </c>
      <c r="H4" s="12">
        <v>-0.51</v>
      </c>
      <c r="I4" s="36">
        <v>-0.8</v>
      </c>
      <c r="J4" s="36">
        <v>-0.75</v>
      </c>
      <c r="K4" s="36">
        <v>-0.87</v>
      </c>
      <c r="L4" s="36">
        <v>-0.86</v>
      </c>
      <c r="M4" s="32">
        <v>-0.68</v>
      </c>
    </row>
    <row r="5" spans="1:13" x14ac:dyDescent="0.25">
      <c r="A5" s="31" t="s">
        <v>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30">
        <v>0</v>
      </c>
      <c r="H5" s="12">
        <v>-0.75</v>
      </c>
      <c r="I5" s="36">
        <v>-1.3</v>
      </c>
      <c r="J5" s="36">
        <v>-1.34</v>
      </c>
      <c r="K5" s="36">
        <v>-1.71</v>
      </c>
      <c r="L5" s="36">
        <v>-2.09</v>
      </c>
      <c r="M5" s="32">
        <v>-1.9</v>
      </c>
    </row>
    <row r="6" spans="1:13" x14ac:dyDescent="0.25">
      <c r="A6" s="31" t="s">
        <v>9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30">
        <v>0</v>
      </c>
      <c r="H6" s="12">
        <v>-0.7</v>
      </c>
      <c r="I6" s="36">
        <v>-1.32</v>
      </c>
      <c r="J6" s="36">
        <v>-1.06</v>
      </c>
      <c r="K6" s="36">
        <v>-1.03</v>
      </c>
      <c r="L6" s="36">
        <v>-0.86</v>
      </c>
      <c r="M6" s="32">
        <v>-0.66</v>
      </c>
    </row>
    <row r="7" spans="1:13" x14ac:dyDescent="0.25">
      <c r="A7" s="31" t="s">
        <v>11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30">
        <v>0</v>
      </c>
      <c r="H7" s="12">
        <v>-0.3</v>
      </c>
      <c r="I7" s="36">
        <v>-0.53</v>
      </c>
      <c r="J7" s="36">
        <v>-0.6</v>
      </c>
      <c r="K7" s="36">
        <v>-0.62</v>
      </c>
      <c r="L7" s="36">
        <v>-0.3</v>
      </c>
      <c r="M7" s="32">
        <v>-7.0000000000000007E-2</v>
      </c>
    </row>
    <row r="8" spans="1:13" x14ac:dyDescent="0.25">
      <c r="A8" s="31" t="s">
        <v>12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30">
        <v>0</v>
      </c>
      <c r="H8" s="12">
        <v>-0.85</v>
      </c>
      <c r="I8" s="36">
        <v>-1.4</v>
      </c>
      <c r="J8" s="36">
        <v>-1.18</v>
      </c>
      <c r="K8" s="36">
        <v>-1.35</v>
      </c>
      <c r="L8" s="36">
        <v>-1.43</v>
      </c>
      <c r="M8" s="32">
        <v>-1.36</v>
      </c>
    </row>
    <row r="9" spans="1:13" x14ac:dyDescent="0.25">
      <c r="A9" s="31" t="s">
        <v>32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30">
        <v>0</v>
      </c>
      <c r="H9" s="12">
        <v>-1.33</v>
      </c>
      <c r="I9" s="36">
        <v>-1.25</v>
      </c>
      <c r="J9" s="36">
        <v>-1.44</v>
      </c>
      <c r="K9" s="36">
        <v>-1.94</v>
      </c>
      <c r="L9" s="36">
        <v>-2.1</v>
      </c>
      <c r="M9" s="32">
        <v>-1.9</v>
      </c>
    </row>
    <row r="10" spans="1:13" x14ac:dyDescent="0.25">
      <c r="A10" s="31" t="s">
        <v>33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30">
        <v>0</v>
      </c>
      <c r="H10" s="12">
        <v>-0.51</v>
      </c>
      <c r="I10" s="36">
        <v>0.04</v>
      </c>
      <c r="J10" s="36">
        <v>-0.09</v>
      </c>
      <c r="K10" s="36">
        <v>-0.2</v>
      </c>
      <c r="L10" s="36">
        <v>-0.01</v>
      </c>
      <c r="M10" s="32">
        <v>0</v>
      </c>
    </row>
    <row r="11" spans="1:13" x14ac:dyDescent="0.25">
      <c r="A11" s="31" t="s">
        <v>34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30">
        <v>0</v>
      </c>
      <c r="H11" s="12">
        <v>1.64</v>
      </c>
      <c r="I11" s="36">
        <v>1.72</v>
      </c>
      <c r="J11" s="36">
        <v>1.68</v>
      </c>
      <c r="K11" s="36">
        <v>1.49</v>
      </c>
      <c r="L11" s="36">
        <v>1.01</v>
      </c>
      <c r="M11" s="32">
        <v>0.61</v>
      </c>
    </row>
    <row r="12" spans="1:13" x14ac:dyDescent="0.25">
      <c r="A12" s="31" t="s">
        <v>35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30">
        <v>0</v>
      </c>
      <c r="H12" s="12">
        <v>1</v>
      </c>
      <c r="I12" s="36">
        <v>1.06</v>
      </c>
      <c r="J12" s="36">
        <v>0.94</v>
      </c>
      <c r="K12" s="36">
        <v>0.62</v>
      </c>
      <c r="L12" s="36">
        <v>0.08</v>
      </c>
      <c r="M12" s="32">
        <v>-0.28999999999999998</v>
      </c>
    </row>
    <row r="13" spans="1:13" x14ac:dyDescent="0.25">
      <c r="A13" s="31" t="s">
        <v>36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30">
        <v>0</v>
      </c>
      <c r="H13" s="12">
        <v>-0.13</v>
      </c>
      <c r="I13" s="36">
        <v>-0.08</v>
      </c>
      <c r="J13" s="36">
        <v>-0.12</v>
      </c>
      <c r="K13" s="36">
        <v>-0.3</v>
      </c>
      <c r="L13" s="36">
        <v>-0.84</v>
      </c>
      <c r="M13" s="32">
        <v>-1.33</v>
      </c>
    </row>
    <row r="14" spans="1:13" x14ac:dyDescent="0.25">
      <c r="A14" s="31" t="s">
        <v>37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30">
        <v>0</v>
      </c>
      <c r="H14" s="12">
        <v>2.0099999999999998</v>
      </c>
      <c r="I14" s="36">
        <v>2.09</v>
      </c>
      <c r="J14" s="36">
        <v>2</v>
      </c>
      <c r="K14" s="36">
        <v>1.77</v>
      </c>
      <c r="L14" s="36">
        <v>1.3</v>
      </c>
      <c r="M14" s="32">
        <v>0.97</v>
      </c>
    </row>
    <row r="15" spans="1:13" x14ac:dyDescent="0.25">
      <c r="A15" s="31" t="s">
        <v>38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30">
        <v>0</v>
      </c>
      <c r="H15" s="12">
        <v>0.9</v>
      </c>
      <c r="I15" s="36">
        <v>1.01</v>
      </c>
      <c r="J15" s="36">
        <v>0.97</v>
      </c>
      <c r="K15" s="36">
        <v>0.83</v>
      </c>
      <c r="L15" s="36">
        <v>0.45</v>
      </c>
      <c r="M15" s="32">
        <v>0.22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2">
        <v>0.53</v>
      </c>
      <c r="I16" s="36">
        <v>0.66</v>
      </c>
      <c r="J16" s="36">
        <v>0.68</v>
      </c>
      <c r="K16" s="36">
        <v>0.56999999999999995</v>
      </c>
      <c r="L16" s="36">
        <v>0.17</v>
      </c>
      <c r="M16" s="32">
        <v>-0.02</v>
      </c>
    </row>
    <row r="17" spans="1:13" x14ac:dyDescent="0.25">
      <c r="A17" s="31" t="s">
        <v>40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30">
        <v>0</v>
      </c>
      <c r="H17" s="12">
        <v>0.6</v>
      </c>
      <c r="I17" s="36">
        <v>0.56000000000000005</v>
      </c>
      <c r="J17" s="36">
        <v>0.06</v>
      </c>
      <c r="K17" s="36">
        <v>-1.06</v>
      </c>
      <c r="L17" s="36">
        <v>-1.87</v>
      </c>
      <c r="M17" s="32">
        <v>-2.0299999999999998</v>
      </c>
    </row>
    <row r="18" spans="1:13" x14ac:dyDescent="0.25">
      <c r="A18" s="31" t="s">
        <v>16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30">
        <v>0</v>
      </c>
      <c r="H18" s="12">
        <v>0.73</v>
      </c>
      <c r="I18" s="36">
        <v>0.64</v>
      </c>
      <c r="J18" s="36">
        <v>0.18</v>
      </c>
      <c r="K18" s="36">
        <v>-0.76</v>
      </c>
      <c r="L18" s="36">
        <v>-1.05</v>
      </c>
      <c r="M18" s="32">
        <v>-0.71</v>
      </c>
    </row>
    <row r="19" spans="1:13" x14ac:dyDescent="0.25">
      <c r="A19" s="31" t="s">
        <v>41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30">
        <v>0</v>
      </c>
      <c r="H19" s="12">
        <v>-53</v>
      </c>
      <c r="I19" s="36">
        <v>-157</v>
      </c>
      <c r="J19" s="36">
        <v>-173</v>
      </c>
      <c r="K19" s="36">
        <v>-105</v>
      </c>
      <c r="L19" s="36">
        <v>-69</v>
      </c>
      <c r="M19" s="32">
        <v>-51</v>
      </c>
    </row>
    <row r="20" spans="1:13" x14ac:dyDescent="0.25">
      <c r="A20" s="31" t="s">
        <v>42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30">
        <v>0</v>
      </c>
      <c r="H20" s="12">
        <v>0.22</v>
      </c>
      <c r="I20" s="36">
        <v>0.66</v>
      </c>
      <c r="J20" s="36">
        <v>0.72</v>
      </c>
      <c r="K20" s="36">
        <v>0.44</v>
      </c>
      <c r="L20" s="36">
        <v>0.28999999999999998</v>
      </c>
      <c r="M20" s="32">
        <v>0.21</v>
      </c>
    </row>
    <row r="21" spans="1:13" x14ac:dyDescent="0.25">
      <c r="A21" s="31" t="s">
        <v>43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30">
        <v>0</v>
      </c>
      <c r="H21" s="12">
        <v>0.28999999999999998</v>
      </c>
      <c r="I21" s="36">
        <v>0.39</v>
      </c>
      <c r="J21" s="36">
        <v>0.28000000000000003</v>
      </c>
      <c r="K21" s="36">
        <v>0.32</v>
      </c>
      <c r="L21" s="36">
        <v>0.45</v>
      </c>
      <c r="M21" s="32">
        <v>0.49</v>
      </c>
    </row>
    <row r="22" spans="1:13" x14ac:dyDescent="0.25">
      <c r="A22" s="31" t="s">
        <v>44</v>
      </c>
      <c r="B22" s="29">
        <v>0</v>
      </c>
      <c r="C22" s="29">
        <v>0</v>
      </c>
      <c r="D22" s="29">
        <v>0</v>
      </c>
      <c r="E22" s="29">
        <v>0</v>
      </c>
      <c r="F22" s="29">
        <v>0</v>
      </c>
      <c r="G22" s="30">
        <v>0</v>
      </c>
      <c r="H22" s="12">
        <v>0.68</v>
      </c>
      <c r="I22" s="36">
        <v>0.15</v>
      </c>
      <c r="J22" s="36">
        <v>0.14000000000000001</v>
      </c>
      <c r="K22" s="36">
        <v>0.24</v>
      </c>
      <c r="L22" s="36">
        <v>0.28000000000000003</v>
      </c>
      <c r="M22" s="32">
        <v>0.37</v>
      </c>
    </row>
    <row r="26" spans="1:13" ht="30" x14ac:dyDescent="0.25">
      <c r="A26" s="34" t="s">
        <v>67</v>
      </c>
      <c r="B26" s="65" t="s">
        <v>89</v>
      </c>
      <c r="C26" s="65"/>
      <c r="D26" s="65"/>
      <c r="E26" s="65"/>
      <c r="F26" s="65"/>
      <c r="G26" s="65"/>
      <c r="H26" s="65"/>
      <c r="I26" s="65"/>
      <c r="J26" s="65"/>
      <c r="K26" s="65"/>
      <c r="L26" s="65"/>
      <c r="M26" s="65"/>
    </row>
    <row r="27" spans="1:13" x14ac:dyDescent="0.25">
      <c r="A27" s="41"/>
      <c r="B27" s="46" t="s">
        <v>45</v>
      </c>
      <c r="C27" s="46"/>
      <c r="D27" s="46"/>
      <c r="E27" s="46"/>
      <c r="F27" s="46"/>
      <c r="G27" s="47"/>
      <c r="H27" s="48" t="s">
        <v>46</v>
      </c>
      <c r="I27" s="49"/>
      <c r="J27" s="49"/>
      <c r="K27" s="49"/>
      <c r="L27" s="49"/>
      <c r="M27" s="50"/>
    </row>
    <row r="28" spans="1:13" x14ac:dyDescent="0.25">
      <c r="A28" s="22"/>
      <c r="B28" s="9" t="s">
        <v>60</v>
      </c>
      <c r="C28" s="9" t="s">
        <v>61</v>
      </c>
      <c r="D28" s="9" t="s">
        <v>62</v>
      </c>
      <c r="E28" s="9" t="s">
        <v>63</v>
      </c>
      <c r="F28" s="9" t="s">
        <v>64</v>
      </c>
      <c r="G28" s="11" t="s">
        <v>65</v>
      </c>
      <c r="H28" s="24" t="s">
        <v>60</v>
      </c>
      <c r="I28" s="10" t="s">
        <v>61</v>
      </c>
      <c r="J28" s="10" t="s">
        <v>66</v>
      </c>
      <c r="K28" s="10" t="s">
        <v>63</v>
      </c>
      <c r="L28" s="10" t="s">
        <v>64</v>
      </c>
      <c r="M28" s="25" t="s">
        <v>65</v>
      </c>
    </row>
    <row r="29" spans="1:13" x14ac:dyDescent="0.25">
      <c r="A29" s="31" t="s">
        <v>53</v>
      </c>
      <c r="B29" s="29">
        <f t="array" ref="B29:G47">TRANSPOSE('CT1'!$B$3:$T$8)</f>
        <v>0</v>
      </c>
      <c r="C29" s="29">
        <v>0</v>
      </c>
      <c r="D29" s="29">
        <v>0</v>
      </c>
      <c r="E29" s="29">
        <v>0</v>
      </c>
      <c r="F29" s="29">
        <v>0</v>
      </c>
      <c r="G29" s="30">
        <v>0</v>
      </c>
      <c r="H29" s="12">
        <v>-0.51</v>
      </c>
      <c r="I29" s="36">
        <v>-0.8</v>
      </c>
      <c r="J29" s="36">
        <v>-0.75</v>
      </c>
      <c r="K29" s="36">
        <v>-0.87</v>
      </c>
      <c r="L29" s="36">
        <v>-0.86</v>
      </c>
      <c r="M29" s="32">
        <v>-0.68</v>
      </c>
    </row>
    <row r="30" spans="1:13" x14ac:dyDescent="0.25">
      <c r="A30" s="31" t="s">
        <v>57</v>
      </c>
      <c r="B30" s="29">
        <v>0</v>
      </c>
      <c r="C30" s="29">
        <v>0</v>
      </c>
      <c r="D30" s="29">
        <v>0</v>
      </c>
      <c r="E30" s="29">
        <v>0</v>
      </c>
      <c r="F30" s="29">
        <v>0</v>
      </c>
      <c r="G30" s="30">
        <v>0</v>
      </c>
      <c r="H30" s="12">
        <v>-0.75</v>
      </c>
      <c r="I30" s="36">
        <v>-1.3</v>
      </c>
      <c r="J30" s="36">
        <v>-1.34</v>
      </c>
      <c r="K30" s="36">
        <v>-1.71</v>
      </c>
      <c r="L30" s="36">
        <v>-2.09</v>
      </c>
      <c r="M30" s="32">
        <v>-1.9</v>
      </c>
    </row>
    <row r="31" spans="1:13" x14ac:dyDescent="0.25">
      <c r="A31" s="31" t="s">
        <v>54</v>
      </c>
      <c r="B31" s="29">
        <v>0</v>
      </c>
      <c r="C31" s="29">
        <v>0</v>
      </c>
      <c r="D31" s="29">
        <v>0</v>
      </c>
      <c r="E31" s="29">
        <v>0</v>
      </c>
      <c r="F31" s="29">
        <v>0</v>
      </c>
      <c r="G31" s="30">
        <v>0</v>
      </c>
      <c r="H31" s="12">
        <v>-0.7</v>
      </c>
      <c r="I31" s="36">
        <v>-1.32</v>
      </c>
      <c r="J31" s="36">
        <v>-1.06</v>
      </c>
      <c r="K31" s="36">
        <v>-1.03</v>
      </c>
      <c r="L31" s="36">
        <v>-0.86</v>
      </c>
      <c r="M31" s="32">
        <v>-0.66</v>
      </c>
    </row>
    <row r="32" spans="1:13" x14ac:dyDescent="0.25">
      <c r="A32" s="31" t="s">
        <v>55</v>
      </c>
      <c r="B32" s="29">
        <v>0</v>
      </c>
      <c r="C32" s="29">
        <v>0</v>
      </c>
      <c r="D32" s="29">
        <v>0</v>
      </c>
      <c r="E32" s="29">
        <v>0</v>
      </c>
      <c r="F32" s="29">
        <v>0</v>
      </c>
      <c r="G32" s="30">
        <v>0</v>
      </c>
      <c r="H32" s="12">
        <v>-0.3</v>
      </c>
      <c r="I32" s="36">
        <v>-0.53</v>
      </c>
      <c r="J32" s="36">
        <v>-0.6</v>
      </c>
      <c r="K32" s="36">
        <v>-0.62</v>
      </c>
      <c r="L32" s="36">
        <v>-0.3</v>
      </c>
      <c r="M32" s="32">
        <v>-7.0000000000000007E-2</v>
      </c>
    </row>
    <row r="33" spans="1:13" x14ac:dyDescent="0.25">
      <c r="A33" s="31" t="s">
        <v>56</v>
      </c>
      <c r="B33" s="29">
        <v>0</v>
      </c>
      <c r="C33" s="29">
        <v>0</v>
      </c>
      <c r="D33" s="29">
        <v>0</v>
      </c>
      <c r="E33" s="29">
        <v>0</v>
      </c>
      <c r="F33" s="29">
        <v>0</v>
      </c>
      <c r="G33" s="30">
        <v>0</v>
      </c>
      <c r="H33" s="12">
        <v>-0.85</v>
      </c>
      <c r="I33" s="36">
        <v>-1.4</v>
      </c>
      <c r="J33" s="36">
        <v>-1.18</v>
      </c>
      <c r="K33" s="36">
        <v>-1.35</v>
      </c>
      <c r="L33" s="36">
        <v>-1.43</v>
      </c>
      <c r="M33" s="32">
        <v>-1.36</v>
      </c>
    </row>
    <row r="34" spans="1:13" x14ac:dyDescent="0.25">
      <c r="A34" s="31" t="s">
        <v>58</v>
      </c>
      <c r="B34" s="29">
        <v>0</v>
      </c>
      <c r="C34" s="29">
        <v>0</v>
      </c>
      <c r="D34" s="29">
        <v>0</v>
      </c>
      <c r="E34" s="29">
        <v>0</v>
      </c>
      <c r="F34" s="29">
        <v>0</v>
      </c>
      <c r="G34" s="30">
        <v>0</v>
      </c>
      <c r="H34" s="12">
        <v>-1.33</v>
      </c>
      <c r="I34" s="36">
        <v>-1.25</v>
      </c>
      <c r="J34" s="36">
        <v>-1.44</v>
      </c>
      <c r="K34" s="36">
        <v>-1.94</v>
      </c>
      <c r="L34" s="36">
        <v>-2.1</v>
      </c>
      <c r="M34" s="32">
        <v>-1.9</v>
      </c>
    </row>
    <row r="35" spans="1:13" x14ac:dyDescent="0.25">
      <c r="A35" s="31" t="s">
        <v>59</v>
      </c>
      <c r="B35" s="29">
        <v>0</v>
      </c>
      <c r="C35" s="29">
        <v>0</v>
      </c>
      <c r="D35" s="29">
        <v>0</v>
      </c>
      <c r="E35" s="29">
        <v>0</v>
      </c>
      <c r="F35" s="29">
        <v>0</v>
      </c>
      <c r="G35" s="30">
        <v>0</v>
      </c>
      <c r="H35" s="12">
        <v>-0.51</v>
      </c>
      <c r="I35" s="36">
        <v>0.04</v>
      </c>
      <c r="J35" s="36">
        <v>-0.09</v>
      </c>
      <c r="K35" s="36">
        <v>-0.2</v>
      </c>
      <c r="L35" s="36">
        <v>-0.01</v>
      </c>
      <c r="M35" s="32">
        <v>0</v>
      </c>
    </row>
    <row r="36" spans="1:13" x14ac:dyDescent="0.25">
      <c r="A36" s="31" t="s">
        <v>70</v>
      </c>
      <c r="B36" s="29">
        <v>0</v>
      </c>
      <c r="C36" s="29">
        <v>0</v>
      </c>
      <c r="D36" s="29">
        <v>0</v>
      </c>
      <c r="E36" s="29">
        <v>0</v>
      </c>
      <c r="F36" s="29">
        <v>0</v>
      </c>
      <c r="G36" s="30">
        <v>0</v>
      </c>
      <c r="H36" s="12">
        <v>1.64</v>
      </c>
      <c r="I36" s="36">
        <v>1.72</v>
      </c>
      <c r="J36" s="36">
        <v>1.68</v>
      </c>
      <c r="K36" s="36">
        <v>1.49</v>
      </c>
      <c r="L36" s="36">
        <v>1.01</v>
      </c>
      <c r="M36" s="32">
        <v>0.61</v>
      </c>
    </row>
    <row r="37" spans="1:13" x14ac:dyDescent="0.25">
      <c r="A37" s="31" t="s">
        <v>71</v>
      </c>
      <c r="B37" s="29">
        <v>0</v>
      </c>
      <c r="C37" s="29">
        <v>0</v>
      </c>
      <c r="D37" s="29">
        <v>0</v>
      </c>
      <c r="E37" s="29">
        <v>0</v>
      </c>
      <c r="F37" s="29">
        <v>0</v>
      </c>
      <c r="G37" s="30">
        <v>0</v>
      </c>
      <c r="H37" s="12">
        <v>1</v>
      </c>
      <c r="I37" s="36">
        <v>1.06</v>
      </c>
      <c r="J37" s="36">
        <v>0.94</v>
      </c>
      <c r="K37" s="36">
        <v>0.62</v>
      </c>
      <c r="L37" s="36">
        <v>0.08</v>
      </c>
      <c r="M37" s="32">
        <v>-0.28999999999999998</v>
      </c>
    </row>
    <row r="38" spans="1:13" x14ac:dyDescent="0.25">
      <c r="A38" s="31" t="s">
        <v>72</v>
      </c>
      <c r="B38" s="29">
        <v>0</v>
      </c>
      <c r="C38" s="29">
        <v>0</v>
      </c>
      <c r="D38" s="29">
        <v>0</v>
      </c>
      <c r="E38" s="29">
        <v>0</v>
      </c>
      <c r="F38" s="29">
        <v>0</v>
      </c>
      <c r="G38" s="30">
        <v>0</v>
      </c>
      <c r="H38" s="12">
        <v>-0.13</v>
      </c>
      <c r="I38" s="36">
        <v>-0.08</v>
      </c>
      <c r="J38" s="36">
        <v>-0.12</v>
      </c>
      <c r="K38" s="36">
        <v>-0.3</v>
      </c>
      <c r="L38" s="36">
        <v>-0.84</v>
      </c>
      <c r="M38" s="32">
        <v>-1.33</v>
      </c>
    </row>
    <row r="39" spans="1:13" x14ac:dyDescent="0.25">
      <c r="A39" s="31" t="s">
        <v>76</v>
      </c>
      <c r="B39" s="29">
        <v>0</v>
      </c>
      <c r="C39" s="29">
        <v>0</v>
      </c>
      <c r="D39" s="29">
        <v>0</v>
      </c>
      <c r="E39" s="29">
        <v>0</v>
      </c>
      <c r="F39" s="29">
        <v>0</v>
      </c>
      <c r="G39" s="30">
        <v>0</v>
      </c>
      <c r="H39" s="12">
        <v>2.0099999999999998</v>
      </c>
      <c r="I39" s="36">
        <v>2.09</v>
      </c>
      <c r="J39" s="36">
        <v>2</v>
      </c>
      <c r="K39" s="36">
        <v>1.77</v>
      </c>
      <c r="L39" s="36">
        <v>1.3</v>
      </c>
      <c r="M39" s="32">
        <v>0.97</v>
      </c>
    </row>
    <row r="40" spans="1:13" x14ac:dyDescent="0.25">
      <c r="A40" s="31" t="s">
        <v>68</v>
      </c>
      <c r="B40" s="29">
        <v>0</v>
      </c>
      <c r="C40" s="29">
        <v>0</v>
      </c>
      <c r="D40" s="29">
        <v>0</v>
      </c>
      <c r="E40" s="29">
        <v>0</v>
      </c>
      <c r="F40" s="29">
        <v>0</v>
      </c>
      <c r="G40" s="30">
        <v>0</v>
      </c>
      <c r="H40" s="12">
        <v>0.9</v>
      </c>
      <c r="I40" s="36">
        <v>1.01</v>
      </c>
      <c r="J40" s="36">
        <v>0.97</v>
      </c>
      <c r="K40" s="36">
        <v>0.83</v>
      </c>
      <c r="L40" s="36">
        <v>0.45</v>
      </c>
      <c r="M40" s="32">
        <v>0.22</v>
      </c>
    </row>
    <row r="41" spans="1:13" x14ac:dyDescent="0.25">
      <c r="A41" s="31" t="s">
        <v>69</v>
      </c>
      <c r="B41" s="29">
        <v>0</v>
      </c>
      <c r="C41" s="29">
        <v>0</v>
      </c>
      <c r="D41" s="29">
        <v>0</v>
      </c>
      <c r="E41" s="29">
        <v>0</v>
      </c>
      <c r="F41" s="29">
        <v>0</v>
      </c>
      <c r="G41" s="30">
        <v>0</v>
      </c>
      <c r="H41" s="12">
        <v>0.53</v>
      </c>
      <c r="I41" s="36">
        <v>0.66</v>
      </c>
      <c r="J41" s="36">
        <v>0.68</v>
      </c>
      <c r="K41" s="36">
        <v>0.56999999999999995</v>
      </c>
      <c r="L41" s="36">
        <v>0.17</v>
      </c>
      <c r="M41" s="32">
        <v>-0.02</v>
      </c>
    </row>
    <row r="42" spans="1:13" x14ac:dyDescent="0.25">
      <c r="A42" s="31" t="s">
        <v>73</v>
      </c>
      <c r="B42" s="29">
        <v>0</v>
      </c>
      <c r="C42" s="29">
        <v>0</v>
      </c>
      <c r="D42" s="29">
        <v>0</v>
      </c>
      <c r="E42" s="29">
        <v>0</v>
      </c>
      <c r="F42" s="29">
        <v>0</v>
      </c>
      <c r="G42" s="30">
        <v>0</v>
      </c>
      <c r="H42" s="12">
        <v>0.6</v>
      </c>
      <c r="I42" s="36">
        <v>0.56000000000000005</v>
      </c>
      <c r="J42" s="36">
        <v>0.06</v>
      </c>
      <c r="K42" s="36">
        <v>-1.06</v>
      </c>
      <c r="L42" s="36">
        <v>-1.87</v>
      </c>
      <c r="M42" s="32">
        <v>-2.0299999999999998</v>
      </c>
    </row>
    <row r="43" spans="1:13" x14ac:dyDescent="0.25">
      <c r="A43" s="31" t="s">
        <v>74</v>
      </c>
      <c r="B43" s="29">
        <v>0</v>
      </c>
      <c r="C43" s="29">
        <v>0</v>
      </c>
      <c r="D43" s="29">
        <v>0</v>
      </c>
      <c r="E43" s="29">
        <v>0</v>
      </c>
      <c r="F43" s="29">
        <v>0</v>
      </c>
      <c r="G43" s="30">
        <v>0</v>
      </c>
      <c r="H43" s="12">
        <v>0.73</v>
      </c>
      <c r="I43" s="36">
        <v>0.64</v>
      </c>
      <c r="J43" s="36">
        <v>0.18</v>
      </c>
      <c r="K43" s="36">
        <v>-0.76</v>
      </c>
      <c r="L43" s="36">
        <v>-1.05</v>
      </c>
      <c r="M43" s="32">
        <v>-0.71</v>
      </c>
    </row>
    <row r="44" spans="1:13" x14ac:dyDescent="0.25">
      <c r="A44" s="31" t="s">
        <v>77</v>
      </c>
      <c r="B44" s="29">
        <v>0</v>
      </c>
      <c r="C44" s="29">
        <v>0</v>
      </c>
      <c r="D44" s="29">
        <v>0</v>
      </c>
      <c r="E44" s="29">
        <v>0</v>
      </c>
      <c r="F44" s="29">
        <v>0</v>
      </c>
      <c r="G44" s="30">
        <v>0</v>
      </c>
      <c r="H44" s="12">
        <v>-53</v>
      </c>
      <c r="I44" s="36">
        <v>-157</v>
      </c>
      <c r="J44" s="36">
        <v>-173</v>
      </c>
      <c r="K44" s="36">
        <v>-105</v>
      </c>
      <c r="L44" s="36">
        <v>-69</v>
      </c>
      <c r="M44" s="32">
        <v>-51</v>
      </c>
    </row>
    <row r="45" spans="1:13" x14ac:dyDescent="0.25">
      <c r="A45" s="31" t="s">
        <v>75</v>
      </c>
      <c r="B45" s="29">
        <v>0</v>
      </c>
      <c r="C45" s="29">
        <v>0</v>
      </c>
      <c r="D45" s="29">
        <v>0</v>
      </c>
      <c r="E45" s="29">
        <v>0</v>
      </c>
      <c r="F45" s="29">
        <v>0</v>
      </c>
      <c r="G45" s="30">
        <v>0</v>
      </c>
      <c r="H45" s="12">
        <v>0.22</v>
      </c>
      <c r="I45" s="36">
        <v>0.66</v>
      </c>
      <c r="J45" s="36">
        <v>0.72</v>
      </c>
      <c r="K45" s="36">
        <v>0.44</v>
      </c>
      <c r="L45" s="36">
        <v>0.28999999999999998</v>
      </c>
      <c r="M45" s="32">
        <v>0.21</v>
      </c>
    </row>
    <row r="46" spans="1:13" x14ac:dyDescent="0.25">
      <c r="A46" s="31" t="s">
        <v>78</v>
      </c>
      <c r="B46" s="29">
        <v>0</v>
      </c>
      <c r="C46" s="29">
        <v>0</v>
      </c>
      <c r="D46" s="29">
        <v>0</v>
      </c>
      <c r="E46" s="29">
        <v>0</v>
      </c>
      <c r="F46" s="29">
        <v>0</v>
      </c>
      <c r="G46" s="30">
        <v>0</v>
      </c>
      <c r="H46" s="12">
        <v>0.28999999999999998</v>
      </c>
      <c r="I46" s="36">
        <v>0.39</v>
      </c>
      <c r="J46" s="36">
        <v>0.28000000000000003</v>
      </c>
      <c r="K46" s="36">
        <v>0.32</v>
      </c>
      <c r="L46" s="36">
        <v>0.45</v>
      </c>
      <c r="M46" s="32">
        <v>0.49</v>
      </c>
    </row>
    <row r="47" spans="1:13" ht="30" x14ac:dyDescent="0.25">
      <c r="A47" s="45" t="s">
        <v>79</v>
      </c>
      <c r="B47" s="29">
        <v>0</v>
      </c>
      <c r="C47" s="29">
        <v>0</v>
      </c>
      <c r="D47" s="29">
        <v>0</v>
      </c>
      <c r="E47" s="29">
        <v>0</v>
      </c>
      <c r="F47" s="29">
        <v>0</v>
      </c>
      <c r="G47" s="30">
        <v>0</v>
      </c>
      <c r="H47" s="12">
        <v>0.68</v>
      </c>
      <c r="I47" s="36">
        <v>0.15</v>
      </c>
      <c r="J47" s="36">
        <v>0.14000000000000001</v>
      </c>
      <c r="K47" s="36">
        <v>0.24</v>
      </c>
      <c r="L47" s="36">
        <v>0.28000000000000003</v>
      </c>
      <c r="M47" s="32">
        <v>0.37</v>
      </c>
    </row>
    <row r="51" spans="1:1" x14ac:dyDescent="0.25">
      <c r="A51" s="37" t="str">
        <f>"\textbf{"&amp;A29&amp;"} &amp; "&amp;TEXT(B29,formatResults)&amp;" &amp; "&amp;TEXT(C29,formatResults)&amp;" &amp; "&amp;TEXT(D29,formatResults)&amp;" &amp; "&amp;TEXT(E29,formatResults)&amp;" &amp; "&amp;TEXT(F29,formatResults)&amp;" &amp; "&amp;TEXT(G29,formatResults)&amp;" \\"</f>
        <v>\textbf{GDP in value} &amp; 0.00 &amp; 0.00 &amp; 0.00 &amp; 0.00 &amp; 0.00 &amp; 0.00 \\</v>
      </c>
    </row>
    <row r="52" spans="1:1" x14ac:dyDescent="0.25">
      <c r="A52" s="37" t="str">
        <f>"\textbf{"&amp;A30&amp;"} &amp; "&amp;TEXT(B30,formatResults)&amp;" &amp; "&amp;TEXT(C30,formatResults)&amp;" &amp; "&amp;TEXT(D30,formatResults)&amp;" &amp; "&amp;TEXT(E30,formatResults)&amp;" &amp; "&amp;TEXT(F30,formatResults)&amp;" &amp; "&amp;TEXT(G30,formatResults)&amp;" \\"</f>
        <v>\textbf{Household consumption} &amp; 0.00 &amp; 0.00 &amp; 0.00 &amp; 0.00 &amp; 0.00 &amp; 0.00 \\</v>
      </c>
    </row>
    <row r="53" spans="1:1" x14ac:dyDescent="0.25">
      <c r="A53" s="37" t="str">
        <f>"\textbf{"&amp;A31&amp;"} &amp; "&amp;TEXT(B31,formatResults)&amp;" &amp; "&amp;TEXT(C31,formatResults)&amp;" &amp; "&amp;TEXT(D31,formatResults)&amp;" &amp; "&amp;TEXT(E31,formatResults)&amp;" &amp; "&amp;TEXT(F31,formatResults)&amp;" &amp; "&amp;TEXT(G31,formatResults)&amp;" \\"</f>
        <v>\textbf{Investment} &amp; 0.00 &amp; 0.00 &amp; 0.00 &amp; 0.00 &amp; 0.00 &amp; 0.00 \\</v>
      </c>
    </row>
    <row r="54" spans="1:1" x14ac:dyDescent="0.25">
      <c r="A54" s="37" t="str">
        <f>"\textbf{"&amp;A32&amp;"} &amp; "&amp;TEXT(B32,formatResults)&amp;" &amp; "&amp;TEXT(C32,formatResults)&amp;" &amp; "&amp;TEXT(D32,formatResults)&amp;" &amp; "&amp;TEXT(E32,formatResults)&amp;" &amp; "&amp;TEXT(F32,formatResults)&amp;" &amp; "&amp;TEXT(G32,formatResults)&amp;" \\"</f>
        <v>\textbf{Exports} &amp; 0.00 &amp; 0.00 &amp; 0.00 &amp; 0.00 &amp; 0.00 &amp; 0.00 \\</v>
      </c>
    </row>
    <row r="55" spans="1:1" x14ac:dyDescent="0.25">
      <c r="A55" s="37" t="str">
        <f>"\textbf{"&amp;A33&amp;"} &amp; "&amp;TEXT(B33,formatResults)&amp;" &amp; "&amp;TEXT(C33,formatResults)&amp;" &amp; "&amp;TEXT(D33,formatResults)&amp;" &amp; "&amp;TEXT(E33,formatResults)&amp;" &amp; "&amp;TEXT(F33,formatResults)&amp;" &amp; "&amp;TEXT(G33,formatResults)&amp;" \\"</f>
        <v>\textbf{Imports} &amp; 0.00 &amp; 0.00 &amp; 0.00 &amp; 0.00 &amp; 0.00 &amp; 0.00 \\</v>
      </c>
    </row>
    <row r="56" spans="1:1" x14ac:dyDescent="0.25">
      <c r="A56" s="37" t="str">
        <f>"\textbf{"&amp;A34&amp;"} &amp; "&amp;TEXT(B34,formatResults)&amp;" &amp; "&amp;TEXT(C34,formatResults)&amp;" &amp; "&amp;TEXT(D34,formatResults)&amp;" &amp; "&amp;TEXT(E34,formatResults)&amp;" &amp; "&amp;TEXT(F34,formatResults)&amp;" &amp; "&amp;TEXT(G34,formatResults)&amp;" \\"</f>
        <v>\textbf{Household disposable income } &amp; 0.00 &amp; 0.00 &amp; 0.00 &amp; 0.00 &amp; 0.00 &amp; 0.00 \\</v>
      </c>
    </row>
    <row r="57" spans="1:1" x14ac:dyDescent="0.25">
      <c r="A57" s="37" t="str">
        <f>"\textbf{"&amp;A35&amp;"} &amp; "&amp;TEXT(B35,formatResults)&amp;" &amp; "&amp;TEXT(C35,formatResults)&amp;" &amp; "&amp;TEXT(D35,formatResults)&amp;" &amp; "&amp;TEXT(E35,formatResults)&amp;" &amp; "&amp;TEXT(F35,formatResults)&amp;" &amp; "&amp;TEXT(G35,formatResults)&amp;" \\"</f>
        <v>\textbf{Saving rate} &amp; 0.00 &amp; 0.00 &amp; 0.00 &amp; 0.00 &amp; 0.00 &amp; 0.00 \\</v>
      </c>
    </row>
    <row r="58" spans="1:1" x14ac:dyDescent="0.25">
      <c r="A58" s="37" t="str">
        <f>"\textbf{"&amp;A36&amp;"} &amp; "&amp;TEXT(B36,formatResults)&amp;" &amp; "&amp;TEXT(C36,formatResults)&amp;" &amp; "&amp;TEXT(D36,formatResults)&amp;" &amp; "&amp;TEXT(E36,formatResults)&amp;" &amp; "&amp;TEXT(F36,formatResults)&amp;" &amp; "&amp;TEXT(G36,formatResults)&amp;" \\"</f>
        <v>\textbf{Household consumption price index} &amp; 0.00 &amp; 0.00 &amp; 0.00 &amp; 0.00 &amp; 0.00 &amp; 0.00 \\</v>
      </c>
    </row>
    <row r="59" spans="1:1" x14ac:dyDescent="0.25">
      <c r="A59" s="37" t="str">
        <f>"\textbf{"&amp;A37&amp;"} &amp; "&amp;TEXT(B37,formatResults)&amp;" &amp; "&amp;TEXT(C37,formatResults)&amp;" &amp; "&amp;TEXT(D37,formatResults)&amp;" &amp; "&amp;TEXT(E37,formatResults)&amp;" &amp; "&amp;TEXT(F37,formatResults)&amp;" &amp; "&amp;TEXT(G37,formatResults)&amp;" \\"</f>
        <v>\textbf{Production price index} &amp; 0.00 &amp; 0.00 &amp; 0.00 &amp; 0.00 &amp; 0.00 &amp; 0.00 \\</v>
      </c>
    </row>
    <row r="60" spans="1:1" x14ac:dyDescent="0.25">
      <c r="A60" s="37" t="str">
        <f>"\textbf{"&amp;A38&amp;"} &amp; "&amp;TEXT(B38,formatResults)&amp;" &amp; "&amp;TEXT(C38,formatResults)&amp;" &amp; "&amp;TEXT(D38,formatResults)&amp;" &amp; "&amp;TEXT(E38,formatResults)&amp;" &amp; "&amp;TEXT(F38,formatResults)&amp;" &amp; "&amp;TEXT(G38,formatResults)&amp;" \\"</f>
        <v>\textbf{Added value price index} &amp; 0.00 &amp; 0.00 &amp; 0.00 &amp; 0.00 &amp; 0.00 &amp; 0.00 \\</v>
      </c>
    </row>
    <row r="61" spans="1:1" x14ac:dyDescent="0.25">
      <c r="A61" s="37" t="str">
        <f>"\textbf{"&amp;A39&amp;"} &amp; "&amp;TEXT(B39,formatResults)&amp;" &amp; "&amp;TEXT(C39,formatResults)&amp;" &amp; "&amp;TEXT(D39,formatResults)&amp;" &amp; "&amp;TEXT(E39,formatResults)&amp;" &amp; "&amp;TEXT(F39,formatResults)&amp;" &amp; "&amp;TEXT(G39,formatResults)&amp;" \\"</f>
        <v>\textbf{Intermediate consumption price index} &amp; 0.00 &amp; 0.00 &amp; 0.00 &amp; 0.00 &amp; 0.00 &amp; 0.00 \\</v>
      </c>
    </row>
    <row r="62" spans="1:1" x14ac:dyDescent="0.25">
      <c r="A62" s="37" t="str">
        <f>"\textbf{"&amp;A40&amp;"} &amp; "&amp;TEXT(B40,formatResults)&amp;" &amp; "&amp;TEXT(C40,formatResults)&amp;" &amp; "&amp;TEXT(D40,formatResults)&amp;" &amp; "&amp;TEXT(E40,formatResults)&amp;" &amp; "&amp;TEXT(F40,formatResults)&amp;" &amp; "&amp;TEXT(G40,formatResults)&amp;" \\"</f>
        <v>\textbf{Export price index} &amp; 0.00 &amp; 0.00 &amp; 0.00 &amp; 0.00 &amp; 0.00 &amp; 0.00 \\</v>
      </c>
    </row>
    <row r="63" spans="1:1" x14ac:dyDescent="0.25">
      <c r="A63" s="37" t="str">
        <f>"\textbf{"&amp;A41&amp;"} &amp; "&amp;TEXT(B41,formatResults)&amp;" &amp; "&amp;TEXT(C41,formatResults)&amp;" &amp; "&amp;TEXT(D41,formatResults)&amp;" &amp; "&amp;TEXT(E41,formatResults)&amp;" &amp; "&amp;TEXT(F41,formatResults)&amp;" &amp; "&amp;TEXT(G41,formatResults)&amp;" \\"</f>
        <v>\textbf{Import price index} &amp; 0.00 &amp; 0.00 &amp; 0.00 &amp; 0.00 &amp; 0.00 &amp; 0.00 \\</v>
      </c>
    </row>
    <row r="64" spans="1:1" x14ac:dyDescent="0.25">
      <c r="A64" s="37" t="str">
        <f>"\textbf{"&amp;A42&amp;"} &amp; "&amp;TEXT(B42,formatResults)&amp;" &amp; "&amp;TEXT(C42,formatResults)&amp;" &amp; "&amp;TEXT(D42,formatResults)&amp;" &amp; "&amp;TEXT(E42,formatResults)&amp;" &amp; "&amp;TEXT(F42,formatResults)&amp;" &amp; "&amp;TEXT(G42,formatResults)&amp;" \\"</f>
        <v>\textbf{Gross nominal wage} &amp; 0.00 &amp; 0.00 &amp; 0.00 &amp; 0.00 &amp; 0.00 &amp; 0.00 \\</v>
      </c>
    </row>
    <row r="65" spans="1:1" x14ac:dyDescent="0.25">
      <c r="A65" s="37" t="str">
        <f>"\textbf{"&amp;A43&amp;"} &amp; "&amp;TEXT(B43,formatResults)&amp;" &amp; "&amp;TEXT(C43,formatResults)&amp;" &amp; "&amp;TEXT(D43,formatResults)&amp;" &amp; "&amp;TEXT(E43,formatResults)&amp;" &amp; "&amp;TEXT(F43,formatResults)&amp;" &amp; "&amp;TEXT(G43,formatResults)&amp;" \\"</f>
        <v>\textbf{Real cost of labor} &amp; 0.00 &amp; 0.00 &amp; 0.00 &amp; 0.00 &amp; 0.00 &amp; 0.00 \\</v>
      </c>
    </row>
    <row r="66" spans="1:1" x14ac:dyDescent="0.25">
      <c r="A66" s="37" t="str">
        <f>"\textbf{"&amp;A44&amp;"} &amp; "&amp;TEXT(B44,formatResults)&amp;" &amp; "&amp;TEXT(C44,formatResults)&amp;" &amp; "&amp;TEXT(D44,formatResults)&amp;" &amp; "&amp;TEXT(E44,formatResults)&amp;" &amp; "&amp;TEXT(F44,formatResults)&amp;" &amp; "&amp;TEXT(G44,formatResults)&amp;" \\"</f>
        <v>\textbf{Wage employment (in thousands)} &amp; 0.00 &amp; 0.00 &amp; 0.00 &amp; 0.00 &amp; 0.00 &amp; 0.00 \\</v>
      </c>
    </row>
    <row r="67" spans="1:1" x14ac:dyDescent="0.25">
      <c r="A67" s="37" t="str">
        <f>"\textbf{"&amp;A45&amp;"} &amp; "&amp;TEXT(B45,formatResults)&amp;" &amp; "&amp;TEXT(C45,formatResults)&amp;" &amp; "&amp;TEXT(D45,formatResults)&amp;" &amp; "&amp;TEXT(E45,formatResults)&amp;" &amp; "&amp;TEXT(F45,formatResults)&amp;" &amp; "&amp;TEXT(G45,formatResults)&amp;" \\"</f>
        <v>\textbf{Unemployment rate} &amp; 0.00 &amp; 0.00 &amp; 0.00 &amp; 0.00 &amp; 0.00 &amp; 0.00 \\</v>
      </c>
    </row>
    <row r="68" spans="1:1" x14ac:dyDescent="0.25">
      <c r="A68" s="37" t="str">
        <f>"\textbf{"&amp;A46&amp;"} &amp; "&amp;TEXT(B46,formatResults)&amp;" &amp; "&amp;TEXT(C46,formatResults)&amp;" &amp; "&amp;TEXT(D46,formatResults)&amp;" &amp; "&amp;TEXT(E46,formatResults)&amp;" &amp; "&amp;TEXT(F46,formatResults)&amp;" &amp; "&amp;TEXT(G46,formatResults)&amp;" \\"</f>
        <v>\textbf{Trade balance (in points of GDP)} &amp; 0.00 &amp; 0.00 &amp; 0.00 &amp; 0.00 &amp; 0.00 &amp; 0.00 \\</v>
      </c>
    </row>
    <row r="69" spans="1:1" x14ac:dyDescent="0.25">
      <c r="A69" s="37" t="str">
        <f>"\textbf{"&amp;A47&amp;"} &amp; "&amp;TEXT(B47,formatResults)&amp;" &amp; "&amp;TEXT(C47,formatResults)&amp;" &amp; "&amp;TEXT(D47,formatResults)&amp;" &amp; "&amp;TEXT(E47,formatResults)&amp;" &amp; "&amp;TEXT(F47,formatResults)&amp;" &amp; "&amp;TEXT(G47,formatResults)&amp;" \\"</f>
        <v>\textbf{Public budget balance (in points of GDP)} &amp; 0.00 &amp; 0.00 &amp; 0.00 &amp; 0.00 &amp; 0.00 &amp; 0.00 \\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G20"/>
  <sheetViews>
    <sheetView showGridLines="0" workbookViewId="0">
      <selection activeCell="C5" sqref="C5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27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TRANSPOSE(ResultsCSE!$B$3:$T$8)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G20"/>
  <sheetViews>
    <sheetView showGridLines="0" workbookViewId="0">
      <selection activeCell="B2" sqref="B2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25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TRANSPOSE(ResultsELEC!$B$3:$T$8)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"/>
  <sheetViews>
    <sheetView workbookViewId="0">
      <selection activeCell="I22" sqref="I22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G20"/>
  <sheetViews>
    <sheetView showGridLines="0" workbookViewId="0">
      <selection activeCell="B4" sqref="B4"/>
    </sheetView>
  </sheetViews>
  <sheetFormatPr baseColWidth="10"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26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TRANSPOSE(ResultsVAT!$B$3:$T$8)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:G20"/>
  <sheetViews>
    <sheetView showGridLines="0" workbookViewId="0">
      <selection activeCell="G12" sqref="G12"/>
    </sheetView>
  </sheetViews>
  <sheetFormatPr baseColWidth="10"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28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TRANSPOSE(ResultsIAPU!$B$3:$T$8)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"/>
  <sheetViews>
    <sheetView workbookViewId="0">
      <selection activeCell="D39" sqref="D39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A1"/>
  <sheetViews>
    <sheetView workbookViewId="0">
      <selection activeCell="F39" sqref="F39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24</vt:i4>
      </vt:variant>
      <vt:variant>
        <vt:lpstr>Plages nommées</vt:lpstr>
      </vt:variant>
      <vt:variant>
        <vt:i4>1</vt:i4>
      </vt:variant>
    </vt:vector>
  </HeadingPairs>
  <TitlesOfParts>
    <vt:vector size="25" baseType="lpstr">
      <vt:lpstr>ResultsEXR10</vt:lpstr>
      <vt:lpstr>ResultsEXPG1</vt:lpstr>
      <vt:lpstr>ResultsRSSC1</vt:lpstr>
      <vt:lpstr>ResultsVAT1</vt:lpstr>
      <vt:lpstr>ResultsINCT1</vt:lpstr>
      <vt:lpstr>ResultsWD1</vt:lpstr>
      <vt:lpstr>ResultsFF10</vt:lpstr>
      <vt:lpstr>ResultsCT1</vt:lpstr>
      <vt:lpstr>CT1</vt:lpstr>
      <vt:lpstr>WD1</vt:lpstr>
      <vt:lpstr>FF10</vt:lpstr>
      <vt:lpstr>VAT1</vt:lpstr>
      <vt:lpstr>INCT1</vt:lpstr>
      <vt:lpstr>EXPG1</vt:lpstr>
      <vt:lpstr>CSE</vt:lpstr>
      <vt:lpstr>ELEC</vt:lpstr>
      <vt:lpstr>EXR10</vt:lpstr>
      <vt:lpstr>RSSC1</vt:lpstr>
      <vt:lpstr>ResultsCSE</vt:lpstr>
      <vt:lpstr>ResultsELEC</vt:lpstr>
      <vt:lpstr>VAT</vt:lpstr>
      <vt:lpstr>IAPU</vt:lpstr>
      <vt:lpstr>ResultsVAT</vt:lpstr>
      <vt:lpstr>ResultsIAPU</vt:lpstr>
      <vt:lpstr>formatResults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Aurélien Saussay</dc:creator>
  <cp:lastModifiedBy>Adeline</cp:lastModifiedBy>
  <dcterms:created xsi:type="dcterms:W3CDTF">2014-09-05T13:26:46Z</dcterms:created>
  <dcterms:modified xsi:type="dcterms:W3CDTF">2019-04-30T15:12:49Z</dcterms:modified>
</cp:coreProperties>
</file>