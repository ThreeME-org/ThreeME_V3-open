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701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definedNames>
    <definedName name="formatResults">ResultsEXR10!$A$50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2" i="34" l="1"/>
  <c r="A53" i="34"/>
  <c r="A54" i="34"/>
  <c r="A55" i="34"/>
  <c r="A56" i="34"/>
  <c r="A57" i="34"/>
  <c r="A58" i="34"/>
  <c r="A59" i="34"/>
  <c r="A60" i="34"/>
  <c r="A61" i="34"/>
  <c r="A62" i="34"/>
  <c r="A63" i="34"/>
  <c r="A64" i="34"/>
  <c r="A65" i="34"/>
  <c r="A66" i="34"/>
  <c r="A67" i="34"/>
  <c r="A68" i="34"/>
  <c r="A69" i="34"/>
  <c r="A51" i="34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51" i="31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51" i="30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51" i="27"/>
  <c r="A69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51" i="26"/>
  <c r="A50" i="26"/>
  <c r="A66" i="18"/>
  <c r="A67" i="18"/>
  <c r="A68" i="18"/>
  <c r="A69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51" i="18"/>
  <c r="A50" i="18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51" i="13"/>
  <c r="A50" i="13"/>
  <c r="A50" i="7"/>
  <c r="A53" i="7" s="1"/>
  <c r="A52" i="7"/>
  <c r="A55" i="7"/>
  <c r="A56" i="7"/>
  <c r="A59" i="7"/>
  <c r="A60" i="7"/>
  <c r="A63" i="7"/>
  <c r="A64" i="7"/>
  <c r="A67" i="7"/>
  <c r="A68" i="7"/>
  <c r="A51" i="7" l="1"/>
  <c r="A66" i="7"/>
  <c r="A62" i="7"/>
  <c r="A58" i="7"/>
  <c r="A54" i="7"/>
  <c r="A69" i="7"/>
  <c r="A65" i="7"/>
  <c r="A61" i="7"/>
  <c r="A57" i="7"/>
  <c r="G47" i="7"/>
  <c r="D47" i="7"/>
  <c r="C47" i="7"/>
  <c r="F46" i="7"/>
  <c r="E46" i="7"/>
  <c r="B46" i="7"/>
  <c r="G45" i="7"/>
  <c r="F45" i="7"/>
  <c r="D45" i="7"/>
  <c r="C45" i="7"/>
  <c r="B45" i="7"/>
  <c r="F44" i="7"/>
  <c r="E44" i="7"/>
  <c r="D44" i="7"/>
  <c r="B44" i="7"/>
  <c r="G43" i="7"/>
  <c r="F43" i="7"/>
  <c r="D43" i="7"/>
  <c r="C43" i="7"/>
  <c r="B43" i="7"/>
  <c r="F42" i="7"/>
  <c r="E42" i="7"/>
  <c r="D42" i="7"/>
  <c r="B42" i="7"/>
  <c r="G41" i="7"/>
  <c r="F41" i="7"/>
  <c r="D41" i="7"/>
  <c r="C41" i="7"/>
  <c r="B41" i="7"/>
  <c r="F40" i="7"/>
  <c r="E40" i="7"/>
  <c r="D40" i="7"/>
  <c r="B40" i="7"/>
  <c r="G39" i="7"/>
  <c r="F39" i="7"/>
  <c r="D39" i="7"/>
  <c r="C39" i="7"/>
  <c r="B39" i="7"/>
  <c r="F38" i="7"/>
  <c r="E38" i="7"/>
  <c r="D38" i="7"/>
  <c r="B38" i="7"/>
  <c r="G37" i="7"/>
  <c r="F37" i="7"/>
  <c r="D37" i="7"/>
  <c r="C37" i="7"/>
  <c r="B37" i="7"/>
  <c r="F36" i="7"/>
  <c r="E36" i="7"/>
  <c r="D36" i="7"/>
  <c r="B36" i="7"/>
  <c r="G35" i="7"/>
  <c r="F35" i="7"/>
  <c r="D35" i="7"/>
  <c r="C35" i="7"/>
  <c r="B35" i="7"/>
  <c r="F34" i="7"/>
  <c r="E34" i="7"/>
  <c r="D34" i="7"/>
  <c r="B34" i="7"/>
  <c r="G33" i="7"/>
  <c r="F33" i="7"/>
  <c r="D33" i="7"/>
  <c r="C33" i="7"/>
  <c r="B33" i="7"/>
  <c r="F32" i="7"/>
  <c r="E32" i="7"/>
  <c r="D32" i="7"/>
  <c r="B32" i="7"/>
  <c r="G31" i="7"/>
  <c r="F31" i="7"/>
  <c r="D31" i="7"/>
  <c r="C31" i="7"/>
  <c r="B31" i="7"/>
  <c r="F30" i="7"/>
  <c r="E30" i="7"/>
  <c r="D30" i="7"/>
  <c r="B30" i="7"/>
  <c r="G29" i="7"/>
  <c r="F29" i="7"/>
  <c r="D29" i="7"/>
  <c r="C29" i="7"/>
  <c r="B29" i="7"/>
  <c r="B29" i="7" a="1"/>
  <c r="F47" i="7" s="1"/>
  <c r="G47" i="13"/>
  <c r="F47" i="13"/>
  <c r="D47" i="13"/>
  <c r="C47" i="13"/>
  <c r="B47" i="13"/>
  <c r="F46" i="13"/>
  <c r="E46" i="13"/>
  <c r="D46" i="13"/>
  <c r="B46" i="13"/>
  <c r="G45" i="13"/>
  <c r="F45" i="13"/>
  <c r="D45" i="13"/>
  <c r="C45" i="13"/>
  <c r="B45" i="13"/>
  <c r="F44" i="13"/>
  <c r="E44" i="13"/>
  <c r="D44" i="13"/>
  <c r="B44" i="13"/>
  <c r="G43" i="13"/>
  <c r="F43" i="13"/>
  <c r="D43" i="13"/>
  <c r="C43" i="13"/>
  <c r="B43" i="13"/>
  <c r="F42" i="13"/>
  <c r="E42" i="13"/>
  <c r="D42" i="13"/>
  <c r="B42" i="13"/>
  <c r="G41" i="13"/>
  <c r="F41" i="13"/>
  <c r="D41" i="13"/>
  <c r="C41" i="13"/>
  <c r="B41" i="13"/>
  <c r="F40" i="13"/>
  <c r="E40" i="13"/>
  <c r="D40" i="13"/>
  <c r="B40" i="13"/>
  <c r="G39" i="13"/>
  <c r="F39" i="13"/>
  <c r="D39" i="13"/>
  <c r="C39" i="13"/>
  <c r="B39" i="13"/>
  <c r="F38" i="13"/>
  <c r="E38" i="13"/>
  <c r="D38" i="13"/>
  <c r="B38" i="13"/>
  <c r="G37" i="13"/>
  <c r="F37" i="13"/>
  <c r="D37" i="13"/>
  <c r="C37" i="13"/>
  <c r="B37" i="13"/>
  <c r="F36" i="13"/>
  <c r="E36" i="13"/>
  <c r="D36" i="13"/>
  <c r="B36" i="13"/>
  <c r="G35" i="13"/>
  <c r="F35" i="13"/>
  <c r="D35" i="13"/>
  <c r="C35" i="13"/>
  <c r="B35" i="13"/>
  <c r="F34" i="13"/>
  <c r="E34" i="13"/>
  <c r="D34" i="13"/>
  <c r="B34" i="13"/>
  <c r="G33" i="13"/>
  <c r="F33" i="13"/>
  <c r="D33" i="13"/>
  <c r="C33" i="13"/>
  <c r="B33" i="13"/>
  <c r="F32" i="13"/>
  <c r="E32" i="13"/>
  <c r="D32" i="13"/>
  <c r="B32" i="13"/>
  <c r="G31" i="13"/>
  <c r="F31" i="13"/>
  <c r="D31" i="13"/>
  <c r="C31" i="13"/>
  <c r="B31" i="13"/>
  <c r="F30" i="13"/>
  <c r="E30" i="13"/>
  <c r="D30" i="13"/>
  <c r="B30" i="13"/>
  <c r="G29" i="13"/>
  <c r="F29" i="13"/>
  <c r="D29" i="13"/>
  <c r="C29" i="13"/>
  <c r="B29" i="13"/>
  <c r="B29" i="13" a="1"/>
  <c r="E47" i="13" s="1"/>
  <c r="G47" i="18"/>
  <c r="F47" i="18"/>
  <c r="D47" i="18"/>
  <c r="C47" i="18"/>
  <c r="B47" i="18"/>
  <c r="F46" i="18"/>
  <c r="E46" i="18"/>
  <c r="D46" i="18"/>
  <c r="B46" i="18"/>
  <c r="G45" i="18"/>
  <c r="F45" i="18"/>
  <c r="D45" i="18"/>
  <c r="C45" i="18"/>
  <c r="B45" i="18"/>
  <c r="F44" i="18"/>
  <c r="E44" i="18"/>
  <c r="D44" i="18"/>
  <c r="B44" i="18"/>
  <c r="G43" i="18"/>
  <c r="F43" i="18"/>
  <c r="D43" i="18"/>
  <c r="C43" i="18"/>
  <c r="B43" i="18"/>
  <c r="F42" i="18"/>
  <c r="E42" i="18"/>
  <c r="D42" i="18"/>
  <c r="B42" i="18"/>
  <c r="G41" i="18"/>
  <c r="F41" i="18"/>
  <c r="D41" i="18"/>
  <c r="C41" i="18"/>
  <c r="B41" i="18"/>
  <c r="F40" i="18"/>
  <c r="E40" i="18"/>
  <c r="D40" i="18"/>
  <c r="B40" i="18"/>
  <c r="G39" i="18"/>
  <c r="F39" i="18"/>
  <c r="D39" i="18"/>
  <c r="C39" i="18"/>
  <c r="B39" i="18"/>
  <c r="F38" i="18"/>
  <c r="E38" i="18"/>
  <c r="D38" i="18"/>
  <c r="B38" i="18"/>
  <c r="G37" i="18"/>
  <c r="F37" i="18"/>
  <c r="D37" i="18"/>
  <c r="C37" i="18"/>
  <c r="B37" i="18"/>
  <c r="F36" i="18"/>
  <c r="E36" i="18"/>
  <c r="D36" i="18"/>
  <c r="B36" i="18"/>
  <c r="G35" i="18"/>
  <c r="F35" i="18"/>
  <c r="D35" i="18"/>
  <c r="C35" i="18"/>
  <c r="B35" i="18"/>
  <c r="F34" i="18"/>
  <c r="E34" i="18"/>
  <c r="D34" i="18"/>
  <c r="B34" i="18"/>
  <c r="G33" i="18"/>
  <c r="F33" i="18"/>
  <c r="D33" i="18"/>
  <c r="C33" i="18"/>
  <c r="B33" i="18"/>
  <c r="F32" i="18"/>
  <c r="E32" i="18"/>
  <c r="D32" i="18"/>
  <c r="B32" i="18"/>
  <c r="G31" i="18"/>
  <c r="F31" i="18"/>
  <c r="D31" i="18"/>
  <c r="C31" i="18"/>
  <c r="B31" i="18"/>
  <c r="F30" i="18"/>
  <c r="E30" i="18"/>
  <c r="D30" i="18"/>
  <c r="B30" i="18"/>
  <c r="G29" i="18"/>
  <c r="F29" i="18"/>
  <c r="D29" i="18"/>
  <c r="C29" i="18"/>
  <c r="B29" i="18"/>
  <c r="B29" i="18" a="1"/>
  <c r="E47" i="18" s="1"/>
  <c r="G47" i="26"/>
  <c r="F47" i="26"/>
  <c r="D47" i="26"/>
  <c r="C47" i="26"/>
  <c r="B47" i="26"/>
  <c r="F46" i="26"/>
  <c r="E46" i="26"/>
  <c r="D46" i="26"/>
  <c r="B46" i="26"/>
  <c r="G45" i="26"/>
  <c r="F45" i="26"/>
  <c r="D45" i="26"/>
  <c r="C45" i="26"/>
  <c r="B45" i="26"/>
  <c r="F44" i="26"/>
  <c r="E44" i="26"/>
  <c r="D44" i="26"/>
  <c r="B44" i="26"/>
  <c r="G43" i="26"/>
  <c r="F43" i="26"/>
  <c r="D43" i="26"/>
  <c r="C43" i="26"/>
  <c r="B43" i="26"/>
  <c r="F42" i="26"/>
  <c r="E42" i="26"/>
  <c r="D42" i="26"/>
  <c r="B42" i="26"/>
  <c r="G41" i="26"/>
  <c r="F41" i="26"/>
  <c r="D41" i="26"/>
  <c r="C41" i="26"/>
  <c r="B41" i="26"/>
  <c r="F40" i="26"/>
  <c r="E40" i="26"/>
  <c r="D40" i="26"/>
  <c r="B40" i="26"/>
  <c r="G39" i="26"/>
  <c r="F39" i="26"/>
  <c r="D39" i="26"/>
  <c r="C39" i="26"/>
  <c r="B39" i="26"/>
  <c r="F38" i="26"/>
  <c r="E38" i="26"/>
  <c r="D38" i="26"/>
  <c r="B38" i="26"/>
  <c r="G37" i="26"/>
  <c r="F37" i="26"/>
  <c r="D37" i="26"/>
  <c r="C37" i="26"/>
  <c r="B37" i="26"/>
  <c r="F36" i="26"/>
  <c r="E36" i="26"/>
  <c r="D36" i="26"/>
  <c r="B36" i="26"/>
  <c r="G35" i="26"/>
  <c r="F35" i="26"/>
  <c r="D35" i="26"/>
  <c r="C35" i="26"/>
  <c r="B35" i="26"/>
  <c r="F34" i="26"/>
  <c r="E34" i="26"/>
  <c r="D34" i="26"/>
  <c r="B34" i="26"/>
  <c r="G33" i="26"/>
  <c r="F33" i="26"/>
  <c r="D33" i="26"/>
  <c r="C33" i="26"/>
  <c r="B33" i="26"/>
  <c r="F32" i="26"/>
  <c r="E32" i="26"/>
  <c r="D32" i="26"/>
  <c r="B32" i="26"/>
  <c r="G31" i="26"/>
  <c r="F31" i="26"/>
  <c r="D31" i="26"/>
  <c r="C31" i="26"/>
  <c r="B31" i="26"/>
  <c r="F30" i="26"/>
  <c r="E30" i="26"/>
  <c r="D30" i="26"/>
  <c r="B30" i="26"/>
  <c r="G29" i="26"/>
  <c r="F29" i="26"/>
  <c r="D29" i="26"/>
  <c r="C29" i="26"/>
  <c r="B29" i="26"/>
  <c r="B29" i="26" a="1"/>
  <c r="E47" i="26" s="1"/>
  <c r="B29" i="27" a="1"/>
  <c r="G47" i="27" s="1"/>
  <c r="G47" i="30"/>
  <c r="F47" i="30"/>
  <c r="D47" i="30"/>
  <c r="C47" i="30"/>
  <c r="B47" i="30"/>
  <c r="F46" i="30"/>
  <c r="E46" i="30"/>
  <c r="D46" i="30"/>
  <c r="B46" i="30"/>
  <c r="G45" i="30"/>
  <c r="F45" i="30"/>
  <c r="D45" i="30"/>
  <c r="C45" i="30"/>
  <c r="B45" i="30"/>
  <c r="F44" i="30"/>
  <c r="E44" i="30"/>
  <c r="D44" i="30"/>
  <c r="B44" i="30"/>
  <c r="G43" i="30"/>
  <c r="F43" i="30"/>
  <c r="D43" i="30"/>
  <c r="C43" i="30"/>
  <c r="B43" i="30"/>
  <c r="F42" i="30"/>
  <c r="E42" i="30"/>
  <c r="D42" i="30"/>
  <c r="B42" i="30"/>
  <c r="G41" i="30"/>
  <c r="F41" i="30"/>
  <c r="D41" i="30"/>
  <c r="C41" i="30"/>
  <c r="B41" i="30"/>
  <c r="F40" i="30"/>
  <c r="E40" i="30"/>
  <c r="D40" i="30"/>
  <c r="B40" i="30"/>
  <c r="G39" i="30"/>
  <c r="F39" i="30"/>
  <c r="D39" i="30"/>
  <c r="C39" i="30"/>
  <c r="B39" i="30"/>
  <c r="F38" i="30"/>
  <c r="E38" i="30"/>
  <c r="D38" i="30"/>
  <c r="B38" i="30"/>
  <c r="G37" i="30"/>
  <c r="F37" i="30"/>
  <c r="D37" i="30"/>
  <c r="C37" i="30"/>
  <c r="B37" i="30"/>
  <c r="F36" i="30"/>
  <c r="E36" i="30"/>
  <c r="D36" i="30"/>
  <c r="B36" i="30"/>
  <c r="G35" i="30"/>
  <c r="F35" i="30"/>
  <c r="D35" i="30"/>
  <c r="C35" i="30"/>
  <c r="B35" i="30"/>
  <c r="F34" i="30"/>
  <c r="E34" i="30"/>
  <c r="D34" i="30"/>
  <c r="B34" i="30"/>
  <c r="G33" i="30"/>
  <c r="F33" i="30"/>
  <c r="D33" i="30"/>
  <c r="C33" i="30"/>
  <c r="B33" i="30"/>
  <c r="F32" i="30"/>
  <c r="E32" i="30"/>
  <c r="D32" i="30"/>
  <c r="B32" i="30"/>
  <c r="G31" i="30"/>
  <c r="F31" i="30"/>
  <c r="D31" i="30"/>
  <c r="C31" i="30"/>
  <c r="B31" i="30"/>
  <c r="F30" i="30"/>
  <c r="E30" i="30"/>
  <c r="D30" i="30"/>
  <c r="B30" i="30"/>
  <c r="G29" i="30"/>
  <c r="F29" i="30"/>
  <c r="D29" i="30"/>
  <c r="C29" i="30"/>
  <c r="B29" i="30"/>
  <c r="B29" i="30" a="1"/>
  <c r="E47" i="30" s="1"/>
  <c r="B29" i="31" a="1"/>
  <c r="G47" i="31" s="1"/>
  <c r="D29" i="34"/>
  <c r="B29" i="34" a="1"/>
  <c r="G47" i="34" s="1"/>
  <c r="E29" i="7" l="1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<sst xmlns="http://schemas.openxmlformats.org/spreadsheetml/2006/main" count="664" uniqueCount="90">
  <si>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</si>
  <si>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</si>
  <si>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</si>
  <si>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</si>
  <si>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</si>
  <si>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</si>
  <si>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</si>
  <si>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</si>
  <si>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</si>
  <si>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</si>
  <si>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</si>
  <si>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</si>
  <si>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</si>
  <si>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</si>
  <si>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</si>
  <si>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</si>
  <si>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</si>
  <si>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</si>
  <si>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</si>
  <si>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</si>
  <si>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</si>
  <si>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</si>
  <si>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</si>
  <si>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</si>
  <si>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</si>
  <si>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</si>
  <si>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</si>
  <si>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</si>
  <si>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</si>
  <si>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</si>
  <si>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</si>
  <si>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</si>
  <si>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</si>
  <si>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</si>
  <si>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</si>
  <si>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</si>
  <si>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</si>
  <si>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</si>
  <si>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</si>
  <si>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</si>
  <si>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</si>
  <si>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</si>
  <si>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</si>
  <si>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</si>
  <si>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</si>
  <si>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</si>
  <si>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</si>
  <si>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</si>
  <si>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</si>
  <si>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</si>
  <si>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</si>
  <si>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</si>
  <si>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</si>
  <si>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</si>
  <si>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</si>
  <si>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</si>
  <si>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</si>
  <si>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</si>
  <si>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</si>
  <si>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</si>
  <si>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</si>
  <si>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</si>
  <si>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</si>
  <si>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</si>
  <si>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</si>
  <si>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</si>
  <si>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</si>
  <si>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</si>
  <si>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</si>
  <si>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</si>
  <si>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</si>
  <si>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</si>
  <si>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</si>
  <si>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</si>
  <si>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</si>
  <si>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</si>
  <si>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</si>
  <si>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</si>
  <si>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</si>
  <si>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</si>
  <si>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</si>
  <si>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</si>
  <si>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</si>
  <si>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</si>
  <si>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</si>
  <si>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</si>
  <si>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% en écart au compte central</t>
  </si>
  <si>
    <t xml:space="preserve">% en écart au compte central </t>
  </si>
  <si>
    <t xml:space="preserve">% deviation from baseline </t>
  </si>
  <si>
    <t>GDP in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</si>
</sst>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2" fontId="0" fillId="0" borderId="0" xfId="0" applyNumberFormat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69"/>
  <sheetViews>
    <sheetView showGridLines="0" tabSelected="1" topLeftCell="A4" workbookViewId="0">
      <selection activeCell="O56" sqref="O56"/>
    </sheetView>
  </sheetViews>
  <sheetFormatPr baseColWidth="10" defaultColWidth="11" defaultRowHeight="15.75" x14ac:dyDescent="0.25"/>
  <cols>
    <col min="1" max="1" width="37.125" customWidth="1"/>
  </cols>
  <sheetData>
    <row r="1" spans="1:13" ht="30" customHeight="1" x14ac:dyDescent="0.25">
      <c r="A1" s="34" t="s">
        <v>29</v>
      </c>
      <c r="B1" s="52" t="s">
        <v>86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9.25" customHeight="1" x14ac:dyDescent="0.25">
      <c r="A2" s="16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79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17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64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14">
        <f t="array" ref="B29:G47">TRANSPOSE('EXR10'!$B$3:$T$8)</f>
        <v>0</v>
      </c>
      <c r="C29" s="14">
        <v>0</v>
      </c>
      <c r="D29" s="14">
        <v>0</v>
      </c>
      <c r="E29" s="14">
        <v>0</v>
      </c>
      <c r="F29" s="14">
        <v>0</v>
      </c>
      <c r="G29" s="15">
        <v>0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56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5">
        <v>0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53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5">
        <v>0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54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5">
        <v>0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55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5">
        <v>0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57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5">
        <v>0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58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5">
        <v>0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69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5">
        <v>0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70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5">
        <v>0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71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5">
        <v>0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75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5">
        <v>0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67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5">
        <v>0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68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5">
        <v>0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72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5">
        <v>0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73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5">
        <v>0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76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5">
        <v>0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74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5">
        <v>0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77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5">
        <v>0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5" t="s">
        <v>78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5">
        <v>0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  <row r="50" spans="1:1" x14ac:dyDescent="0.25">
      <c r="A50" s="46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t="str">
        <f t="shared" si="0"/>
        <v>\textbf{Household consumption} &amp; 0.00 &amp; 0.00 &amp; 0.00 &amp; 0.00 &amp; 0.00 &amp; 0.00 \\</v>
      </c>
    </row>
    <row r="53" spans="1:1" x14ac:dyDescent="0.25">
      <c r="A53" t="str">
        <f t="shared" si="0"/>
        <v>\textbf{Investment} &amp; 0.00 &amp; 0.00 &amp; 0.00 &amp; 0.00 &amp; 0.00 &amp; 0.00 \\</v>
      </c>
    </row>
    <row r="54" spans="1:1" x14ac:dyDescent="0.25">
      <c r="A54" t="str">
        <f t="shared" si="0"/>
        <v>\textbf{Exports} &amp; 0.00 &amp; 0.00 &amp; 0.00 &amp; 0.00 &amp; 0.00 &amp; 0.00 \\</v>
      </c>
    </row>
    <row r="55" spans="1:1" x14ac:dyDescent="0.25">
      <c r="A55" t="str">
        <f t="shared" si="0"/>
        <v>\textbf{Imports} &amp; 0.00 &amp; 0.00 &amp; 0.00 &amp; 0.00 &amp; 0.00 &amp; 0.00 \\</v>
      </c>
    </row>
    <row r="56" spans="1:1" x14ac:dyDescent="0.25">
      <c r="A56" t="str">
        <f t="shared" si="0"/>
        <v>\textbf{Household disposable income } &amp; 0.00 &amp; 0.00 &amp; 0.00 &amp; 0.00 &amp; 0.00 &amp; 0.00 \\</v>
      </c>
    </row>
    <row r="57" spans="1:1" x14ac:dyDescent="0.25">
      <c r="A57" t="str">
        <f t="shared" si="0"/>
        <v>\textbf{Saving rate} &amp; 0.00 &amp; 0.00 &amp; 0.00 &amp; 0.00 &amp; 0.00 &amp; 0.00 \\</v>
      </c>
    </row>
    <row r="58" spans="1:1" x14ac:dyDescent="0.25">
      <c r="A58" t="str">
        <f t="shared" si="0"/>
        <v>\textbf{Household consumption price index} &amp; 0.00 &amp; 0.00 &amp; 0.00 &amp; 0.00 &amp; 0.00 &amp; 0.00 \\</v>
      </c>
    </row>
    <row r="59" spans="1:1" x14ac:dyDescent="0.25">
      <c r="A59" t="str">
        <f t="shared" si="0"/>
        <v>\textbf{Production price index} &amp; 0.00 &amp; 0.00 &amp; 0.00 &amp; 0.00 &amp; 0.00 &amp; 0.00 \\</v>
      </c>
    </row>
    <row r="60" spans="1:1" x14ac:dyDescent="0.25">
      <c r="A60" t="str">
        <f t="shared" si="0"/>
        <v>\textbf{Added value price index} &amp; 0.00 &amp; 0.00 &amp; 0.00 &amp; 0.00 &amp; 0.00 &amp; 0.00 \\</v>
      </c>
    </row>
    <row r="61" spans="1:1" x14ac:dyDescent="0.25">
      <c r="A61" t="str">
        <f t="shared" si="0"/>
        <v>\textbf{Intermediate consumption price index} &amp; 0.00 &amp; 0.00 &amp; 0.00 &amp; 0.00 &amp; 0.00 &amp; 0.00 \\</v>
      </c>
    </row>
    <row r="62" spans="1:1" x14ac:dyDescent="0.25">
      <c r="A62" t="str">
        <f t="shared" si="0"/>
        <v>\textbf{Export price index} &amp; 0.00 &amp; 0.00 &amp; 0.00 &amp; 0.00 &amp; 0.00 &amp; 0.00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0.00 &amp; 0.00 &amp; 0.00 &amp; 0.00 &amp; 0.00 &amp; 0.00 \\</v>
      </c>
    </row>
    <row r="65" spans="1:1" x14ac:dyDescent="0.25">
      <c r="A65" t="str">
        <f t="shared" si="0"/>
        <v>\textbf{Real cost of labor} &amp; 0.00 &amp; 0.00 &amp; 0.00 &amp; 0.00 &amp; 0.00 &amp; 0.00 \\</v>
      </c>
    </row>
    <row r="66" spans="1:1" x14ac:dyDescent="0.25">
      <c r="A66" t="str">
        <f t="shared" si="0"/>
        <v>\textbf{Wage employment (in thousands)} &amp; 0.00 &amp; 0.00 &amp; 0.00 &amp; 0.00 &amp; 0.00 &amp; 0.00 \\</v>
      </c>
    </row>
    <row r="67" spans="1:1" x14ac:dyDescent="0.25">
      <c r="A67" t="str">
        <f t="shared" si="0"/>
        <v>\textbf{Unemployment rate} &amp; 0.00 &amp; 0.00 &amp; 0.00 &amp; 0.00 &amp; 0.00 &amp; 0.00 \\</v>
      </c>
    </row>
    <row r="68" spans="1:1" x14ac:dyDescent="0.25">
      <c r="A68" t="str">
        <f t="shared" si="0"/>
        <v>\textbf{Trade balance (in points of GDP)} &amp; 0.00 &amp; 0.00 &amp; 0.00 &amp; 0.00 &amp; 0.00 &amp; 0.00 \\</v>
      </c>
    </row>
    <row r="69" spans="1:1" x14ac:dyDescent="0.25">
      <c r="A69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69"/>
  <sheetViews>
    <sheetView showGridLines="0" topLeftCell="A22" workbookViewId="0">
      <selection activeCell="A30" sqref="A30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5" t="s">
        <v>30</v>
      </c>
      <c r="B1" s="59" t="s">
        <v>87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3" x14ac:dyDescent="0.25">
      <c r="A2" s="16"/>
      <c r="B2" s="53" t="s">
        <v>47</v>
      </c>
      <c r="C2" s="54"/>
      <c r="D2" s="54"/>
      <c r="E2" s="54"/>
      <c r="F2" s="54"/>
      <c r="G2" s="55"/>
      <c r="H2" s="56" t="s">
        <v>46</v>
      </c>
      <c r="I2" s="57"/>
      <c r="J2" s="57"/>
      <c r="K2" s="57"/>
      <c r="L2" s="57"/>
      <c r="M2" s="58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80</v>
      </c>
      <c r="B26" s="60" t="s">
        <v>88</v>
      </c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64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0">
        <f t="array" ref="B29:G47">TRANSPOSE(EXPG1!$B$3:$T$8)</f>
        <v>0</v>
      </c>
      <c r="C29" s="19">
        <v>0</v>
      </c>
      <c r="D29" s="19">
        <v>0</v>
      </c>
      <c r="E29" s="19">
        <v>0</v>
      </c>
      <c r="F29" s="19">
        <v>0</v>
      </c>
      <c r="G29" s="21">
        <v>0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56</v>
      </c>
      <c r="B30" s="20">
        <v>0</v>
      </c>
      <c r="C30" s="19">
        <v>0</v>
      </c>
      <c r="D30" s="19">
        <v>0</v>
      </c>
      <c r="E30" s="19">
        <v>0</v>
      </c>
      <c r="F30" s="19">
        <v>0</v>
      </c>
      <c r="G30" s="21">
        <v>0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53</v>
      </c>
      <c r="B31" s="20">
        <v>0</v>
      </c>
      <c r="C31" s="19">
        <v>0</v>
      </c>
      <c r="D31" s="19">
        <v>0</v>
      </c>
      <c r="E31" s="19">
        <v>0</v>
      </c>
      <c r="F31" s="19">
        <v>0</v>
      </c>
      <c r="G31" s="21">
        <v>0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54</v>
      </c>
      <c r="B32" s="20">
        <v>0</v>
      </c>
      <c r="C32" s="19">
        <v>0</v>
      </c>
      <c r="D32" s="19">
        <v>0</v>
      </c>
      <c r="E32" s="19">
        <v>0</v>
      </c>
      <c r="F32" s="19">
        <v>0</v>
      </c>
      <c r="G32" s="21">
        <v>0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55</v>
      </c>
      <c r="B33" s="20">
        <v>0</v>
      </c>
      <c r="C33" s="19">
        <v>0</v>
      </c>
      <c r="D33" s="19">
        <v>0</v>
      </c>
      <c r="E33" s="19">
        <v>0</v>
      </c>
      <c r="F33" s="19">
        <v>0</v>
      </c>
      <c r="G33" s="21">
        <v>0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57</v>
      </c>
      <c r="B34" s="20">
        <v>0</v>
      </c>
      <c r="C34" s="19">
        <v>0</v>
      </c>
      <c r="D34" s="19">
        <v>0</v>
      </c>
      <c r="E34" s="19">
        <v>0</v>
      </c>
      <c r="F34" s="19">
        <v>0</v>
      </c>
      <c r="G34" s="21">
        <v>0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58</v>
      </c>
      <c r="B35" s="20">
        <v>0</v>
      </c>
      <c r="C35" s="19">
        <v>0</v>
      </c>
      <c r="D35" s="19">
        <v>0</v>
      </c>
      <c r="E35" s="19">
        <v>0</v>
      </c>
      <c r="F35" s="19">
        <v>0</v>
      </c>
      <c r="G35" s="21">
        <v>0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69</v>
      </c>
      <c r="B36" s="20">
        <v>0</v>
      </c>
      <c r="C36" s="19">
        <v>0</v>
      </c>
      <c r="D36" s="19">
        <v>0</v>
      </c>
      <c r="E36" s="19">
        <v>0</v>
      </c>
      <c r="F36" s="19">
        <v>0</v>
      </c>
      <c r="G36" s="21">
        <v>0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70</v>
      </c>
      <c r="B37" s="20">
        <v>0</v>
      </c>
      <c r="C37" s="19">
        <v>0</v>
      </c>
      <c r="D37" s="19">
        <v>0</v>
      </c>
      <c r="E37" s="19">
        <v>0</v>
      </c>
      <c r="F37" s="19">
        <v>0</v>
      </c>
      <c r="G37" s="21">
        <v>0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71</v>
      </c>
      <c r="B38" s="20">
        <v>0</v>
      </c>
      <c r="C38" s="19">
        <v>0</v>
      </c>
      <c r="D38" s="19">
        <v>0</v>
      </c>
      <c r="E38" s="19">
        <v>0</v>
      </c>
      <c r="F38" s="19">
        <v>0</v>
      </c>
      <c r="G38" s="21">
        <v>0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75</v>
      </c>
      <c r="B39" s="20">
        <v>0</v>
      </c>
      <c r="C39" s="19">
        <v>0</v>
      </c>
      <c r="D39" s="19">
        <v>0</v>
      </c>
      <c r="E39" s="19">
        <v>0</v>
      </c>
      <c r="F39" s="19">
        <v>0</v>
      </c>
      <c r="G39" s="21">
        <v>0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67</v>
      </c>
      <c r="B40" s="20">
        <v>0</v>
      </c>
      <c r="C40" s="19">
        <v>0</v>
      </c>
      <c r="D40" s="19">
        <v>0</v>
      </c>
      <c r="E40" s="19">
        <v>0</v>
      </c>
      <c r="F40" s="19">
        <v>0</v>
      </c>
      <c r="G40" s="21">
        <v>0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68</v>
      </c>
      <c r="B41" s="20">
        <v>0</v>
      </c>
      <c r="C41" s="19">
        <v>0</v>
      </c>
      <c r="D41" s="19">
        <v>0</v>
      </c>
      <c r="E41" s="19">
        <v>0</v>
      </c>
      <c r="F41" s="19">
        <v>0</v>
      </c>
      <c r="G41" s="21">
        <v>0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72</v>
      </c>
      <c r="B42" s="20">
        <v>0</v>
      </c>
      <c r="C42" s="19">
        <v>0</v>
      </c>
      <c r="D42" s="19">
        <v>0</v>
      </c>
      <c r="E42" s="19">
        <v>0</v>
      </c>
      <c r="F42" s="19">
        <v>0</v>
      </c>
      <c r="G42" s="21">
        <v>0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73</v>
      </c>
      <c r="B43" s="20">
        <v>0</v>
      </c>
      <c r="C43" s="19">
        <v>0</v>
      </c>
      <c r="D43" s="19">
        <v>0</v>
      </c>
      <c r="E43" s="19">
        <v>0</v>
      </c>
      <c r="F43" s="19">
        <v>0</v>
      </c>
      <c r="G43" s="21">
        <v>0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76</v>
      </c>
      <c r="B44" s="20">
        <v>0</v>
      </c>
      <c r="C44" s="19">
        <v>0</v>
      </c>
      <c r="D44" s="19">
        <v>0</v>
      </c>
      <c r="E44" s="19">
        <v>0</v>
      </c>
      <c r="F44" s="19">
        <v>0</v>
      </c>
      <c r="G44" s="21">
        <v>0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74</v>
      </c>
      <c r="B45" s="20">
        <v>0</v>
      </c>
      <c r="C45" s="19">
        <v>0</v>
      </c>
      <c r="D45" s="19">
        <v>0</v>
      </c>
      <c r="E45" s="19">
        <v>0</v>
      </c>
      <c r="F45" s="19">
        <v>0</v>
      </c>
      <c r="G45" s="21">
        <v>0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77</v>
      </c>
      <c r="B46" s="20">
        <v>0</v>
      </c>
      <c r="C46" s="19">
        <v>0</v>
      </c>
      <c r="D46" s="19">
        <v>0</v>
      </c>
      <c r="E46" s="19">
        <v>0</v>
      </c>
      <c r="F46" s="19">
        <v>0</v>
      </c>
      <c r="G46" s="21">
        <v>0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5" t="s">
        <v>78</v>
      </c>
      <c r="B47" s="20">
        <v>0</v>
      </c>
      <c r="C47" s="19">
        <v>0</v>
      </c>
      <c r="D47" s="19">
        <v>0</v>
      </c>
      <c r="E47" s="19">
        <v>0</v>
      </c>
      <c r="F47" s="19">
        <v>0</v>
      </c>
      <c r="G47" s="21">
        <v>0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t="str">
        <f t="shared" si="0"/>
        <v>\textbf{Household consumption} &amp; 0.00 &amp; 0.00 &amp; 0.00 &amp; 0.00 &amp; 0.00 &amp; 0.00 \\</v>
      </c>
    </row>
    <row r="53" spans="1:1" x14ac:dyDescent="0.25">
      <c r="A53" t="str">
        <f t="shared" si="0"/>
        <v>\textbf{Investment} &amp; 0.00 &amp; 0.00 &amp; 0.00 &amp; 0.00 &amp; 0.00 &amp; 0.00 \\</v>
      </c>
    </row>
    <row r="54" spans="1:1" x14ac:dyDescent="0.25">
      <c r="A54" t="str">
        <f t="shared" si="0"/>
        <v>\textbf{Exports} &amp; 0.00 &amp; 0.00 &amp; 0.00 &amp; 0.00 &amp; 0.00 &amp; 0.00 \\</v>
      </c>
    </row>
    <row r="55" spans="1:1" x14ac:dyDescent="0.25">
      <c r="A55" t="str">
        <f t="shared" si="0"/>
        <v>\textbf{Imports} &amp; 0.00 &amp; 0.00 &amp; 0.00 &amp; 0.00 &amp; 0.00 &amp; 0.00 \\</v>
      </c>
    </row>
    <row r="56" spans="1:1" x14ac:dyDescent="0.25">
      <c r="A56" t="str">
        <f t="shared" si="0"/>
        <v>\textbf{Household disposable income } &amp; 0.00 &amp; 0.00 &amp; 0.00 &amp; 0.00 &amp; 0.00 &amp; 0.00 \\</v>
      </c>
    </row>
    <row r="57" spans="1:1" x14ac:dyDescent="0.25">
      <c r="A57" t="str">
        <f t="shared" si="0"/>
        <v>\textbf{Saving rate} &amp; 0.00 &amp; 0.00 &amp; 0.00 &amp; 0.00 &amp; 0.00 &amp; 0.00 \\</v>
      </c>
    </row>
    <row r="58" spans="1:1" x14ac:dyDescent="0.25">
      <c r="A58" t="str">
        <f t="shared" si="0"/>
        <v>\textbf{Household consumption price index} &amp; 0.00 &amp; 0.00 &amp; 0.00 &amp; 0.00 &amp; 0.00 &amp; 0.00 \\</v>
      </c>
    </row>
    <row r="59" spans="1:1" x14ac:dyDescent="0.25">
      <c r="A59" t="str">
        <f t="shared" si="0"/>
        <v>\textbf{Production price index} &amp; 0.00 &amp; 0.00 &amp; 0.00 &amp; 0.00 &amp; 0.00 &amp; 0.00 \\</v>
      </c>
    </row>
    <row r="60" spans="1:1" x14ac:dyDescent="0.25">
      <c r="A60" t="str">
        <f t="shared" si="0"/>
        <v>\textbf{Added value price index} &amp; 0.00 &amp; 0.00 &amp; 0.00 &amp; 0.00 &amp; 0.00 &amp; 0.00 \\</v>
      </c>
    </row>
    <row r="61" spans="1:1" x14ac:dyDescent="0.25">
      <c r="A61" t="str">
        <f t="shared" si="0"/>
        <v>\textbf{Intermediate consumption price index} &amp; 0.00 &amp; 0.00 &amp; 0.00 &amp; 0.00 &amp; 0.00 &amp; 0.00 \\</v>
      </c>
    </row>
    <row r="62" spans="1:1" x14ac:dyDescent="0.25">
      <c r="A62" t="str">
        <f t="shared" si="0"/>
        <v>\textbf{Export price index} &amp; 0.00 &amp; 0.00 &amp; 0.00 &amp; 0.00 &amp; 0.00 &amp; 0.00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0.00 &amp; 0.00 &amp; 0.00 &amp; 0.00 &amp; 0.00 &amp; 0.00 \\</v>
      </c>
    </row>
    <row r="65" spans="1:1" x14ac:dyDescent="0.25">
      <c r="A65" t="str">
        <f t="shared" si="0"/>
        <v>\textbf{Real cost of labor} &amp; 0.00 &amp; 0.00 &amp; 0.00 &amp; 0.00 &amp; 0.00 &amp; 0.00 \\</v>
      </c>
    </row>
    <row r="66" spans="1:1" x14ac:dyDescent="0.25">
      <c r="A66" t="str">
        <f t="shared" si="0"/>
        <v>\textbf{Wage employment (in thousands)} &amp; 0.00 &amp; 0.00 &amp; 0.00 &amp; 0.00 &amp; 0.00 &amp; 0.00 \\</v>
      </c>
    </row>
    <row r="67" spans="1:1" x14ac:dyDescent="0.25">
      <c r="A67" t="str">
        <f t="shared" si="0"/>
        <v>\textbf{Unemployment rate} &amp; 0.00 &amp; 0.00 &amp; 0.00 &amp; 0.00 &amp; 0.00 &amp; 0.00 \\</v>
      </c>
    </row>
    <row r="68" spans="1:1" x14ac:dyDescent="0.25">
      <c r="A68" t="str">
        <f t="shared" si="0"/>
        <v>\textbf{Trade balance (in points of GDP)} &amp; 0.00 &amp; 0.00 &amp; 0.00 &amp; 0.00 &amp; 0.00 &amp; 0.00 \\</v>
      </c>
    </row>
    <row r="69" spans="1:1" x14ac:dyDescent="0.25">
      <c r="A69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69"/>
  <sheetViews>
    <sheetView showGridLines="0" topLeftCell="A21" workbookViewId="0">
      <selection activeCell="A30" sqref="A30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3" t="s">
        <v>31</v>
      </c>
      <c r="B1" s="52" t="s">
        <v>87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0.25" customHeight="1" x14ac:dyDescent="0.25">
      <c r="A2" s="28"/>
      <c r="B2" s="61" t="s">
        <v>47</v>
      </c>
      <c r="C2" s="61"/>
      <c r="D2" s="61"/>
      <c r="E2" s="61"/>
      <c r="F2" s="61"/>
      <c r="G2" s="62"/>
      <c r="H2" s="63" t="s">
        <v>46</v>
      </c>
      <c r="I2" s="64"/>
      <c r="J2" s="64"/>
      <c r="K2" s="64"/>
      <c r="L2" s="64"/>
      <c r="M2" s="65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81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2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64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TRANSPOSE(RSSC1!$B$3:$T$8)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t="str">
        <f t="shared" si="0"/>
        <v>\textbf{Household consumption} &amp; 0.00 &amp; 0.00 &amp; 0.00 &amp; 0.00 &amp; 0.00 &amp; 0.00 \\</v>
      </c>
    </row>
    <row r="53" spans="1:1" x14ac:dyDescent="0.25">
      <c r="A53" t="str">
        <f t="shared" si="0"/>
        <v>\textbf{Investment} &amp; 0.00 &amp; 0.00 &amp; 0.00 &amp; 0.00 &amp; 0.00 &amp; 0.00 \\</v>
      </c>
    </row>
    <row r="54" spans="1:1" x14ac:dyDescent="0.25">
      <c r="A54" t="str">
        <f t="shared" si="0"/>
        <v>\textbf{Exports} &amp; 0.00 &amp; 0.00 &amp; 0.00 &amp; 0.00 &amp; 0.00 &amp; 0.00 \\</v>
      </c>
    </row>
    <row r="55" spans="1:1" x14ac:dyDescent="0.25">
      <c r="A55" t="str">
        <f t="shared" si="0"/>
        <v>\textbf{Imports} &amp; 0.00 &amp; 0.00 &amp; 0.00 &amp; 0.00 &amp; 0.00 &amp; 0.00 \\</v>
      </c>
    </row>
    <row r="56" spans="1:1" x14ac:dyDescent="0.25">
      <c r="A56" t="str">
        <f t="shared" si="0"/>
        <v>\textbf{Household disposable income } &amp; 0.00 &amp; 0.00 &amp; 0.00 &amp; 0.00 &amp; 0.00 &amp; 0.00 \\</v>
      </c>
    </row>
    <row r="57" spans="1:1" x14ac:dyDescent="0.25">
      <c r="A57" t="str">
        <f t="shared" si="0"/>
        <v>\textbf{Saving rate} &amp; 0.00 &amp; 0.00 &amp; 0.00 &amp; 0.00 &amp; 0.00 &amp; 0.00 \\</v>
      </c>
    </row>
    <row r="58" spans="1:1" x14ac:dyDescent="0.25">
      <c r="A58" t="str">
        <f t="shared" si="0"/>
        <v>\textbf{Household consumption price index} &amp; 0.00 &amp; 0.00 &amp; 0.00 &amp; 0.00 &amp; 0.00 &amp; 0.00 \\</v>
      </c>
    </row>
    <row r="59" spans="1:1" x14ac:dyDescent="0.25">
      <c r="A59" t="str">
        <f t="shared" si="0"/>
        <v>\textbf{Production price index} &amp; 0.00 &amp; 0.00 &amp; 0.00 &amp; 0.00 &amp; 0.00 &amp; 0.00 \\</v>
      </c>
    </row>
    <row r="60" spans="1:1" x14ac:dyDescent="0.25">
      <c r="A60" t="str">
        <f t="shared" si="0"/>
        <v>\textbf{Added value price index} &amp; 0.00 &amp; 0.00 &amp; 0.00 &amp; 0.00 &amp; 0.00 &amp; 0.00 \\</v>
      </c>
    </row>
    <row r="61" spans="1:1" x14ac:dyDescent="0.25">
      <c r="A61" t="str">
        <f t="shared" si="0"/>
        <v>\textbf{Intermediate consumption price index} &amp; 0.00 &amp; 0.00 &amp; 0.00 &amp; 0.00 &amp; 0.00 &amp; 0.00 \\</v>
      </c>
    </row>
    <row r="62" spans="1:1" x14ac:dyDescent="0.25">
      <c r="A62" t="str">
        <f t="shared" si="0"/>
        <v>\textbf{Export price index} &amp; 0.00 &amp; 0.00 &amp; 0.00 &amp; 0.00 &amp; 0.00 &amp; 0.00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0.00 &amp; 0.00 &amp; 0.00 &amp; 0.00 &amp; 0.00 &amp; 0.00 \\</v>
      </c>
    </row>
    <row r="65" spans="1:1" x14ac:dyDescent="0.25">
      <c r="A65" t="str">
        <f t="shared" si="0"/>
        <v>\textbf{Real cost of labor} &amp; 0.00 &amp; 0.00 &amp; 0.00 &amp; 0.00 &amp; 0.00 &amp; 0.00 \\</v>
      </c>
    </row>
    <row r="66" spans="1:1" x14ac:dyDescent="0.25">
      <c r="A66" t="str">
        <f t="shared" si="0"/>
        <v>\textbf{Wage employment (in thousands)} &amp; 0.00 &amp; 0.00 &amp; 0.00 &amp; 0.00 &amp; 0.00 &amp; 0.00 \\</v>
      </c>
    </row>
    <row r="67" spans="1:1" x14ac:dyDescent="0.25">
      <c r="A67" t="str">
        <f t="shared" si="0"/>
        <v>\textbf{Unemployment rate} &amp; 0.00 &amp; 0.00 &amp; 0.00 &amp; 0.00 &amp; 0.00 &amp; 0.00 \\</v>
      </c>
    </row>
    <row r="68" spans="1:1" x14ac:dyDescent="0.25">
      <c r="A68" t="str">
        <f t="shared" si="0"/>
        <v>\textbf{Trade balance (in points of GDP)} &amp; 0.00 &amp; 0.00 &amp; 0.00 &amp; 0.00 &amp; 0.00 &amp; 0.00 \\</v>
      </c>
    </row>
    <row r="69" spans="1:1" x14ac:dyDescent="0.25">
      <c r="A69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69"/>
  <sheetViews>
    <sheetView topLeftCell="A28" workbookViewId="0">
      <selection activeCell="A30" sqref="A30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49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82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64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TRANSPOSE('VAT1'!$B$3:$T$8)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  <row r="50" spans="1:1" x14ac:dyDescent="0.25">
      <c r="A50" s="37" t="str">
        <f>"0.00"</f>
        <v>0.00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69"/>
  <sheetViews>
    <sheetView topLeftCell="A19" workbookViewId="0">
      <selection activeCell="A30" sqref="A30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48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83</v>
      </c>
      <c r="B26" s="67" t="s">
        <v>88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64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TRANSPOSE(INCT1!$B$3:$T$8)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69"/>
  <sheetViews>
    <sheetView topLeftCell="A25" workbookViewId="0">
      <selection activeCell="A30" sqref="A30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50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2">
        <v>0.27</v>
      </c>
      <c r="I4" s="43">
        <v>0.32</v>
      </c>
      <c r="J4" s="43">
        <v>0.31</v>
      </c>
      <c r="K4" s="43">
        <v>0.26</v>
      </c>
      <c r="L4" s="43">
        <v>0.17</v>
      </c>
      <c r="M4" s="44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84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64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TRANSPOSE('WD1'!$B$3:$T$8)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2">
        <v>0.27</v>
      </c>
      <c r="I29" s="43">
        <v>0.32</v>
      </c>
      <c r="J29" s="43">
        <v>0.31</v>
      </c>
      <c r="K29" s="43">
        <v>0.26</v>
      </c>
      <c r="L29" s="43">
        <v>0.17</v>
      </c>
      <c r="M29" s="44">
        <v>0.05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69"/>
  <sheetViews>
    <sheetView topLeftCell="A19" workbookViewId="0">
      <selection activeCell="A30" sqref="A30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51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3">
        <v>-0.1</v>
      </c>
      <c r="I4" s="43">
        <v>-0.24</v>
      </c>
      <c r="J4" s="43">
        <v>-0.18</v>
      </c>
      <c r="K4" s="43">
        <v>-0.21</v>
      </c>
      <c r="L4" s="43">
        <v>-0.22</v>
      </c>
      <c r="M4" s="44">
        <v>-0.17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85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64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TRANSPOSE('FF10'!$B$3:$T$8)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3">
        <v>-0.1</v>
      </c>
      <c r="I29" s="43">
        <v>-0.24</v>
      </c>
      <c r="J29" s="43">
        <v>-0.18</v>
      </c>
      <c r="K29" s="43">
        <v>-0.21</v>
      </c>
      <c r="L29" s="43">
        <v>-0.22</v>
      </c>
      <c r="M29" s="44">
        <v>-0.17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9"/>
  <sheetViews>
    <sheetView topLeftCell="A21" workbookViewId="0">
      <selection activeCell="A30" sqref="A30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52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66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64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TRANSPOSE('CT1'!$B$3:$T$8)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1</vt:i4>
      </vt:variant>
    </vt:vector>
  </HeadingPairs>
  <TitlesOfParts>
    <vt:vector size="25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  <vt:lpstr>formatResults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2019-05-07T09:29:21Z</dcterms:modified>
</cp:coreProperties>
</file>