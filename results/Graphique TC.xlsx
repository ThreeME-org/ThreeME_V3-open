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ACQUETINF\Documents\documents\ThreeME_V3-ADEME\results\"/>
    </mc:Choice>
  </mc:AlternateContent>
  <bookViews>
    <workbookView xWindow="0" yWindow="0" windowWidth="19200" windowHeight="5890" activeTab="1"/>
  </bookViews>
  <sheets>
    <sheet name="Données" sheetId="2" r:id="rId1"/>
    <sheet name="Gr Macro" sheetId="5" r:id="rId2"/>
    <sheet name="Gr inflation" sheetId="6" r:id="rId3"/>
    <sheet name="Gr émissions" sheetId="7" r:id="rId4"/>
    <sheet name="Gr VA secteurs (% dev)" sheetId="12" r:id="rId5"/>
    <sheet name="Gr VA secteurs (% share)" sheetId="13" r:id="rId6"/>
    <sheet name="Gr Y secteurs (% dev)" sheetId="14" r:id="rId7"/>
    <sheet name="Gr Y secteurs (% share)" sheetId="15" r:id="rId8"/>
  </sheets>
  <externalReferences>
    <externalReference r:id="rId9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L111" i="2" l="1"/>
  <c r="AK111" i="2"/>
  <c r="AJ111" i="2"/>
  <c r="AI111" i="2"/>
  <c r="AH111" i="2"/>
  <c r="AG111" i="2"/>
  <c r="AF111" i="2"/>
  <c r="AE111" i="2"/>
  <c r="AD111" i="2"/>
  <c r="AC111" i="2"/>
  <c r="AB111" i="2"/>
  <c r="AA111" i="2"/>
  <c r="Z111" i="2"/>
  <c r="Y111" i="2"/>
  <c r="X111" i="2"/>
  <c r="W111" i="2"/>
  <c r="V111" i="2"/>
  <c r="U111" i="2"/>
  <c r="T111" i="2"/>
  <c r="S111" i="2"/>
  <c r="R111" i="2"/>
  <c r="Q111" i="2"/>
  <c r="P111" i="2"/>
  <c r="O111" i="2"/>
  <c r="N111" i="2"/>
  <c r="M111" i="2"/>
  <c r="L111" i="2"/>
  <c r="K111" i="2"/>
  <c r="J111" i="2"/>
  <c r="I111" i="2"/>
  <c r="H111" i="2"/>
  <c r="G111" i="2"/>
  <c r="F111" i="2"/>
  <c r="E111" i="2"/>
  <c r="D111" i="2"/>
  <c r="C111" i="2"/>
  <c r="AL110" i="2"/>
  <c r="AK110" i="2"/>
  <c r="AJ110" i="2"/>
  <c r="AI110" i="2"/>
  <c r="AH110" i="2"/>
  <c r="AG110" i="2"/>
  <c r="AF110" i="2"/>
  <c r="AE110" i="2"/>
  <c r="AD110" i="2"/>
  <c r="AC110" i="2"/>
  <c r="AB110" i="2"/>
  <c r="AA110" i="2"/>
  <c r="Z110" i="2"/>
  <c r="Y110" i="2"/>
  <c r="X110" i="2"/>
  <c r="W110" i="2"/>
  <c r="V110" i="2"/>
  <c r="U110" i="2"/>
  <c r="T110" i="2"/>
  <c r="S110" i="2"/>
  <c r="R110" i="2"/>
  <c r="Q110" i="2"/>
  <c r="P110" i="2"/>
  <c r="O110" i="2"/>
  <c r="N110" i="2"/>
  <c r="M110" i="2"/>
  <c r="L110" i="2"/>
  <c r="K110" i="2"/>
  <c r="J110" i="2"/>
  <c r="I110" i="2"/>
  <c r="H110" i="2"/>
  <c r="G110" i="2"/>
  <c r="F110" i="2"/>
  <c r="E110" i="2"/>
  <c r="D110" i="2"/>
  <c r="C110" i="2"/>
  <c r="AL109" i="2"/>
  <c r="AK109" i="2"/>
  <c r="AJ109" i="2"/>
  <c r="AI109" i="2"/>
  <c r="AH109" i="2"/>
  <c r="AG109" i="2"/>
  <c r="AF109" i="2"/>
  <c r="AE109" i="2"/>
  <c r="AD109" i="2"/>
  <c r="AC109" i="2"/>
  <c r="AB109" i="2"/>
  <c r="AA109" i="2"/>
  <c r="Z109" i="2"/>
  <c r="Y109" i="2"/>
  <c r="X109" i="2"/>
  <c r="W109" i="2"/>
  <c r="V109" i="2"/>
  <c r="U109" i="2"/>
  <c r="T109" i="2"/>
  <c r="S109" i="2"/>
  <c r="R109" i="2"/>
  <c r="Q109" i="2"/>
  <c r="P109" i="2"/>
  <c r="O109" i="2"/>
  <c r="N109" i="2"/>
  <c r="M109" i="2"/>
  <c r="L109" i="2"/>
  <c r="K109" i="2"/>
  <c r="J109" i="2"/>
  <c r="I109" i="2"/>
  <c r="H109" i="2"/>
  <c r="G109" i="2"/>
  <c r="F109" i="2"/>
  <c r="E109" i="2"/>
  <c r="D109" i="2"/>
  <c r="C109" i="2"/>
  <c r="AL108" i="2"/>
  <c r="AK108" i="2"/>
  <c r="AJ108" i="2"/>
  <c r="AI108" i="2"/>
  <c r="AH108" i="2"/>
  <c r="AG108" i="2"/>
  <c r="AF108" i="2"/>
  <c r="AE108" i="2"/>
  <c r="AD108" i="2"/>
  <c r="AC108" i="2"/>
  <c r="AB108" i="2"/>
  <c r="AA108" i="2"/>
  <c r="Z108" i="2"/>
  <c r="Y108" i="2"/>
  <c r="X108" i="2"/>
  <c r="W108" i="2"/>
  <c r="V108" i="2"/>
  <c r="U108" i="2"/>
  <c r="T108" i="2"/>
  <c r="S108" i="2"/>
  <c r="R108" i="2"/>
  <c r="Q108" i="2"/>
  <c r="P108" i="2"/>
  <c r="O108" i="2"/>
  <c r="N108" i="2"/>
  <c r="M108" i="2"/>
  <c r="L108" i="2"/>
  <c r="K108" i="2"/>
  <c r="J108" i="2"/>
  <c r="I108" i="2"/>
  <c r="H108" i="2"/>
  <c r="G108" i="2"/>
  <c r="F108" i="2"/>
  <c r="E108" i="2"/>
  <c r="D108" i="2"/>
  <c r="C108" i="2"/>
  <c r="AL107" i="2"/>
  <c r="AK107" i="2"/>
  <c r="AJ107" i="2"/>
  <c r="AI107" i="2"/>
  <c r="AH107" i="2"/>
  <c r="AG107" i="2"/>
  <c r="AF107" i="2"/>
  <c r="AE107" i="2"/>
  <c r="AD107" i="2"/>
  <c r="AC107" i="2"/>
  <c r="AB107" i="2"/>
  <c r="AA107" i="2"/>
  <c r="Z107" i="2"/>
  <c r="Y107" i="2"/>
  <c r="X107" i="2"/>
  <c r="W107" i="2"/>
  <c r="V107" i="2"/>
  <c r="U107" i="2"/>
  <c r="T107" i="2"/>
  <c r="S107" i="2"/>
  <c r="R107" i="2"/>
  <c r="Q107" i="2"/>
  <c r="P107" i="2"/>
  <c r="O107" i="2"/>
  <c r="N107" i="2"/>
  <c r="M107" i="2"/>
  <c r="L107" i="2"/>
  <c r="K107" i="2"/>
  <c r="J107" i="2"/>
  <c r="I107" i="2"/>
  <c r="H107" i="2"/>
  <c r="G107" i="2"/>
  <c r="F107" i="2"/>
  <c r="E107" i="2"/>
  <c r="D107" i="2"/>
  <c r="C107" i="2"/>
  <c r="AL106" i="2"/>
  <c r="AK106" i="2"/>
  <c r="AJ106" i="2"/>
  <c r="AI106" i="2"/>
  <c r="AH106" i="2"/>
  <c r="AG106" i="2"/>
  <c r="AF106" i="2"/>
  <c r="AE106" i="2"/>
  <c r="AD106" i="2"/>
  <c r="AC106" i="2"/>
  <c r="AB106" i="2"/>
  <c r="AA106" i="2"/>
  <c r="Z106" i="2"/>
  <c r="Y106" i="2"/>
  <c r="X106" i="2"/>
  <c r="W106" i="2"/>
  <c r="V106" i="2"/>
  <c r="U106" i="2"/>
  <c r="T106" i="2"/>
  <c r="S106" i="2"/>
  <c r="R106" i="2"/>
  <c r="Q106" i="2"/>
  <c r="P106" i="2"/>
  <c r="O106" i="2"/>
  <c r="N106" i="2"/>
  <c r="M106" i="2"/>
  <c r="L106" i="2"/>
  <c r="K106" i="2"/>
  <c r="J106" i="2"/>
  <c r="I106" i="2"/>
  <c r="H106" i="2"/>
  <c r="G106" i="2"/>
  <c r="F106" i="2"/>
  <c r="E106" i="2"/>
  <c r="D106" i="2"/>
  <c r="C106" i="2"/>
  <c r="AL103" i="2"/>
  <c r="AK103" i="2"/>
  <c r="AJ103" i="2"/>
  <c r="AI103" i="2"/>
  <c r="AH103" i="2"/>
  <c r="AG103" i="2"/>
  <c r="AF103" i="2"/>
  <c r="AE103" i="2"/>
  <c r="AD103" i="2"/>
  <c r="AC103" i="2"/>
  <c r="AB103" i="2"/>
  <c r="AA103" i="2"/>
  <c r="Z103" i="2"/>
  <c r="Y103" i="2"/>
  <c r="X103" i="2"/>
  <c r="W103" i="2"/>
  <c r="V103" i="2"/>
  <c r="U103" i="2"/>
  <c r="T103" i="2"/>
  <c r="S103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F103" i="2"/>
  <c r="E103" i="2"/>
  <c r="D103" i="2"/>
  <c r="C103" i="2"/>
  <c r="AL102" i="2"/>
  <c r="AK102" i="2"/>
  <c r="AJ102" i="2"/>
  <c r="AI102" i="2"/>
  <c r="AH102" i="2"/>
  <c r="AG102" i="2"/>
  <c r="AF102" i="2"/>
  <c r="AE102" i="2"/>
  <c r="AD102" i="2"/>
  <c r="AC102" i="2"/>
  <c r="AB102" i="2"/>
  <c r="AA102" i="2"/>
  <c r="Z102" i="2"/>
  <c r="Y102" i="2"/>
  <c r="X102" i="2"/>
  <c r="W102" i="2"/>
  <c r="V102" i="2"/>
  <c r="U102" i="2"/>
  <c r="T102" i="2"/>
  <c r="S102" i="2"/>
  <c r="R102" i="2"/>
  <c r="Q102" i="2"/>
  <c r="P102" i="2"/>
  <c r="O102" i="2"/>
  <c r="N102" i="2"/>
  <c r="M102" i="2"/>
  <c r="L102" i="2"/>
  <c r="K102" i="2"/>
  <c r="J102" i="2"/>
  <c r="I102" i="2"/>
  <c r="H102" i="2"/>
  <c r="G102" i="2"/>
  <c r="F102" i="2"/>
  <c r="E102" i="2"/>
  <c r="D102" i="2"/>
  <c r="C102" i="2"/>
  <c r="AL101" i="2"/>
  <c r="AK101" i="2"/>
  <c r="AJ101" i="2"/>
  <c r="AI101" i="2"/>
  <c r="AH101" i="2"/>
  <c r="AG101" i="2"/>
  <c r="AF101" i="2"/>
  <c r="AE101" i="2"/>
  <c r="AD101" i="2"/>
  <c r="AC101" i="2"/>
  <c r="AB101" i="2"/>
  <c r="AA101" i="2"/>
  <c r="Z101" i="2"/>
  <c r="Y101" i="2"/>
  <c r="X101" i="2"/>
  <c r="W101" i="2"/>
  <c r="V101" i="2"/>
  <c r="U101" i="2"/>
  <c r="T101" i="2"/>
  <c r="S101" i="2"/>
  <c r="R101" i="2"/>
  <c r="Q101" i="2"/>
  <c r="P101" i="2"/>
  <c r="O101" i="2"/>
  <c r="N101" i="2"/>
  <c r="M101" i="2"/>
  <c r="L101" i="2"/>
  <c r="K101" i="2"/>
  <c r="J101" i="2"/>
  <c r="I101" i="2"/>
  <c r="H101" i="2"/>
  <c r="G101" i="2"/>
  <c r="F101" i="2"/>
  <c r="E101" i="2"/>
  <c r="D101" i="2"/>
  <c r="C101" i="2"/>
  <c r="AL100" i="2"/>
  <c r="AK100" i="2"/>
  <c r="AJ100" i="2"/>
  <c r="AI100" i="2"/>
  <c r="AH100" i="2"/>
  <c r="AG100" i="2"/>
  <c r="AF100" i="2"/>
  <c r="AE100" i="2"/>
  <c r="AD100" i="2"/>
  <c r="AC100" i="2"/>
  <c r="AB100" i="2"/>
  <c r="AA100" i="2"/>
  <c r="Z100" i="2"/>
  <c r="Y100" i="2"/>
  <c r="X100" i="2"/>
  <c r="W100" i="2"/>
  <c r="V100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F100" i="2"/>
  <c r="E100" i="2"/>
  <c r="D100" i="2"/>
  <c r="C100" i="2"/>
  <c r="AL99" i="2"/>
  <c r="AK99" i="2"/>
  <c r="AJ99" i="2"/>
  <c r="AI99" i="2"/>
  <c r="AH99" i="2"/>
  <c r="AG99" i="2"/>
  <c r="AF99" i="2"/>
  <c r="AE99" i="2"/>
  <c r="AD99" i="2"/>
  <c r="AC99" i="2"/>
  <c r="AB99" i="2"/>
  <c r="AA99" i="2"/>
  <c r="Z99" i="2"/>
  <c r="Y99" i="2"/>
  <c r="X99" i="2"/>
  <c r="W99" i="2"/>
  <c r="V99" i="2"/>
  <c r="U99" i="2"/>
  <c r="T99" i="2"/>
  <c r="S99" i="2"/>
  <c r="R99" i="2"/>
  <c r="Q99" i="2"/>
  <c r="P99" i="2"/>
  <c r="O99" i="2"/>
  <c r="N99" i="2"/>
  <c r="M99" i="2"/>
  <c r="L99" i="2"/>
  <c r="K99" i="2"/>
  <c r="J99" i="2"/>
  <c r="I99" i="2"/>
  <c r="H99" i="2"/>
  <c r="G99" i="2"/>
  <c r="F99" i="2"/>
  <c r="E99" i="2"/>
  <c r="D99" i="2"/>
  <c r="C99" i="2"/>
  <c r="AL98" i="2"/>
  <c r="AK98" i="2"/>
  <c r="AJ98" i="2"/>
  <c r="AI98" i="2"/>
  <c r="AH98" i="2"/>
  <c r="AG98" i="2"/>
  <c r="AF98" i="2"/>
  <c r="AE98" i="2"/>
  <c r="AD98" i="2"/>
  <c r="AC98" i="2"/>
  <c r="AB98" i="2"/>
  <c r="AA98" i="2"/>
  <c r="Z98" i="2"/>
  <c r="Y98" i="2"/>
  <c r="X98" i="2"/>
  <c r="W98" i="2"/>
  <c r="V98" i="2"/>
  <c r="U98" i="2"/>
  <c r="T98" i="2"/>
  <c r="S98" i="2"/>
  <c r="R98" i="2"/>
  <c r="Q98" i="2"/>
  <c r="P98" i="2"/>
  <c r="O98" i="2"/>
  <c r="N98" i="2"/>
  <c r="M98" i="2"/>
  <c r="L98" i="2"/>
  <c r="K98" i="2"/>
  <c r="J98" i="2"/>
  <c r="I98" i="2"/>
  <c r="H98" i="2"/>
  <c r="G98" i="2"/>
  <c r="F98" i="2"/>
  <c r="E98" i="2"/>
  <c r="D98" i="2"/>
  <c r="C98" i="2"/>
  <c r="AL79" i="2"/>
  <c r="AK79" i="2"/>
  <c r="AJ79" i="2"/>
  <c r="AI79" i="2"/>
  <c r="AH79" i="2"/>
  <c r="AG79" i="2"/>
  <c r="AF79" i="2"/>
  <c r="AE79" i="2"/>
  <c r="AD79" i="2"/>
  <c r="AC79" i="2"/>
  <c r="AB79" i="2"/>
  <c r="AA79" i="2"/>
  <c r="Z79" i="2"/>
  <c r="Y79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F79" i="2"/>
  <c r="E79" i="2"/>
  <c r="D79" i="2"/>
  <c r="C79" i="2"/>
  <c r="AL78" i="2"/>
  <c r="AK78" i="2"/>
  <c r="AJ78" i="2"/>
  <c r="AI78" i="2"/>
  <c r="AH78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F78" i="2"/>
  <c r="E78" i="2"/>
  <c r="D78" i="2"/>
  <c r="C78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F77" i="2"/>
  <c r="E77" i="2"/>
  <c r="D77" i="2"/>
  <c r="C77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E76" i="2"/>
  <c r="D76" i="2"/>
  <c r="C76" i="2"/>
  <c r="AL75" i="2"/>
  <c r="AK75" i="2"/>
  <c r="AJ75" i="2"/>
  <c r="AI75" i="2"/>
  <c r="AH75" i="2"/>
  <c r="AG75" i="2"/>
  <c r="AF75" i="2"/>
  <c r="AE75" i="2"/>
  <c r="AD75" i="2"/>
  <c r="AC75" i="2"/>
  <c r="AB75" i="2"/>
  <c r="AA75" i="2"/>
  <c r="Z75" i="2"/>
  <c r="Y75" i="2"/>
  <c r="X75" i="2"/>
  <c r="W75" i="2"/>
  <c r="V75" i="2"/>
  <c r="U75" i="2"/>
  <c r="T75" i="2"/>
  <c r="S75" i="2"/>
  <c r="R75" i="2"/>
  <c r="Q75" i="2"/>
  <c r="P75" i="2"/>
  <c r="O75" i="2"/>
  <c r="N75" i="2"/>
  <c r="M75" i="2"/>
  <c r="L75" i="2"/>
  <c r="K75" i="2"/>
  <c r="J75" i="2"/>
  <c r="I75" i="2"/>
  <c r="H75" i="2"/>
  <c r="G75" i="2"/>
  <c r="F75" i="2"/>
  <c r="E75" i="2"/>
  <c r="D75" i="2"/>
  <c r="C75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F74" i="2"/>
  <c r="E74" i="2"/>
  <c r="D74" i="2"/>
  <c r="C74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F73" i="2"/>
  <c r="E73" i="2"/>
  <c r="D73" i="2"/>
  <c r="C73" i="2"/>
  <c r="AL71" i="2"/>
  <c r="AK71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E71" i="2"/>
  <c r="D71" i="2"/>
  <c r="C71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E70" i="2"/>
  <c r="D70" i="2"/>
  <c r="C70" i="2"/>
  <c r="AL69" i="2"/>
  <c r="AK69" i="2"/>
  <c r="AJ69" i="2"/>
  <c r="AI69" i="2"/>
  <c r="AH69" i="2"/>
  <c r="AG69" i="2"/>
  <c r="AF69" i="2"/>
  <c r="AE69" i="2"/>
  <c r="AD69" i="2"/>
  <c r="AC69" i="2"/>
  <c r="AB69" i="2"/>
  <c r="AA69" i="2"/>
  <c r="Z69" i="2"/>
  <c r="Y69" i="2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F69" i="2"/>
  <c r="E69" i="2"/>
  <c r="D69" i="2"/>
  <c r="C69" i="2"/>
  <c r="AL68" i="2"/>
  <c r="AK68" i="2"/>
  <c r="AJ68" i="2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E68" i="2"/>
  <c r="D68" i="2"/>
  <c r="C68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E67" i="2"/>
  <c r="D67" i="2"/>
  <c r="C67" i="2"/>
  <c r="AL66" i="2"/>
  <c r="AK66" i="2"/>
  <c r="AJ66" i="2"/>
  <c r="AI66" i="2"/>
  <c r="AH66" i="2"/>
  <c r="AG66" i="2"/>
  <c r="AF66" i="2"/>
  <c r="AE66" i="2"/>
  <c r="AD66" i="2"/>
  <c r="AC66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F66" i="2"/>
  <c r="E66" i="2"/>
  <c r="D66" i="2"/>
  <c r="C66" i="2"/>
  <c r="AL65" i="2"/>
  <c r="AK65" i="2"/>
  <c r="AJ65" i="2"/>
  <c r="AI65" i="2"/>
  <c r="AH65" i="2"/>
  <c r="AG65" i="2"/>
  <c r="AF65" i="2"/>
  <c r="AE65" i="2"/>
  <c r="AD65" i="2"/>
  <c r="AC65" i="2"/>
  <c r="AB65" i="2"/>
  <c r="AA65" i="2"/>
  <c r="Z65" i="2"/>
  <c r="Y65" i="2"/>
  <c r="X65" i="2"/>
  <c r="W65" i="2"/>
  <c r="V65" i="2"/>
  <c r="U65" i="2"/>
  <c r="T65" i="2"/>
  <c r="S65" i="2"/>
  <c r="R65" i="2"/>
  <c r="Q65" i="2"/>
  <c r="P65" i="2"/>
  <c r="O65" i="2"/>
  <c r="N65" i="2"/>
  <c r="M65" i="2"/>
  <c r="L65" i="2"/>
  <c r="K65" i="2"/>
  <c r="J65" i="2"/>
  <c r="I65" i="2"/>
  <c r="H65" i="2"/>
  <c r="G65" i="2"/>
  <c r="F65" i="2"/>
  <c r="E65" i="2"/>
  <c r="D65" i="2"/>
  <c r="C65" i="2"/>
  <c r="AL63" i="2"/>
  <c r="AK63" i="2"/>
  <c r="AJ63" i="2"/>
  <c r="AI63" i="2"/>
  <c r="AH63" i="2"/>
  <c r="AG63" i="2"/>
  <c r="AF63" i="2"/>
  <c r="AE63" i="2"/>
  <c r="AD63" i="2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F63" i="2"/>
  <c r="E63" i="2"/>
  <c r="D63" i="2"/>
  <c r="C63" i="2"/>
  <c r="AL62" i="2"/>
  <c r="AK62" i="2"/>
  <c r="AJ62" i="2"/>
  <c r="AI62" i="2"/>
  <c r="AH62" i="2"/>
  <c r="AG62" i="2"/>
  <c r="AF62" i="2"/>
  <c r="AE62" i="2"/>
  <c r="AD62" i="2"/>
  <c r="AC62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F62" i="2"/>
  <c r="E62" i="2"/>
  <c r="D62" i="2"/>
  <c r="C62" i="2"/>
  <c r="AL57" i="2"/>
  <c r="AK57" i="2"/>
  <c r="AJ57" i="2"/>
  <c r="AI57" i="2"/>
  <c r="AH57" i="2"/>
  <c r="AG57" i="2"/>
  <c r="AF57" i="2"/>
  <c r="AE57" i="2"/>
  <c r="AD57" i="2"/>
  <c r="AC57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F57" i="2"/>
  <c r="E57" i="2"/>
  <c r="D57" i="2"/>
  <c r="C57" i="2"/>
  <c r="AL56" i="2"/>
  <c r="AK56" i="2"/>
  <c r="AJ56" i="2"/>
  <c r="AI56" i="2"/>
  <c r="AH56" i="2"/>
  <c r="AG56" i="2"/>
  <c r="AF56" i="2"/>
  <c r="AE56" i="2"/>
  <c r="AD56" i="2"/>
  <c r="AC56" i="2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F56" i="2"/>
  <c r="E56" i="2"/>
  <c r="D56" i="2"/>
  <c r="C56" i="2"/>
  <c r="AL54" i="2"/>
  <c r="AK54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C54" i="2"/>
  <c r="B54" i="2"/>
  <c r="A54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C53" i="2"/>
  <c r="B53" i="2"/>
  <c r="A53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D52" i="2"/>
  <c r="C52" i="2"/>
  <c r="B52" i="2"/>
  <c r="A52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D51" i="2"/>
  <c r="C51" i="2"/>
  <c r="B51" i="2"/>
  <c r="A51" i="2"/>
  <c r="AL50" i="2"/>
  <c r="AK50" i="2"/>
  <c r="AJ50" i="2"/>
  <c r="AI50" i="2"/>
  <c r="AH50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C50" i="2"/>
  <c r="B50" i="2"/>
  <c r="A50" i="2"/>
  <c r="AL49" i="2"/>
  <c r="AK49" i="2"/>
  <c r="AJ49" i="2"/>
  <c r="AI49" i="2"/>
  <c r="AH49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C49" i="2"/>
  <c r="B49" i="2"/>
  <c r="A49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C48" i="2"/>
  <c r="B48" i="2"/>
  <c r="A48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C47" i="2"/>
  <c r="B47" i="2"/>
  <c r="A47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C46" i="2"/>
  <c r="B46" i="2"/>
  <c r="A46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C45" i="2"/>
  <c r="B45" i="2"/>
  <c r="A45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C44" i="2"/>
  <c r="B44" i="2"/>
  <c r="A44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B43" i="2"/>
  <c r="A43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C42" i="2"/>
  <c r="B42" i="2"/>
  <c r="A42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C41" i="2"/>
  <c r="B41" i="2"/>
  <c r="A41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B40" i="2"/>
  <c r="A40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B39" i="2"/>
  <c r="A39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B38" i="2"/>
  <c r="A38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A37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B36" i="2"/>
  <c r="A36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A35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A34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B33" i="2"/>
  <c r="A33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B32" i="2"/>
  <c r="A32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B31" i="2"/>
  <c r="A31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B30" i="2"/>
  <c r="A30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B29" i="2"/>
  <c r="A29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B28" i="2"/>
  <c r="A28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A27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B26" i="2"/>
  <c r="A26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B25" i="2"/>
  <c r="A25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B24" i="2"/>
  <c r="A24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A23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A22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B21" i="2"/>
  <c r="A21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A20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A19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A18" i="2"/>
  <c r="AL17" i="2"/>
  <c r="AK17" i="2"/>
  <c r="AJ17" i="2"/>
  <c r="AI17" i="2"/>
  <c r="AH17" i="2"/>
  <c r="AG17" i="2"/>
  <c r="AF17" i="2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A17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A16" i="2"/>
  <c r="AL15" i="2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A15" i="2"/>
  <c r="AL14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B14" i="2"/>
  <c r="A14" i="2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A13" i="2"/>
  <c r="AL12" i="2"/>
  <c r="AK12" i="2"/>
  <c r="AJ12" i="2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B12" i="2"/>
  <c r="A12" i="2"/>
  <c r="AL11" i="2"/>
  <c r="AK11" i="2"/>
  <c r="AJ11" i="2"/>
  <c r="AI11" i="2"/>
  <c r="AH11" i="2"/>
  <c r="AG11" i="2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A11" i="2"/>
  <c r="AL10" i="2"/>
  <c r="AK10" i="2"/>
  <c r="AJ10" i="2"/>
  <c r="AI10" i="2"/>
  <c r="AH10" i="2"/>
  <c r="AG10" i="2"/>
  <c r="AF10" i="2"/>
  <c r="AE10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B10" i="2"/>
  <c r="A10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A9" i="2"/>
  <c r="AL8" i="2"/>
  <c r="AK8" i="2"/>
  <c r="AJ8" i="2"/>
  <c r="AI8" i="2"/>
  <c r="AH8" i="2"/>
  <c r="AG8" i="2"/>
  <c r="AF8" i="2"/>
  <c r="AE8" i="2"/>
  <c r="AD8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B8" i="2"/>
  <c r="A8" i="2"/>
  <c r="AL7" i="2"/>
  <c r="AK7" i="2"/>
  <c r="AJ7" i="2"/>
  <c r="AI7" i="2"/>
  <c r="AH7" i="2"/>
  <c r="AG7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B7" i="2"/>
  <c r="A7" i="2"/>
  <c r="AL6" i="2"/>
  <c r="AK6" i="2"/>
  <c r="AJ6" i="2"/>
  <c r="AI6" i="2"/>
  <c r="AH6" i="2"/>
  <c r="AG6" i="2"/>
  <c r="AF6" i="2"/>
  <c r="AE6" i="2"/>
  <c r="AD6" i="2"/>
  <c r="AC6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A6" i="2"/>
  <c r="AL5" i="2"/>
  <c r="AK5" i="2"/>
  <c r="AJ5" i="2"/>
  <c r="AI5" i="2"/>
  <c r="AH5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B5" i="2"/>
  <c r="A5" i="2"/>
  <c r="AL4" i="2"/>
  <c r="AK4" i="2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A4" i="2"/>
  <c r="E125" i="2" l="1"/>
  <c r="C123" i="2"/>
  <c r="E115" i="2"/>
  <c r="E127" i="2"/>
  <c r="D127" i="2"/>
  <c r="C127" i="2"/>
  <c r="E126" i="2"/>
  <c r="C126" i="2"/>
  <c r="D117" i="2"/>
  <c r="C125" i="2"/>
  <c r="E124" i="2"/>
  <c r="D124" i="2"/>
  <c r="C124" i="2"/>
  <c r="E123" i="2"/>
  <c r="D123" i="2"/>
  <c r="C115" i="2"/>
  <c r="E114" i="2"/>
  <c r="D114" i="2"/>
  <c r="C122" i="2"/>
  <c r="D126" i="2"/>
  <c r="E117" i="2"/>
  <c r="D116" i="2"/>
  <c r="D122" i="2"/>
  <c r="D115" i="2" l="1"/>
  <c r="C118" i="2"/>
  <c r="E122" i="2"/>
  <c r="D125" i="2"/>
  <c r="D118" i="2"/>
  <c r="C116" i="2"/>
  <c r="E118" i="2"/>
  <c r="C119" i="2"/>
  <c r="C114" i="2"/>
  <c r="E116" i="2"/>
  <c r="D119" i="2"/>
  <c r="C117" i="2"/>
  <c r="E119" i="2"/>
  <c r="D95" i="2" l="1"/>
  <c r="C94" i="2"/>
  <c r="C93" i="2"/>
  <c r="C92" i="2"/>
  <c r="D91" i="2"/>
  <c r="C91" i="2"/>
  <c r="C90" i="2"/>
  <c r="B60" i="2"/>
  <c r="B63" i="2" s="1"/>
  <c r="B59" i="2"/>
  <c r="B62" i="2" s="1"/>
  <c r="E59" i="2"/>
  <c r="F59" i="2"/>
  <c r="N59" i="2"/>
  <c r="U59" i="2"/>
  <c r="V59" i="2"/>
  <c r="AD59" i="2"/>
  <c r="AK59" i="2"/>
  <c r="AL59" i="2"/>
  <c r="K60" i="2"/>
  <c r="R60" i="2"/>
  <c r="S60" i="2"/>
  <c r="AA60" i="2"/>
  <c r="AH60" i="2"/>
  <c r="AI60" i="2"/>
  <c r="C87" i="2" l="1"/>
  <c r="D93" i="2"/>
  <c r="E95" i="2"/>
  <c r="C95" i="2"/>
  <c r="D94" i="2"/>
  <c r="D92" i="2"/>
  <c r="D90" i="2"/>
  <c r="E90" i="2"/>
  <c r="E93" i="2"/>
  <c r="E91" i="2"/>
  <c r="E94" i="2"/>
  <c r="C86" i="2"/>
  <c r="D82" i="2"/>
  <c r="E84" i="2"/>
  <c r="E83" i="2"/>
  <c r="E92" i="2"/>
  <c r="D86" i="2"/>
  <c r="D83" i="2"/>
  <c r="C82" i="2"/>
  <c r="D84" i="2"/>
  <c r="E86" i="2"/>
  <c r="C85" i="2"/>
  <c r="D87" i="2"/>
  <c r="E85" i="2"/>
  <c r="C83" i="2"/>
  <c r="D85" i="2"/>
  <c r="E87" i="2"/>
  <c r="E82" i="2"/>
  <c r="C84" i="2"/>
  <c r="AL60" i="2"/>
  <c r="AD60" i="2"/>
  <c r="V60" i="2"/>
  <c r="N60" i="2"/>
  <c r="F60" i="2"/>
  <c r="AG59" i="2"/>
  <c r="Y59" i="2"/>
  <c r="Q59" i="2"/>
  <c r="I59" i="2"/>
  <c r="AF60" i="2"/>
  <c r="X60" i="2"/>
  <c r="P60" i="2"/>
  <c r="H60" i="2"/>
  <c r="AI59" i="2"/>
  <c r="AA59" i="2"/>
  <c r="S59" i="2"/>
  <c r="K59" i="2"/>
  <c r="AK60" i="2"/>
  <c r="X59" i="2"/>
  <c r="AE60" i="2"/>
  <c r="W60" i="2"/>
  <c r="O60" i="2"/>
  <c r="G60" i="2"/>
  <c r="AH59" i="2"/>
  <c r="Z59" i="2"/>
  <c r="R59" i="2"/>
  <c r="J59" i="2"/>
  <c r="AB60" i="2"/>
  <c r="T60" i="2"/>
  <c r="L60" i="2"/>
  <c r="D60" i="2"/>
  <c r="AE59" i="2"/>
  <c r="O59" i="2"/>
  <c r="G59" i="2"/>
  <c r="Y60" i="2"/>
  <c r="I60" i="2"/>
  <c r="AB59" i="2"/>
  <c r="L59" i="2"/>
  <c r="H59" i="2"/>
  <c r="P59" i="2"/>
  <c r="AF59" i="2"/>
  <c r="E60" i="2"/>
  <c r="M60" i="2"/>
  <c r="U60" i="2"/>
  <c r="AC60" i="2"/>
  <c r="AG60" i="2"/>
  <c r="D59" i="2"/>
  <c r="T59" i="2"/>
  <c r="AJ59" i="2"/>
  <c r="Q60" i="2"/>
  <c r="M59" i="2"/>
  <c r="AC59" i="2"/>
  <c r="J60" i="2"/>
  <c r="Z60" i="2"/>
  <c r="W59" i="2"/>
  <c r="AJ60" i="2"/>
</calcChain>
</file>

<file path=xl/sharedStrings.xml><?xml version="1.0" encoding="utf-8"?>
<sst xmlns="http://schemas.openxmlformats.org/spreadsheetml/2006/main" count="85" uniqueCount="27">
  <si>
    <t>Macro</t>
  </si>
  <si>
    <t>Inflation</t>
  </si>
  <si>
    <t>Emissions</t>
  </si>
  <si>
    <t>IPC</t>
  </si>
  <si>
    <t>Baseline</t>
  </si>
  <si>
    <t>Scénario 2</t>
  </si>
  <si>
    <t>NZ50</t>
  </si>
  <si>
    <t>Agriculture</t>
  </si>
  <si>
    <t>Industrie</t>
  </si>
  <si>
    <t>Transports</t>
  </si>
  <si>
    <t>Services</t>
  </si>
  <si>
    <t>Electricité</t>
  </si>
  <si>
    <t>Pétrole et gaz</t>
  </si>
  <si>
    <t>Valeur ajoutée sectorielle baseline</t>
  </si>
  <si>
    <t>Valeur ajoutée sectorielle shock</t>
  </si>
  <si>
    <t>VA</t>
  </si>
  <si>
    <t>Année</t>
  </si>
  <si>
    <t>2030</t>
  </si>
  <si>
    <t>2040</t>
  </si>
  <si>
    <t>2050</t>
  </si>
  <si>
    <t>GDP</t>
  </si>
  <si>
    <t>Consumption</t>
  </si>
  <si>
    <t>Net exports</t>
  </si>
  <si>
    <t>Investment</t>
  </si>
  <si>
    <t>Exports</t>
  </si>
  <si>
    <t>Imports</t>
  </si>
  <si>
    <t>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</si>
</sst>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"/>
    <numFmt numFmtId="165" formatCode="0.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14" fontId="0" fillId="0" borderId="0" xfId="0" applyNumberFormat="1"/>
    <xf numFmtId="1" fontId="0" fillId="0" borderId="0" xfId="0" applyNumberFormat="1"/>
    <xf numFmtId="165" fontId="0" fillId="0" borderId="0" xfId="0" applyNumberFormat="1"/>
    <xf numFmtId="4" fontId="0" fillId="0" borderId="0" xfId="0" applyNumberFormat="1"/>
    <xf numFmtId="3" fontId="0" fillId="0" borderId="0" xfId="0" applyNumberFormat="1"/>
    <xf numFmtId="0" fontId="0" fillId="0" borderId="0" xfId="0" applyAlignment="1"/>
    <xf numFmtId="0" fontId="0" fillId="0" borderId="0" xfId="0" quotePrefix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7.xml"/><Relationship Id="rId13" Type="http://schemas.openxmlformats.org/officeDocument/2006/relationships/calcChain" Target="calcChain.xml"/><Relationship Id="rId3" Type="http://schemas.openxmlformats.org/officeDocument/2006/relationships/chartsheet" Target="chartsheets/sheet2.xml"/><Relationship Id="rId7" Type="http://schemas.openxmlformats.org/officeDocument/2006/relationships/chartsheet" Target="chartsheets/sheet6.xml"/><Relationship Id="rId12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5.xml"/><Relationship Id="rId11" Type="http://schemas.openxmlformats.org/officeDocument/2006/relationships/styles" Target="styles.xml"/><Relationship Id="rId5" Type="http://schemas.openxmlformats.org/officeDocument/2006/relationships/chartsheet" Target="chartsheets/sheet4.xml"/><Relationship Id="rId10" Type="http://schemas.openxmlformats.org/officeDocument/2006/relationships/theme" Target="theme/theme1.xml"/><Relationship Id="rId4" Type="http://schemas.openxmlformats.org/officeDocument/2006/relationships/chartsheet" Target="chartsheets/sheet3.xml"/><Relationship Id="rId9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Impact</a:t>
            </a:r>
            <a:r>
              <a:rPr lang="fr-FR" sz="2400" baseline="0"/>
              <a:t> on GDP - </a:t>
            </a:r>
            <a:r>
              <a:rPr lang="fr-FR" sz="2400" b="1" u="sng" baseline="0"/>
              <a:t>Carbon tax only</a:t>
            </a:r>
          </a:p>
          <a:p>
            <a:pPr>
              <a:defRPr sz="2400"/>
            </a:pPr>
            <a:r>
              <a:rPr lang="fr-FR" sz="1600" baseline="0"/>
              <a:t>(% deviation from baseline)</a:t>
            </a:r>
            <a:endParaRPr lang="fr-FR" sz="1600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5947418400168892E-2"/>
          <c:y val="0.1493210735688186"/>
          <c:w val="0.91901351933111586"/>
          <c:h val="0.67157921974535428"/>
        </c:manualLayout>
      </c:layout>
      <c:barChart>
        <c:barDir val="col"/>
        <c:grouping val="stacked"/>
        <c:varyColors val="0"/>
        <c:ser>
          <c:idx val="2"/>
          <c:order val="2"/>
          <c:tx>
            <c:strRef>
              <c:f>Données!$B$6</c:f>
              <c:strCache>
                <c:ptCount val="1"/>
                <c:pt idx="0">
                  <c:v>Consumption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Données!$C$6:$AL$6</c:f>
              <c:numCache>
                <c:formatCode>#\ ##0.0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2.3943525574161892E-2</c:v>
                </c:pt>
                <c:pt idx="8">
                  <c:v>8.3338480251531441E-2</c:v>
                </c:pt>
                <c:pt idx="9">
                  <c:v>0.19607039743963681</c:v>
                </c:pt>
                <c:pt idx="10">
                  <c:v>0.37874683001567655</c:v>
                </c:pt>
                <c:pt idx="11">
                  <c:v>0.56916397150161857</c:v>
                </c:pt>
                <c:pt idx="12">
                  <c:v>0.76567651066821696</c:v>
                </c:pt>
                <c:pt idx="13">
                  <c:v>0.94837772998494252</c:v>
                </c:pt>
                <c:pt idx="14">
                  <c:v>1.1073076523945262</c:v>
                </c:pt>
                <c:pt idx="15">
                  <c:v>1.2417369857515415</c:v>
                </c:pt>
                <c:pt idx="16">
                  <c:v>1.3595874052200763</c:v>
                </c:pt>
                <c:pt idx="17">
                  <c:v>1.4651696488857633</c:v>
                </c:pt>
                <c:pt idx="18">
                  <c:v>1.5627420483012702</c:v>
                </c:pt>
                <c:pt idx="19">
                  <c:v>1.6546039258147602</c:v>
                </c:pt>
                <c:pt idx="20">
                  <c:v>1.741855904659749</c:v>
                </c:pt>
                <c:pt idx="21">
                  <c:v>1.8175830280766623</c:v>
                </c:pt>
                <c:pt idx="22">
                  <c:v>1.8826848557829863</c:v>
                </c:pt>
                <c:pt idx="23">
                  <c:v>1.9370420000462389</c:v>
                </c:pt>
                <c:pt idx="24">
                  <c:v>1.9821224090084597</c:v>
                </c:pt>
                <c:pt idx="25">
                  <c:v>2.0201040667328267</c:v>
                </c:pt>
                <c:pt idx="26">
                  <c:v>2.0409550188804206</c:v>
                </c:pt>
                <c:pt idx="27">
                  <c:v>2.0474309389477909</c:v>
                </c:pt>
                <c:pt idx="28">
                  <c:v>2.0429601302677409</c:v>
                </c:pt>
                <c:pt idx="29">
                  <c:v>2.0308283336574675</c:v>
                </c:pt>
                <c:pt idx="30">
                  <c:v>2.0136491069672182</c:v>
                </c:pt>
                <c:pt idx="31">
                  <c:v>1.9893062675143676</c:v>
                </c:pt>
                <c:pt idx="32">
                  <c:v>1.9605136515037154</c:v>
                </c:pt>
                <c:pt idx="33">
                  <c:v>1.9287676222281429</c:v>
                </c:pt>
                <c:pt idx="34">
                  <c:v>1.8959090478742942</c:v>
                </c:pt>
                <c:pt idx="35">
                  <c:v>1.864065145424838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DF-4FA2-B0C9-EB7B6F86A366}"/>
            </c:ext>
          </c:extLst>
        </c:ser>
        <c:ser>
          <c:idx val="5"/>
          <c:order val="5"/>
          <c:tx>
            <c:strRef>
              <c:f>Données!$B$9</c:f>
              <c:strCache>
                <c:ptCount val="1"/>
                <c:pt idx="0">
                  <c:v>Investment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Données!$C$9:$AL$9</c:f>
              <c:numCache>
                <c:formatCode>#\ ##0.0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-2.8220453305479532E-3</c:v>
                </c:pt>
                <c:pt idx="8">
                  <c:v>-6.5874582626656505E-3</c:v>
                </c:pt>
                <c:pt idx="9">
                  <c:v>-9.4263175856291199E-3</c:v>
                </c:pt>
                <c:pt idx="10">
                  <c:v>-1.0290769071143475E-2</c:v>
                </c:pt>
                <c:pt idx="11">
                  <c:v>1.4703161461452751E-3</c:v>
                </c:pt>
                <c:pt idx="12">
                  <c:v>2.2085263211493872E-2</c:v>
                </c:pt>
                <c:pt idx="13">
                  <c:v>4.7262046805918813E-2</c:v>
                </c:pt>
                <c:pt idx="14">
                  <c:v>7.3623623324306622E-2</c:v>
                </c:pt>
                <c:pt idx="15">
                  <c:v>9.94481760111873E-2</c:v>
                </c:pt>
                <c:pt idx="16">
                  <c:v>0.12324907418593857</c:v>
                </c:pt>
                <c:pt idx="17">
                  <c:v>0.14568564256620525</c:v>
                </c:pt>
                <c:pt idx="18">
                  <c:v>0.1676776931861397</c:v>
                </c:pt>
                <c:pt idx="19">
                  <c:v>0.19002388383066293</c:v>
                </c:pt>
                <c:pt idx="20">
                  <c:v>0.21324443598719334</c:v>
                </c:pt>
                <c:pt idx="21">
                  <c:v>0.23948072265666587</c:v>
                </c:pt>
                <c:pt idx="22">
                  <c:v>0.26844254546591678</c:v>
                </c:pt>
                <c:pt idx="23">
                  <c:v>0.29982996974343629</c:v>
                </c:pt>
                <c:pt idx="24">
                  <c:v>0.33356340041228338</c:v>
                </c:pt>
                <c:pt idx="25">
                  <c:v>0.3696975920179838</c:v>
                </c:pt>
                <c:pt idx="26">
                  <c:v>0.410480697680282</c:v>
                </c:pt>
                <c:pt idx="27">
                  <c:v>0.45545704536613091</c:v>
                </c:pt>
                <c:pt idx="28">
                  <c:v>0.50410129101883705</c:v>
                </c:pt>
                <c:pt idx="29">
                  <c:v>0.55620478540890284</c:v>
                </c:pt>
                <c:pt idx="30">
                  <c:v>0.61178382194213787</c:v>
                </c:pt>
                <c:pt idx="31">
                  <c:v>0.67148938948080317</c:v>
                </c:pt>
                <c:pt idx="32">
                  <c:v>0.73503069492865036</c:v>
                </c:pt>
                <c:pt idx="33">
                  <c:v>0.80209417695994256</c:v>
                </c:pt>
                <c:pt idx="34">
                  <c:v>0.87239002377426378</c:v>
                </c:pt>
                <c:pt idx="35">
                  <c:v>0.94568516427496285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4DF-4FA2-B0C9-EB7B6F86A366}"/>
            </c:ext>
          </c:extLst>
        </c:ser>
        <c:ser>
          <c:idx val="7"/>
          <c:order val="7"/>
          <c:tx>
            <c:strRef>
              <c:f>Données!$B$11</c:f>
              <c:strCache>
                <c:ptCount val="1"/>
                <c:pt idx="0">
                  <c:v>Net exports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Données!$C$11:$AL$11</c:f>
              <c:numCache>
                <c:formatCode>#\ ##0.0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-2.9763463412419561E-4</c:v>
                </c:pt>
                <c:pt idx="8">
                  <c:v>-1.7060300740125194E-2</c:v>
                </c:pt>
                <c:pt idx="9">
                  <c:v>-6.6268441908338832E-2</c:v>
                </c:pt>
                <c:pt idx="10">
                  <c:v>-0.16344410800207912</c:v>
                </c:pt>
                <c:pt idx="11">
                  <c:v>-0.31581658475107249</c:v>
                </c:pt>
                <c:pt idx="12">
                  <c:v>-0.49186278292998525</c:v>
                </c:pt>
                <c:pt idx="13">
                  <c:v>-0.67127737150223399</c:v>
                </c:pt>
                <c:pt idx="14">
                  <c:v>-0.84576235761206287</c:v>
                </c:pt>
                <c:pt idx="15">
                  <c:v>-1.0130234007734398</c:v>
                </c:pt>
                <c:pt idx="16">
                  <c:v>-1.173635493616209</c:v>
                </c:pt>
                <c:pt idx="17">
                  <c:v>-1.3316602075643797</c:v>
                </c:pt>
                <c:pt idx="18">
                  <c:v>-1.4896064694274527</c:v>
                </c:pt>
                <c:pt idx="19">
                  <c:v>-1.6485239752637399</c:v>
                </c:pt>
                <c:pt idx="20">
                  <c:v>-1.8090098428102039</c:v>
                </c:pt>
                <c:pt idx="21">
                  <c:v>-1.970149867657379</c:v>
                </c:pt>
                <c:pt idx="22">
                  <c:v>-2.1278560029085321</c:v>
                </c:pt>
                <c:pt idx="23">
                  <c:v>-2.2799898324885444</c:v>
                </c:pt>
                <c:pt idx="24">
                  <c:v>-2.4258029168522151</c:v>
                </c:pt>
                <c:pt idx="25">
                  <c:v>-2.5656344422692836</c:v>
                </c:pt>
                <c:pt idx="26">
                  <c:v>-2.6967276438059709</c:v>
                </c:pt>
                <c:pt idx="27">
                  <c:v>-2.8177575347973289</c:v>
                </c:pt>
                <c:pt idx="28">
                  <c:v>-2.9283760709701729</c:v>
                </c:pt>
                <c:pt idx="29">
                  <c:v>-3.0283666795184421</c:v>
                </c:pt>
                <c:pt idx="30">
                  <c:v>-3.1177848881981336</c:v>
                </c:pt>
                <c:pt idx="31">
                  <c:v>-3.1963145311065806</c:v>
                </c:pt>
                <c:pt idx="32">
                  <c:v>-3.2634703344701421</c:v>
                </c:pt>
                <c:pt idx="33">
                  <c:v>-3.3199123933089627</c:v>
                </c:pt>
                <c:pt idx="34">
                  <c:v>-3.3670997577074075</c:v>
                </c:pt>
                <c:pt idx="35">
                  <c:v>-3.4068701316581804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4DF-4FA2-B0C9-EB7B6F86A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98260000"/>
        <c:axId val="698260984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Données!$B$5</c15:sqref>
                        </c15:formulaRef>
                      </c:ext>
                    </c:extLst>
                    <c:strCache>
                      <c:ptCount val="1"/>
                      <c:pt idx="0">
                        <c:v>VA du secteur marchand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Données!$C$3:$AL$3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Données!$C$5:$AL$5</c15:sqref>
                        </c15:formulaRef>
                      </c:ext>
                    </c:extLst>
                    <c:numCache>
                      <c:formatCode>#\ ##0.0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2.6182803631513707E-2</c:v>
                      </c:pt>
                      <c:pt idx="8">
                        <c:v>7.2949353114770688E-2</c:v>
                      </c:pt>
                      <c:pt idx="9">
                        <c:v>0.14183365942839199</c:v>
                      </c:pt>
                      <c:pt idx="10">
                        <c:v>0.23234373650460327</c:v>
                      </c:pt>
                      <c:pt idx="11">
                        <c:v>0.27291009517953491</c:v>
                      </c:pt>
                      <c:pt idx="12">
                        <c:v>0.29836940818501745</c:v>
                      </c:pt>
                      <c:pt idx="13">
                        <c:v>0.30817211994020877</c:v>
                      </c:pt>
                      <c:pt idx="14">
                        <c:v>0.29831471396504217</c:v>
                      </c:pt>
                      <c:pt idx="15">
                        <c:v>0.26921046669869941</c:v>
                      </c:pt>
                      <c:pt idx="16">
                        <c:v>0.22770185043428093</c:v>
                      </c:pt>
                      <c:pt idx="17">
                        <c:v>0.17433802515725016</c:v>
                      </c:pt>
                      <c:pt idx="18">
                        <c:v>0.11193522933703459</c:v>
                      </c:pt>
                      <c:pt idx="19">
                        <c:v>4.2864462015645977E-2</c:v>
                      </c:pt>
                      <c:pt idx="20">
                        <c:v>-3.1580281772092267E-2</c:v>
                      </c:pt>
                      <c:pt idx="21">
                        <c:v>-0.11531447634743897</c:v>
                      </c:pt>
                      <c:pt idx="22">
                        <c:v>-0.20223298825156055</c:v>
                      </c:pt>
                      <c:pt idx="23">
                        <c:v>-0.28991958851242172</c:v>
                      </c:pt>
                      <c:pt idx="24">
                        <c:v>-0.37576101332901235</c:v>
                      </c:pt>
                      <c:pt idx="25">
                        <c:v>-0.45758223816992905</c:v>
                      </c:pt>
                      <c:pt idx="26">
                        <c:v>-0.54137153060156429</c:v>
                      </c:pt>
                      <c:pt idx="27">
                        <c:v>-0.62272940030984048</c:v>
                      </c:pt>
                      <c:pt idx="28">
                        <c:v>-0.69797426786996075</c:v>
                      </c:pt>
                      <c:pt idx="29">
                        <c:v>-0.76355292289664867</c:v>
                      </c:pt>
                      <c:pt idx="30">
                        <c:v>-0.81682606937104607</c:v>
                      </c:pt>
                      <c:pt idx="31">
                        <c:v>-0.85915252801291864</c:v>
                      </c:pt>
                      <c:pt idx="32">
                        <c:v>-0.88753428976224846</c:v>
                      </c:pt>
                      <c:pt idx="33">
                        <c:v>-0.90174846000480313</c:v>
                      </c:pt>
                      <c:pt idx="34">
                        <c:v>-0.90214194085902477</c:v>
                      </c:pt>
                      <c:pt idx="35">
                        <c:v>-0.88913105136930737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64DF-4FA2-B0C9-EB7B6F86A366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Données!$B$7</c15:sqref>
                        </c15:formulaRef>
                      </c:ext>
                    </c:extLst>
                    <c:strCache>
                      <c:ptCount val="1"/>
                      <c:pt idx="0">
                        <c:v>Consommation des ménages automobile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Données!$C$3:$AL$3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Données!$C$7:$AL$7</c15:sqref>
                        </c15:formulaRef>
                      </c:ext>
                    </c:extLst>
                    <c:numCache>
                      <c:formatCode>#\ ##0.0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-1.9410425741869547E-2</c:v>
                      </c:pt>
                      <c:pt idx="8">
                        <c:v>-4.8471930244175711E-2</c:v>
                      </c:pt>
                      <c:pt idx="9">
                        <c:v>-8.3896530583816561E-2</c:v>
                      </c:pt>
                      <c:pt idx="10">
                        <c:v>-0.1291243962445042</c:v>
                      </c:pt>
                      <c:pt idx="11">
                        <c:v>-0.11297565520365677</c:v>
                      </c:pt>
                      <c:pt idx="12">
                        <c:v>-8.0715950281942672E-2</c:v>
                      </c:pt>
                      <c:pt idx="13">
                        <c:v>-5.537067021785827E-2</c:v>
                      </c:pt>
                      <c:pt idx="14">
                        <c:v>-4.1296555346788416E-2</c:v>
                      </c:pt>
                      <c:pt idx="15">
                        <c:v>-3.6469261172984185E-2</c:v>
                      </c:pt>
                      <c:pt idx="16">
                        <c:v>-4.3142602900128876E-2</c:v>
                      </c:pt>
                      <c:pt idx="17">
                        <c:v>-5.4317398947006448E-2</c:v>
                      </c:pt>
                      <c:pt idx="18">
                        <c:v>-6.6563847951811722E-2</c:v>
                      </c:pt>
                      <c:pt idx="19">
                        <c:v>-7.8856179450402686E-2</c:v>
                      </c:pt>
                      <c:pt idx="20">
                        <c:v>-9.1119801409807966E-2</c:v>
                      </c:pt>
                      <c:pt idx="21">
                        <c:v>-9.5896219940076938E-2</c:v>
                      </c:pt>
                      <c:pt idx="22">
                        <c:v>-9.9817282684862313E-2</c:v>
                      </c:pt>
                      <c:pt idx="23">
                        <c:v>-0.10543339637994649</c:v>
                      </c:pt>
                      <c:pt idx="24">
                        <c:v>-0.11288558287188914</c:v>
                      </c:pt>
                      <c:pt idx="25">
                        <c:v>-0.12186214296964479</c:v>
                      </c:pt>
                      <c:pt idx="26">
                        <c:v>-0.12753747381169839</c:v>
                      </c:pt>
                      <c:pt idx="27">
                        <c:v>-0.13358452315902522</c:v>
                      </c:pt>
                      <c:pt idx="28">
                        <c:v>-0.1410890084117184</c:v>
                      </c:pt>
                      <c:pt idx="29">
                        <c:v>-0.14992396613851805</c:v>
                      </c:pt>
                      <c:pt idx="30">
                        <c:v>-0.15973694156833401</c:v>
                      </c:pt>
                      <c:pt idx="31">
                        <c:v>-0.16735223021016396</c:v>
                      </c:pt>
                      <c:pt idx="32">
                        <c:v>-0.17519488449075846</c:v>
                      </c:pt>
                      <c:pt idx="33">
                        <c:v>-0.18397640308243612</c:v>
                      </c:pt>
                      <c:pt idx="34">
                        <c:v>-0.19351890676058833</c:v>
                      </c:pt>
                      <c:pt idx="35">
                        <c:v>-0.2034451031480719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4DF-4FA2-B0C9-EB7B6F86A366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Données!$B$8</c15:sqref>
                        </c15:formulaRef>
                      </c:ext>
                    </c:extLst>
                    <c:strCache>
                      <c:ptCount val="1"/>
                      <c:pt idx="0">
                        <c:v>Dépenses publiques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Données!$C$3:$AL$3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Données!$C$8:$AL$8</c15:sqref>
                        </c15:formulaRef>
                      </c:ext>
                    </c:extLst>
                    <c:numCache>
                      <c:formatCode>#\ ##0.0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4DF-4FA2-B0C9-EB7B6F86A366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Données!$B$10</c15:sqref>
                        </c15:formulaRef>
                      </c:ext>
                    </c:extLst>
                    <c:strCache>
                      <c:ptCount val="1"/>
                      <c:pt idx="0">
                        <c:v>Variations de stocks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Données!$C$3:$AL$3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Données!$C$10:$AL$10</c15:sqref>
                        </c15:formulaRef>
                      </c:ext>
                    </c:extLst>
                    <c:numCache>
                      <c:formatCode>#\ ##0.0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64DF-4FA2-B0C9-EB7B6F86A366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0"/>
          <c:order val="0"/>
          <c:tx>
            <c:strRef>
              <c:f>Données!$B$4</c:f>
              <c:strCache>
                <c:ptCount val="1"/>
                <c:pt idx="0">
                  <c:v>GDP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Données!$C$4:$AL$4</c:f>
              <c:numCache>
                <c:formatCode>#\ ##0.0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2.0823865236163641E-2</c:v>
                </c:pt>
                <c:pt idx="8">
                  <c:v>5.969068673032929E-2</c:v>
                </c:pt>
                <c:pt idx="9">
                  <c:v>0.12037566417515411</c:v>
                </c:pt>
                <c:pt idx="10">
                  <c:v>0.20501193096824633</c:v>
                </c:pt>
                <c:pt idx="11">
                  <c:v>0.25481767418293888</c:v>
                </c:pt>
                <c:pt idx="12">
                  <c:v>0.29589899799884467</c:v>
                </c:pt>
                <c:pt idx="13">
                  <c:v>0.3243623671546958</c:v>
                </c:pt>
                <c:pt idx="14">
                  <c:v>0.33516890786529085</c:v>
                </c:pt>
                <c:pt idx="15">
                  <c:v>0.32816176435344069</c:v>
                </c:pt>
                <c:pt idx="16">
                  <c:v>0.30920099242217614</c:v>
                </c:pt>
                <c:pt idx="17">
                  <c:v>0.27919508061919895</c:v>
                </c:pt>
                <c:pt idx="18">
                  <c:v>0.24081330103753462</c:v>
                </c:pt>
                <c:pt idx="19">
                  <c:v>0.19610383438168899</c:v>
                </c:pt>
                <c:pt idx="20">
                  <c:v>0.14609052589631411</c:v>
                </c:pt>
                <c:pt idx="21">
                  <c:v>8.6913883075956377E-2</c:v>
                </c:pt>
                <c:pt idx="22">
                  <c:v>2.327138631363912E-2</c:v>
                </c:pt>
                <c:pt idx="23">
                  <c:v>-4.3117830278271985E-2</c:v>
                </c:pt>
                <c:pt idx="24">
                  <c:v>-0.11011708434496281</c:v>
                </c:pt>
                <c:pt idx="25">
                  <c:v>-0.175832786341934</c:v>
                </c:pt>
                <c:pt idx="26">
                  <c:v>-0.24529192448559112</c:v>
                </c:pt>
                <c:pt idx="27">
                  <c:v>-0.31486956126345333</c:v>
                </c:pt>
                <c:pt idx="28">
                  <c:v>-0.38131461023795943</c:v>
                </c:pt>
                <c:pt idx="29">
                  <c:v>-0.44133356045207295</c:v>
                </c:pt>
                <c:pt idx="30">
                  <c:v>-0.49235198428665417</c:v>
                </c:pt>
                <c:pt idx="31">
                  <c:v>-0.53551889847613943</c:v>
                </c:pt>
                <c:pt idx="32">
                  <c:v>-0.56792601178644597</c:v>
                </c:pt>
                <c:pt idx="33">
                  <c:v>-0.58905059412087679</c:v>
                </c:pt>
                <c:pt idx="34">
                  <c:v>-0.59880068605886461</c:v>
                </c:pt>
                <c:pt idx="35">
                  <c:v>-0.59711984399372087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DF-4FA2-B0C9-EB7B6F86A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8260000"/>
        <c:axId val="698260984"/>
      </c:lineChart>
      <c:dateAx>
        <c:axId val="698260000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5"/>
        <c:majorTimeUnit val="years"/>
      </c:dateAx>
      <c:valAx>
        <c:axId val="69826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2558026074095319"/>
          <c:y val="0.92307178193558292"/>
          <c:w val="0.7488393708655362"/>
          <c:h val="5.8065941725962647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400">
          <a:latin typeface="Marianne Light" panose="02000000000000000000" pitchFamily="50" charset="0"/>
        </a:defRPr>
      </a:pPr>
      <a:endParaRPr lang="fr-FR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Inflation (%)</a:t>
            </a:r>
          </a:p>
        </c:rich>
      </c:tx>
      <c:layout>
        <c:manualLayout>
          <c:xMode val="edge"/>
          <c:yMode val="edge"/>
          <c:x val="0.4109619154318111"/>
          <c:y val="2.51497017846056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5537262156476636E-2"/>
          <c:y val="0.12992444857958643"/>
          <c:w val="0.91942367557480809"/>
          <c:h val="0.68678422777048564"/>
        </c:manualLayout>
      </c:layout>
      <c:lineChart>
        <c:grouping val="standard"/>
        <c:varyColors val="0"/>
        <c:ser>
          <c:idx val="0"/>
          <c:order val="0"/>
          <c:tx>
            <c:strRef>
              <c:f>Données!$B$59</c:f>
              <c:strCache>
                <c:ptCount val="1"/>
                <c:pt idx="0">
                  <c:v>Baseline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Données!$C$59:$AL$59</c:f>
              <c:numCache>
                <c:formatCode>#\ ##0.0</c:formatCode>
                <c:ptCount val="36"/>
                <c:pt idx="1">
                  <c:v>0</c:v>
                </c:pt>
                <c:pt idx="2">
                  <c:v>1.9496347792377744</c:v>
                </c:pt>
                <c:pt idx="3">
                  <c:v>2.0755946028776506</c:v>
                </c:pt>
                <c:pt idx="4">
                  <c:v>1.9541370304135608</c:v>
                </c:pt>
                <c:pt idx="5">
                  <c:v>1.9830341141452434</c:v>
                </c:pt>
                <c:pt idx="6">
                  <c:v>2.0269389118808823</c:v>
                </c:pt>
                <c:pt idx="7">
                  <c:v>2.0709743545099579</c:v>
                </c:pt>
                <c:pt idx="8">
                  <c:v>2.1079899975508631</c:v>
                </c:pt>
                <c:pt idx="9">
                  <c:v>2.1375333126058216</c:v>
                </c:pt>
                <c:pt idx="10">
                  <c:v>2.1411083211821502</c:v>
                </c:pt>
                <c:pt idx="11">
                  <c:v>2.0805244669543921</c:v>
                </c:pt>
                <c:pt idx="12">
                  <c:v>1.9650272065378394</c:v>
                </c:pt>
                <c:pt idx="13">
                  <c:v>1.8124475310448585</c:v>
                </c:pt>
                <c:pt idx="14">
                  <c:v>1.6456538798428344</c:v>
                </c:pt>
                <c:pt idx="15">
                  <c:v>1.4782164321157865</c:v>
                </c:pt>
                <c:pt idx="16">
                  <c:v>1.3136496984703872</c:v>
                </c:pt>
                <c:pt idx="17">
                  <c:v>1.1595770555139939</c:v>
                </c:pt>
                <c:pt idx="18">
                  <c:v>1.0285303777239241</c:v>
                </c:pt>
                <c:pt idx="19">
                  <c:v>0.9268264835203599</c:v>
                </c:pt>
                <c:pt idx="20">
                  <c:v>0.86342138407993207</c:v>
                </c:pt>
                <c:pt idx="21">
                  <c:v>0.8296801969870371</c:v>
                </c:pt>
                <c:pt idx="22">
                  <c:v>0.82976450129108592</c:v>
                </c:pt>
                <c:pt idx="23">
                  <c:v>0.86547521643793868</c:v>
                </c:pt>
                <c:pt idx="24">
                  <c:v>0.93942856346789227</c:v>
                </c:pt>
                <c:pt idx="25">
                  <c:v>1.0617069761510223</c:v>
                </c:pt>
                <c:pt idx="26">
                  <c:v>1.1915392272801917</c:v>
                </c:pt>
                <c:pt idx="27">
                  <c:v>1.3357105639305811</c:v>
                </c:pt>
                <c:pt idx="28">
                  <c:v>1.4926567816020642</c:v>
                </c:pt>
                <c:pt idx="29">
                  <c:v>1.6507684392714106</c:v>
                </c:pt>
                <c:pt idx="30">
                  <c:v>1.8053452487614363</c:v>
                </c:pt>
                <c:pt idx="31">
                  <c:v>1.9503694326251431</c:v>
                </c:pt>
                <c:pt idx="32">
                  <c:v>2.0811232755289177</c:v>
                </c:pt>
                <c:pt idx="33">
                  <c:v>2.1939124054841663</c:v>
                </c:pt>
                <c:pt idx="34">
                  <c:v>2.2856093378723852</c:v>
                </c:pt>
                <c:pt idx="35">
                  <c:v>2.3538065775452255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BB1-4F3D-B713-AB83A709E486}"/>
            </c:ext>
          </c:extLst>
        </c:ser>
        <c:ser>
          <c:idx val="1"/>
          <c:order val="1"/>
          <c:tx>
            <c:strRef>
              <c:f>Données!$B$60</c:f>
              <c:strCache>
                <c:ptCount val="1"/>
                <c:pt idx="0">
                  <c:v>NZ50</c:v>
                </c:pt>
              </c:strCache>
            </c:strRef>
          </c:tx>
          <c:spPr>
            <a:ln w="444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Données!$C$60:$AL$60</c:f>
              <c:numCache>
                <c:formatCode>#\ ##0.0</c:formatCode>
                <c:ptCount val="36"/>
                <c:pt idx="1">
                  <c:v>1.9280262030393347</c:v>
                </c:pt>
                <c:pt idx="2">
                  <c:v>1.9496347792377744</c:v>
                </c:pt>
                <c:pt idx="3">
                  <c:v>2.0755946028776506</c:v>
                </c:pt>
                <c:pt idx="4">
                  <c:v>1.9541370304135608</c:v>
                </c:pt>
                <c:pt idx="5">
                  <c:v>1.9830341141452434</c:v>
                </c:pt>
                <c:pt idx="6">
                  <c:v>2.0269389118808823</c:v>
                </c:pt>
                <c:pt idx="7">
                  <c:v>2.3411914581067617</c:v>
                </c:pt>
                <c:pt idx="8">
                  <c:v>2.5620818752886798</c:v>
                </c:pt>
                <c:pt idx="9">
                  <c:v>2.8339718294368099</c:v>
                </c:pt>
                <c:pt idx="10">
                  <c:v>3.1643858547958814</c:v>
                </c:pt>
                <c:pt idx="11">
                  <c:v>2.6496753639785764</c:v>
                </c:pt>
                <c:pt idx="12">
                  <c:v>2.517724623740647</c:v>
                </c:pt>
                <c:pt idx="13">
                  <c:v>2.3650436486609694</c:v>
                </c:pt>
                <c:pt idx="14">
                  <c:v>2.1986204832993295</c:v>
                </c:pt>
                <c:pt idx="15">
                  <c:v>2.0254534322960982</c:v>
                </c:pt>
                <c:pt idx="16">
                  <c:v>1.9051387715372625</c:v>
                </c:pt>
                <c:pt idx="17">
                  <c:v>1.7565567686056216</c:v>
                </c:pt>
                <c:pt idx="18">
                  <c:v>1.6268450353314146</c:v>
                </c:pt>
                <c:pt idx="19">
                  <c:v>1.5251181280690584</c:v>
                </c:pt>
                <c:pt idx="20">
                  <c:v>1.4616521687875972</c:v>
                </c:pt>
                <c:pt idx="21">
                  <c:v>1.3539812426330622</c:v>
                </c:pt>
                <c:pt idx="22">
                  <c:v>1.3239265008941459</c:v>
                </c:pt>
                <c:pt idx="23">
                  <c:v>1.3307673254384644</c:v>
                </c:pt>
                <c:pt idx="24">
                  <c:v>1.3752909380717826</c:v>
                </c:pt>
                <c:pt idx="25">
                  <c:v>1.4673094503208972</c:v>
                </c:pt>
                <c:pt idx="26">
                  <c:v>1.5084959680546906</c:v>
                </c:pt>
                <c:pt idx="27">
                  <c:v>1.6054815861460625</c:v>
                </c:pt>
                <c:pt idx="28">
                  <c:v>1.7196864459457784</c:v>
                </c:pt>
                <c:pt idx="29">
                  <c:v>1.8387336406000099</c:v>
                </c:pt>
                <c:pt idx="30">
                  <c:v>1.9582621032482317</c:v>
                </c:pt>
                <c:pt idx="31">
                  <c:v>2.0432761867695826</c:v>
                </c:pt>
                <c:pt idx="32">
                  <c:v>2.1389253607373426</c:v>
                </c:pt>
                <c:pt idx="33">
                  <c:v>2.2237302865563358</c:v>
                </c:pt>
                <c:pt idx="34">
                  <c:v>2.2938325409315397</c:v>
                </c:pt>
                <c:pt idx="35">
                  <c:v>2.3464583524372529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BB1-4F3D-B713-AB83A709E4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8260000"/>
        <c:axId val="698260984"/>
      </c:lineChart>
      <c:dateAx>
        <c:axId val="698260000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10"/>
        <c:majorTimeUnit val="years"/>
      </c:dateAx>
      <c:valAx>
        <c:axId val="69826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GHG emissions (MtCO2e/y)</a:t>
            </a:r>
          </a:p>
        </c:rich>
      </c:tx>
      <c:layout>
        <c:manualLayout>
          <c:xMode val="edge"/>
          <c:yMode val="edge"/>
          <c:x val="0.2902562701424663"/>
          <c:y val="2.724551026665614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Données!$B$62</c:f>
              <c:strCache>
                <c:ptCount val="1"/>
                <c:pt idx="0">
                  <c:v>Baseline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Données!$C$62:$AL$62</c:f>
              <c:numCache>
                <c:formatCode>#,##0</c:formatCode>
                <c:ptCount val="36"/>
                <c:pt idx="0">
                  <c:v>467.59245979999997</c:v>
                </c:pt>
                <c:pt idx="1">
                  <c:v>469.52446850000001</c:v>
                </c:pt>
                <c:pt idx="2">
                  <c:v>471.79861010000002</c:v>
                </c:pt>
                <c:pt idx="3">
                  <c:v>474.09859</c:v>
                </c:pt>
                <c:pt idx="4">
                  <c:v>478.66808509999998</c:v>
                </c:pt>
                <c:pt idx="5">
                  <c:v>485.01695819999998</c:v>
                </c:pt>
                <c:pt idx="6">
                  <c:v>492.85835880000002</c:v>
                </c:pt>
                <c:pt idx="7">
                  <c:v>501.91486599999996</c:v>
                </c:pt>
                <c:pt idx="8">
                  <c:v>511.85882569999995</c:v>
                </c:pt>
                <c:pt idx="9">
                  <c:v>522.49018439999998</c:v>
                </c:pt>
                <c:pt idx="10">
                  <c:v>533.43839700000001</c:v>
                </c:pt>
                <c:pt idx="11">
                  <c:v>544.51201430000003</c:v>
                </c:pt>
                <c:pt idx="12">
                  <c:v>554.68593980000003</c:v>
                </c:pt>
                <c:pt idx="13">
                  <c:v>564.11905020000006</c:v>
                </c:pt>
                <c:pt idx="14">
                  <c:v>573.03898160000006</c:v>
                </c:pt>
                <c:pt idx="15">
                  <c:v>581.69467480000003</c:v>
                </c:pt>
                <c:pt idx="16">
                  <c:v>590.38435730000003</c:v>
                </c:pt>
                <c:pt idx="17">
                  <c:v>599.45153319999997</c:v>
                </c:pt>
                <c:pt idx="18">
                  <c:v>609.09851449999996</c:v>
                </c:pt>
                <c:pt idx="19">
                  <c:v>619.49612720000005</c:v>
                </c:pt>
                <c:pt idx="20">
                  <c:v>630.74823860000004</c:v>
                </c:pt>
                <c:pt idx="21">
                  <c:v>643.14048850000006</c:v>
                </c:pt>
                <c:pt idx="22">
                  <c:v>656.86579810000001</c:v>
                </c:pt>
                <c:pt idx="23">
                  <c:v>672.09439159999988</c:v>
                </c:pt>
                <c:pt idx="24">
                  <c:v>688.95587290000003</c:v>
                </c:pt>
                <c:pt idx="25">
                  <c:v>707.36953170000004</c:v>
                </c:pt>
                <c:pt idx="26">
                  <c:v>723.48238200000003</c:v>
                </c:pt>
                <c:pt idx="27">
                  <c:v>739.62982420000003</c:v>
                </c:pt>
                <c:pt idx="28">
                  <c:v>756.85026460000006</c:v>
                </c:pt>
                <c:pt idx="29">
                  <c:v>775.32642499999997</c:v>
                </c:pt>
                <c:pt idx="30">
                  <c:v>794.90893849999998</c:v>
                </c:pt>
                <c:pt idx="31">
                  <c:v>815.37906759999998</c:v>
                </c:pt>
                <c:pt idx="32">
                  <c:v>836.52547119999997</c:v>
                </c:pt>
                <c:pt idx="33">
                  <c:v>858.14110779999999</c:v>
                </c:pt>
                <c:pt idx="34">
                  <c:v>880.01858449999997</c:v>
                </c:pt>
                <c:pt idx="35">
                  <c:v>901.94654619999994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C8-4867-AD43-ECA314AA01DF}"/>
            </c:ext>
          </c:extLst>
        </c:ser>
        <c:ser>
          <c:idx val="1"/>
          <c:order val="1"/>
          <c:tx>
            <c:strRef>
              <c:f>Données!$B$63</c:f>
              <c:strCache>
                <c:ptCount val="1"/>
                <c:pt idx="0">
                  <c:v>NZ50</c:v>
                </c:pt>
              </c:strCache>
            </c:strRef>
          </c:tx>
          <c:spPr>
            <a:ln w="444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Données!$C$63:$AL$63</c:f>
              <c:numCache>
                <c:formatCode>#,##0</c:formatCode>
                <c:ptCount val="36"/>
                <c:pt idx="0">
                  <c:v>467.59245979999997</c:v>
                </c:pt>
                <c:pt idx="1">
                  <c:v>469.52446850000001</c:v>
                </c:pt>
                <c:pt idx="2">
                  <c:v>471.79861010000002</c:v>
                </c:pt>
                <c:pt idx="3">
                  <c:v>474.09859</c:v>
                </c:pt>
                <c:pt idx="4">
                  <c:v>478.66808509999998</c:v>
                </c:pt>
                <c:pt idx="5">
                  <c:v>485.01695819999998</c:v>
                </c:pt>
                <c:pt idx="6">
                  <c:v>492.85835880000002</c:v>
                </c:pt>
                <c:pt idx="7">
                  <c:v>499.22457779999996</c:v>
                </c:pt>
                <c:pt idx="8">
                  <c:v>503.72017860000005</c:v>
                </c:pt>
                <c:pt idx="9">
                  <c:v>506.11002819999999</c:v>
                </c:pt>
                <c:pt idx="10">
                  <c:v>506.06169929999999</c:v>
                </c:pt>
                <c:pt idx="11">
                  <c:v>508.47578370000002</c:v>
                </c:pt>
                <c:pt idx="12">
                  <c:v>511.7256673</c:v>
                </c:pt>
                <c:pt idx="13">
                  <c:v>515.47114350000004</c:v>
                </c:pt>
                <c:pt idx="14">
                  <c:v>519.53677140000002</c:v>
                </c:pt>
                <c:pt idx="15">
                  <c:v>523.8634065</c:v>
                </c:pt>
                <c:pt idx="16">
                  <c:v>528.22833000000003</c:v>
                </c:pt>
                <c:pt idx="17">
                  <c:v>532.85992869999995</c:v>
                </c:pt>
                <c:pt idx="18">
                  <c:v>537.87233020000008</c:v>
                </c:pt>
                <c:pt idx="19">
                  <c:v>543.36609680000004</c:v>
                </c:pt>
                <c:pt idx="20">
                  <c:v>549.38316710000004</c:v>
                </c:pt>
                <c:pt idx="21">
                  <c:v>556.44634859999996</c:v>
                </c:pt>
                <c:pt idx="22">
                  <c:v>564.63237570000001</c:v>
                </c:pt>
                <c:pt idx="23">
                  <c:v>574.00114029999997</c:v>
                </c:pt>
                <c:pt idx="24">
                  <c:v>584.58651169999996</c:v>
                </c:pt>
                <c:pt idx="25">
                  <c:v>596.24224430000004</c:v>
                </c:pt>
                <c:pt idx="26">
                  <c:v>605.51136050000002</c:v>
                </c:pt>
                <c:pt idx="27">
                  <c:v>614.63146879999999</c:v>
                </c:pt>
                <c:pt idx="28">
                  <c:v>624.53846129999999</c:v>
                </c:pt>
                <c:pt idx="29">
                  <c:v>635.37792090000005</c:v>
                </c:pt>
                <c:pt idx="30">
                  <c:v>647.00781439999992</c:v>
                </c:pt>
                <c:pt idx="31">
                  <c:v>659.36940670000001</c:v>
                </c:pt>
                <c:pt idx="32">
                  <c:v>672.2902163</c:v>
                </c:pt>
                <c:pt idx="33">
                  <c:v>685.60225760000003</c:v>
                </c:pt>
                <c:pt idx="34">
                  <c:v>699.14039200000002</c:v>
                </c:pt>
                <c:pt idx="35">
                  <c:v>712.74263440000004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C8-4867-AD43-ECA314AA01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8260000"/>
        <c:axId val="698260984"/>
      </c:lineChart>
      <c:dateAx>
        <c:axId val="698260000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10"/>
        <c:majorTimeUnit val="years"/>
      </c:dateAx>
      <c:valAx>
        <c:axId val="69826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Valeur</a:t>
            </a:r>
            <a:r>
              <a:rPr lang="fr-FR" baseline="0"/>
              <a:t> ajoutée sectorielle (en pts de VA)</a:t>
            </a:r>
          </a:p>
          <a:p>
            <a:pPr>
              <a:defRPr/>
            </a:pP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Données!$B$82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Données!$C$81:$E$81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Données!$C$82:$E$82</c:f>
              <c:numCache>
                <c:formatCode>#,##0</c:formatCode>
                <c:ptCount val="3"/>
                <c:pt idx="0">
                  <c:v>-7.1682438775843857E-3</c:v>
                </c:pt>
                <c:pt idx="1">
                  <c:v>-2.6510172216878736E-2</c:v>
                </c:pt>
                <c:pt idx="2">
                  <c:v>-4.7916494785565186E-2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EF-431D-9A51-747E617C00CC}"/>
            </c:ext>
          </c:extLst>
        </c:ser>
        <c:ser>
          <c:idx val="1"/>
          <c:order val="1"/>
          <c:tx>
            <c:strRef>
              <c:f>Données!$B$83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Données!$C$81:$E$81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Données!$C$83:$E$83</c:f>
              <c:numCache>
                <c:formatCode>#,##0</c:formatCode>
                <c:ptCount val="3"/>
                <c:pt idx="0">
                  <c:v>-0.76783417747357352</c:v>
                </c:pt>
                <c:pt idx="1">
                  <c:v>-8.1491571319902203</c:v>
                </c:pt>
                <c:pt idx="2">
                  <c:v>-2.5748656479511918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EF-431D-9A51-747E617C00CC}"/>
            </c:ext>
          </c:extLst>
        </c:ser>
        <c:ser>
          <c:idx val="2"/>
          <c:order val="2"/>
          <c:tx>
            <c:strRef>
              <c:f>Données!$B$84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Données!$C$81:$E$81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Données!$C$84:$E$84</c:f>
              <c:numCache>
                <c:formatCode>#,##0</c:formatCode>
                <c:ptCount val="3"/>
                <c:pt idx="0">
                  <c:v>-0.39598957628610049</c:v>
                </c:pt>
                <c:pt idx="1">
                  <c:v>-0.85722858837608951</c:v>
                </c:pt>
                <c:pt idx="2">
                  <c:v>-1.1770584112813707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EF-431D-9A51-747E617C00CC}"/>
            </c:ext>
          </c:extLst>
        </c:ser>
        <c:ser>
          <c:idx val="3"/>
          <c:order val="3"/>
          <c:tx>
            <c:strRef>
              <c:f>Données!$B$85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Données!$C$81:$E$81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Données!$C$85:$E$85</c:f>
              <c:numCache>
                <c:formatCode>#,##0</c:formatCode>
                <c:ptCount val="3"/>
                <c:pt idx="0">
                  <c:v>14.367875449022154</c:v>
                </c:pt>
                <c:pt idx="1">
                  <c:v>1.4983388021786936</c:v>
                </c:pt>
                <c:pt idx="2">
                  <c:v>-15.556433926067296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3EF-431D-9A51-747E617C00CC}"/>
            </c:ext>
          </c:extLst>
        </c:ser>
        <c:ser>
          <c:idx val="4"/>
          <c:order val="4"/>
          <c:tx>
            <c:strRef>
              <c:f>Données!$B$86</c:f>
              <c:strCache>
                <c:ptCount val="1"/>
                <c:pt idx="0">
                  <c:v>Pétrole et gaz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Données!$C$81:$E$81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Données!$C$86:$E$86</c:f>
              <c:numCache>
                <c:formatCode>#,##0</c:formatCode>
                <c:ptCount val="3"/>
                <c:pt idx="0">
                  <c:v>-6.4585464819746233E-3</c:v>
                </c:pt>
                <c:pt idx="1">
                  <c:v>-8.5833346612455789E-3</c:v>
                </c:pt>
                <c:pt idx="2">
                  <c:v>-3.9258895662313571E-3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3EF-431D-9A51-747E617C00CC}"/>
            </c:ext>
          </c:extLst>
        </c:ser>
        <c:ser>
          <c:idx val="5"/>
          <c:order val="5"/>
          <c:tx>
            <c:strRef>
              <c:f>Données!$B$87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Données!$C$81:$E$81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Données!$C$87:$E$87</c:f>
              <c:numCache>
                <c:formatCode>#,##0</c:formatCode>
                <c:ptCount val="3"/>
                <c:pt idx="0">
                  <c:v>-7.6931163995534471</c:v>
                </c:pt>
                <c:pt idx="1">
                  <c:v>56.019075599843951</c:v>
                </c:pt>
                <c:pt idx="2">
                  <c:v>88.21340671887053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3EF-431D-9A51-747E617C00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Valeur</a:t>
            </a:r>
            <a:r>
              <a:rPr lang="fr-FR" baseline="0"/>
              <a:t> ajoutée sectorielle (en %)</a:t>
            </a:r>
          </a:p>
          <a:p>
            <a:pPr>
              <a:defRPr/>
            </a:pP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Données!$B$90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Données!$C$89:$E$89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Données!$C$90:$E$90</c:f>
              <c:numCache>
                <c:formatCode>0.0%</c:formatCode>
                <c:ptCount val="3"/>
                <c:pt idx="0">
                  <c:v>-3.9460908421461438E-3</c:v>
                </c:pt>
                <c:pt idx="1">
                  <c:v>-1.4343316634775172E-2</c:v>
                </c:pt>
                <c:pt idx="2">
                  <c:v>-2.5622800199267881E-2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82-485E-9582-B510024133C5}"/>
            </c:ext>
          </c:extLst>
        </c:ser>
        <c:ser>
          <c:idx val="1"/>
          <c:order val="1"/>
          <c:tx>
            <c:strRef>
              <c:f>Données!$B$91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Données!$C$89:$E$89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Données!$C$91:$E$91</c:f>
              <c:numCache>
                <c:formatCode>0.0%</c:formatCode>
                <c:ptCount val="3"/>
                <c:pt idx="0">
                  <c:v>-7.7519529171743429E-4</c:v>
                </c:pt>
                <c:pt idx="1">
                  <c:v>-7.7137742353418082E-3</c:v>
                </c:pt>
                <c:pt idx="2">
                  <c:v>-2.3108511213869587E-3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82-485E-9582-B510024133C5}"/>
            </c:ext>
          </c:extLst>
        </c:ser>
        <c:ser>
          <c:idx val="2"/>
          <c:order val="2"/>
          <c:tx>
            <c:strRef>
              <c:f>Données!$B$92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Données!$C$89:$E$89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Données!$C$92:$E$92</c:f>
              <c:numCache>
                <c:formatCode>0.0%</c:formatCode>
                <c:ptCount val="3"/>
                <c:pt idx="0">
                  <c:v>-2.8807780150538309E-2</c:v>
                </c:pt>
                <c:pt idx="1">
                  <c:v>-6.5894563371708736E-2</c:v>
                </c:pt>
                <c:pt idx="2">
                  <c:v>-9.398300301989182E-2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82-485E-9582-B510024133C5}"/>
            </c:ext>
          </c:extLst>
        </c:ser>
        <c:ser>
          <c:idx val="3"/>
          <c:order val="3"/>
          <c:tx>
            <c:strRef>
              <c:f>Données!$B$93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Données!$C$89:$E$89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Données!$C$93:$E$93</c:f>
              <c:numCache>
                <c:formatCode>0.0%</c:formatCode>
                <c:ptCount val="3"/>
                <c:pt idx="0">
                  <c:v>4.5097764101347249E-3</c:v>
                </c:pt>
                <c:pt idx="1">
                  <c:v>4.5677262963028653E-4</c:v>
                </c:pt>
                <c:pt idx="2">
                  <c:v>-4.7411153599796751E-3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282-485E-9582-B510024133C5}"/>
            </c:ext>
          </c:extLst>
        </c:ser>
        <c:ser>
          <c:idx val="4"/>
          <c:order val="4"/>
          <c:tx>
            <c:strRef>
              <c:f>Données!$B$94</c:f>
              <c:strCache>
                <c:ptCount val="1"/>
                <c:pt idx="0">
                  <c:v>Pétrole et gaz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Données!$C$89:$E$89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Données!$C$94:$E$94</c:f>
              <c:numCache>
                <c:formatCode>0.0%</c:formatCode>
                <c:ptCount val="3"/>
                <c:pt idx="0">
                  <c:v>5.5314889115783084E-2</c:v>
                </c:pt>
                <c:pt idx="1">
                  <c:v>7.9865066214256153E-2</c:v>
                </c:pt>
                <c:pt idx="2">
                  <c:v>3.6791058723470105E-2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282-485E-9582-B510024133C5}"/>
            </c:ext>
          </c:extLst>
        </c:ser>
        <c:ser>
          <c:idx val="5"/>
          <c:order val="5"/>
          <c:tx>
            <c:strRef>
              <c:f>Données!$B$95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Données!$C$89:$E$89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Données!$C$95:$E$95</c:f>
              <c:numCache>
                <c:formatCode>0.0%</c:formatCode>
                <c:ptCount val="3"/>
                <c:pt idx="0">
                  <c:v>4.9700737072071455E-3</c:v>
                </c:pt>
                <c:pt idx="1">
                  <c:v>-6.8310540610964199E-2</c:v>
                </c:pt>
                <c:pt idx="2">
                  <c:v>-0.10416051155340411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282-485E-9582-B510024133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Valeur</a:t>
            </a:r>
            <a:r>
              <a:rPr lang="fr-FR" baseline="0"/>
              <a:t> ajoutée sectorielle (en pts de VA)</a:t>
            </a:r>
          </a:p>
          <a:p>
            <a:pPr>
              <a:defRPr/>
            </a:pP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Données!$B$114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Données!$C$113:$E$113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Données!$C$114:$E$114</c:f>
              <c:numCache>
                <c:formatCode>#,##0</c:formatCode>
                <c:ptCount val="3"/>
                <c:pt idx="0">
                  <c:v>-2.838935361384876</c:v>
                </c:pt>
                <c:pt idx="1">
                  <c:v>-8.6228385325407118</c:v>
                </c:pt>
                <c:pt idx="2">
                  <c:v>-16.738071313584836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2D-4067-BD64-AD80378C548C}"/>
            </c:ext>
          </c:extLst>
        </c:ser>
        <c:ser>
          <c:idx val="1"/>
          <c:order val="1"/>
          <c:tx>
            <c:strRef>
              <c:f>Données!$B$115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Données!$C$113:$E$113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Données!$C$115:$E$115</c:f>
              <c:numCache>
                <c:formatCode>#,##0</c:formatCode>
                <c:ptCount val="3"/>
                <c:pt idx="0">
                  <c:v>-10.903141944364547</c:v>
                </c:pt>
                <c:pt idx="1">
                  <c:v>-28.663501824460358</c:v>
                </c:pt>
                <c:pt idx="2">
                  <c:v>-32.476812500564463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2D-4067-BD64-AD80378C548C}"/>
            </c:ext>
          </c:extLst>
        </c:ser>
        <c:ser>
          <c:idx val="2"/>
          <c:order val="2"/>
          <c:tx>
            <c:strRef>
              <c:f>Données!$B$116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Données!$C$113:$E$113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Données!$C$116:$E$116</c:f>
              <c:numCache>
                <c:formatCode>#,##0</c:formatCode>
                <c:ptCount val="3"/>
                <c:pt idx="0">
                  <c:v>-0.4012137209399313</c:v>
                </c:pt>
                <c:pt idx="1">
                  <c:v>-0.85879545155985293</c:v>
                </c:pt>
                <c:pt idx="2">
                  <c:v>-1.1761854749283442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2D-4067-BD64-AD80378C548C}"/>
            </c:ext>
          </c:extLst>
        </c:ser>
        <c:ser>
          <c:idx val="3"/>
          <c:order val="3"/>
          <c:tx>
            <c:strRef>
              <c:f>Données!$B$117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Données!$C$113:$E$113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Données!$C$117:$E$117</c:f>
              <c:numCache>
                <c:formatCode>#,##0</c:formatCode>
                <c:ptCount val="3"/>
                <c:pt idx="0">
                  <c:v>7.6260998075832669</c:v>
                </c:pt>
                <c:pt idx="1">
                  <c:v>-4.2446607201176754</c:v>
                </c:pt>
                <c:pt idx="2">
                  <c:v>-18.390089318864405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A2D-4067-BD64-AD80378C548C}"/>
            </c:ext>
          </c:extLst>
        </c:ser>
        <c:ser>
          <c:idx val="4"/>
          <c:order val="4"/>
          <c:tx>
            <c:strRef>
              <c:f>Données!$B$118</c:f>
              <c:strCache>
                <c:ptCount val="1"/>
                <c:pt idx="0">
                  <c:v>Pétrole et gaz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Données!$C$113:$E$113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Données!$C$118:$E$118</c:f>
              <c:numCache>
                <c:formatCode>#,##0</c:formatCode>
                <c:ptCount val="3"/>
                <c:pt idx="0">
                  <c:v>-9.0779184257792328E-2</c:v>
                </c:pt>
                <c:pt idx="1">
                  <c:v>-0.16190265190555361</c:v>
                </c:pt>
                <c:pt idx="2">
                  <c:v>-0.23426288025510969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A2D-4067-BD64-AD80378C548C}"/>
            </c:ext>
          </c:extLst>
        </c:ser>
        <c:ser>
          <c:idx val="5"/>
          <c:order val="5"/>
          <c:tx>
            <c:strRef>
              <c:f>Données!$B$119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Données!$C$113:$E$113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Données!$C$119:$E$119</c:f>
              <c:numCache>
                <c:formatCode>#,##0</c:formatCode>
                <c:ptCount val="3"/>
                <c:pt idx="0">
                  <c:v>2.5524856258803181</c:v>
                </c:pt>
                <c:pt idx="1">
                  <c:v>-14.557682032480464</c:v>
                </c:pt>
                <c:pt idx="2">
                  <c:v>-28.645237801709065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A2D-4067-BD64-AD80378C54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Valeur</a:t>
            </a:r>
            <a:r>
              <a:rPr lang="fr-FR" baseline="0"/>
              <a:t> ajoutée sectorielle (en %)</a:t>
            </a:r>
          </a:p>
          <a:p>
            <a:pPr>
              <a:defRPr/>
            </a:pP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Données!$B$122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Données!$C$121:$E$121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Données!$C$122:$E$122</c:f>
              <c:numCache>
                <c:formatCode>0.0%</c:formatCode>
                <c:ptCount val="3"/>
                <c:pt idx="0">
                  <c:v>-1.1250424260167646E-2</c:v>
                </c:pt>
                <c:pt idx="1">
                  <c:v>-3.0711213451353747E-2</c:v>
                </c:pt>
                <c:pt idx="2">
                  <c:v>-4.883255523022012E-2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F1-4B6A-9132-8653F2D77B61}"/>
            </c:ext>
          </c:extLst>
        </c:ser>
        <c:ser>
          <c:idx val="1"/>
          <c:order val="1"/>
          <c:tx>
            <c:strRef>
              <c:f>Données!$B$123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Données!$C$121:$E$121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Données!$C$123:$E$123</c:f>
              <c:numCache>
                <c:formatCode>0.0%</c:formatCode>
                <c:ptCount val="3"/>
                <c:pt idx="0">
                  <c:v>-9.2031868416156959E-3</c:v>
                </c:pt>
                <c:pt idx="1">
                  <c:v>-2.2493556298256445E-2</c:v>
                </c:pt>
                <c:pt idx="2">
                  <c:v>-2.417732827641883E-2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F1-4B6A-9132-8653F2D77B61}"/>
            </c:ext>
          </c:extLst>
        </c:ser>
        <c:ser>
          <c:idx val="2"/>
          <c:order val="2"/>
          <c:tx>
            <c:strRef>
              <c:f>Données!$B$124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Données!$C$121:$E$121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Données!$C$124:$E$124</c:f>
              <c:numCache>
                <c:formatCode>0.0%</c:formatCode>
                <c:ptCount val="3"/>
                <c:pt idx="0">
                  <c:v>-3.3864902613944703E-2</c:v>
                </c:pt>
                <c:pt idx="1">
                  <c:v>-7.518954758778329E-2</c:v>
                </c:pt>
                <c:pt idx="2">
                  <c:v>-0.10556556182240173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F1-4B6A-9132-8653F2D77B61}"/>
            </c:ext>
          </c:extLst>
        </c:ser>
        <c:ser>
          <c:idx val="3"/>
          <c:order val="3"/>
          <c:tx>
            <c:strRef>
              <c:f>Données!$B$125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Données!$C$121:$E$121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Données!$C$125:$E$125</c:f>
              <c:numCache>
                <c:formatCode>0.0%</c:formatCode>
                <c:ptCount val="3"/>
                <c:pt idx="0">
                  <c:v>3.5222866341511061E-3</c:v>
                </c:pt>
                <c:pt idx="1">
                  <c:v>-1.9005449712747868E-3</c:v>
                </c:pt>
                <c:pt idx="2">
                  <c:v>-8.2452541333848384E-3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7F1-4B6A-9132-8653F2D77B61}"/>
            </c:ext>
          </c:extLst>
        </c:ser>
        <c:ser>
          <c:idx val="4"/>
          <c:order val="4"/>
          <c:tx>
            <c:strRef>
              <c:f>Données!$B$126</c:f>
              <c:strCache>
                <c:ptCount val="1"/>
                <c:pt idx="0">
                  <c:v>Pétrole et gaz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Données!$C$121:$E$121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Données!$C$126:$E$126</c:f>
              <c:numCache>
                <c:formatCode>0.0%</c:formatCode>
                <c:ptCount val="3"/>
                <c:pt idx="0">
                  <c:v>-6.2157913013514587E-2</c:v>
                </c:pt>
                <c:pt idx="1">
                  <c:v>-0.11107912150343713</c:v>
                </c:pt>
                <c:pt idx="2">
                  <c:v>-0.16173782252875291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7F1-4B6A-9132-8653F2D77B61}"/>
            </c:ext>
          </c:extLst>
        </c:ser>
        <c:ser>
          <c:idx val="5"/>
          <c:order val="5"/>
          <c:tx>
            <c:strRef>
              <c:f>Données!$B$127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Données!$C$121:$E$121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Données!$C$127:$E$127</c:f>
              <c:numCache>
                <c:formatCode>0.0%</c:formatCode>
                <c:ptCount val="3"/>
                <c:pt idx="0">
                  <c:v>1.0764907040921035E-2</c:v>
                </c:pt>
                <c:pt idx="1">
                  <c:v>-3.9658890688669901E-2</c:v>
                </c:pt>
                <c:pt idx="2">
                  <c:v>-7.3293237318318605E-2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7F1-4B6A-9132-8653F2D77B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tabSelected="1" zoomScale="70"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70" workbookViewId="0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70" workbookViewId="0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pic>
      <cdr:nvPicPr>
        <cdr:cNvPr id="2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0" y="0"/>
          <a:ext cx="38747700" cy="25292050"/>
        </a:xfrm>
        <a:prstGeom xmlns:a="http://schemas.openxmlformats.org/drawingml/2006/main" prst="rect">
          <a:avLst/>
        </a:prstGeom>
      </cdr:spPr>
    </cdr:pic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1-12-03_17-20-04_Result_Franc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bontax"/>
      <sheetName val="Production"/>
      <sheetName val="Capital"/>
      <sheetName val="PIB"/>
      <sheetName val="Results"/>
      <sheetName val="date"/>
      <sheetName val="Emissions"/>
      <sheetName val="Consumption"/>
      <sheetName val="Value_Added"/>
      <sheetName val="INV"/>
      <sheetName val="Labor"/>
      <sheetName val="Final_nrj"/>
      <sheetName val="Primary_nrj"/>
      <sheetName val="Energy_Mix"/>
      <sheetName val="Transports"/>
      <sheetName val="Hybrid"/>
      <sheetName val="Tab-macro"/>
      <sheetName val="Tab-baseline"/>
      <sheetName val="Macro"/>
      <sheetName val="Baseline"/>
      <sheetName val="produits-secteurs V2-V3"/>
      <sheetName val="Sect&amp;Com_V3"/>
    </sheetNames>
    <sheetDataSet>
      <sheetData sheetId="0"/>
      <sheetData sheetId="1">
        <row r="4">
          <cell r="B4">
            <v>81740.104290000003</v>
          </cell>
          <cell r="C4">
            <v>83101.109580000004</v>
          </cell>
          <cell r="D4">
            <v>84704.305259999994</v>
          </cell>
          <cell r="E4">
            <v>86539.468049999996</v>
          </cell>
          <cell r="F4">
            <v>88561.905750000005</v>
          </cell>
          <cell r="G4">
            <v>90756.221210000003</v>
          </cell>
          <cell r="H4">
            <v>93087.010290000006</v>
          </cell>
          <cell r="I4">
            <v>95547.105190000002</v>
          </cell>
          <cell r="J4">
            <v>98095.399279999998</v>
          </cell>
          <cell r="K4">
            <v>100702.75900000001</v>
          </cell>
          <cell r="L4">
            <v>103273.8075</v>
          </cell>
          <cell r="M4">
            <v>105410.06419999999</v>
          </cell>
          <cell r="N4">
            <v>107249.236</v>
          </cell>
          <cell r="O4">
            <v>108864.90919999999</v>
          </cell>
          <cell r="P4">
            <v>110321.7311</v>
          </cell>
          <cell r="Q4">
            <v>111681.5257</v>
          </cell>
          <cell r="R4">
            <v>113011.85860000001</v>
          </cell>
          <cell r="S4">
            <v>114368.0674</v>
          </cell>
          <cell r="T4">
            <v>115801.77929999999</v>
          </cell>
          <cell r="U4">
            <v>117350.1851</v>
          </cell>
          <cell r="V4">
            <v>119028.71950000001</v>
          </cell>
          <cell r="W4">
            <v>120879.6731</v>
          </cell>
          <cell r="X4">
            <v>122944.322</v>
          </cell>
          <cell r="Y4">
            <v>125245.77159999999</v>
          </cell>
          <cell r="Z4">
            <v>127788.4519</v>
          </cell>
          <cell r="AA4">
            <v>130524.96369999999</v>
          </cell>
          <cell r="AB4">
            <v>133472.39869999999</v>
          </cell>
          <cell r="AC4">
            <v>136657.9522</v>
          </cell>
          <cell r="AD4">
            <v>140097.89230000001</v>
          </cell>
          <cell r="AE4">
            <v>143772.9431</v>
          </cell>
          <cell r="AF4">
            <v>147643.2377</v>
          </cell>
          <cell r="AG4">
            <v>151664.44940000001</v>
          </cell>
          <cell r="AH4">
            <v>155809.50659999999</v>
          </cell>
          <cell r="AI4">
            <v>160046.27650000001</v>
          </cell>
          <cell r="AJ4">
            <v>164339.43340000001</v>
          </cell>
          <cell r="AK4">
            <v>168651.98989999999</v>
          </cell>
        </row>
        <row r="5">
          <cell r="B5">
            <v>81740.104290000003</v>
          </cell>
          <cell r="C5">
            <v>83101.109580000004</v>
          </cell>
          <cell r="D5">
            <v>84704.305259999994</v>
          </cell>
          <cell r="E5">
            <v>86539.468049999996</v>
          </cell>
          <cell r="F5">
            <v>88561.905750000005</v>
          </cell>
          <cell r="G5">
            <v>90756.221210000003</v>
          </cell>
          <cell r="H5">
            <v>93087.010290000006</v>
          </cell>
          <cell r="I5">
            <v>95532.556159999993</v>
          </cell>
          <cell r="J5">
            <v>98073.926170000006</v>
          </cell>
          <cell r="K5">
            <v>100696.26210000001</v>
          </cell>
          <cell r="L5">
            <v>103318.1989</v>
          </cell>
          <cell r="M5">
            <v>105615.60769999999</v>
          </cell>
          <cell r="N5">
            <v>107645.67359999999</v>
          </cell>
          <cell r="O5">
            <v>109452.61109999999</v>
          </cell>
          <cell r="P5">
            <v>111098.14260000001</v>
          </cell>
          <cell r="Q5">
            <v>112647.3223</v>
          </cell>
          <cell r="R5">
            <v>114167.45879999999</v>
          </cell>
          <cell r="S5">
            <v>115726.08809999999</v>
          </cell>
          <cell r="T5">
            <v>117381.7957</v>
          </cell>
          <cell r="U5">
            <v>119176.049</v>
          </cell>
          <cell r="V5">
            <v>121127.784</v>
          </cell>
          <cell r="W5">
            <v>123290.3607</v>
          </cell>
          <cell r="X5">
            <v>125694.3946</v>
          </cell>
          <cell r="Y5">
            <v>128359.13679999999</v>
          </cell>
          <cell r="Z5">
            <v>131287.21189999999</v>
          </cell>
          <cell r="AA5">
            <v>134429.30780000001</v>
          </cell>
          <cell r="AB5">
            <v>137815.72500000001</v>
          </cell>
          <cell r="AC5">
            <v>141463.36550000001</v>
          </cell>
          <cell r="AD5">
            <v>145380.2458</v>
          </cell>
          <cell r="AE5">
            <v>149539.48480000001</v>
          </cell>
          <cell r="AF5">
            <v>153894.56419999999</v>
          </cell>
          <cell r="AG5">
            <v>158400.90849999999</v>
          </cell>
          <cell r="AH5">
            <v>163019.62330000001</v>
          </cell>
          <cell r="AI5">
            <v>167712.4203</v>
          </cell>
          <cell r="AJ5">
            <v>172440.33670000001</v>
          </cell>
          <cell r="AK5">
            <v>177163.49729999999</v>
          </cell>
        </row>
        <row r="6">
          <cell r="B6">
            <v>6533.4139109999996</v>
          </cell>
          <cell r="C6">
            <v>6484.8800849999998</v>
          </cell>
          <cell r="D6">
            <v>6440.6708189999999</v>
          </cell>
          <cell r="E6">
            <v>6396.0292669999999</v>
          </cell>
          <cell r="F6">
            <v>6383.3089319999999</v>
          </cell>
          <cell r="G6">
            <v>6388.9928639999998</v>
          </cell>
          <cell r="H6">
            <v>6437.6995980000002</v>
          </cell>
          <cell r="I6">
            <v>6466.9985530000004</v>
          </cell>
          <cell r="J6">
            <v>6481.2161990000004</v>
          </cell>
          <cell r="K6">
            <v>6482.7699389999998</v>
          </cell>
          <cell r="L6">
            <v>6472.7543249999999</v>
          </cell>
          <cell r="M6">
            <v>6508.8456070000002</v>
          </cell>
          <cell r="N6">
            <v>6565.0491590000001</v>
          </cell>
          <cell r="O6">
            <v>6632.3655639999997</v>
          </cell>
          <cell r="P6">
            <v>6707.9244010000002</v>
          </cell>
          <cell r="Q6">
            <v>6791.6992650000002</v>
          </cell>
          <cell r="R6">
            <v>6903.4211189999996</v>
          </cell>
          <cell r="S6">
            <v>7028.5421269999997</v>
          </cell>
          <cell r="T6">
            <v>7166.5922499999997</v>
          </cell>
          <cell r="U6">
            <v>7318.5720810000003</v>
          </cell>
          <cell r="V6">
            <v>7484.1305400000001</v>
          </cell>
          <cell r="W6">
            <v>7671.2437330000002</v>
          </cell>
          <cell r="X6">
            <v>7879.2611180000004</v>
          </cell>
          <cell r="Y6">
            <v>8109.5199869999997</v>
          </cell>
          <cell r="Z6">
            <v>8364.1013399999993</v>
          </cell>
          <cell r="AA6">
            <v>8641.0601630000001</v>
          </cell>
          <cell r="AB6">
            <v>8774.1130300000004</v>
          </cell>
          <cell r="AC6">
            <v>8874.6028069999993</v>
          </cell>
          <cell r="AD6">
            <v>8980.1685460000008</v>
          </cell>
          <cell r="AE6">
            <v>9098.6983010000004</v>
          </cell>
          <cell r="AF6">
            <v>9228.8773619999993</v>
          </cell>
          <cell r="AG6">
            <v>9368.6438660000003</v>
          </cell>
          <cell r="AH6">
            <v>9515.011708</v>
          </cell>
          <cell r="AI6">
            <v>9665.917109</v>
          </cell>
          <cell r="AJ6">
            <v>9819.6598389999999</v>
          </cell>
          <cell r="AK6">
            <v>9974.6854980000007</v>
          </cell>
        </row>
        <row r="7">
          <cell r="B7">
            <v>6533.4139109999996</v>
          </cell>
          <cell r="C7">
            <v>6484.8800849999998</v>
          </cell>
          <cell r="D7">
            <v>6440.6708189999999</v>
          </cell>
          <cell r="E7">
            <v>6396.0292669999999</v>
          </cell>
          <cell r="F7">
            <v>6383.3089319999999</v>
          </cell>
          <cell r="G7">
            <v>6388.9928639999998</v>
          </cell>
          <cell r="H7">
            <v>6437.6995980000002</v>
          </cell>
          <cell r="I7">
            <v>6502.228599</v>
          </cell>
          <cell r="J7">
            <v>6577.1635249999999</v>
          </cell>
          <cell r="K7">
            <v>6661.3105589999996</v>
          </cell>
          <cell r="L7">
            <v>6754.1892440000001</v>
          </cell>
          <cell r="M7">
            <v>6837.1169289999998</v>
          </cell>
          <cell r="N7">
            <v>6916.4689420000004</v>
          </cell>
          <cell r="O7">
            <v>6997.02873</v>
          </cell>
          <cell r="P7">
            <v>7081.9872699999996</v>
          </cell>
          <cell r="Q7">
            <v>7173.9427320000004</v>
          </cell>
          <cell r="R7">
            <v>7295.8090270000002</v>
          </cell>
          <cell r="S7">
            <v>7432.6860109999998</v>
          </cell>
          <cell r="T7">
            <v>7583.6353019999997</v>
          </cell>
          <cell r="U7">
            <v>7749.4805999999999</v>
          </cell>
          <cell r="V7">
            <v>7929.5843070000001</v>
          </cell>
          <cell r="W7">
            <v>8128.4261340000003</v>
          </cell>
          <cell r="X7">
            <v>8347.7822329999999</v>
          </cell>
          <cell r="Y7">
            <v>8589.7879900000007</v>
          </cell>
          <cell r="Z7">
            <v>8856.7134480000004</v>
          </cell>
          <cell r="AA7">
            <v>9146.0907750000006</v>
          </cell>
          <cell r="AB7">
            <v>9302.3418729999994</v>
          </cell>
          <cell r="AC7">
            <v>9426.8688430000002</v>
          </cell>
          <cell r="AD7">
            <v>9554.5445949999994</v>
          </cell>
          <cell r="AE7">
            <v>9692.9391319999995</v>
          </cell>
          <cell r="AF7">
            <v>9840.8758890000008</v>
          </cell>
          <cell r="AG7">
            <v>9995.4672090000004</v>
          </cell>
          <cell r="AH7">
            <v>10154.07933</v>
          </cell>
          <cell r="AI7">
            <v>10314.51758</v>
          </cell>
          <cell r="AJ7">
            <v>10474.955739999999</v>
          </cell>
          <cell r="AK7">
            <v>10633.79999</v>
          </cell>
        </row>
        <row r="8">
          <cell r="B8">
            <v>157672.64050000001</v>
          </cell>
          <cell r="C8">
            <v>160414.4829</v>
          </cell>
          <cell r="D8">
            <v>163589.9491</v>
          </cell>
          <cell r="E8">
            <v>167215.5656</v>
          </cell>
          <cell r="F8">
            <v>171174.74900000001</v>
          </cell>
          <cell r="G8">
            <v>175438.73620000001</v>
          </cell>
          <cell r="H8">
            <v>179935.08110000001</v>
          </cell>
          <cell r="I8">
            <v>184707.83180000001</v>
          </cell>
          <cell r="J8">
            <v>189705.8008</v>
          </cell>
          <cell r="K8">
            <v>194908.995</v>
          </cell>
          <cell r="L8">
            <v>200218.1355</v>
          </cell>
          <cell r="M8">
            <v>204787.80429999999</v>
          </cell>
          <cell r="N8">
            <v>208823.49479999999</v>
          </cell>
          <cell r="O8">
            <v>212412.89050000001</v>
          </cell>
          <cell r="P8">
            <v>215645.4449</v>
          </cell>
          <cell r="Q8">
            <v>218624.60260000001</v>
          </cell>
          <cell r="R8">
            <v>221491.19649999999</v>
          </cell>
          <cell r="S8">
            <v>224356.00709999999</v>
          </cell>
          <cell r="T8">
            <v>227325.65169999999</v>
          </cell>
          <cell r="U8">
            <v>230481.57380000001</v>
          </cell>
          <cell r="V8">
            <v>233854.71220000001</v>
          </cell>
          <cell r="W8">
            <v>237524.24960000001</v>
          </cell>
          <cell r="X8">
            <v>241569.9136</v>
          </cell>
          <cell r="Y8">
            <v>246041.46160000001</v>
          </cell>
          <cell r="Z8">
            <v>250957.10920000001</v>
          </cell>
          <cell r="AA8">
            <v>256214.72810000001</v>
          </cell>
          <cell r="AB8">
            <v>261851.83059999999</v>
          </cell>
          <cell r="AC8">
            <v>267914.0355</v>
          </cell>
          <cell r="AD8">
            <v>274438.55859999999</v>
          </cell>
          <cell r="AE8">
            <v>281406.86420000001</v>
          </cell>
          <cell r="AF8">
            <v>288761.67469999997</v>
          </cell>
          <cell r="AG8">
            <v>296417.35460000002</v>
          </cell>
          <cell r="AH8">
            <v>304326.93660000002</v>
          </cell>
          <cell r="AI8">
            <v>312429.44219999999</v>
          </cell>
          <cell r="AJ8">
            <v>320656.77279999998</v>
          </cell>
          <cell r="AK8">
            <v>328937.14809999999</v>
          </cell>
        </row>
        <row r="9">
          <cell r="B9">
            <v>157672.64050000001</v>
          </cell>
          <cell r="C9">
            <v>160414.4829</v>
          </cell>
          <cell r="D9">
            <v>163589.9491</v>
          </cell>
          <cell r="E9">
            <v>167215.5656</v>
          </cell>
          <cell r="F9">
            <v>171174.74900000001</v>
          </cell>
          <cell r="G9">
            <v>175438.73620000001</v>
          </cell>
          <cell r="H9">
            <v>179935.08110000001</v>
          </cell>
          <cell r="I9">
            <v>184627.49840000001</v>
          </cell>
          <cell r="J9">
            <v>189482.70569999999</v>
          </cell>
          <cell r="K9">
            <v>194474.46309999999</v>
          </cell>
          <cell r="L9">
            <v>199488.55009999999</v>
          </cell>
          <cell r="M9">
            <v>203978.42800000001</v>
          </cell>
          <cell r="N9">
            <v>208007.82029999999</v>
          </cell>
          <cell r="O9">
            <v>211622.7801</v>
          </cell>
          <cell r="P9">
            <v>214909.29990000001</v>
          </cell>
          <cell r="Q9">
            <v>217971.1004</v>
          </cell>
          <cell r="R9">
            <v>220925.7977</v>
          </cell>
          <cell r="S9">
            <v>223898.1955</v>
          </cell>
          <cell r="T9">
            <v>226999.99280000001</v>
          </cell>
          <cell r="U9">
            <v>230315.01519999999</v>
          </cell>
          <cell r="V9">
            <v>233876.60430000001</v>
          </cell>
          <cell r="W9">
            <v>237802.33240000001</v>
          </cell>
          <cell r="X9">
            <v>242147.93530000001</v>
          </cell>
          <cell r="Y9">
            <v>246953.61600000001</v>
          </cell>
          <cell r="Z9">
            <v>252231.66440000001</v>
          </cell>
          <cell r="AA9">
            <v>257874.7568</v>
          </cell>
          <cell r="AB9">
            <v>263962.73550000001</v>
          </cell>
          <cell r="AC9">
            <v>270518.5099</v>
          </cell>
          <cell r="AD9">
            <v>277561.21419999999</v>
          </cell>
          <cell r="AE9">
            <v>285057.58649999998</v>
          </cell>
          <cell r="AF9">
            <v>292938.68229999999</v>
          </cell>
          <cell r="AG9">
            <v>301131.67340000003</v>
          </cell>
          <cell r="AH9">
            <v>309566.98149999999</v>
          </cell>
          <cell r="AI9">
            <v>318172.34860000003</v>
          </cell>
          <cell r="AJ9">
            <v>326872.20270000002</v>
          </cell>
          <cell r="AK9">
            <v>335588.10320000001</v>
          </cell>
        </row>
        <row r="10">
          <cell r="B10">
            <v>125569.2233</v>
          </cell>
          <cell r="C10">
            <v>130060.6643</v>
          </cell>
          <cell r="D10">
            <v>134908.16140000001</v>
          </cell>
          <cell r="E10">
            <v>139690.56390000001</v>
          </cell>
          <cell r="F10">
            <v>144436.6678</v>
          </cell>
          <cell r="G10">
            <v>149117.03</v>
          </cell>
          <cell r="H10">
            <v>153742.4607</v>
          </cell>
          <cell r="I10">
            <v>158191.2438</v>
          </cell>
          <cell r="J10">
            <v>162517.8523</v>
          </cell>
          <cell r="K10">
            <v>166739.20819999999</v>
          </cell>
          <cell r="L10">
            <v>170507.34760000001</v>
          </cell>
          <cell r="M10">
            <v>173499.3535</v>
          </cell>
          <cell r="N10">
            <v>176000.1073</v>
          </cell>
          <cell r="O10">
            <v>178153.848</v>
          </cell>
          <cell r="P10">
            <v>180179.86</v>
          </cell>
          <cell r="Q10">
            <v>182273.7991</v>
          </cell>
          <cell r="R10">
            <v>184542.10279999999</v>
          </cell>
          <cell r="S10">
            <v>187132.9982</v>
          </cell>
          <cell r="T10">
            <v>190136.53080000001</v>
          </cell>
          <cell r="U10">
            <v>193573.80369999999</v>
          </cell>
          <cell r="V10">
            <v>197449.0037</v>
          </cell>
          <cell r="W10">
            <v>201855.66250000001</v>
          </cell>
          <cell r="X10">
            <v>206785.6851</v>
          </cell>
          <cell r="Y10">
            <v>212218.70110000001</v>
          </cell>
          <cell r="Z10">
            <v>218106.78090000001</v>
          </cell>
          <cell r="AA10">
            <v>224389.19959999999</v>
          </cell>
          <cell r="AB10">
            <v>231142.52849999999</v>
          </cell>
          <cell r="AC10">
            <v>238388.81039999999</v>
          </cell>
          <cell r="AD10">
            <v>246114.32610000001</v>
          </cell>
          <cell r="AE10">
            <v>254197.0563</v>
          </cell>
          <cell r="AF10">
            <v>262488.3224</v>
          </cell>
          <cell r="AG10">
            <v>270924.2819</v>
          </cell>
          <cell r="AH10">
            <v>279433.86979999999</v>
          </cell>
          <cell r="AI10">
            <v>287970.98340000003</v>
          </cell>
          <cell r="AJ10">
            <v>296501.29119999998</v>
          </cell>
          <cell r="AK10">
            <v>304992.65179999999</v>
          </cell>
        </row>
        <row r="11">
          <cell r="B11">
            <v>125569.2233</v>
          </cell>
          <cell r="C11">
            <v>130060.6643</v>
          </cell>
          <cell r="D11">
            <v>134908.16140000001</v>
          </cell>
          <cell r="E11">
            <v>139690.56390000001</v>
          </cell>
          <cell r="F11">
            <v>144436.6678</v>
          </cell>
          <cell r="G11">
            <v>149117.03</v>
          </cell>
          <cell r="H11">
            <v>153742.4607</v>
          </cell>
          <cell r="I11">
            <v>158363.3939</v>
          </cell>
          <cell r="J11">
            <v>163028.41070000001</v>
          </cell>
          <cell r="K11">
            <v>167777.34400000001</v>
          </cell>
          <cell r="L11">
            <v>172332.82709999999</v>
          </cell>
          <cell r="M11">
            <v>175782.1538</v>
          </cell>
          <cell r="N11">
            <v>178612.97649999999</v>
          </cell>
          <cell r="O11">
            <v>181113.7499</v>
          </cell>
          <cell r="P11">
            <v>183551.51010000001</v>
          </cell>
          <cell r="Q11">
            <v>186124.0882</v>
          </cell>
          <cell r="R11">
            <v>188974.05470000001</v>
          </cell>
          <cell r="S11">
            <v>192213.0766</v>
          </cell>
          <cell r="T11">
            <v>195909.0686</v>
          </cell>
          <cell r="U11">
            <v>200074.6048</v>
          </cell>
          <cell r="V11">
            <v>204713.20699999999</v>
          </cell>
          <cell r="W11">
            <v>209846.71280000001</v>
          </cell>
          <cell r="X11">
            <v>215504.96799999999</v>
          </cell>
          <cell r="Y11">
            <v>221686.37419999999</v>
          </cell>
          <cell r="Z11">
            <v>228344.60690000001</v>
          </cell>
          <cell r="AA11">
            <v>235415.5564</v>
          </cell>
          <cell r="AB11">
            <v>242921.1813</v>
          </cell>
          <cell r="AC11">
            <v>250908.60949999999</v>
          </cell>
          <cell r="AD11">
            <v>259375.94570000001</v>
          </cell>
          <cell r="AE11">
            <v>268198.92450000002</v>
          </cell>
          <cell r="AF11">
            <v>277222.58809999999</v>
          </cell>
          <cell r="AG11">
            <v>286343.15360000002</v>
          </cell>
          <cell r="AH11">
            <v>295506.42460000003</v>
          </cell>
          <cell r="AI11">
            <v>304675.79580000002</v>
          </cell>
          <cell r="AJ11">
            <v>313820.58069999999</v>
          </cell>
          <cell r="AK11">
            <v>322910.27870000002</v>
          </cell>
        </row>
        <row r="12">
          <cell r="B12">
            <v>22086.06799</v>
          </cell>
          <cell r="C12">
            <v>22482.57271</v>
          </cell>
          <cell r="D12">
            <v>22927.65638</v>
          </cell>
          <cell r="E12">
            <v>23406.792099999999</v>
          </cell>
          <cell r="F12">
            <v>23928.123029999999</v>
          </cell>
          <cell r="G12">
            <v>24493.398499999999</v>
          </cell>
          <cell r="H12">
            <v>25107.188689999999</v>
          </cell>
          <cell r="I12">
            <v>25740.685969999999</v>
          </cell>
          <cell r="J12">
            <v>26371.50635</v>
          </cell>
          <cell r="K12">
            <v>26980.705279999998</v>
          </cell>
          <cell r="L12">
            <v>27528.246899999998</v>
          </cell>
          <cell r="M12">
            <v>27999.025809999999</v>
          </cell>
          <cell r="N12">
            <v>28439.83311</v>
          </cell>
          <cell r="O12">
            <v>28872.44368</v>
          </cell>
          <cell r="P12">
            <v>29311.173500000001</v>
          </cell>
          <cell r="Q12">
            <v>29766.396939999999</v>
          </cell>
          <cell r="R12">
            <v>30241.59433</v>
          </cell>
          <cell r="S12">
            <v>30743.352169999998</v>
          </cell>
          <cell r="T12">
            <v>31279.324960000002</v>
          </cell>
          <cell r="U12">
            <v>31855.156950000001</v>
          </cell>
          <cell r="V12">
            <v>32473.880389999998</v>
          </cell>
          <cell r="W12">
            <v>33151.439530000003</v>
          </cell>
          <cell r="X12">
            <v>33898.11174</v>
          </cell>
          <cell r="Y12">
            <v>34718.816740000002</v>
          </cell>
          <cell r="Z12">
            <v>35614.308149999997</v>
          </cell>
          <cell r="AA12">
            <v>36578.281490000001</v>
          </cell>
          <cell r="AB12">
            <v>37575.304369999998</v>
          </cell>
          <cell r="AC12">
            <v>38615.162750000003</v>
          </cell>
          <cell r="AD12">
            <v>39708.792569999998</v>
          </cell>
          <cell r="AE12">
            <v>40855.8802</v>
          </cell>
          <cell r="AF12">
            <v>42049.234040000003</v>
          </cell>
          <cell r="AG12">
            <v>43286.025759999997</v>
          </cell>
          <cell r="AH12">
            <v>44561.263720000003</v>
          </cell>
          <cell r="AI12">
            <v>45868.077790000003</v>
          </cell>
          <cell r="AJ12">
            <v>47198.632559999998</v>
          </cell>
          <cell r="AK12">
            <v>48544.561139999998</v>
          </cell>
        </row>
        <row r="13">
          <cell r="B13">
            <v>22086.06799</v>
          </cell>
          <cell r="C13">
            <v>22482.57271</v>
          </cell>
          <cell r="D13">
            <v>22927.65638</v>
          </cell>
          <cell r="E13">
            <v>23406.792099999999</v>
          </cell>
          <cell r="F13">
            <v>23928.123029999999</v>
          </cell>
          <cell r="G13">
            <v>24493.398499999999</v>
          </cell>
          <cell r="H13">
            <v>25107.188689999999</v>
          </cell>
          <cell r="I13">
            <v>25763.550940000001</v>
          </cell>
          <cell r="J13">
            <v>26457.643820000001</v>
          </cell>
          <cell r="K13">
            <v>27186.648440000001</v>
          </cell>
          <cell r="L13">
            <v>27929.902290000002</v>
          </cell>
          <cell r="M13">
            <v>28610.225170000002</v>
          </cell>
          <cell r="N13">
            <v>29243.221310000001</v>
          </cell>
          <cell r="O13">
            <v>29843.526839999999</v>
          </cell>
          <cell r="P13">
            <v>30429.126909999999</v>
          </cell>
          <cell r="Q13">
            <v>31016.999110000001</v>
          </cell>
          <cell r="R13">
            <v>31623.335520000001</v>
          </cell>
          <cell r="S13">
            <v>32262.845949999999</v>
          </cell>
          <cell r="T13">
            <v>32947.939460000001</v>
          </cell>
          <cell r="U13">
            <v>33687.152499999997</v>
          </cell>
          <cell r="V13">
            <v>34485.627370000002</v>
          </cell>
          <cell r="W13">
            <v>35351.969380000002</v>
          </cell>
          <cell r="X13">
            <v>36294.129950000002</v>
          </cell>
          <cell r="Y13">
            <v>37317.556550000001</v>
          </cell>
          <cell r="Z13">
            <v>38424.108560000001</v>
          </cell>
          <cell r="AA13">
            <v>39608.207970000003</v>
          </cell>
          <cell r="AB13">
            <v>40823.791169999997</v>
          </cell>
          <cell r="AC13">
            <v>42078.279179999998</v>
          </cell>
          <cell r="AD13">
            <v>43382.939509999997</v>
          </cell>
          <cell r="AE13">
            <v>44737.162850000001</v>
          </cell>
          <cell r="AF13">
            <v>46132.752800000002</v>
          </cell>
          <cell r="AG13">
            <v>47560.637320000002</v>
          </cell>
          <cell r="AH13">
            <v>49012.835149999999</v>
          </cell>
          <cell r="AI13">
            <v>50481.637439999999</v>
          </cell>
          <cell r="AJ13">
            <v>51959.307869999997</v>
          </cell>
          <cell r="AK13">
            <v>53437.902170000001</v>
          </cell>
        </row>
        <row r="14">
          <cell r="B14">
            <v>16303.439189999999</v>
          </cell>
          <cell r="C14">
            <v>16663.520219999999</v>
          </cell>
          <cell r="D14">
            <v>17056.56781</v>
          </cell>
          <cell r="E14">
            <v>17475.924159999999</v>
          </cell>
          <cell r="F14">
            <v>17918.763210000001</v>
          </cell>
          <cell r="G14">
            <v>18384.205829999999</v>
          </cell>
          <cell r="H14">
            <v>18869.181809999998</v>
          </cell>
          <cell r="I14">
            <v>19367.853419999999</v>
          </cell>
          <cell r="J14">
            <v>19872.245640000001</v>
          </cell>
          <cell r="K14">
            <v>20375.746419999999</v>
          </cell>
          <cell r="L14">
            <v>20848.189040000001</v>
          </cell>
          <cell r="M14">
            <v>21211.930700000001</v>
          </cell>
          <cell r="N14">
            <v>21506.818940000001</v>
          </cell>
          <cell r="O14">
            <v>21755.52765</v>
          </cell>
          <cell r="P14">
            <v>21978.730899999999</v>
          </cell>
          <cell r="Q14">
            <v>22193.909609999999</v>
          </cell>
          <cell r="R14">
            <v>22415.244920000001</v>
          </cell>
          <cell r="S14">
            <v>22654.929390000001</v>
          </cell>
          <cell r="T14">
            <v>22923.04637</v>
          </cell>
          <cell r="U14">
            <v>23225.54105</v>
          </cell>
          <cell r="V14">
            <v>23565.593659999999</v>
          </cell>
          <cell r="W14">
            <v>23950.438330000001</v>
          </cell>
          <cell r="X14">
            <v>24387.20894</v>
          </cell>
          <cell r="Y14">
            <v>24878.899379999999</v>
          </cell>
          <cell r="Z14">
            <v>25424.32332</v>
          </cell>
          <cell r="AA14">
            <v>26016.395550000001</v>
          </cell>
          <cell r="AB14">
            <v>26655.325239999998</v>
          </cell>
          <cell r="AC14">
            <v>27347.268069999998</v>
          </cell>
          <cell r="AD14">
            <v>28094.149399999998</v>
          </cell>
          <cell r="AE14">
            <v>28887.396850000001</v>
          </cell>
          <cell r="AF14">
            <v>29714.23906</v>
          </cell>
          <cell r="AG14">
            <v>30564.43722</v>
          </cell>
          <cell r="AH14">
            <v>31431.186740000001</v>
          </cell>
          <cell r="AI14">
            <v>32307.841710000001</v>
          </cell>
          <cell r="AJ14">
            <v>33187.786699999997</v>
          </cell>
          <cell r="AK14">
            <v>34064.447090000001</v>
          </cell>
        </row>
        <row r="15">
          <cell r="B15">
            <v>16303.439189999999</v>
          </cell>
          <cell r="C15">
            <v>16663.520219999999</v>
          </cell>
          <cell r="D15">
            <v>17056.56781</v>
          </cell>
          <cell r="E15">
            <v>17475.924159999999</v>
          </cell>
          <cell r="F15">
            <v>17918.763210000001</v>
          </cell>
          <cell r="G15">
            <v>18384.205829999999</v>
          </cell>
          <cell r="H15">
            <v>18869.181809999998</v>
          </cell>
          <cell r="I15">
            <v>19370.85756</v>
          </cell>
          <cell r="J15">
            <v>19886.918750000001</v>
          </cell>
          <cell r="K15">
            <v>20415.841710000001</v>
          </cell>
          <cell r="L15">
            <v>20933.589400000001</v>
          </cell>
          <cell r="M15">
            <v>21359.63091</v>
          </cell>
          <cell r="N15">
            <v>21721.950629999999</v>
          </cell>
          <cell r="O15">
            <v>22039.590189999999</v>
          </cell>
          <cell r="P15">
            <v>22333.18981</v>
          </cell>
          <cell r="Q15">
            <v>22620.849269999999</v>
          </cell>
          <cell r="R15">
            <v>22918.096809999999</v>
          </cell>
          <cell r="S15">
            <v>23239.018220000002</v>
          </cell>
          <cell r="T15">
            <v>23594.791389999999</v>
          </cell>
          <cell r="U15">
            <v>23992.10097</v>
          </cell>
          <cell r="V15">
            <v>24434.874670000001</v>
          </cell>
          <cell r="W15">
            <v>24930.179609999999</v>
          </cell>
          <cell r="X15">
            <v>25483.815979999999</v>
          </cell>
          <cell r="Y15">
            <v>26098.411459999999</v>
          </cell>
          <cell r="Z15">
            <v>26772.53631</v>
          </cell>
          <cell r="AA15">
            <v>27498.785779999998</v>
          </cell>
          <cell r="AB15">
            <v>28275.994470000001</v>
          </cell>
          <cell r="AC15">
            <v>29108.5308</v>
          </cell>
          <cell r="AD15">
            <v>29997.224300000002</v>
          </cell>
          <cell r="AE15">
            <v>30932.111339999999</v>
          </cell>
          <cell r="AF15">
            <v>31898.98963</v>
          </cell>
          <cell r="AG15">
            <v>32886.080950000003</v>
          </cell>
          <cell r="AH15">
            <v>33884.675170000002</v>
          </cell>
          <cell r="AI15">
            <v>34887.218159999997</v>
          </cell>
          <cell r="AJ15">
            <v>35886.675459999999</v>
          </cell>
          <cell r="AK15">
            <v>36876.276330000001</v>
          </cell>
        </row>
        <row r="16">
          <cell r="B16">
            <v>86955.833100000003</v>
          </cell>
          <cell r="C16">
            <v>89257.456430000006</v>
          </cell>
          <cell r="D16">
            <v>91683.447660000005</v>
          </cell>
          <cell r="E16">
            <v>94207.364289999998</v>
          </cell>
          <cell r="F16">
            <v>96835.70405</v>
          </cell>
          <cell r="G16">
            <v>99575.846000000005</v>
          </cell>
          <cell r="H16">
            <v>102421.101</v>
          </cell>
          <cell r="I16">
            <v>105330.9286</v>
          </cell>
          <cell r="J16">
            <v>108254.31230000001</v>
          </cell>
          <cell r="K16">
            <v>111140.2412</v>
          </cell>
          <cell r="L16">
            <v>113752.61289999999</v>
          </cell>
          <cell r="M16">
            <v>115613.04059999999</v>
          </cell>
          <cell r="N16">
            <v>117034.50900000001</v>
          </cell>
          <cell r="O16">
            <v>118189.02099999999</v>
          </cell>
          <cell r="P16">
            <v>119226.2534</v>
          </cell>
          <cell r="Q16">
            <v>120261.2071</v>
          </cell>
          <cell r="R16">
            <v>121373.31170000001</v>
          </cell>
          <cell r="S16">
            <v>122629.6725</v>
          </cell>
          <cell r="T16">
            <v>124081.51210000001</v>
          </cell>
          <cell r="U16">
            <v>125753.2522</v>
          </cell>
          <cell r="V16">
            <v>127662.6562</v>
          </cell>
          <cell r="W16">
            <v>129847.8181</v>
          </cell>
          <cell r="X16">
            <v>132350.451</v>
          </cell>
          <cell r="Y16">
            <v>135185.12289999999</v>
          </cell>
          <cell r="Z16">
            <v>138338.8463</v>
          </cell>
          <cell r="AA16">
            <v>141783.12040000001</v>
          </cell>
          <cell r="AB16">
            <v>145528.5772</v>
          </cell>
          <cell r="AC16">
            <v>149609.66070000001</v>
          </cell>
          <cell r="AD16">
            <v>154029.0221</v>
          </cell>
          <cell r="AE16">
            <v>158720.06219999999</v>
          </cell>
          <cell r="AF16">
            <v>163594.22760000001</v>
          </cell>
          <cell r="AG16">
            <v>168591.6391</v>
          </cell>
          <cell r="AH16">
            <v>173673.05600000001</v>
          </cell>
          <cell r="AI16">
            <v>178801.38149999999</v>
          </cell>
          <cell r="AJ16">
            <v>183939.6073</v>
          </cell>
          <cell r="AK16">
            <v>189050.36629999999</v>
          </cell>
        </row>
        <row r="17">
          <cell r="B17">
            <v>86955.833100000003</v>
          </cell>
          <cell r="C17">
            <v>89257.456430000006</v>
          </cell>
          <cell r="D17">
            <v>91683.447660000005</v>
          </cell>
          <cell r="E17">
            <v>94207.364289999998</v>
          </cell>
          <cell r="F17">
            <v>96835.70405</v>
          </cell>
          <cell r="G17">
            <v>99575.846000000005</v>
          </cell>
          <cell r="H17">
            <v>102421.101</v>
          </cell>
          <cell r="I17">
            <v>105363.46709999999</v>
          </cell>
          <cell r="J17">
            <v>108394.8037</v>
          </cell>
          <cell r="K17">
            <v>111509.0338</v>
          </cell>
          <cell r="L17">
            <v>114526.22840000001</v>
          </cell>
          <cell r="M17">
            <v>116901.36810000001</v>
          </cell>
          <cell r="N17">
            <v>118869.5858</v>
          </cell>
          <cell r="O17">
            <v>120571.0162</v>
          </cell>
          <cell r="P17">
            <v>122148.11410000001</v>
          </cell>
          <cell r="Q17">
            <v>123718.2162</v>
          </cell>
          <cell r="R17">
            <v>125376.23639999999</v>
          </cell>
          <cell r="S17">
            <v>127205.25509999999</v>
          </cell>
          <cell r="T17">
            <v>129267.8257</v>
          </cell>
          <cell r="U17">
            <v>131596.58410000001</v>
          </cell>
          <cell r="V17">
            <v>134216.7752</v>
          </cell>
          <cell r="W17">
            <v>137159.478</v>
          </cell>
          <cell r="X17">
            <v>140460.0876</v>
          </cell>
          <cell r="Y17">
            <v>144132.21290000001</v>
          </cell>
          <cell r="Z17">
            <v>148162.55530000001</v>
          </cell>
          <cell r="AA17">
            <v>152522.62030000001</v>
          </cell>
          <cell r="AB17">
            <v>157212.49619999999</v>
          </cell>
          <cell r="AC17">
            <v>162258.92819999999</v>
          </cell>
          <cell r="AD17">
            <v>167659.76079999999</v>
          </cell>
          <cell r="AE17">
            <v>173339.65729999999</v>
          </cell>
          <cell r="AF17">
            <v>179200.25949999999</v>
          </cell>
          <cell r="AG17">
            <v>185166.17300000001</v>
          </cell>
          <cell r="AH17">
            <v>191186.03890000001</v>
          </cell>
          <cell r="AI17">
            <v>197216.8842</v>
          </cell>
          <cell r="AJ17">
            <v>203219.17430000001</v>
          </cell>
          <cell r="AK17">
            <v>209154.8112</v>
          </cell>
        </row>
        <row r="18">
          <cell r="B18">
            <v>29074.537799999998</v>
          </cell>
          <cell r="C18">
            <v>29805.895189999999</v>
          </cell>
          <cell r="D18">
            <v>30595.08006</v>
          </cell>
          <cell r="E18">
            <v>31421.110069999999</v>
          </cell>
          <cell r="F18">
            <v>32280.97381</v>
          </cell>
          <cell r="G18">
            <v>33174.007160000001</v>
          </cell>
          <cell r="H18">
            <v>34102.237110000002</v>
          </cell>
          <cell r="I18">
            <v>35055.111499999999</v>
          </cell>
          <cell r="J18">
            <v>36022.42583</v>
          </cell>
          <cell r="K18">
            <v>36994.822319999999</v>
          </cell>
          <cell r="L18">
            <v>37909.416469999996</v>
          </cell>
          <cell r="M18">
            <v>38607.695670000001</v>
          </cell>
          <cell r="N18">
            <v>39165.842069999999</v>
          </cell>
          <cell r="O18">
            <v>39632.194510000001</v>
          </cell>
          <cell r="P18">
            <v>40053.787579999997</v>
          </cell>
          <cell r="Q18">
            <v>40469.847990000002</v>
          </cell>
          <cell r="R18">
            <v>40910.929600000003</v>
          </cell>
          <cell r="S18">
            <v>41403.274940000003</v>
          </cell>
          <cell r="T18">
            <v>41966.908259999997</v>
          </cell>
          <cell r="U18">
            <v>42612.608269999997</v>
          </cell>
          <cell r="V18">
            <v>43347.508679999999</v>
          </cell>
          <cell r="W18">
            <v>44183.107539999997</v>
          </cell>
          <cell r="X18">
            <v>45131.831839999999</v>
          </cell>
          <cell r="Y18">
            <v>46198.948230000002</v>
          </cell>
          <cell r="Z18">
            <v>47381.76554</v>
          </cell>
          <cell r="AA18">
            <v>48670.871879999999</v>
          </cell>
          <cell r="AB18">
            <v>50044.506300000001</v>
          </cell>
          <cell r="AC18">
            <v>51517.985079999999</v>
          </cell>
          <cell r="AD18">
            <v>53097.3557</v>
          </cell>
          <cell r="AE18">
            <v>54764.876779999999</v>
          </cell>
          <cell r="AF18">
            <v>56493.976360000001</v>
          </cell>
          <cell r="AG18">
            <v>58264.079989999998</v>
          </cell>
          <cell r="AH18">
            <v>60061.151360000003</v>
          </cell>
          <cell r="AI18">
            <v>61872.714390000001</v>
          </cell>
          <cell r="AJ18">
            <v>63686.786809999998</v>
          </cell>
          <cell r="AK18">
            <v>65491.488080000003</v>
          </cell>
        </row>
        <row r="19">
          <cell r="B19">
            <v>29074.537799999998</v>
          </cell>
          <cell r="C19">
            <v>29805.895189999999</v>
          </cell>
          <cell r="D19">
            <v>30595.08006</v>
          </cell>
          <cell r="E19">
            <v>31421.110069999999</v>
          </cell>
          <cell r="F19">
            <v>32280.97381</v>
          </cell>
          <cell r="G19">
            <v>33174.007160000001</v>
          </cell>
          <cell r="H19">
            <v>34102.237110000002</v>
          </cell>
          <cell r="I19">
            <v>35061.509639999997</v>
          </cell>
          <cell r="J19">
            <v>36049.146670000002</v>
          </cell>
          <cell r="K19">
            <v>37063.905830000003</v>
          </cell>
          <cell r="L19">
            <v>38053.60267</v>
          </cell>
          <cell r="M19">
            <v>38851.119209999997</v>
          </cell>
          <cell r="N19">
            <v>39522.285929999998</v>
          </cell>
          <cell r="O19">
            <v>40111.440300000002</v>
          </cell>
          <cell r="P19">
            <v>40663.793279999998</v>
          </cell>
          <cell r="Q19">
            <v>41217.105989999996</v>
          </cell>
          <cell r="R19">
            <v>41802.283329999998</v>
          </cell>
          <cell r="S19">
            <v>42446.361019999997</v>
          </cell>
          <cell r="T19">
            <v>43170.078520000003</v>
          </cell>
          <cell r="U19">
            <v>43985.03772</v>
          </cell>
          <cell r="V19">
            <v>44899.567340000001</v>
          </cell>
          <cell r="W19">
            <v>45924.412750000003</v>
          </cell>
          <cell r="X19">
            <v>47071.252760000003</v>
          </cell>
          <cell r="Y19">
            <v>48345.106619999999</v>
          </cell>
          <cell r="Z19">
            <v>49742.711349999998</v>
          </cell>
          <cell r="AA19">
            <v>51253.991990000002</v>
          </cell>
          <cell r="AB19">
            <v>52853.671430000002</v>
          </cell>
          <cell r="AC19">
            <v>54555.590109999997</v>
          </cell>
          <cell r="AD19">
            <v>56364.409169999999</v>
          </cell>
          <cell r="AE19">
            <v>58259.534659999998</v>
          </cell>
          <cell r="AF19">
            <v>60211.093000000001</v>
          </cell>
          <cell r="AG19">
            <v>62194.935250000002</v>
          </cell>
          <cell r="AH19">
            <v>64193.96817</v>
          </cell>
          <cell r="AI19">
            <v>66193.842290000001</v>
          </cell>
          <cell r="AJ19">
            <v>68181.462209999998</v>
          </cell>
          <cell r="AK19">
            <v>70144.380550000002</v>
          </cell>
        </row>
        <row r="20">
          <cell r="B20">
            <v>80197.86292</v>
          </cell>
          <cell r="C20">
            <v>82162.962849999996</v>
          </cell>
          <cell r="D20">
            <v>84306.376569999993</v>
          </cell>
          <cell r="E20">
            <v>86537.311079999999</v>
          </cell>
          <cell r="F20">
            <v>88865.79088</v>
          </cell>
          <cell r="G20">
            <v>91295.450700000001</v>
          </cell>
          <cell r="H20">
            <v>93835.204830000002</v>
          </cell>
          <cell r="I20">
            <v>96420.427750000003</v>
          </cell>
          <cell r="J20">
            <v>99002.440619999994</v>
          </cell>
          <cell r="K20">
            <v>101536.53140000001</v>
          </cell>
          <cell r="L20">
            <v>103827.1507</v>
          </cell>
          <cell r="M20">
            <v>105558.09209999999</v>
          </cell>
          <cell r="N20">
            <v>106962.0606</v>
          </cell>
          <cell r="O20">
            <v>108179.459</v>
          </cell>
          <cell r="P20">
            <v>109335.4405</v>
          </cell>
          <cell r="Q20">
            <v>110528.0264</v>
          </cell>
          <cell r="R20">
            <v>111819.9195</v>
          </cell>
          <cell r="S20">
            <v>113269.53320000001</v>
          </cell>
          <cell r="T20">
            <v>114921.9558</v>
          </cell>
          <cell r="U20">
            <v>116799.1689</v>
          </cell>
          <cell r="V20">
            <v>118915.8876</v>
          </cell>
          <cell r="W20">
            <v>121309.7356</v>
          </cell>
          <cell r="X20">
            <v>124013.28320000001</v>
          </cell>
          <cell r="Y20">
            <v>127037.9262</v>
          </cell>
          <cell r="Z20">
            <v>130373.35890000001</v>
          </cell>
          <cell r="AA20">
            <v>133995.66099999999</v>
          </cell>
          <cell r="AB20">
            <v>137848.15950000001</v>
          </cell>
          <cell r="AC20">
            <v>141967.1972</v>
          </cell>
          <cell r="AD20">
            <v>146368.9339</v>
          </cell>
          <cell r="AE20">
            <v>151006.21900000001</v>
          </cell>
          <cell r="AF20">
            <v>155807.50810000001</v>
          </cell>
          <cell r="AG20">
            <v>160725.64499999999</v>
          </cell>
          <cell r="AH20">
            <v>165725.05900000001</v>
          </cell>
          <cell r="AI20">
            <v>170773.69390000001</v>
          </cell>
          <cell r="AJ20">
            <v>175840.77309999999</v>
          </cell>
          <cell r="AK20">
            <v>180895.78409999999</v>
          </cell>
        </row>
        <row r="21">
          <cell r="B21">
            <v>80197.86292</v>
          </cell>
          <cell r="C21">
            <v>82162.962849999996</v>
          </cell>
          <cell r="D21">
            <v>84306.376569999993</v>
          </cell>
          <cell r="E21">
            <v>86537.311079999999</v>
          </cell>
          <cell r="F21">
            <v>88865.79088</v>
          </cell>
          <cell r="G21">
            <v>91295.450700000001</v>
          </cell>
          <cell r="H21">
            <v>93835.204830000002</v>
          </cell>
          <cell r="I21">
            <v>96475.477559999999</v>
          </cell>
          <cell r="J21">
            <v>99209.165200000003</v>
          </cell>
          <cell r="K21">
            <v>102033.1017</v>
          </cell>
          <cell r="L21">
            <v>104803.04489999999</v>
          </cell>
          <cell r="M21">
            <v>107065.26059999999</v>
          </cell>
          <cell r="N21">
            <v>108996.3471</v>
          </cell>
          <cell r="O21">
            <v>110724.28879999999</v>
          </cell>
          <cell r="P21">
            <v>112377.944</v>
          </cell>
          <cell r="Q21">
            <v>114062.599</v>
          </cell>
          <cell r="R21">
            <v>115861.9333</v>
          </cell>
          <cell r="S21">
            <v>117846.57769999999</v>
          </cell>
          <cell r="T21">
            <v>120069.40459999999</v>
          </cell>
          <cell r="U21">
            <v>122557.97719999999</v>
          </cell>
          <cell r="V21">
            <v>125332.4719</v>
          </cell>
          <cell r="W21">
            <v>128415.7696</v>
          </cell>
          <cell r="X21">
            <v>131837.60320000001</v>
          </cell>
          <cell r="Y21">
            <v>135610.27789999999</v>
          </cell>
          <cell r="Z21">
            <v>139723.70860000001</v>
          </cell>
          <cell r="AA21">
            <v>144153.73000000001</v>
          </cell>
          <cell r="AB21">
            <v>148818.5344</v>
          </cell>
          <cell r="AC21">
            <v>153748.31700000001</v>
          </cell>
          <cell r="AD21">
            <v>158957.30420000001</v>
          </cell>
          <cell r="AE21">
            <v>164392.27770000001</v>
          </cell>
          <cell r="AF21">
            <v>169973.88920000001</v>
          </cell>
          <cell r="AG21">
            <v>175638.39799999999</v>
          </cell>
          <cell r="AH21">
            <v>181342.19639999999</v>
          </cell>
          <cell r="AI21">
            <v>187049.9749</v>
          </cell>
          <cell r="AJ21">
            <v>192730.14240000001</v>
          </cell>
          <cell r="AK21">
            <v>198352.73199999999</v>
          </cell>
        </row>
        <row r="22">
          <cell r="B22">
            <v>81058.886209999997</v>
          </cell>
          <cell r="C22">
            <v>83756.569270000007</v>
          </cell>
          <cell r="D22">
            <v>86514.168009999994</v>
          </cell>
          <cell r="E22">
            <v>89314.358919999999</v>
          </cell>
          <cell r="F22">
            <v>92171.069900000002</v>
          </cell>
          <cell r="G22">
            <v>95092.882079999996</v>
          </cell>
          <cell r="H22">
            <v>98088.027390000003</v>
          </cell>
          <cell r="I22">
            <v>101130.91099999999</v>
          </cell>
          <cell r="J22">
            <v>104201.1297</v>
          </cell>
          <cell r="K22">
            <v>107278.6453</v>
          </cell>
          <cell r="L22">
            <v>110128.3648</v>
          </cell>
          <cell r="M22">
            <v>112196.32120000001</v>
          </cell>
          <cell r="N22">
            <v>113816.379</v>
          </cell>
          <cell r="O22">
            <v>115170.2501</v>
          </cell>
          <cell r="P22">
            <v>116426.7115</v>
          </cell>
          <cell r="Q22">
            <v>117715.9136</v>
          </cell>
          <cell r="R22">
            <v>119131.0566</v>
          </cell>
          <cell r="S22">
            <v>120750.86470000001</v>
          </cell>
          <cell r="T22">
            <v>122630.56540000001</v>
          </cell>
          <cell r="U22">
            <v>124791.70050000001</v>
          </cell>
          <cell r="V22">
            <v>127253.23510000001</v>
          </cell>
          <cell r="W22">
            <v>130039.088</v>
          </cell>
          <cell r="X22">
            <v>133184.47339999999</v>
          </cell>
          <cell r="Y22">
            <v>136698.3719</v>
          </cell>
          <cell r="Z22">
            <v>140560.91750000001</v>
          </cell>
          <cell r="AA22">
            <v>144750.177</v>
          </cell>
          <cell r="AB22">
            <v>149240.8916</v>
          </cell>
          <cell r="AC22">
            <v>154075.87299999999</v>
          </cell>
          <cell r="AD22">
            <v>159259.4087</v>
          </cell>
          <cell r="AE22">
            <v>164713.20670000001</v>
          </cell>
          <cell r="AF22">
            <v>170337.37179999999</v>
          </cell>
          <cell r="AG22">
            <v>176065.32310000001</v>
          </cell>
          <cell r="AH22">
            <v>181856.44699999999</v>
          </cell>
          <cell r="AI22">
            <v>187677.3253</v>
          </cell>
          <cell r="AJ22">
            <v>193496.66690000001</v>
          </cell>
          <cell r="AK22">
            <v>199283.18659999999</v>
          </cell>
        </row>
        <row r="23">
          <cell r="B23">
            <v>81058.886209999997</v>
          </cell>
          <cell r="C23">
            <v>83756.569270000007</v>
          </cell>
          <cell r="D23">
            <v>86514.168009999994</v>
          </cell>
          <cell r="E23">
            <v>89314.358919999999</v>
          </cell>
          <cell r="F23">
            <v>92171.069900000002</v>
          </cell>
          <cell r="G23">
            <v>95092.882079999996</v>
          </cell>
          <cell r="H23">
            <v>98088.027390000003</v>
          </cell>
          <cell r="I23">
            <v>101154.99069999999</v>
          </cell>
          <cell r="J23">
            <v>104294.4711</v>
          </cell>
          <cell r="K23">
            <v>107509.68919999999</v>
          </cell>
          <cell r="L23">
            <v>110596.164</v>
          </cell>
          <cell r="M23">
            <v>112951.6434</v>
          </cell>
          <cell r="N23">
            <v>114887.9022</v>
          </cell>
          <cell r="O23">
            <v>116581.8918</v>
          </cell>
          <cell r="P23">
            <v>118201.8579</v>
          </cell>
          <cell r="Q23">
            <v>119876.4074</v>
          </cell>
          <cell r="R23">
            <v>121702.08749999999</v>
          </cell>
          <cell r="S23">
            <v>123758.5034</v>
          </cell>
          <cell r="T23">
            <v>126100.908</v>
          </cell>
          <cell r="U23">
            <v>128751.0422</v>
          </cell>
          <cell r="V23">
            <v>131729.45850000001</v>
          </cell>
          <cell r="W23">
            <v>135053.62880000001</v>
          </cell>
          <cell r="X23">
            <v>138756.8798</v>
          </cell>
          <cell r="Y23">
            <v>142847.67619999999</v>
          </cell>
          <cell r="Z23">
            <v>147304.46239999999</v>
          </cell>
          <cell r="AA23">
            <v>152103.51980000001</v>
          </cell>
          <cell r="AB23">
            <v>157208.12100000001</v>
          </cell>
          <cell r="AC23">
            <v>162658.3462</v>
          </cell>
          <cell r="AD23">
            <v>168456.15460000001</v>
          </cell>
          <cell r="AE23">
            <v>174516.5166</v>
          </cell>
          <cell r="AF23">
            <v>180731.61429999999</v>
          </cell>
          <cell r="AG23">
            <v>187024.89480000001</v>
          </cell>
          <cell r="AH23">
            <v>193350.08350000001</v>
          </cell>
          <cell r="AI23">
            <v>199671.21170000001</v>
          </cell>
          <cell r="AJ23">
            <v>205956.18659999999</v>
          </cell>
          <cell r="AK23">
            <v>212174.05100000001</v>
          </cell>
        </row>
        <row r="24">
          <cell r="B24">
            <v>104612.0425</v>
          </cell>
          <cell r="C24">
            <v>106731.8864</v>
          </cell>
          <cell r="D24">
            <v>109163.5503</v>
          </cell>
          <cell r="E24">
            <v>111817.98639999999</v>
          </cell>
          <cell r="F24">
            <v>114648.05899999999</v>
          </cell>
          <cell r="G24">
            <v>117631.15700000001</v>
          </cell>
          <cell r="H24">
            <v>120746.39079999999</v>
          </cell>
          <cell r="I24">
            <v>123977.9436</v>
          </cell>
          <cell r="J24">
            <v>127307.4204</v>
          </cell>
          <cell r="K24">
            <v>130725.2196</v>
          </cell>
          <cell r="L24">
            <v>134098.6538</v>
          </cell>
          <cell r="M24">
            <v>136968.93119999999</v>
          </cell>
          <cell r="N24">
            <v>139484.3725</v>
          </cell>
          <cell r="O24">
            <v>141740.33170000001</v>
          </cell>
          <cell r="P24">
            <v>143841.2114</v>
          </cell>
          <cell r="Q24">
            <v>145885.70749999999</v>
          </cell>
          <cell r="R24">
            <v>147965.51519999999</v>
          </cell>
          <cell r="S24">
            <v>150163.7628</v>
          </cell>
          <cell r="T24">
            <v>152549.10999999999</v>
          </cell>
          <cell r="U24">
            <v>155163.90820000001</v>
          </cell>
          <cell r="V24">
            <v>158029.54800000001</v>
          </cell>
          <cell r="W24">
            <v>161189.81450000001</v>
          </cell>
          <cell r="X24">
            <v>164683.84330000001</v>
          </cell>
          <cell r="Y24">
            <v>168531.3836</v>
          </cell>
          <cell r="Z24">
            <v>172729.8737</v>
          </cell>
          <cell r="AA24">
            <v>177235.94080000001</v>
          </cell>
          <cell r="AB24">
            <v>182022.42800000001</v>
          </cell>
          <cell r="AC24">
            <v>187116.59820000001</v>
          </cell>
          <cell r="AD24">
            <v>192537.68369999999</v>
          </cell>
          <cell r="AE24">
            <v>198251.36180000001</v>
          </cell>
          <cell r="AF24">
            <v>204196.0189</v>
          </cell>
          <cell r="AG24">
            <v>210315.83530000001</v>
          </cell>
          <cell r="AH24">
            <v>216571.57810000001</v>
          </cell>
          <cell r="AI24">
            <v>222925.2022</v>
          </cell>
          <cell r="AJ24">
            <v>229338.6482</v>
          </cell>
          <cell r="AK24">
            <v>235773.0987</v>
          </cell>
        </row>
        <row r="25">
          <cell r="B25">
            <v>104612.0425</v>
          </cell>
          <cell r="C25">
            <v>106731.8864</v>
          </cell>
          <cell r="D25">
            <v>109163.5503</v>
          </cell>
          <cell r="E25">
            <v>111817.98639999999</v>
          </cell>
          <cell r="F25">
            <v>114648.05899999999</v>
          </cell>
          <cell r="G25">
            <v>117631.15700000001</v>
          </cell>
          <cell r="H25">
            <v>120746.39079999999</v>
          </cell>
          <cell r="I25">
            <v>123979.5868</v>
          </cell>
          <cell r="J25">
            <v>127321.3694</v>
          </cell>
          <cell r="K25">
            <v>130766.91280000001</v>
          </cell>
          <cell r="L25">
            <v>134192.1966</v>
          </cell>
          <cell r="M25">
            <v>137150.49100000001</v>
          </cell>
          <cell r="N25">
            <v>139765.9044</v>
          </cell>
          <cell r="O25">
            <v>142139.02559999999</v>
          </cell>
          <cell r="P25">
            <v>144382.60200000001</v>
          </cell>
          <cell r="Q25">
            <v>146597.2488</v>
          </cell>
          <cell r="R25">
            <v>148872.07339999999</v>
          </cell>
          <cell r="S25">
            <v>151288.44589999999</v>
          </cell>
          <cell r="T25">
            <v>153911.217</v>
          </cell>
          <cell r="U25">
            <v>156779.7868</v>
          </cell>
          <cell r="V25">
            <v>159914.5974</v>
          </cell>
          <cell r="W25">
            <v>163358.85750000001</v>
          </cell>
          <cell r="X25">
            <v>167147.18900000001</v>
          </cell>
          <cell r="Y25">
            <v>171297.92499999999</v>
          </cell>
          <cell r="Z25">
            <v>175806.01300000001</v>
          </cell>
          <cell r="AA25">
            <v>180625.22150000001</v>
          </cell>
          <cell r="AB25">
            <v>185728.36230000001</v>
          </cell>
          <cell r="AC25">
            <v>191138.09150000001</v>
          </cell>
          <cell r="AD25">
            <v>196869.1428</v>
          </cell>
          <cell r="AE25">
            <v>202880.1385</v>
          </cell>
          <cell r="AF25">
            <v>209101.8885</v>
          </cell>
          <cell r="AG25">
            <v>215473.78779999999</v>
          </cell>
          <cell r="AH25">
            <v>221949.62650000001</v>
          </cell>
          <cell r="AI25">
            <v>228488.18460000001</v>
          </cell>
          <cell r="AJ25">
            <v>235049.61110000001</v>
          </cell>
          <cell r="AK25">
            <v>241593.83919999999</v>
          </cell>
        </row>
        <row r="26">
          <cell r="B26">
            <v>271071.82150000002</v>
          </cell>
          <cell r="C26">
            <v>275219.20120000001</v>
          </cell>
          <cell r="D26">
            <v>280227.11729999998</v>
          </cell>
          <cell r="E26">
            <v>285988.29019999999</v>
          </cell>
          <cell r="F26">
            <v>292436.53840000002</v>
          </cell>
          <cell r="G26">
            <v>299503.6923</v>
          </cell>
          <cell r="H26">
            <v>307247.57329999999</v>
          </cell>
          <cell r="I26">
            <v>315600.90509999997</v>
          </cell>
          <cell r="J26">
            <v>324550.99469999998</v>
          </cell>
          <cell r="K26">
            <v>334124.86</v>
          </cell>
          <cell r="L26">
            <v>344304.36180000001</v>
          </cell>
          <cell r="M26">
            <v>354729.71519999998</v>
          </cell>
          <cell r="N26">
            <v>365284.50670000003</v>
          </cell>
          <cell r="O26">
            <v>375929.6899</v>
          </cell>
          <cell r="P26">
            <v>386672.55469999998</v>
          </cell>
          <cell r="Q26">
            <v>397562.005</v>
          </cell>
          <cell r="R26">
            <v>408688.96899999998</v>
          </cell>
          <cell r="S26">
            <v>420170.6753</v>
          </cell>
          <cell r="T26">
            <v>432131.77539999998</v>
          </cell>
          <cell r="U26">
            <v>444682.0551</v>
          </cell>
          <cell r="V26">
            <v>457884.0001</v>
          </cell>
          <cell r="W26">
            <v>471881.51439999999</v>
          </cell>
          <cell r="X26">
            <v>486781.4522</v>
          </cell>
          <cell r="Y26">
            <v>502678.7009</v>
          </cell>
          <cell r="Z26">
            <v>519648.17920000001</v>
          </cell>
          <cell r="AA26">
            <v>537659.97420000006</v>
          </cell>
          <cell r="AB26">
            <v>555923.62809999997</v>
          </cell>
          <cell r="AC26">
            <v>574496.40319999994</v>
          </cell>
          <cell r="AD26">
            <v>593587.91200000001</v>
          </cell>
          <cell r="AE26">
            <v>613347.57920000004</v>
          </cell>
          <cell r="AF26">
            <v>633834.45449999999</v>
          </cell>
          <cell r="AG26">
            <v>655061.36769999994</v>
          </cell>
          <cell r="AH26">
            <v>676999.23179999995</v>
          </cell>
          <cell r="AI26">
            <v>699594.54760000005</v>
          </cell>
          <cell r="AJ26">
            <v>722775.40179999999</v>
          </cell>
          <cell r="AK26">
            <v>746453.51789999998</v>
          </cell>
        </row>
        <row r="27">
          <cell r="B27">
            <v>271071.82150000002</v>
          </cell>
          <cell r="C27">
            <v>275219.20120000001</v>
          </cell>
          <cell r="D27">
            <v>280227.11729999998</v>
          </cell>
          <cell r="E27">
            <v>285988.29019999999</v>
          </cell>
          <cell r="F27">
            <v>292436.53840000002</v>
          </cell>
          <cell r="G27">
            <v>299503.6923</v>
          </cell>
          <cell r="H27">
            <v>307247.57329999999</v>
          </cell>
          <cell r="I27">
            <v>315614.54930000001</v>
          </cell>
          <cell r="J27">
            <v>324569.27740000002</v>
          </cell>
          <cell r="K27">
            <v>334102.63400000002</v>
          </cell>
          <cell r="L27">
            <v>344163.7856</v>
          </cell>
          <cell r="M27">
            <v>354301.38219999999</v>
          </cell>
          <cell r="N27">
            <v>364398.04670000001</v>
          </cell>
          <cell r="O27">
            <v>374458.31929999997</v>
          </cell>
          <cell r="P27">
            <v>384541.31479999999</v>
          </cell>
          <cell r="Q27">
            <v>394730.52480000001</v>
          </cell>
          <cell r="R27">
            <v>405145.05599999998</v>
          </cell>
          <cell r="S27">
            <v>415903.10710000002</v>
          </cell>
          <cell r="T27">
            <v>427118.47840000002</v>
          </cell>
          <cell r="U27">
            <v>438887.20250000001</v>
          </cell>
          <cell r="V27">
            <v>451260.06679999997</v>
          </cell>
          <cell r="W27">
            <v>464344.32209999999</v>
          </cell>
          <cell r="X27">
            <v>478235.46059999999</v>
          </cell>
          <cell r="Y27">
            <v>493023.90250000003</v>
          </cell>
          <cell r="Z27">
            <v>508780.21380000003</v>
          </cell>
          <cell r="AA27">
            <v>525470.30099999998</v>
          </cell>
          <cell r="AB27">
            <v>542234.10069999995</v>
          </cell>
          <cell r="AC27">
            <v>559114.70129999996</v>
          </cell>
          <cell r="AD27">
            <v>576320.17870000005</v>
          </cell>
          <cell r="AE27">
            <v>593998.57299999997</v>
          </cell>
          <cell r="AF27">
            <v>612204.77679999999</v>
          </cell>
          <cell r="AG27">
            <v>630934.12919999997</v>
          </cell>
          <cell r="AH27">
            <v>650151.87569999998</v>
          </cell>
          <cell r="AI27">
            <v>669803.85759999999</v>
          </cell>
          <cell r="AJ27">
            <v>689820.23930000002</v>
          </cell>
          <cell r="AK27">
            <v>710116.08719999995</v>
          </cell>
        </row>
        <row r="28">
          <cell r="B28">
            <v>6785.3406999999997</v>
          </cell>
          <cell r="C28">
            <v>6899.1160410000002</v>
          </cell>
          <cell r="D28">
            <v>7023.8280830000003</v>
          </cell>
          <cell r="E28">
            <v>7157.8706339999999</v>
          </cell>
          <cell r="F28">
            <v>7300.9736329999996</v>
          </cell>
          <cell r="G28">
            <v>7452.4084080000002</v>
          </cell>
          <cell r="H28">
            <v>7611.1567139999997</v>
          </cell>
          <cell r="I28">
            <v>7774.1775909999997</v>
          </cell>
          <cell r="J28">
            <v>7939.0800099999997</v>
          </cell>
          <cell r="K28">
            <v>8103.8992090000002</v>
          </cell>
          <cell r="L28">
            <v>8260.9373290000003</v>
          </cell>
          <cell r="M28">
            <v>8392.6671860000006</v>
          </cell>
          <cell r="N28">
            <v>8506.6078949999992</v>
          </cell>
          <cell r="O28">
            <v>8606.8375479999995</v>
          </cell>
          <cell r="P28">
            <v>8697.7837500000005</v>
          </cell>
          <cell r="Q28">
            <v>8783.8661229999998</v>
          </cell>
          <cell r="R28">
            <v>8868.9593449999993</v>
          </cell>
          <cell r="S28">
            <v>8957.0077450000008</v>
          </cell>
          <cell r="T28">
            <v>9051.4866880000009</v>
          </cell>
          <cell r="U28">
            <v>9154.7287990000004</v>
          </cell>
          <cell r="V28">
            <v>9267.8487860000005</v>
          </cell>
          <cell r="W28">
            <v>9394.2251489999999</v>
          </cell>
          <cell r="X28">
            <v>9535.9399529999992</v>
          </cell>
          <cell r="Y28">
            <v>9694.0293729999994</v>
          </cell>
          <cell r="Z28">
            <v>9868.4718140000004</v>
          </cell>
          <cell r="AA28">
            <v>10056.71724</v>
          </cell>
          <cell r="AB28">
            <v>10257.04607</v>
          </cell>
          <cell r="AC28">
            <v>10471.851780000001</v>
          </cell>
          <cell r="AD28">
            <v>10702.337820000001</v>
          </cell>
          <cell r="AE28">
            <v>10946.840679999999</v>
          </cell>
          <cell r="AF28">
            <v>11202.26281</v>
          </cell>
          <cell r="AG28">
            <v>11466.092000000001</v>
          </cell>
          <cell r="AH28">
            <v>11736.163570000001</v>
          </cell>
          <cell r="AI28">
            <v>12010.2772</v>
          </cell>
          <cell r="AJ28">
            <v>12286.235259999999</v>
          </cell>
          <cell r="AK28">
            <v>12561.856379999999</v>
          </cell>
        </row>
        <row r="29">
          <cell r="B29">
            <v>6785.3406999999997</v>
          </cell>
          <cell r="C29">
            <v>6899.1160410000002</v>
          </cell>
          <cell r="D29">
            <v>7023.8280830000003</v>
          </cell>
          <cell r="E29">
            <v>7157.8706339999999</v>
          </cell>
          <cell r="F29">
            <v>7300.9736329999996</v>
          </cell>
          <cell r="G29">
            <v>7452.4084080000002</v>
          </cell>
          <cell r="H29">
            <v>7611.1567139999997</v>
          </cell>
          <cell r="I29">
            <v>7775.8475019999996</v>
          </cell>
          <cell r="J29">
            <v>7945.5280329999996</v>
          </cell>
          <cell r="K29">
            <v>8119.5608549999997</v>
          </cell>
          <cell r="L29">
            <v>8292.2040249999991</v>
          </cell>
          <cell r="M29">
            <v>8441.5410580000007</v>
          </cell>
          <cell r="N29">
            <v>8572.6577419999994</v>
          </cell>
          <cell r="O29">
            <v>8689.7335390000007</v>
          </cell>
          <cell r="P29">
            <v>8797.829178</v>
          </cell>
          <cell r="Q29">
            <v>8901.8260819999996</v>
          </cell>
          <cell r="R29">
            <v>9006.3721939999996</v>
          </cell>
          <cell r="S29">
            <v>9115.8059369999992</v>
          </cell>
          <cell r="T29">
            <v>9233.7623149999999</v>
          </cell>
          <cell r="U29">
            <v>9362.69067</v>
          </cell>
          <cell r="V29">
            <v>9503.8597690000006</v>
          </cell>
          <cell r="W29">
            <v>9660.0970450000004</v>
          </cell>
          <cell r="X29">
            <v>9833.2930710000001</v>
          </cell>
          <cell r="Y29">
            <v>10024.54009</v>
          </cell>
          <cell r="Z29">
            <v>10233.82583</v>
          </cell>
          <cell r="AA29">
            <v>10458.542460000001</v>
          </cell>
          <cell r="AB29">
            <v>10696.44997</v>
          </cell>
          <cell r="AC29">
            <v>10949.692950000001</v>
          </cell>
          <cell r="AD29">
            <v>11219.298129999999</v>
          </cell>
          <cell r="AE29">
            <v>11503.26492</v>
          </cell>
          <cell r="AF29">
            <v>11798.09405</v>
          </cell>
          <cell r="AG29">
            <v>12100.545990000001</v>
          </cell>
          <cell r="AH29">
            <v>12407.971299999999</v>
          </cell>
          <cell r="AI29">
            <v>12717.936820000001</v>
          </cell>
          <cell r="AJ29">
            <v>13028.09895</v>
          </cell>
          <cell r="AK29">
            <v>13336.158020000001</v>
          </cell>
        </row>
        <row r="30">
          <cell r="B30">
            <v>78061.234809999994</v>
          </cell>
          <cell r="C30">
            <v>79370.151190000004</v>
          </cell>
          <cell r="D30">
            <v>80804.887690000003</v>
          </cell>
          <cell r="E30">
            <v>82346.966050000003</v>
          </cell>
          <cell r="F30">
            <v>83993.279380000007</v>
          </cell>
          <cell r="G30">
            <v>85735.444740000006</v>
          </cell>
          <cell r="H30">
            <v>87561.747839999996</v>
          </cell>
          <cell r="I30">
            <v>89437.204280000005</v>
          </cell>
          <cell r="J30">
            <v>91334.30674</v>
          </cell>
          <cell r="K30">
            <v>93230.451780000003</v>
          </cell>
          <cell r="L30">
            <v>95037.080230000007</v>
          </cell>
          <cell r="M30">
            <v>96552.552450000003</v>
          </cell>
          <cell r="N30">
            <v>97863.371289999995</v>
          </cell>
          <cell r="O30">
            <v>99016.452739999993</v>
          </cell>
          <cell r="P30">
            <v>100062.7337</v>
          </cell>
          <cell r="Q30">
            <v>101053.05929999999</v>
          </cell>
          <cell r="R30">
            <v>102032.0052</v>
          </cell>
          <cell r="S30">
            <v>103044.9488</v>
          </cell>
          <cell r="T30">
            <v>104131.87179999999</v>
          </cell>
          <cell r="U30">
            <v>105319.6097</v>
          </cell>
          <cell r="V30">
            <v>106620.98669999999</v>
          </cell>
          <cell r="W30">
            <v>108074.8702</v>
          </cell>
          <cell r="X30">
            <v>109705.21309999999</v>
          </cell>
          <cell r="Y30">
            <v>111523.9362</v>
          </cell>
          <cell r="Z30">
            <v>113530.7908</v>
          </cell>
          <cell r="AA30">
            <v>115696.4403</v>
          </cell>
          <cell r="AB30">
            <v>118001.1023</v>
          </cell>
          <cell r="AC30">
            <v>120472.3118</v>
          </cell>
          <cell r="AD30">
            <v>123123.91409999999</v>
          </cell>
          <cell r="AE30">
            <v>125936.7714</v>
          </cell>
          <cell r="AF30">
            <v>128875.24830000001</v>
          </cell>
          <cell r="AG30">
            <v>131910.44339999999</v>
          </cell>
          <cell r="AH30">
            <v>135017.45319999999</v>
          </cell>
          <cell r="AI30">
            <v>138170.9644</v>
          </cell>
          <cell r="AJ30">
            <v>141345.6948</v>
          </cell>
          <cell r="AK30">
            <v>144516.54889999999</v>
          </cell>
        </row>
        <row r="31">
          <cell r="B31">
            <v>78061.234809999994</v>
          </cell>
          <cell r="C31">
            <v>79370.151190000004</v>
          </cell>
          <cell r="D31">
            <v>80804.887690000003</v>
          </cell>
          <cell r="E31">
            <v>82346.966050000003</v>
          </cell>
          <cell r="F31">
            <v>83993.279380000007</v>
          </cell>
          <cell r="G31">
            <v>85735.444740000006</v>
          </cell>
          <cell r="H31">
            <v>87561.747839999996</v>
          </cell>
          <cell r="I31">
            <v>89456.415599999993</v>
          </cell>
          <cell r="J31">
            <v>91408.487330000004</v>
          </cell>
          <cell r="K31">
            <v>93410.629530000006</v>
          </cell>
          <cell r="L31">
            <v>95396.784639999998</v>
          </cell>
          <cell r="M31">
            <v>97114.816749999998</v>
          </cell>
          <cell r="N31">
            <v>98623.234769999995</v>
          </cell>
          <cell r="O31">
            <v>99970.120909999998</v>
          </cell>
          <cell r="P31">
            <v>101213.6958</v>
          </cell>
          <cell r="Q31">
            <v>102410.1171</v>
          </cell>
          <cell r="R31">
            <v>103612.85679999999</v>
          </cell>
          <cell r="S31">
            <v>104871.82580000001</v>
          </cell>
          <cell r="T31">
            <v>106228.8425</v>
          </cell>
          <cell r="U31">
            <v>107712.0851</v>
          </cell>
          <cell r="V31">
            <v>109336.1501</v>
          </cell>
          <cell r="W31">
            <v>111133.5653</v>
          </cell>
          <cell r="X31">
            <v>113126.08070000001</v>
          </cell>
          <cell r="Y31">
            <v>115326.2617</v>
          </cell>
          <cell r="Z31">
            <v>117733.9675</v>
          </cell>
          <cell r="AA31">
            <v>120319.1961</v>
          </cell>
          <cell r="AB31">
            <v>123056.1779</v>
          </cell>
          <cell r="AC31">
            <v>125969.5851</v>
          </cell>
          <cell r="AD31">
            <v>129071.22930000001</v>
          </cell>
          <cell r="AE31">
            <v>132338.09529999999</v>
          </cell>
          <cell r="AF31">
            <v>135729.9258</v>
          </cell>
          <cell r="AG31">
            <v>139209.4522</v>
          </cell>
          <cell r="AH31">
            <v>142746.1942</v>
          </cell>
          <cell r="AI31">
            <v>146312.15969999999</v>
          </cell>
          <cell r="AJ31">
            <v>149880.3872</v>
          </cell>
          <cell r="AK31">
            <v>153424.42009999999</v>
          </cell>
        </row>
        <row r="32">
          <cell r="B32">
            <v>15431.63877</v>
          </cell>
          <cell r="C32">
            <v>16000.62837</v>
          </cell>
          <cell r="D32">
            <v>16565.44512</v>
          </cell>
          <cell r="E32">
            <v>17125.93952</v>
          </cell>
          <cell r="F32">
            <v>17694.421969999999</v>
          </cell>
          <cell r="G32">
            <v>18276.371330000002</v>
          </cell>
          <cell r="H32">
            <v>18873.570449999999</v>
          </cell>
          <cell r="I32">
            <v>19469.115709999998</v>
          </cell>
          <cell r="J32">
            <v>20049.6587</v>
          </cell>
          <cell r="K32">
            <v>20601.651989999998</v>
          </cell>
          <cell r="L32">
            <v>21060.65914</v>
          </cell>
          <cell r="M32">
            <v>21342.57314</v>
          </cell>
          <cell r="N32">
            <v>21542.25489</v>
          </cell>
          <cell r="O32">
            <v>21704.806410000001</v>
          </cell>
          <cell r="P32">
            <v>21865.688770000001</v>
          </cell>
          <cell r="Q32">
            <v>22048.681799999998</v>
          </cell>
          <cell r="R32">
            <v>22265.20678</v>
          </cell>
          <cell r="S32">
            <v>22525.98821</v>
          </cell>
          <cell r="T32">
            <v>22838.00403</v>
          </cell>
          <cell r="U32">
            <v>23201.921350000001</v>
          </cell>
          <cell r="V32">
            <v>23619.44341</v>
          </cell>
          <cell r="W32">
            <v>24097.390029999999</v>
          </cell>
          <cell r="X32">
            <v>24642.941930000001</v>
          </cell>
          <cell r="Y32">
            <v>25256.372230000001</v>
          </cell>
          <cell r="Z32">
            <v>25931.460630000001</v>
          </cell>
          <cell r="AA32">
            <v>26663.96918</v>
          </cell>
          <cell r="AB32">
            <v>27458.096600000001</v>
          </cell>
          <cell r="AC32">
            <v>28321.332490000001</v>
          </cell>
          <cell r="AD32">
            <v>29251.918280000002</v>
          </cell>
          <cell r="AE32">
            <v>30231.564320000001</v>
          </cell>
          <cell r="AF32">
            <v>31238.848310000001</v>
          </cell>
          <cell r="AG32">
            <v>32263.640520000001</v>
          </cell>
          <cell r="AH32">
            <v>33299.696900000003</v>
          </cell>
          <cell r="AI32">
            <v>34341.472829999999</v>
          </cell>
          <cell r="AJ32">
            <v>35383.464169999999</v>
          </cell>
          <cell r="AK32">
            <v>36419.965839999997</v>
          </cell>
        </row>
        <row r="33">
          <cell r="B33">
            <v>15431.63877</v>
          </cell>
          <cell r="C33">
            <v>16000.62837</v>
          </cell>
          <cell r="D33">
            <v>16565.44512</v>
          </cell>
          <cell r="E33">
            <v>17125.93952</v>
          </cell>
          <cell r="F33">
            <v>17694.421969999999</v>
          </cell>
          <cell r="G33">
            <v>18276.371330000002</v>
          </cell>
          <cell r="H33">
            <v>18873.570449999999</v>
          </cell>
          <cell r="I33">
            <v>19486.492969999999</v>
          </cell>
          <cell r="J33">
            <v>20115.476490000001</v>
          </cell>
          <cell r="K33">
            <v>20761.108779999999</v>
          </cell>
          <cell r="L33">
            <v>21376.131000000001</v>
          </cell>
          <cell r="M33">
            <v>21828.058980000002</v>
          </cell>
          <cell r="N33">
            <v>22191.51757</v>
          </cell>
          <cell r="O33">
            <v>22506.42409</v>
          </cell>
          <cell r="P33">
            <v>22809.956200000001</v>
          </cell>
          <cell r="Q33">
            <v>23129.640060000002</v>
          </cell>
          <cell r="R33">
            <v>23485.23242</v>
          </cell>
          <cell r="S33">
            <v>23892.549650000001</v>
          </cell>
          <cell r="T33">
            <v>24361.700219999999</v>
          </cell>
          <cell r="U33">
            <v>24895.272850000001</v>
          </cell>
          <cell r="V33">
            <v>25496.644639999999</v>
          </cell>
          <cell r="W33">
            <v>26167.297139999999</v>
          </cell>
          <cell r="X33">
            <v>26913.320660000001</v>
          </cell>
          <cell r="Y33">
            <v>27735.377039999999</v>
          </cell>
          <cell r="Z33">
            <v>28627.668369999999</v>
          </cell>
          <cell r="AA33">
            <v>29586.515820000001</v>
          </cell>
          <cell r="AB33">
            <v>30611.727770000001</v>
          </cell>
          <cell r="AC33">
            <v>31710.355670000001</v>
          </cell>
          <cell r="AD33">
            <v>32880.750549999997</v>
          </cell>
          <cell r="AE33">
            <v>34103.149729999997</v>
          </cell>
          <cell r="AF33">
            <v>35354.132899999997</v>
          </cell>
          <cell r="AG33">
            <v>36618.267509999998</v>
          </cell>
          <cell r="AH33">
            <v>37887.254029999996</v>
          </cell>
          <cell r="AI33">
            <v>39155.103060000001</v>
          </cell>
          <cell r="AJ33">
            <v>40416.599520000003</v>
          </cell>
          <cell r="AK33">
            <v>41666.617019999998</v>
          </cell>
        </row>
        <row r="34">
          <cell r="B34">
            <v>20624.005109999998</v>
          </cell>
          <cell r="C34">
            <v>21144.948209999999</v>
          </cell>
          <cell r="D34">
            <v>21697.912100000001</v>
          </cell>
          <cell r="E34">
            <v>22259.77808</v>
          </cell>
          <cell r="F34">
            <v>22865.625380000001</v>
          </cell>
          <cell r="G34">
            <v>23528.351409999999</v>
          </cell>
          <cell r="H34">
            <v>24242.603340000001</v>
          </cell>
          <cell r="I34">
            <v>24937.47078</v>
          </cell>
          <cell r="J34">
            <v>25559.663649999999</v>
          </cell>
          <cell r="K34">
            <v>26065.357609999999</v>
          </cell>
          <cell r="L34">
            <v>26377.181199999999</v>
          </cell>
          <cell r="M34">
            <v>26559.354770000002</v>
          </cell>
          <cell r="N34">
            <v>26726.129300000001</v>
          </cell>
          <cell r="O34">
            <v>26901.465319999999</v>
          </cell>
          <cell r="P34">
            <v>27089.910550000001</v>
          </cell>
          <cell r="Q34">
            <v>27292.026249999999</v>
          </cell>
          <cell r="R34">
            <v>27495.73403</v>
          </cell>
          <cell r="S34">
            <v>27703.618320000001</v>
          </cell>
          <cell r="T34">
            <v>27924.292160000001</v>
          </cell>
          <cell r="U34">
            <v>28164.50791</v>
          </cell>
          <cell r="V34">
            <v>28427.003649999999</v>
          </cell>
          <cell r="W34">
            <v>28745.248090000001</v>
          </cell>
          <cell r="X34">
            <v>29132.486639999999</v>
          </cell>
          <cell r="Y34">
            <v>29590.688020000001</v>
          </cell>
          <cell r="Z34">
            <v>30115.65755</v>
          </cell>
          <cell r="AA34">
            <v>30691.567060000001</v>
          </cell>
          <cell r="AB34">
            <v>31336.231240000001</v>
          </cell>
          <cell r="AC34">
            <v>32058.005260000002</v>
          </cell>
          <cell r="AD34">
            <v>32857.901189999997</v>
          </cell>
          <cell r="AE34">
            <v>33725.41446</v>
          </cell>
          <cell r="AF34">
            <v>34645.577409999998</v>
          </cell>
          <cell r="AG34">
            <v>35617.01064</v>
          </cell>
          <cell r="AH34">
            <v>36633.376320000003</v>
          </cell>
          <cell r="AI34">
            <v>37683.917509999999</v>
          </cell>
          <cell r="AJ34">
            <v>38756.576999999997</v>
          </cell>
          <cell r="AK34">
            <v>39839.03772</v>
          </cell>
        </row>
        <row r="35">
          <cell r="B35">
            <v>20624.005109999998</v>
          </cell>
          <cell r="C35">
            <v>21144.948209999999</v>
          </cell>
          <cell r="D35">
            <v>21697.912100000001</v>
          </cell>
          <cell r="E35">
            <v>22259.77808</v>
          </cell>
          <cell r="F35">
            <v>22865.625380000001</v>
          </cell>
          <cell r="G35">
            <v>23528.351409999999</v>
          </cell>
          <cell r="H35">
            <v>24242.603340000001</v>
          </cell>
          <cell r="I35">
            <v>25002.117259999999</v>
          </cell>
          <cell r="J35">
            <v>25799.940119999999</v>
          </cell>
          <cell r="K35">
            <v>26630.313020000001</v>
          </cell>
          <cell r="L35">
            <v>27458.137490000001</v>
          </cell>
          <cell r="M35">
            <v>28161.763009999999</v>
          </cell>
          <cell r="N35">
            <v>28778.005539999998</v>
          </cell>
          <cell r="O35">
            <v>29326.829839999999</v>
          </cell>
          <cell r="P35">
            <v>29831.87357</v>
          </cell>
          <cell r="Q35">
            <v>30315.533960000001</v>
          </cell>
          <cell r="R35">
            <v>30799.617770000001</v>
          </cell>
          <cell r="S35">
            <v>31305.722239999999</v>
          </cell>
          <cell r="T35">
            <v>31851.85815</v>
          </cell>
          <cell r="U35">
            <v>32449.90295</v>
          </cell>
          <cell r="V35">
            <v>33105.92628</v>
          </cell>
          <cell r="W35">
            <v>33836.544779999997</v>
          </cell>
          <cell r="X35">
            <v>34651.975019999998</v>
          </cell>
          <cell r="Y35">
            <v>35558.549050000001</v>
          </cell>
          <cell r="Z35">
            <v>36556.591189999999</v>
          </cell>
          <cell r="AA35">
            <v>37631.662839999997</v>
          </cell>
          <cell r="AB35">
            <v>38793.724470000001</v>
          </cell>
          <cell r="AC35">
            <v>40049.65468</v>
          </cell>
          <cell r="AD35">
            <v>41402.493459999998</v>
          </cell>
          <cell r="AE35">
            <v>42841.391040000002</v>
          </cell>
          <cell r="AF35">
            <v>44349.146200000003</v>
          </cell>
          <cell r="AG35">
            <v>45910.753089999998</v>
          </cell>
          <cell r="AH35">
            <v>47513.96574</v>
          </cell>
          <cell r="AI35">
            <v>49146.69083</v>
          </cell>
          <cell r="AJ35">
            <v>50796.376029999999</v>
          </cell>
          <cell r="AK35">
            <v>52449.845009999997</v>
          </cell>
        </row>
        <row r="36">
          <cell r="B36">
            <v>2017054.709</v>
          </cell>
          <cell r="C36">
            <v>2053698.621</v>
          </cell>
          <cell r="D36">
            <v>2095994.8810000001</v>
          </cell>
          <cell r="E36">
            <v>2142981.8089999999</v>
          </cell>
          <cell r="F36">
            <v>2193484.8309999998</v>
          </cell>
          <cell r="G36">
            <v>2247049.2379999999</v>
          </cell>
          <cell r="H36">
            <v>2303231.06</v>
          </cell>
          <cell r="I36">
            <v>2362137.3319999999</v>
          </cell>
          <cell r="J36">
            <v>2423494.15</v>
          </cell>
          <cell r="K36">
            <v>2487314.702</v>
          </cell>
          <cell r="L36">
            <v>2552477.094</v>
          </cell>
          <cell r="M36">
            <v>2610440.54</v>
          </cell>
          <cell r="N36">
            <v>2662586.3709999998</v>
          </cell>
          <cell r="O36">
            <v>2709757.0920000002</v>
          </cell>
          <cell r="P36">
            <v>2753072.321</v>
          </cell>
          <cell r="Q36">
            <v>2793863.963</v>
          </cell>
          <cell r="R36">
            <v>2833791.8769999999</v>
          </cell>
          <cell r="S36">
            <v>2874303.7749999999</v>
          </cell>
          <cell r="T36">
            <v>2916711.7930000001</v>
          </cell>
          <cell r="U36">
            <v>2961971.247</v>
          </cell>
          <cell r="V36">
            <v>3010472.3820000002</v>
          </cell>
          <cell r="W36">
            <v>3063150.4559999998</v>
          </cell>
          <cell r="X36">
            <v>3120797.091</v>
          </cell>
          <cell r="Y36">
            <v>3183926.3640000001</v>
          </cell>
          <cell r="Z36">
            <v>3252721.923</v>
          </cell>
          <cell r="AA36">
            <v>3326131.1370000001</v>
          </cell>
          <cell r="AB36">
            <v>3403245.42</v>
          </cell>
          <cell r="AC36">
            <v>3484943.9909999999</v>
          </cell>
          <cell r="AD36">
            <v>3571922.97</v>
          </cell>
          <cell r="AE36">
            <v>3664045.0150000001</v>
          </cell>
          <cell r="AF36">
            <v>3760628.6809999999</v>
          </cell>
          <cell r="AG36">
            <v>3860735.5260000001</v>
          </cell>
          <cell r="AH36">
            <v>3963737.6469999999</v>
          </cell>
          <cell r="AI36">
            <v>4068931.557</v>
          </cell>
          <cell r="AJ36">
            <v>4175570.2259999998</v>
          </cell>
          <cell r="AK36">
            <v>4282876.9869999997</v>
          </cell>
        </row>
        <row r="37">
          <cell r="B37">
            <v>2017054.709</v>
          </cell>
          <cell r="C37">
            <v>2053698.621</v>
          </cell>
          <cell r="D37">
            <v>2095994.8810000001</v>
          </cell>
          <cell r="E37">
            <v>2142981.8089999999</v>
          </cell>
          <cell r="F37">
            <v>2193484.8309999998</v>
          </cell>
          <cell r="G37">
            <v>2247049.2379999999</v>
          </cell>
          <cell r="H37">
            <v>2303231.06</v>
          </cell>
          <cell r="I37">
            <v>2361586.9360000002</v>
          </cell>
          <cell r="J37">
            <v>2421816.34</v>
          </cell>
          <cell r="K37">
            <v>2483730.7549999999</v>
          </cell>
          <cell r="L37">
            <v>2545967.6290000002</v>
          </cell>
          <cell r="M37">
            <v>2602038.2030000002</v>
          </cell>
          <cell r="N37">
            <v>2652725.7850000001</v>
          </cell>
          <cell r="O37">
            <v>2698907.9670000002</v>
          </cell>
          <cell r="P37">
            <v>2741839.4879999999</v>
          </cell>
          <cell r="Q37">
            <v>2782865.767</v>
          </cell>
          <cell r="R37">
            <v>2823410.253</v>
          </cell>
          <cell r="S37">
            <v>2864888.3360000001</v>
          </cell>
          <cell r="T37">
            <v>2908539.8990000002</v>
          </cell>
          <cell r="U37">
            <v>2955265.2850000001</v>
          </cell>
          <cell r="V37">
            <v>3005435.6349999998</v>
          </cell>
          <cell r="W37">
            <v>3060233.86</v>
          </cell>
          <cell r="X37">
            <v>3120316.611</v>
          </cell>
          <cell r="Y37">
            <v>3186141.148</v>
          </cell>
          <cell r="Z37">
            <v>3257831.4810000001</v>
          </cell>
          <cell r="AA37">
            <v>3334284.5490000001</v>
          </cell>
          <cell r="AB37">
            <v>3414835.1719999998</v>
          </cell>
          <cell r="AC37">
            <v>3500231.085</v>
          </cell>
          <cell r="AD37">
            <v>3591036.5649999999</v>
          </cell>
          <cell r="AE37">
            <v>3686971.6379999998</v>
          </cell>
          <cell r="AF37">
            <v>3787222.7590000001</v>
          </cell>
          <cell r="AG37">
            <v>3890918.753</v>
          </cell>
          <cell r="AH37">
            <v>3997263.1749999998</v>
          </cell>
          <cell r="AI37">
            <v>4105463.227</v>
          </cell>
          <cell r="AJ37">
            <v>4214706.38</v>
          </cell>
          <cell r="AK37">
            <v>4324154.057</v>
          </cell>
        </row>
        <row r="38">
          <cell r="B38">
            <v>539598.62569999998</v>
          </cell>
          <cell r="C38">
            <v>546497.04790000001</v>
          </cell>
          <cell r="D38">
            <v>553788.14709999994</v>
          </cell>
          <cell r="E38">
            <v>561449.89720000001</v>
          </cell>
          <cell r="F38">
            <v>569396.21909999999</v>
          </cell>
          <cell r="G38">
            <v>577602.55099999998</v>
          </cell>
          <cell r="H38">
            <v>586045.64419999998</v>
          </cell>
          <cell r="I38">
            <v>594747.43700000003</v>
          </cell>
          <cell r="J38">
            <v>603682.51170000003</v>
          </cell>
          <cell r="K38">
            <v>612851.27679999999</v>
          </cell>
          <cell r="L38">
            <v>622216.38989999995</v>
          </cell>
          <cell r="M38">
            <v>631199.9987</v>
          </cell>
          <cell r="N38">
            <v>639882.07880000002</v>
          </cell>
          <cell r="O38">
            <v>648306.06370000006</v>
          </cell>
          <cell r="P38">
            <v>656529.47210000001</v>
          </cell>
          <cell r="Q38">
            <v>664628.67599999998</v>
          </cell>
          <cell r="R38">
            <v>672712.77399999998</v>
          </cell>
          <cell r="S38">
            <v>680868.33979999996</v>
          </cell>
          <cell r="T38">
            <v>689178.09329999995</v>
          </cell>
          <cell r="U38">
            <v>697706.49190000002</v>
          </cell>
          <cell r="V38">
            <v>706477.71340000001</v>
          </cell>
          <cell r="W38">
            <v>715550.93039999995</v>
          </cell>
          <cell r="X38">
            <v>724981.63699999999</v>
          </cell>
          <cell r="Y38">
            <v>734807.94050000003</v>
          </cell>
          <cell r="Z38">
            <v>745048.50719999999</v>
          </cell>
          <cell r="AA38">
            <v>755630.26839999994</v>
          </cell>
          <cell r="AB38">
            <v>766458.00210000004</v>
          </cell>
          <cell r="AC38">
            <v>777611.60990000004</v>
          </cell>
          <cell r="AD38">
            <v>789151.11699999997</v>
          </cell>
          <cell r="AE38">
            <v>801082.00789999997</v>
          </cell>
          <cell r="AF38">
            <v>813372.81720000005</v>
          </cell>
          <cell r="AG38">
            <v>825964.67119999998</v>
          </cell>
          <cell r="AH38">
            <v>838822.22770000005</v>
          </cell>
          <cell r="AI38">
            <v>851901.78819999995</v>
          </cell>
          <cell r="AJ38">
            <v>865155.66859999998</v>
          </cell>
          <cell r="AK38">
            <v>878534.10580000002</v>
          </cell>
        </row>
        <row r="39">
          <cell r="B39">
            <v>539598.62569999998</v>
          </cell>
          <cell r="C39">
            <v>546497.04790000001</v>
          </cell>
          <cell r="D39">
            <v>553788.14709999994</v>
          </cell>
          <cell r="E39">
            <v>561449.89720000001</v>
          </cell>
          <cell r="F39">
            <v>569396.21909999999</v>
          </cell>
          <cell r="G39">
            <v>577602.55099999998</v>
          </cell>
          <cell r="H39">
            <v>586045.64419999998</v>
          </cell>
          <cell r="I39">
            <v>594688.77690000006</v>
          </cell>
          <cell r="J39">
            <v>603506.63959999999</v>
          </cell>
          <cell r="K39">
            <v>612483.43599999999</v>
          </cell>
          <cell r="L39">
            <v>621558.58810000005</v>
          </cell>
          <cell r="M39">
            <v>630366.33189999999</v>
          </cell>
          <cell r="N39">
            <v>638918.90780000004</v>
          </cell>
          <cell r="O39">
            <v>647247.30810000002</v>
          </cell>
          <cell r="P39">
            <v>655411.80290000001</v>
          </cell>
          <cell r="Q39">
            <v>663487.82680000004</v>
          </cell>
          <cell r="R39">
            <v>671563.18429999996</v>
          </cell>
          <cell r="S39">
            <v>679726.94700000004</v>
          </cell>
          <cell r="T39">
            <v>688060.15280000004</v>
          </cell>
          <cell r="U39">
            <v>696625.51280000003</v>
          </cell>
          <cell r="V39">
            <v>705446.80189999996</v>
          </cell>
          <cell r="W39">
            <v>714609.54669999995</v>
          </cell>
          <cell r="X39">
            <v>724155.36069999996</v>
          </cell>
          <cell r="Y39">
            <v>734116.32750000001</v>
          </cell>
          <cell r="Z39">
            <v>744506.49690000003</v>
          </cell>
          <cell r="AA39">
            <v>755249.19920000003</v>
          </cell>
          <cell r="AB39">
            <v>766272.23759999999</v>
          </cell>
          <cell r="AC39">
            <v>777642.1814</v>
          </cell>
          <cell r="AD39">
            <v>789408.13769999996</v>
          </cell>
          <cell r="AE39">
            <v>801565.91769999999</v>
          </cell>
          <cell r="AF39">
            <v>814075.92960000003</v>
          </cell>
          <cell r="AG39">
            <v>826889.19140000001</v>
          </cell>
          <cell r="AH39">
            <v>839956.65209999995</v>
          </cell>
          <cell r="AI39">
            <v>853227.6152</v>
          </cell>
          <cell r="AJ39">
            <v>866649.49380000005</v>
          </cell>
          <cell r="AK39">
            <v>880167.99369999999</v>
          </cell>
        </row>
        <row r="40">
          <cell r="B40">
            <v>4212.6335879999997</v>
          </cell>
          <cell r="C40">
            <v>4282.8172869999999</v>
          </cell>
          <cell r="D40">
            <v>4361.6026549999997</v>
          </cell>
          <cell r="E40">
            <v>4445.228811</v>
          </cell>
          <cell r="F40">
            <v>4537.3833370000002</v>
          </cell>
          <cell r="G40">
            <v>4637.365495</v>
          </cell>
          <cell r="H40">
            <v>4743.6878559999996</v>
          </cell>
          <cell r="I40">
            <v>4848.8672280000001</v>
          </cell>
          <cell r="J40">
            <v>4949.5115420000002</v>
          </cell>
          <cell r="K40">
            <v>5042.8350879999998</v>
          </cell>
          <cell r="L40">
            <v>5121.5697469999996</v>
          </cell>
          <cell r="M40">
            <v>5184.3697519999996</v>
          </cell>
          <cell r="N40">
            <v>5236.7587350000003</v>
          </cell>
          <cell r="O40">
            <v>5282.7691100000002</v>
          </cell>
          <cell r="P40">
            <v>5326.0794939999996</v>
          </cell>
          <cell r="Q40">
            <v>5369.8599759999997</v>
          </cell>
          <cell r="R40">
            <v>5415.8160040000002</v>
          </cell>
          <cell r="S40">
            <v>5466.2806629999995</v>
          </cell>
          <cell r="T40">
            <v>5523.2847320000001</v>
          </cell>
          <cell r="U40">
            <v>5588.0731800000003</v>
          </cell>
          <cell r="V40">
            <v>5661.2251180000003</v>
          </cell>
          <cell r="W40">
            <v>5745.3603890000004</v>
          </cell>
          <cell r="X40">
            <v>5841.888524</v>
          </cell>
          <cell r="Y40">
            <v>5951.3075280000003</v>
          </cell>
          <cell r="Z40">
            <v>6073.296593</v>
          </cell>
          <cell r="AA40">
            <v>6206.1491919999999</v>
          </cell>
          <cell r="AB40">
            <v>6346.7545090000003</v>
          </cell>
          <cell r="AC40">
            <v>6497.1751969999996</v>
          </cell>
          <cell r="AD40">
            <v>6658.5462729999999</v>
          </cell>
          <cell r="AE40">
            <v>6829.4996000000001</v>
          </cell>
          <cell r="AF40">
            <v>7007.5221069999998</v>
          </cell>
          <cell r="AG40">
            <v>7191.0364499999996</v>
          </cell>
          <cell r="AH40">
            <v>7378.5257890000003</v>
          </cell>
          <cell r="AI40">
            <v>7568.4828280000002</v>
          </cell>
          <cell r="AJ40">
            <v>7759.4125009999998</v>
          </cell>
          <cell r="AK40">
            <v>7949.8499410000004</v>
          </cell>
        </row>
        <row r="41">
          <cell r="B41">
            <v>4212.6335879999997</v>
          </cell>
          <cell r="C41">
            <v>4282.8172869999999</v>
          </cell>
          <cell r="D41">
            <v>4361.6026549999997</v>
          </cell>
          <cell r="E41">
            <v>4445.228811</v>
          </cell>
          <cell r="F41">
            <v>4537.3833370000002</v>
          </cell>
          <cell r="G41">
            <v>4637.365495</v>
          </cell>
          <cell r="H41">
            <v>4743.6878559999996</v>
          </cell>
          <cell r="I41">
            <v>4855.6900450000003</v>
          </cell>
          <cell r="J41">
            <v>4972.3763049999998</v>
          </cell>
          <cell r="K41">
            <v>5093.0542759999998</v>
          </cell>
          <cell r="L41">
            <v>5212.7235069999997</v>
          </cell>
          <cell r="M41">
            <v>5315.8121739999997</v>
          </cell>
          <cell r="N41">
            <v>5405.2251580000002</v>
          </cell>
          <cell r="O41">
            <v>5484.9678009999998</v>
          </cell>
          <cell r="P41">
            <v>5559.6493129999999</v>
          </cell>
          <cell r="Q41">
            <v>5633.4405299999999</v>
          </cell>
          <cell r="R41">
            <v>5709.9642949999998</v>
          </cell>
          <cell r="S41">
            <v>5792.4528609999998</v>
          </cell>
          <cell r="T41">
            <v>5883.4905529999996</v>
          </cell>
          <cell r="U41">
            <v>5984.6964660000003</v>
          </cell>
          <cell r="V41">
            <v>6096.9785959999999</v>
          </cell>
          <cell r="W41">
            <v>6221.9110469999996</v>
          </cell>
          <cell r="X41">
            <v>6360.8368399999999</v>
          </cell>
          <cell r="Y41">
            <v>6514.4428550000002</v>
          </cell>
          <cell r="Z41">
            <v>6682.5912609999996</v>
          </cell>
          <cell r="AA41">
            <v>6863.6634610000001</v>
          </cell>
          <cell r="AB41">
            <v>7053.4086280000001</v>
          </cell>
          <cell r="AC41">
            <v>7253.708044</v>
          </cell>
          <cell r="AD41">
            <v>7465.7262989999999</v>
          </cell>
          <cell r="AE41">
            <v>7687.9100280000002</v>
          </cell>
          <cell r="AF41">
            <v>7917.423033</v>
          </cell>
          <cell r="AG41">
            <v>8151.6961270000002</v>
          </cell>
          <cell r="AH41">
            <v>8388.7432200000003</v>
          </cell>
          <cell r="AI41">
            <v>8626.8426259999997</v>
          </cell>
          <cell r="AJ41">
            <v>8864.3998460000003</v>
          </cell>
          <cell r="AK41">
            <v>9099.8886459999994</v>
          </cell>
        </row>
        <row r="42">
          <cell r="B42">
            <v>35347.820160000003</v>
          </cell>
          <cell r="C42">
            <v>35663.174330000002</v>
          </cell>
          <cell r="D42">
            <v>35984.856379999997</v>
          </cell>
          <cell r="E42">
            <v>36330.132960000003</v>
          </cell>
          <cell r="F42">
            <v>36785.36535</v>
          </cell>
          <cell r="G42">
            <v>37338.736799999999</v>
          </cell>
          <cell r="H42">
            <v>38000.01384</v>
          </cell>
          <cell r="I42">
            <v>38633.216099999998</v>
          </cell>
          <cell r="J42">
            <v>39202.302589999999</v>
          </cell>
          <cell r="K42">
            <v>39682.109380000002</v>
          </cell>
          <cell r="L42">
            <v>40027.561269999998</v>
          </cell>
          <cell r="M42">
            <v>40360.37556</v>
          </cell>
          <cell r="N42">
            <v>40692.362609999996</v>
          </cell>
          <cell r="O42">
            <v>41025.149619999997</v>
          </cell>
          <cell r="P42">
            <v>41360.466200000003</v>
          </cell>
          <cell r="Q42">
            <v>41701.640780000002</v>
          </cell>
          <cell r="R42">
            <v>42031.316420000003</v>
          </cell>
          <cell r="S42">
            <v>42371.762750000002</v>
          </cell>
          <cell r="T42">
            <v>42732.577129999998</v>
          </cell>
          <cell r="U42">
            <v>43120.029840000003</v>
          </cell>
          <cell r="V42">
            <v>43538.449869999997</v>
          </cell>
          <cell r="W42">
            <v>44014.744339999997</v>
          </cell>
          <cell r="X42">
            <v>44555.933949999999</v>
          </cell>
          <cell r="Y42">
            <v>45165.244500000001</v>
          </cell>
          <cell r="Z42">
            <v>45842.325620000003</v>
          </cell>
          <cell r="AA42">
            <v>46580.86073</v>
          </cell>
          <cell r="AB42">
            <v>47291.039100000002</v>
          </cell>
          <cell r="AC42">
            <v>48032.932000000001</v>
          </cell>
          <cell r="AD42">
            <v>48833.395499999999</v>
          </cell>
          <cell r="AE42">
            <v>49690.452140000001</v>
          </cell>
          <cell r="AF42">
            <v>50591.07114</v>
          </cell>
          <cell r="AG42">
            <v>51530.361839999998</v>
          </cell>
          <cell r="AH42">
            <v>52497.998480000002</v>
          </cell>
          <cell r="AI42">
            <v>53483.77648</v>
          </cell>
          <cell r="AJ42">
            <v>54477.515879999999</v>
          </cell>
          <cell r="AK42">
            <v>55469.022669999998</v>
          </cell>
        </row>
        <row r="43">
          <cell r="B43">
            <v>35347.820160000003</v>
          </cell>
          <cell r="C43">
            <v>35663.174330000002</v>
          </cell>
          <cell r="D43">
            <v>35984.856379999997</v>
          </cell>
          <cell r="E43">
            <v>36330.132960000003</v>
          </cell>
          <cell r="F43">
            <v>36785.36535</v>
          </cell>
          <cell r="G43">
            <v>37338.736799999999</v>
          </cell>
          <cell r="H43">
            <v>38000.01384</v>
          </cell>
          <cell r="I43">
            <v>38734.891880000003</v>
          </cell>
          <cell r="J43">
            <v>39526.276489999997</v>
          </cell>
          <cell r="K43">
            <v>40363.952250000002</v>
          </cell>
          <cell r="L43">
            <v>41215.892140000004</v>
          </cell>
          <cell r="M43">
            <v>41977.505949999999</v>
          </cell>
          <cell r="N43">
            <v>42664.152260000003</v>
          </cell>
          <cell r="O43">
            <v>43294.317990000003</v>
          </cell>
          <cell r="P43">
            <v>43887.78858</v>
          </cell>
          <cell r="Q43">
            <v>44463.202140000001</v>
          </cell>
          <cell r="R43">
            <v>45029.741439999998</v>
          </cell>
          <cell r="S43">
            <v>45617.204740000001</v>
          </cell>
          <cell r="T43">
            <v>46240.080090000003</v>
          </cell>
          <cell r="U43">
            <v>46908.087789999998</v>
          </cell>
          <cell r="V43">
            <v>47628.721039999997</v>
          </cell>
          <cell r="W43">
            <v>48415.236669999998</v>
          </cell>
          <cell r="X43">
            <v>49279.367460000001</v>
          </cell>
          <cell r="Y43">
            <v>50229.995179999998</v>
          </cell>
          <cell r="Z43">
            <v>51271.816910000001</v>
          </cell>
          <cell r="AA43">
            <v>52402.40092</v>
          </cell>
          <cell r="AB43">
            <v>53516.788350000003</v>
          </cell>
          <cell r="AC43">
            <v>54679.097930000004</v>
          </cell>
          <cell r="AD43">
            <v>55920.942069999997</v>
          </cell>
          <cell r="AE43">
            <v>57242.030310000002</v>
          </cell>
          <cell r="AF43">
            <v>58628.898840000002</v>
          </cell>
          <cell r="AG43">
            <v>60067.385979999999</v>
          </cell>
          <cell r="AH43">
            <v>61545.391920000002</v>
          </cell>
          <cell r="AI43">
            <v>63051.281459999998</v>
          </cell>
          <cell r="AJ43">
            <v>64573.185369999999</v>
          </cell>
          <cell r="AK43">
            <v>66098.71488</v>
          </cell>
        </row>
        <row r="44">
          <cell r="B44">
            <v>3918.5416660000001</v>
          </cell>
          <cell r="C44">
            <v>3935.0106249999999</v>
          </cell>
          <cell r="D44">
            <v>3950.0133559999999</v>
          </cell>
          <cell r="E44">
            <v>3969.5085039999999</v>
          </cell>
          <cell r="F44">
            <v>4001.9287319999999</v>
          </cell>
          <cell r="G44">
            <v>4045.9826710000002</v>
          </cell>
          <cell r="H44">
            <v>4096.0085559999998</v>
          </cell>
          <cell r="I44">
            <v>4143.4209469999996</v>
          </cell>
          <cell r="J44">
            <v>4184.5773220000001</v>
          </cell>
          <cell r="K44">
            <v>4216.7210050000003</v>
          </cell>
          <cell r="L44">
            <v>4236.3586949999999</v>
          </cell>
          <cell r="M44">
            <v>4263.613934</v>
          </cell>
          <cell r="N44">
            <v>4294.084339</v>
          </cell>
          <cell r="O44">
            <v>4325.945471</v>
          </cell>
          <cell r="P44">
            <v>4357.9082799999996</v>
          </cell>
          <cell r="Q44">
            <v>4389.2527129999999</v>
          </cell>
          <cell r="R44">
            <v>4416.263895</v>
          </cell>
          <cell r="S44">
            <v>4442.1064900000001</v>
          </cell>
          <cell r="T44">
            <v>4467.5450739999997</v>
          </cell>
          <cell r="U44">
            <v>4493.1060029999999</v>
          </cell>
          <cell r="V44">
            <v>4519.166021</v>
          </cell>
          <cell r="W44">
            <v>4548.0630309999997</v>
          </cell>
          <cell r="X44">
            <v>4580.3531830000002</v>
          </cell>
          <cell r="Y44">
            <v>4616.2047080000002</v>
          </cell>
          <cell r="Z44">
            <v>4655.5709500000003</v>
          </cell>
          <cell r="AA44">
            <v>4697.9136630000003</v>
          </cell>
          <cell r="AB44">
            <v>4742.6738329999998</v>
          </cell>
          <cell r="AC44">
            <v>4790.6154839999999</v>
          </cell>
          <cell r="AD44">
            <v>4842.0514480000002</v>
          </cell>
          <cell r="AE44">
            <v>4896.6122750000004</v>
          </cell>
          <cell r="AF44">
            <v>4953.5662240000001</v>
          </cell>
          <cell r="AG44">
            <v>5012.881891</v>
          </cell>
          <cell r="AH44">
            <v>5073.8584149999997</v>
          </cell>
          <cell r="AI44">
            <v>5135.685117</v>
          </cell>
          <cell r="AJ44">
            <v>5197.5248330000004</v>
          </cell>
          <cell r="AK44">
            <v>5258.5452400000004</v>
          </cell>
        </row>
        <row r="45">
          <cell r="B45">
            <v>3918.5416660000001</v>
          </cell>
          <cell r="C45">
            <v>3935.0106249999999</v>
          </cell>
          <cell r="D45">
            <v>3950.0133559999999</v>
          </cell>
          <cell r="E45">
            <v>3969.5085039999999</v>
          </cell>
          <cell r="F45">
            <v>4001.9287319999999</v>
          </cell>
          <cell r="G45">
            <v>4045.9826710000002</v>
          </cell>
          <cell r="H45">
            <v>4096.0085559999998</v>
          </cell>
          <cell r="I45">
            <v>4152.6489579999998</v>
          </cell>
          <cell r="J45">
            <v>4214.3484829999998</v>
          </cell>
          <cell r="K45">
            <v>4279.7911450000001</v>
          </cell>
          <cell r="L45">
            <v>4346.730474</v>
          </cell>
          <cell r="M45">
            <v>4414.5863650000001</v>
          </cell>
          <cell r="N45">
            <v>4478.3493509999998</v>
          </cell>
          <cell r="O45">
            <v>4537.7757149999998</v>
          </cell>
          <cell r="P45">
            <v>4593.4382889999997</v>
          </cell>
          <cell r="Q45">
            <v>4646.1976729999997</v>
          </cell>
          <cell r="R45">
            <v>4694.8786680000003</v>
          </cell>
          <cell r="S45">
            <v>4743.4351589999997</v>
          </cell>
          <cell r="T45">
            <v>4793.0922140000002</v>
          </cell>
          <cell r="U45">
            <v>4844.6970979999996</v>
          </cell>
          <cell r="V45">
            <v>4898.9159790000003</v>
          </cell>
          <cell r="W45">
            <v>4956.8180570000004</v>
          </cell>
          <cell r="X45">
            <v>5019.33932</v>
          </cell>
          <cell r="Y45">
            <v>5087.2317940000003</v>
          </cell>
          <cell r="Z45">
            <v>5160.9904999999999</v>
          </cell>
          <cell r="AA45">
            <v>5240.5056299999997</v>
          </cell>
          <cell r="AB45">
            <v>5324.5849580000004</v>
          </cell>
          <cell r="AC45">
            <v>5414.2707300000002</v>
          </cell>
          <cell r="AD45">
            <v>5510.2706740000003</v>
          </cell>
          <cell r="AE45">
            <v>5612.4308780000001</v>
          </cell>
          <cell r="AF45">
            <v>5720.0618180000001</v>
          </cell>
          <cell r="AG45">
            <v>5832.348935</v>
          </cell>
          <cell r="AH45">
            <v>5948.4672330000003</v>
          </cell>
          <cell r="AI45">
            <v>6067.5207790000004</v>
          </cell>
          <cell r="AJ45">
            <v>6188.5250809999998</v>
          </cell>
          <cell r="AK45">
            <v>6310.4127859999999</v>
          </cell>
        </row>
        <row r="46">
          <cell r="B46">
            <v>398.29477650000001</v>
          </cell>
          <cell r="C46">
            <v>400.89355899999998</v>
          </cell>
          <cell r="D46">
            <v>403.9577476</v>
          </cell>
          <cell r="E46">
            <v>406.76014140000001</v>
          </cell>
          <cell r="F46">
            <v>411.39373160000002</v>
          </cell>
          <cell r="G46">
            <v>417.33037130000002</v>
          </cell>
          <cell r="H46">
            <v>432.77475470000002</v>
          </cell>
          <cell r="I46">
            <v>448.53315800000001</v>
          </cell>
          <cell r="J46">
            <v>463.76746050000003</v>
          </cell>
          <cell r="K46">
            <v>478.38015230000002</v>
          </cell>
          <cell r="L46">
            <v>492.23769929999997</v>
          </cell>
          <cell r="M46">
            <v>500.05733140000001</v>
          </cell>
          <cell r="N46">
            <v>507.42854410000001</v>
          </cell>
          <cell r="O46">
            <v>515.17095789999996</v>
          </cell>
          <cell r="P46">
            <v>523.41970920000006</v>
          </cell>
          <cell r="Q46">
            <v>532.24782919999996</v>
          </cell>
          <cell r="R46">
            <v>541.3633552</v>
          </cell>
          <cell r="S46">
            <v>551.03795119999995</v>
          </cell>
          <cell r="T46">
            <v>561.3789031</v>
          </cell>
          <cell r="U46">
            <v>572.50128280000001</v>
          </cell>
          <cell r="V46">
            <v>584.48135709999997</v>
          </cell>
          <cell r="W46">
            <v>597.84080280000001</v>
          </cell>
          <cell r="X46">
            <v>612.73869920000004</v>
          </cell>
          <cell r="Y46">
            <v>629.35350530000005</v>
          </cell>
          <cell r="Z46">
            <v>647.84043340000005</v>
          </cell>
          <cell r="AA46">
            <v>668.17857379999998</v>
          </cell>
          <cell r="AB46">
            <v>681.13091929999996</v>
          </cell>
          <cell r="AC46">
            <v>691.77471639999999</v>
          </cell>
          <cell r="AD46">
            <v>702.98964760000001</v>
          </cell>
          <cell r="AE46">
            <v>715.46112370000003</v>
          </cell>
          <cell r="AF46">
            <v>729.06623339999999</v>
          </cell>
          <cell r="AG46">
            <v>743.62696059999996</v>
          </cell>
          <cell r="AH46">
            <v>758.89230580000003</v>
          </cell>
          <cell r="AI46">
            <v>774.6515382</v>
          </cell>
          <cell r="AJ46">
            <v>790.71035959999995</v>
          </cell>
          <cell r="AK46">
            <v>806.88437260000001</v>
          </cell>
        </row>
        <row r="47">
          <cell r="B47">
            <v>398.29477650000001</v>
          </cell>
          <cell r="C47">
            <v>400.89355899999998</v>
          </cell>
          <cell r="D47">
            <v>403.9577476</v>
          </cell>
          <cell r="E47">
            <v>406.76014140000001</v>
          </cell>
          <cell r="F47">
            <v>411.39373160000002</v>
          </cell>
          <cell r="G47">
            <v>417.33037130000002</v>
          </cell>
          <cell r="H47">
            <v>432.77475470000002</v>
          </cell>
          <cell r="I47">
            <v>451.04490390000001</v>
          </cell>
          <cell r="J47">
            <v>471.14516170000002</v>
          </cell>
          <cell r="K47">
            <v>492.9277573</v>
          </cell>
          <cell r="L47">
            <v>516.17257949999998</v>
          </cell>
          <cell r="M47">
            <v>531.29933149999999</v>
          </cell>
          <cell r="N47">
            <v>544.62489830000004</v>
          </cell>
          <cell r="O47">
            <v>557.35184700000002</v>
          </cell>
          <cell r="P47">
            <v>569.91196769999999</v>
          </cell>
          <cell r="Q47">
            <v>582.61937079999996</v>
          </cell>
          <cell r="R47">
            <v>595.63102360000005</v>
          </cell>
          <cell r="S47">
            <v>609.31647450000003</v>
          </cell>
          <cell r="T47">
            <v>623.88440330000003</v>
          </cell>
          <cell r="U47">
            <v>639.53686709999999</v>
          </cell>
          <cell r="V47">
            <v>656.42638169999998</v>
          </cell>
          <cell r="W47">
            <v>674.90379080000002</v>
          </cell>
          <cell r="X47">
            <v>695.24539670000001</v>
          </cell>
          <cell r="Y47">
            <v>717.71748460000003</v>
          </cell>
          <cell r="Z47">
            <v>742.56211840000003</v>
          </cell>
          <cell r="AA47">
            <v>769.82755480000003</v>
          </cell>
          <cell r="AB47">
            <v>789.58455849999996</v>
          </cell>
          <cell r="AC47">
            <v>806.95546579999996</v>
          </cell>
          <cell r="AD47">
            <v>824.96988250000004</v>
          </cell>
          <cell r="AE47">
            <v>844.38027380000005</v>
          </cell>
          <cell r="AF47">
            <v>865.06992749999995</v>
          </cell>
          <cell r="AG47">
            <v>886.72366309999995</v>
          </cell>
          <cell r="AH47">
            <v>909.03555819999997</v>
          </cell>
          <cell r="AI47">
            <v>931.73310649999996</v>
          </cell>
          <cell r="AJ47">
            <v>954.57187099999999</v>
          </cell>
          <cell r="AK47">
            <v>977.32444840000005</v>
          </cell>
        </row>
        <row r="48">
          <cell r="B48">
            <v>559.14181199999996</v>
          </cell>
          <cell r="C48">
            <v>562.7900846</v>
          </cell>
          <cell r="D48">
            <v>567.09171260000005</v>
          </cell>
          <cell r="E48">
            <v>571.02582289999998</v>
          </cell>
          <cell r="F48">
            <v>577.5306382</v>
          </cell>
          <cell r="G48">
            <v>585.86472570000001</v>
          </cell>
          <cell r="H48">
            <v>607.54615620000004</v>
          </cell>
          <cell r="I48">
            <v>629.66842010000005</v>
          </cell>
          <cell r="J48">
            <v>651.05493090000004</v>
          </cell>
          <cell r="K48">
            <v>671.56880009999998</v>
          </cell>
          <cell r="L48">
            <v>691.02256739999996</v>
          </cell>
          <cell r="M48">
            <v>702.00007330000005</v>
          </cell>
          <cell r="N48">
            <v>712.34807049999995</v>
          </cell>
          <cell r="O48">
            <v>723.21717439999998</v>
          </cell>
          <cell r="P48">
            <v>734.79709460000004</v>
          </cell>
          <cell r="Q48">
            <v>747.19035529999996</v>
          </cell>
          <cell r="R48">
            <v>759.98708780000004</v>
          </cell>
          <cell r="S48">
            <v>773.56866479999996</v>
          </cell>
          <cell r="T48">
            <v>788.08569829999999</v>
          </cell>
          <cell r="U48">
            <v>803.69973059999995</v>
          </cell>
          <cell r="V48">
            <v>820.51782830000002</v>
          </cell>
          <cell r="W48">
            <v>839.2723416</v>
          </cell>
          <cell r="X48">
            <v>860.18659219999995</v>
          </cell>
          <cell r="Y48">
            <v>883.51110800000004</v>
          </cell>
          <cell r="Z48">
            <v>909.46378189999996</v>
          </cell>
          <cell r="AA48">
            <v>938.01526019999994</v>
          </cell>
          <cell r="AB48">
            <v>956.19827020000002</v>
          </cell>
          <cell r="AC48">
            <v>971.14044969999998</v>
          </cell>
          <cell r="AD48">
            <v>986.88440949999995</v>
          </cell>
          <cell r="AE48">
            <v>1004.3923559999999</v>
          </cell>
          <cell r="AF48">
            <v>1023.491742</v>
          </cell>
          <cell r="AG48">
            <v>1043.9326619999999</v>
          </cell>
          <cell r="AH48">
            <v>1065.3627509999999</v>
          </cell>
          <cell r="AI48">
            <v>1087.486179</v>
          </cell>
          <cell r="AJ48">
            <v>1110.030182</v>
          </cell>
          <cell r="AK48">
            <v>1132.735895</v>
          </cell>
        </row>
        <row r="49">
          <cell r="B49">
            <v>559.14181199999996</v>
          </cell>
          <cell r="C49">
            <v>562.7900846</v>
          </cell>
          <cell r="D49">
            <v>567.09171260000005</v>
          </cell>
          <cell r="E49">
            <v>571.02582289999998</v>
          </cell>
          <cell r="F49">
            <v>577.5306382</v>
          </cell>
          <cell r="G49">
            <v>585.86472570000001</v>
          </cell>
          <cell r="H49">
            <v>607.54615620000004</v>
          </cell>
          <cell r="I49">
            <v>633.19450740000002</v>
          </cell>
          <cell r="J49">
            <v>661.41203680000001</v>
          </cell>
          <cell r="K49">
            <v>691.99129789999995</v>
          </cell>
          <cell r="L49">
            <v>724.62329009999996</v>
          </cell>
          <cell r="M49">
            <v>745.85881719999998</v>
          </cell>
          <cell r="N49">
            <v>764.56576989999996</v>
          </cell>
          <cell r="O49">
            <v>782.43235900000002</v>
          </cell>
          <cell r="P49">
            <v>800.0647487</v>
          </cell>
          <cell r="Q49">
            <v>817.90389900000002</v>
          </cell>
          <cell r="R49">
            <v>836.17016690000003</v>
          </cell>
          <cell r="S49">
            <v>855.38233909999997</v>
          </cell>
          <cell r="T49">
            <v>875.83336829999996</v>
          </cell>
          <cell r="U49">
            <v>897.80691019999995</v>
          </cell>
          <cell r="V49">
            <v>921.51707260000001</v>
          </cell>
          <cell r="W49">
            <v>947.45638329999997</v>
          </cell>
          <cell r="X49">
            <v>976.01272670000003</v>
          </cell>
          <cell r="Y49">
            <v>1007.559924</v>
          </cell>
          <cell r="Z49">
            <v>1042.4377939999999</v>
          </cell>
          <cell r="AA49">
            <v>1080.714082</v>
          </cell>
          <cell r="AB49">
            <v>1108.449738</v>
          </cell>
          <cell r="AC49">
            <v>1132.8356980000001</v>
          </cell>
          <cell r="AD49">
            <v>1158.1250419999999</v>
          </cell>
          <cell r="AE49">
            <v>1185.37411</v>
          </cell>
          <cell r="AF49">
            <v>1214.419056</v>
          </cell>
          <cell r="AG49">
            <v>1244.817419</v>
          </cell>
          <cell r="AH49">
            <v>1276.139731</v>
          </cell>
          <cell r="AI49">
            <v>1308.0034390000001</v>
          </cell>
          <cell r="AJ49">
            <v>1340.0653910000001</v>
          </cell>
          <cell r="AK49">
            <v>1372.006351</v>
          </cell>
        </row>
        <row r="50">
          <cell r="B50">
            <v>46395.22853</v>
          </cell>
          <cell r="C50">
            <v>47090.012940000001</v>
          </cell>
          <cell r="D50">
            <v>47741.457249999999</v>
          </cell>
          <cell r="E50">
            <v>48447.5887</v>
          </cell>
          <cell r="F50">
            <v>49088.321969999997</v>
          </cell>
          <cell r="G50">
            <v>49737.521119999998</v>
          </cell>
          <cell r="H50">
            <v>49943.6924</v>
          </cell>
          <cell r="I50">
            <v>50555.589</v>
          </cell>
          <cell r="J50">
            <v>51299.005129999998</v>
          </cell>
          <cell r="K50">
            <v>52109.840790000002</v>
          </cell>
          <cell r="L50">
            <v>52949.071080000002</v>
          </cell>
          <cell r="M50">
            <v>53297.967980000001</v>
          </cell>
          <cell r="N50">
            <v>53210.690210000001</v>
          </cell>
          <cell r="O50">
            <v>52917.439469999998</v>
          </cell>
          <cell r="P50">
            <v>52506.079980000002</v>
          </cell>
          <cell r="Q50">
            <v>52017.29997</v>
          </cell>
          <cell r="R50">
            <v>51256.070220000001</v>
          </cell>
          <cell r="S50">
            <v>50432.780839999999</v>
          </cell>
          <cell r="T50">
            <v>49561.003830000001</v>
          </cell>
          <cell r="U50">
            <v>48670.429680000001</v>
          </cell>
          <cell r="V50">
            <v>47787.295409999999</v>
          </cell>
          <cell r="W50">
            <v>46925.354079999997</v>
          </cell>
          <cell r="X50">
            <v>46132.903290000002</v>
          </cell>
          <cell r="Y50">
            <v>45439.780930000001</v>
          </cell>
          <cell r="Z50">
            <v>44860.955650000004</v>
          </cell>
          <cell r="AA50">
            <v>44391.41676</v>
          </cell>
          <cell r="AB50">
            <v>45479.7408</v>
          </cell>
          <cell r="AC50">
            <v>46180.352140000003</v>
          </cell>
          <cell r="AD50">
            <v>46907.671649999997</v>
          </cell>
          <cell r="AE50">
            <v>47749.212330000002</v>
          </cell>
          <cell r="AF50">
            <v>48696.679609999999</v>
          </cell>
          <cell r="AG50">
            <v>49715.284229999997</v>
          </cell>
          <cell r="AH50">
            <v>50788.919779999997</v>
          </cell>
          <cell r="AI50">
            <v>51902.882100000003</v>
          </cell>
          <cell r="AJ50">
            <v>53043.153149999998</v>
          </cell>
          <cell r="AK50">
            <v>54196.457699999999</v>
          </cell>
        </row>
        <row r="51">
          <cell r="B51">
            <v>46395.22853</v>
          </cell>
          <cell r="C51">
            <v>47090.012940000001</v>
          </cell>
          <cell r="D51">
            <v>47741.457249999999</v>
          </cell>
          <cell r="E51">
            <v>48447.5887</v>
          </cell>
          <cell r="F51">
            <v>49088.321969999997</v>
          </cell>
          <cell r="G51">
            <v>49737.521119999998</v>
          </cell>
          <cell r="H51">
            <v>49943.6924</v>
          </cell>
          <cell r="I51">
            <v>50396.781179999998</v>
          </cell>
          <cell r="J51">
            <v>50874.434699999998</v>
          </cell>
          <cell r="K51">
            <v>51329.485099999998</v>
          </cell>
          <cell r="L51">
            <v>51726.943449999999</v>
          </cell>
          <cell r="M51">
            <v>52002.859940000002</v>
          </cell>
          <cell r="N51">
            <v>52011.379410000001</v>
          </cell>
          <cell r="O51">
            <v>51872.159760000002</v>
          </cell>
          <cell r="P51">
            <v>51627.557809999998</v>
          </cell>
          <cell r="Q51">
            <v>51304.856399999997</v>
          </cell>
          <cell r="R51">
            <v>50693.731659999998</v>
          </cell>
          <cell r="S51">
            <v>50025.910629999998</v>
          </cell>
          <cell r="T51">
            <v>49328.709730000002</v>
          </cell>
          <cell r="U51">
            <v>48637.849929999997</v>
          </cell>
          <cell r="V51">
            <v>47981.966209999999</v>
          </cell>
          <cell r="W51">
            <v>47397.056770000003</v>
          </cell>
          <cell r="X51">
            <v>46907.319730000003</v>
          </cell>
          <cell r="Y51">
            <v>46530.042690000002</v>
          </cell>
          <cell r="Z51">
            <v>46275.677860000003</v>
          </cell>
          <cell r="AA51">
            <v>46139.148609999997</v>
          </cell>
          <cell r="AB51">
            <v>47595.525829999999</v>
          </cell>
          <cell r="AC51">
            <v>48616.846539999999</v>
          </cell>
          <cell r="AD51">
            <v>49634.616430000002</v>
          </cell>
          <cell r="AE51">
            <v>50745.734250000001</v>
          </cell>
          <cell r="AF51">
            <v>51945.454760000001</v>
          </cell>
          <cell r="AG51">
            <v>53206.154150000002</v>
          </cell>
          <cell r="AH51">
            <v>54500.407440000003</v>
          </cell>
          <cell r="AI51">
            <v>55805.431629999999</v>
          </cell>
          <cell r="AJ51">
            <v>57103.043060000004</v>
          </cell>
          <cell r="AK51">
            <v>58378.231650000002</v>
          </cell>
        </row>
        <row r="52">
          <cell r="B52">
            <v>924.65039049999996</v>
          </cell>
          <cell r="C52">
            <v>938.49734609999996</v>
          </cell>
          <cell r="D52">
            <v>951.48053979999997</v>
          </cell>
          <cell r="E52">
            <v>965.55364039999995</v>
          </cell>
          <cell r="F52">
            <v>978.32336450000003</v>
          </cell>
          <cell r="G52">
            <v>991.26181250000002</v>
          </cell>
          <cell r="H52">
            <v>862.23242279999999</v>
          </cell>
          <cell r="I52">
            <v>726.74480310000001</v>
          </cell>
          <cell r="J52">
            <v>576.28427799999997</v>
          </cell>
          <cell r="K52">
            <v>406.74345929999998</v>
          </cell>
          <cell r="L52">
            <v>214.389027</v>
          </cell>
          <cell r="M52">
            <v>223.35525559999999</v>
          </cell>
          <cell r="N52">
            <v>230.7946479</v>
          </cell>
          <cell r="O52">
            <v>237.5565335</v>
          </cell>
          <cell r="P52">
            <v>243.96025</v>
          </cell>
          <cell r="Q52">
            <v>250.1488994</v>
          </cell>
          <cell r="R52">
            <v>165.0565168</v>
          </cell>
          <cell r="S52">
            <v>108.751903</v>
          </cell>
          <cell r="T52">
            <v>71.564991359999993</v>
          </cell>
          <cell r="U52">
            <v>47.061123270000003</v>
          </cell>
          <cell r="V52">
            <v>30.941840249999998</v>
          </cell>
          <cell r="W52">
            <v>20.34594311</v>
          </cell>
          <cell r="X52">
            <v>13.39422635</v>
          </cell>
          <cell r="Y52">
            <v>8.8344528110000002</v>
          </cell>
          <cell r="Z52">
            <v>5.8404798070000004</v>
          </cell>
          <cell r="AA52">
            <v>3.8700412229999999</v>
          </cell>
          <cell r="AB52">
            <v>3.9649212519999999</v>
          </cell>
          <cell r="AC52">
            <v>4.0260005090000002</v>
          </cell>
          <cell r="AD52">
            <v>4.0894081829999998</v>
          </cell>
          <cell r="AE52">
            <v>4.1627736530000004</v>
          </cell>
          <cell r="AF52">
            <v>4.2453737970000001</v>
          </cell>
          <cell r="AG52">
            <v>4.3341756910000004</v>
          </cell>
          <cell r="AH52">
            <v>4.4277751780000001</v>
          </cell>
          <cell r="AI52">
            <v>4.5248903499999997</v>
          </cell>
          <cell r="AJ52">
            <v>4.6242991169999996</v>
          </cell>
          <cell r="AK52">
            <v>4.7248441430000003</v>
          </cell>
        </row>
        <row r="53">
          <cell r="B53">
            <v>924.65039049999996</v>
          </cell>
          <cell r="C53">
            <v>938.49734609999996</v>
          </cell>
          <cell r="D53">
            <v>951.48053979999997</v>
          </cell>
          <cell r="E53">
            <v>965.55364039999995</v>
          </cell>
          <cell r="F53">
            <v>978.32336450000003</v>
          </cell>
          <cell r="G53">
            <v>991.26181250000002</v>
          </cell>
          <cell r="H53">
            <v>862.23242279999999</v>
          </cell>
          <cell r="I53">
            <v>724.46191490000001</v>
          </cell>
          <cell r="J53">
            <v>571.51472620000004</v>
          </cell>
          <cell r="K53">
            <v>400.65239150000002</v>
          </cell>
          <cell r="L53">
            <v>209.44067290000001</v>
          </cell>
          <cell r="M53">
            <v>217.92785950000001</v>
          </cell>
          <cell r="N53">
            <v>225.5927887</v>
          </cell>
          <cell r="O53">
            <v>232.8640724</v>
          </cell>
          <cell r="P53">
            <v>239.8783516</v>
          </cell>
          <cell r="Q53">
            <v>246.72278969999999</v>
          </cell>
          <cell r="R53">
            <v>163.24565530000001</v>
          </cell>
          <cell r="S53">
            <v>107.8745389</v>
          </cell>
          <cell r="T53">
            <v>71.229563819999996</v>
          </cell>
          <cell r="U53">
            <v>47.029620780000002</v>
          </cell>
          <cell r="V53">
            <v>31.06788783</v>
          </cell>
          <cell r="W53">
            <v>20.550464439999999</v>
          </cell>
          <cell r="X53">
            <v>13.619070410000001</v>
          </cell>
          <cell r="Y53">
            <v>9.0464227160000004</v>
          </cell>
          <cell r="Z53">
            <v>6.0246634999999999</v>
          </cell>
          <cell r="AA53">
            <v>4.0224083879999997</v>
          </cell>
          <cell r="AB53">
            <v>4.1493752720000003</v>
          </cell>
          <cell r="AC53">
            <v>4.2384139540000003</v>
          </cell>
          <cell r="AD53">
            <v>4.3271430769999997</v>
          </cell>
          <cell r="AE53">
            <v>4.4240102659999998</v>
          </cell>
          <cell r="AF53">
            <v>4.5286018329999997</v>
          </cell>
          <cell r="AG53">
            <v>4.6385095349999999</v>
          </cell>
          <cell r="AH53">
            <v>4.7513424640000004</v>
          </cell>
          <cell r="AI53">
            <v>4.8651143990000003</v>
          </cell>
          <cell r="AJ53">
            <v>4.978240091</v>
          </cell>
          <cell r="AK53">
            <v>5.0894109609999996</v>
          </cell>
        </row>
        <row r="54">
          <cell r="B54">
            <v>1343.6723469999999</v>
          </cell>
          <cell r="C54">
            <v>1363.7942989999999</v>
          </cell>
          <cell r="D54">
            <v>1382.661061</v>
          </cell>
          <cell r="E54">
            <v>1403.1116400000001</v>
          </cell>
          <cell r="F54">
            <v>1421.6681940000001</v>
          </cell>
          <cell r="G54">
            <v>1440.4699330000001</v>
          </cell>
          <cell r="H54">
            <v>1765.708623</v>
          </cell>
          <cell r="I54">
            <v>2137.5750880000001</v>
          </cell>
          <cell r="J54">
            <v>2555.4413800000002</v>
          </cell>
          <cell r="K54">
            <v>3024.2371760000001</v>
          </cell>
          <cell r="L54">
            <v>3549.9197300000001</v>
          </cell>
          <cell r="M54">
            <v>3730.2008879999998</v>
          </cell>
          <cell r="N54">
            <v>3887.602421</v>
          </cell>
          <cell r="O54">
            <v>4035.9256329999998</v>
          </cell>
          <cell r="P54">
            <v>4180.3756670000002</v>
          </cell>
          <cell r="Q54">
            <v>4323.2953239999997</v>
          </cell>
          <cell r="R54">
            <v>4399.898537</v>
          </cell>
          <cell r="S54">
            <v>4471.3691879999997</v>
          </cell>
          <cell r="T54">
            <v>4538.3498</v>
          </cell>
          <cell r="U54">
            <v>4603.1307539999998</v>
          </cell>
          <cell r="V54">
            <v>4667.9999330000001</v>
          </cell>
          <cell r="W54">
            <v>4734.3047049999996</v>
          </cell>
          <cell r="X54">
            <v>4807.1723519999996</v>
          </cell>
          <cell r="Y54">
            <v>4890.4113820000002</v>
          </cell>
          <cell r="Z54">
            <v>4986.6391679999997</v>
          </cell>
          <cell r="AA54">
            <v>5096.4607900000001</v>
          </cell>
          <cell r="AB54">
            <v>5221.4083860000001</v>
          </cell>
          <cell r="AC54">
            <v>5301.843715</v>
          </cell>
          <cell r="AD54">
            <v>5385.3453380000001</v>
          </cell>
          <cell r="AE54">
            <v>5481.9603909999996</v>
          </cell>
          <cell r="AF54">
            <v>5590.7365959999997</v>
          </cell>
          <cell r="AG54">
            <v>5707.6798900000003</v>
          </cell>
          <cell r="AH54">
            <v>5830.9411389999996</v>
          </cell>
          <cell r="AI54">
            <v>5958.8321980000001</v>
          </cell>
          <cell r="AJ54">
            <v>6089.743692</v>
          </cell>
          <cell r="AK54">
            <v>6222.1515280000003</v>
          </cell>
        </row>
        <row r="55">
          <cell r="B55">
            <v>1343.6723469999999</v>
          </cell>
          <cell r="C55">
            <v>1363.7942989999999</v>
          </cell>
          <cell r="D55">
            <v>1382.661061</v>
          </cell>
          <cell r="E55">
            <v>1403.1116400000001</v>
          </cell>
          <cell r="F55">
            <v>1421.6681940000001</v>
          </cell>
          <cell r="G55">
            <v>1440.4699330000001</v>
          </cell>
          <cell r="H55">
            <v>1765.708623</v>
          </cell>
          <cell r="I55">
            <v>2130.8604270000001</v>
          </cell>
          <cell r="J55">
            <v>2534.2915579999999</v>
          </cell>
          <cell r="K55">
            <v>2978.9485960000002</v>
          </cell>
          <cell r="L55">
            <v>3467.983354</v>
          </cell>
          <cell r="M55">
            <v>3639.559287</v>
          </cell>
          <cell r="N55">
            <v>3799.9801109999999</v>
          </cell>
          <cell r="O55">
            <v>3956.2038769999999</v>
          </cell>
          <cell r="P55">
            <v>4110.4303829999999</v>
          </cell>
          <cell r="Q55">
            <v>4264.0822550000003</v>
          </cell>
          <cell r="R55">
            <v>4351.6265450000001</v>
          </cell>
          <cell r="S55">
            <v>4435.2960839999996</v>
          </cell>
          <cell r="T55">
            <v>4517.0784009999998</v>
          </cell>
          <cell r="U55">
            <v>4600.0494399999998</v>
          </cell>
          <cell r="V55">
            <v>4687.015934</v>
          </cell>
          <cell r="W55">
            <v>4781.8948469999996</v>
          </cell>
          <cell r="X55">
            <v>4887.8686230000003</v>
          </cell>
          <cell r="Y55">
            <v>5007.7497240000002</v>
          </cell>
          <cell r="Z55">
            <v>5143.8963890000005</v>
          </cell>
          <cell r="AA55">
            <v>5297.1132470000002</v>
          </cell>
          <cell r="AB55">
            <v>5464.3160520000001</v>
          </cell>
          <cell r="AC55">
            <v>5581.5711730000003</v>
          </cell>
          <cell r="AD55">
            <v>5698.4186339999997</v>
          </cell>
          <cell r="AE55">
            <v>5825.9831240000003</v>
          </cell>
          <cell r="AF55">
            <v>5963.7198529999996</v>
          </cell>
          <cell r="AG55">
            <v>6108.4574050000001</v>
          </cell>
          <cell r="AH55">
            <v>6257.047192</v>
          </cell>
          <cell r="AI55">
            <v>6406.8735559999996</v>
          </cell>
          <cell r="AJ55">
            <v>6555.8488820000002</v>
          </cell>
          <cell r="AK55">
            <v>6702.2499010000001</v>
          </cell>
        </row>
        <row r="56">
          <cell r="B56">
            <v>1220.733939</v>
          </cell>
          <cell r="C56">
            <v>1239.0148469999999</v>
          </cell>
          <cell r="D56">
            <v>1256.155407</v>
          </cell>
          <cell r="E56">
            <v>1274.734874</v>
          </cell>
          <cell r="F56">
            <v>1291.5936079999999</v>
          </cell>
          <cell r="G56">
            <v>1308.6750939999999</v>
          </cell>
          <cell r="H56">
            <v>1127.4595389999999</v>
          </cell>
          <cell r="I56">
            <v>936.53035190000003</v>
          </cell>
          <cell r="J56">
            <v>724.39737530000002</v>
          </cell>
          <cell r="K56">
            <v>485.40695529999999</v>
          </cell>
          <cell r="L56">
            <v>214.389027</v>
          </cell>
          <cell r="M56">
            <v>223.35525559999999</v>
          </cell>
          <cell r="N56">
            <v>230.7946479</v>
          </cell>
          <cell r="O56">
            <v>237.5565335</v>
          </cell>
          <cell r="P56">
            <v>243.96025</v>
          </cell>
          <cell r="Q56">
            <v>250.1488994</v>
          </cell>
          <cell r="R56">
            <v>261.59694990000003</v>
          </cell>
          <cell r="S56">
            <v>273.17242950000002</v>
          </cell>
          <cell r="T56">
            <v>284.90536220000001</v>
          </cell>
          <cell r="U56">
            <v>296.93561369999998</v>
          </cell>
          <cell r="V56">
            <v>309.41840250000001</v>
          </cell>
          <cell r="W56">
            <v>322.46146720000002</v>
          </cell>
          <cell r="X56">
            <v>336.44775429999999</v>
          </cell>
          <cell r="Y56">
            <v>351.70590120000003</v>
          </cell>
          <cell r="Z56">
            <v>368.50936289999999</v>
          </cell>
          <cell r="AA56">
            <v>387.00412230000001</v>
          </cell>
          <cell r="AB56">
            <v>396.49212519999998</v>
          </cell>
          <cell r="AC56">
            <v>402.60005089999999</v>
          </cell>
          <cell r="AD56">
            <v>408.94081829999999</v>
          </cell>
          <cell r="AE56">
            <v>416.27736529999999</v>
          </cell>
          <cell r="AF56">
            <v>424.53737969999997</v>
          </cell>
          <cell r="AG56">
            <v>433.41756909999998</v>
          </cell>
          <cell r="AH56">
            <v>442.7775178</v>
          </cell>
          <cell r="AI56">
            <v>452.489035</v>
          </cell>
          <cell r="AJ56">
            <v>462.42991169999999</v>
          </cell>
          <cell r="AK56">
            <v>472.48441430000003</v>
          </cell>
        </row>
        <row r="57">
          <cell r="B57">
            <v>1220.733939</v>
          </cell>
          <cell r="C57">
            <v>1239.0148469999999</v>
          </cell>
          <cell r="D57">
            <v>1256.155407</v>
          </cell>
          <cell r="E57">
            <v>1274.734874</v>
          </cell>
          <cell r="F57">
            <v>1291.5936079999999</v>
          </cell>
          <cell r="G57">
            <v>1308.6750939999999</v>
          </cell>
          <cell r="H57">
            <v>1127.4595389999999</v>
          </cell>
          <cell r="I57">
            <v>933.58847460000004</v>
          </cell>
          <cell r="J57">
            <v>718.40198220000002</v>
          </cell>
          <cell r="K57">
            <v>478.13788540000002</v>
          </cell>
          <cell r="L57">
            <v>209.44067290000001</v>
          </cell>
          <cell r="M57">
            <v>217.92785950000001</v>
          </cell>
          <cell r="N57">
            <v>225.5927887</v>
          </cell>
          <cell r="O57">
            <v>232.8640724</v>
          </cell>
          <cell r="P57">
            <v>239.8783516</v>
          </cell>
          <cell r="Q57">
            <v>246.72278969999999</v>
          </cell>
          <cell r="R57">
            <v>258.7269278</v>
          </cell>
          <cell r="S57">
            <v>270.96859060000003</v>
          </cell>
          <cell r="T57">
            <v>283.57000110000001</v>
          </cell>
          <cell r="U57">
            <v>296.73684639999999</v>
          </cell>
          <cell r="V57">
            <v>310.67887830000001</v>
          </cell>
          <cell r="W57">
            <v>325.70291200000003</v>
          </cell>
          <cell r="X57">
            <v>342.0955816</v>
          </cell>
          <cell r="Y57">
            <v>360.1445751</v>
          </cell>
          <cell r="Z57">
            <v>380.13056829999999</v>
          </cell>
          <cell r="AA57">
            <v>402.24083880000001</v>
          </cell>
          <cell r="AB57">
            <v>414.93752719999998</v>
          </cell>
          <cell r="AC57">
            <v>423.84139540000001</v>
          </cell>
          <cell r="AD57">
            <v>432.71430770000001</v>
          </cell>
          <cell r="AE57">
            <v>442.40102660000002</v>
          </cell>
          <cell r="AF57">
            <v>452.86018330000002</v>
          </cell>
          <cell r="AG57">
            <v>463.8509535</v>
          </cell>
          <cell r="AH57">
            <v>475.13424639999999</v>
          </cell>
          <cell r="AI57">
            <v>486.51143990000003</v>
          </cell>
          <cell r="AJ57">
            <v>497.82400910000001</v>
          </cell>
          <cell r="AK57">
            <v>508.94109609999998</v>
          </cell>
        </row>
        <row r="58">
          <cell r="B58">
            <v>2402.379383</v>
          </cell>
          <cell r="C58">
            <v>2438.3558349999998</v>
          </cell>
          <cell r="D58">
            <v>2472.0881049999998</v>
          </cell>
          <cell r="E58">
            <v>2508.6521160000002</v>
          </cell>
          <cell r="F58">
            <v>2541.8297600000001</v>
          </cell>
          <cell r="G58">
            <v>2575.4457750000001</v>
          </cell>
          <cell r="H58">
            <v>3842.9398099999999</v>
          </cell>
          <cell r="I58">
            <v>5268.7397499999997</v>
          </cell>
          <cell r="J58">
            <v>6867.4368789999999</v>
          </cell>
          <cell r="K58">
            <v>8662.4259930000007</v>
          </cell>
          <cell r="L58">
            <v>10679.586660000001</v>
          </cell>
          <cell r="M58">
            <v>11982.02558</v>
          </cell>
          <cell r="N58">
            <v>13333.43275</v>
          </cell>
          <cell r="O58">
            <v>14779.692419999999</v>
          </cell>
          <cell r="P58">
            <v>16345.55465</v>
          </cell>
          <cell r="Q58">
            <v>18049.341570000001</v>
          </cell>
          <cell r="R58">
            <v>19654.067709999999</v>
          </cell>
          <cell r="S58">
            <v>21370.44874</v>
          </cell>
          <cell r="T58">
            <v>23207.82303</v>
          </cell>
          <cell r="U58">
            <v>25185.644810000002</v>
          </cell>
          <cell r="V58">
            <v>27327.12413</v>
          </cell>
          <cell r="W58">
            <v>29653.954720000002</v>
          </cell>
          <cell r="X58">
            <v>32216.579809999999</v>
          </cell>
          <cell r="Y58">
            <v>35066.987509999999</v>
          </cell>
          <cell r="Z58">
            <v>38258.182509999999</v>
          </cell>
          <cell r="AA58">
            <v>41835.831339999997</v>
          </cell>
          <cell r="AB58">
            <v>42861.501259999997</v>
          </cell>
          <cell r="AC58">
            <v>43521.778850000002</v>
          </cell>
          <cell r="AD58">
            <v>44207.227039999998</v>
          </cell>
          <cell r="AE58">
            <v>45000.320760000002</v>
          </cell>
          <cell r="AF58">
            <v>45893.242960000003</v>
          </cell>
          <cell r="AG58">
            <v>46853.207170000001</v>
          </cell>
          <cell r="AH58">
            <v>47865.034200000002</v>
          </cell>
          <cell r="AI58">
            <v>48914.866430000002</v>
          </cell>
          <cell r="AJ58">
            <v>49989.492810000003</v>
          </cell>
          <cell r="AK58">
            <v>51076.402349999997</v>
          </cell>
        </row>
        <row r="59">
          <cell r="B59">
            <v>2402.379383</v>
          </cell>
          <cell r="C59">
            <v>2438.3558349999998</v>
          </cell>
          <cell r="D59">
            <v>2472.0881049999998</v>
          </cell>
          <cell r="E59">
            <v>2508.6521160000002</v>
          </cell>
          <cell r="F59">
            <v>2541.8297600000001</v>
          </cell>
          <cell r="G59">
            <v>2575.4457750000001</v>
          </cell>
          <cell r="H59">
            <v>3842.9398099999999</v>
          </cell>
          <cell r="I59">
            <v>5252.1893140000002</v>
          </cell>
          <cell r="J59">
            <v>6810.5993120000003</v>
          </cell>
          <cell r="K59">
            <v>8532.7043639999993</v>
          </cell>
          <cell r="L59">
            <v>10433.08908</v>
          </cell>
          <cell r="M59">
            <v>11690.86968</v>
          </cell>
          <cell r="N59">
            <v>13032.911749999999</v>
          </cell>
          <cell r="O59">
            <v>14487.748729999999</v>
          </cell>
          <cell r="P59">
            <v>16072.0638</v>
          </cell>
          <cell r="Q59">
            <v>17802.132720000001</v>
          </cell>
          <cell r="R59">
            <v>19438.439780000001</v>
          </cell>
          <cell r="S59">
            <v>21198.04105</v>
          </cell>
          <cell r="T59">
            <v>23099.047180000001</v>
          </cell>
          <cell r="U59">
            <v>25168.785660000001</v>
          </cell>
          <cell r="V59">
            <v>27438.446459999999</v>
          </cell>
          <cell r="W59">
            <v>29952.041980000002</v>
          </cell>
          <cell r="X59">
            <v>32757.387930000001</v>
          </cell>
          <cell r="Y59">
            <v>35908.36911</v>
          </cell>
          <cell r="Z59">
            <v>39464.681559999997</v>
          </cell>
          <cell r="AA59">
            <v>43482.947379999998</v>
          </cell>
          <cell r="AB59">
            <v>44855.481899999999</v>
          </cell>
          <cell r="AC59">
            <v>45818.005830000002</v>
          </cell>
          <cell r="AD59">
            <v>46777.183360000003</v>
          </cell>
          <cell r="AE59">
            <v>47824.334840000003</v>
          </cell>
          <cell r="AF59">
            <v>48954.988210000003</v>
          </cell>
          <cell r="AG59">
            <v>50143.109940000002</v>
          </cell>
          <cell r="AH59">
            <v>51362.853900000002</v>
          </cell>
          <cell r="AI59">
            <v>52592.748679999997</v>
          </cell>
          <cell r="AJ59">
            <v>53815.657449999999</v>
          </cell>
          <cell r="AK59">
            <v>55017.434249999998</v>
          </cell>
        </row>
        <row r="60">
          <cell r="B60">
            <v>873.35801240000001</v>
          </cell>
          <cell r="C60">
            <v>886.43684710000002</v>
          </cell>
          <cell r="D60">
            <v>898.6998347</v>
          </cell>
          <cell r="E60">
            <v>911.99226969999995</v>
          </cell>
          <cell r="F60">
            <v>924.05362920000005</v>
          </cell>
          <cell r="G60">
            <v>936.27435319999995</v>
          </cell>
          <cell r="H60">
            <v>1519.4106650000001</v>
          </cell>
          <cell r="I60">
            <v>2173.4633869999998</v>
          </cell>
          <cell r="J60">
            <v>2906.5397520000001</v>
          </cell>
          <cell r="K60">
            <v>3729.745316</v>
          </cell>
          <cell r="L60">
            <v>4655.2044429999996</v>
          </cell>
          <cell r="M60">
            <v>5259.3980419999998</v>
          </cell>
          <cell r="N60">
            <v>5893.4452940000001</v>
          </cell>
          <cell r="O60">
            <v>6578.3073619999996</v>
          </cell>
          <cell r="P60">
            <v>7326.0505480000002</v>
          </cell>
          <cell r="Q60">
            <v>8146.1630109999996</v>
          </cell>
          <cell r="R60">
            <v>9268.9428090000001</v>
          </cell>
          <cell r="S60">
            <v>10531.189270000001</v>
          </cell>
          <cell r="T60">
            <v>11950.44845</v>
          </cell>
          <cell r="U60">
            <v>13551.5476</v>
          </cell>
          <cell r="V60">
            <v>15364.405909999999</v>
          </cell>
          <cell r="W60">
            <v>17421.69815</v>
          </cell>
          <cell r="X60">
            <v>19777.58772</v>
          </cell>
          <cell r="Y60">
            <v>22494.604780000001</v>
          </cell>
          <cell r="Z60">
            <v>25644.26554</v>
          </cell>
          <cell r="AA60">
            <v>29302.208620000001</v>
          </cell>
          <cell r="AB60">
            <v>30020.597460000001</v>
          </cell>
          <cell r="AC60">
            <v>30483.06208</v>
          </cell>
          <cell r="AD60">
            <v>30963.156419999999</v>
          </cell>
          <cell r="AE60">
            <v>31518.646700000001</v>
          </cell>
          <cell r="AF60">
            <v>32144.057779999999</v>
          </cell>
          <cell r="AG60">
            <v>32816.425710000003</v>
          </cell>
          <cell r="AH60">
            <v>33525.118860000002</v>
          </cell>
          <cell r="AI60">
            <v>34260.431190000003</v>
          </cell>
          <cell r="AJ60">
            <v>35013.10959</v>
          </cell>
          <cell r="AK60">
            <v>35774.391230000001</v>
          </cell>
        </row>
        <row r="61">
          <cell r="B61">
            <v>873.35801240000001</v>
          </cell>
          <cell r="C61">
            <v>886.43684710000002</v>
          </cell>
          <cell r="D61">
            <v>898.6998347</v>
          </cell>
          <cell r="E61">
            <v>911.99226969999995</v>
          </cell>
          <cell r="F61">
            <v>924.05362920000005</v>
          </cell>
          <cell r="G61">
            <v>936.27435319999995</v>
          </cell>
          <cell r="H61">
            <v>1519.4106650000001</v>
          </cell>
          <cell r="I61">
            <v>2166.635992</v>
          </cell>
          <cell r="J61">
            <v>2882.4841040000001</v>
          </cell>
          <cell r="K61">
            <v>3673.8916049999998</v>
          </cell>
          <cell r="L61">
            <v>4547.7567790000003</v>
          </cell>
          <cell r="M61">
            <v>5131.5978839999998</v>
          </cell>
          <cell r="N61">
            <v>5760.6134780000002</v>
          </cell>
          <cell r="O61">
            <v>6448.3658660000001</v>
          </cell>
          <cell r="P61">
            <v>7203.4724050000004</v>
          </cell>
          <cell r="Q61">
            <v>8034.5908719999998</v>
          </cell>
          <cell r="R61">
            <v>9167.2517520000001</v>
          </cell>
          <cell r="S61">
            <v>10446.22812</v>
          </cell>
          <cell r="T61">
            <v>11894.43629</v>
          </cell>
          <cell r="U61">
            <v>13542.476259999999</v>
          </cell>
          <cell r="V61">
            <v>15426.995790000001</v>
          </cell>
          <cell r="W61">
            <v>17596.824410000001</v>
          </cell>
          <cell r="X61">
            <v>20109.586960000001</v>
          </cell>
          <cell r="Y61">
            <v>23034.330259999999</v>
          </cell>
          <cell r="Z61">
            <v>26452.975729999998</v>
          </cell>
          <cell r="AA61">
            <v>30455.864150000001</v>
          </cell>
          <cell r="AB61">
            <v>31417.200199999999</v>
          </cell>
          <cell r="AC61">
            <v>32091.360990000001</v>
          </cell>
          <cell r="AD61">
            <v>32763.177919999998</v>
          </cell>
          <cell r="AE61">
            <v>33496.612639999999</v>
          </cell>
          <cell r="AF61">
            <v>34288.532870000003</v>
          </cell>
          <cell r="AG61">
            <v>35120.704469999997</v>
          </cell>
          <cell r="AH61">
            <v>35975.024579999998</v>
          </cell>
          <cell r="AI61">
            <v>36836.454409999998</v>
          </cell>
          <cell r="AJ61">
            <v>37692.991190000001</v>
          </cell>
          <cell r="AK61">
            <v>38534.726929999997</v>
          </cell>
        </row>
        <row r="62">
          <cell r="B62">
            <v>6723.2421080000004</v>
          </cell>
          <cell r="C62">
            <v>6823.9249559999998</v>
          </cell>
          <cell r="D62">
            <v>6918.3272889999998</v>
          </cell>
          <cell r="E62">
            <v>7020.6544649999996</v>
          </cell>
          <cell r="F62">
            <v>7113.5046350000002</v>
          </cell>
          <cell r="G62">
            <v>7207.5816169999998</v>
          </cell>
          <cell r="H62">
            <v>7232.2392870000003</v>
          </cell>
          <cell r="I62">
            <v>7315.1214259999997</v>
          </cell>
          <cell r="J62">
            <v>7416.3726729999998</v>
          </cell>
          <cell r="K62">
            <v>7526.5932130000001</v>
          </cell>
          <cell r="L62">
            <v>7640.0119969999996</v>
          </cell>
          <cell r="M62">
            <v>8009.9670079999996</v>
          </cell>
          <cell r="N62">
            <v>8329.2011160000002</v>
          </cell>
          <cell r="O62">
            <v>8627.5534499999994</v>
          </cell>
          <cell r="P62">
            <v>8916.2618270000003</v>
          </cell>
          <cell r="Q62">
            <v>9200.3723420000006</v>
          </cell>
          <cell r="R62">
            <v>9719.6783400000004</v>
          </cell>
          <cell r="S62">
            <v>10253.41396</v>
          </cell>
          <cell r="T62">
            <v>10803.007030000001</v>
          </cell>
          <cell r="U62">
            <v>11374.1443</v>
          </cell>
          <cell r="V62">
            <v>11973.33115</v>
          </cell>
          <cell r="W62">
            <v>12605.47134</v>
          </cell>
          <cell r="X62">
            <v>13286.52188</v>
          </cell>
          <cell r="Y62">
            <v>14030.906730000001</v>
          </cell>
          <cell r="Z62">
            <v>14851.387119999999</v>
          </cell>
          <cell r="AA62">
            <v>15756.01888</v>
          </cell>
          <cell r="AB62">
            <v>16142.30198</v>
          </cell>
          <cell r="AC62">
            <v>16390.972689999999</v>
          </cell>
          <cell r="AD62">
            <v>16649.123049999998</v>
          </cell>
          <cell r="AE62">
            <v>16947.81437</v>
          </cell>
          <cell r="AF62">
            <v>17284.102630000001</v>
          </cell>
          <cell r="AG62">
            <v>17645.639940000001</v>
          </cell>
          <cell r="AH62">
            <v>18026.709599999998</v>
          </cell>
          <cell r="AI62">
            <v>18422.0926</v>
          </cell>
          <cell r="AJ62">
            <v>18826.813450000001</v>
          </cell>
          <cell r="AK62">
            <v>19236.160339999999</v>
          </cell>
        </row>
        <row r="63">
          <cell r="B63">
            <v>6723.2421080000004</v>
          </cell>
          <cell r="C63">
            <v>6823.9249559999998</v>
          </cell>
          <cell r="D63">
            <v>6918.3272889999998</v>
          </cell>
          <cell r="E63">
            <v>7020.6544649999996</v>
          </cell>
          <cell r="F63">
            <v>7113.5046350000002</v>
          </cell>
          <cell r="G63">
            <v>7207.5816169999998</v>
          </cell>
          <cell r="H63">
            <v>7232.2392870000003</v>
          </cell>
          <cell r="I63">
            <v>7292.1427899999999</v>
          </cell>
          <cell r="J63">
            <v>7354.9919019999998</v>
          </cell>
          <cell r="K63">
            <v>7413.8809170000004</v>
          </cell>
          <cell r="L63">
            <v>7463.6714190000002</v>
          </cell>
          <cell r="M63">
            <v>7815.3297060000004</v>
          </cell>
          <cell r="N63">
            <v>8141.4700249999996</v>
          </cell>
          <cell r="O63">
            <v>8457.1331370000007</v>
          </cell>
          <cell r="P63">
            <v>8767.0765589999992</v>
          </cell>
          <cell r="Q63">
            <v>9074.3614550000002</v>
          </cell>
          <cell r="R63">
            <v>9613.0421910000005</v>
          </cell>
          <cell r="S63">
            <v>10170.69378</v>
          </cell>
          <cell r="T63">
            <v>10752.37297</v>
          </cell>
          <cell r="U63">
            <v>11366.530500000001</v>
          </cell>
          <cell r="V63">
            <v>12022.106830000001</v>
          </cell>
          <cell r="W63">
            <v>12732.18397</v>
          </cell>
          <cell r="X63">
            <v>13509.557940000001</v>
          </cell>
          <cell r="Y63">
            <v>14367.55803</v>
          </cell>
          <cell r="Z63">
            <v>15319.736199999999</v>
          </cell>
          <cell r="AA63">
            <v>16376.34816</v>
          </cell>
          <cell r="AB63">
            <v>16893.265820000001</v>
          </cell>
          <cell r="AC63">
            <v>17255.767159999999</v>
          </cell>
          <cell r="AD63">
            <v>17617.00821</v>
          </cell>
          <cell r="AE63">
            <v>18011.381590000001</v>
          </cell>
          <cell r="AF63">
            <v>18437.203079999999</v>
          </cell>
          <cell r="AG63">
            <v>18884.668030000001</v>
          </cell>
          <cell r="AH63">
            <v>19344.042409999998</v>
          </cell>
          <cell r="AI63">
            <v>19807.239740000001</v>
          </cell>
          <cell r="AJ63">
            <v>20267.80603</v>
          </cell>
          <cell r="AK63">
            <v>20720.413690000001</v>
          </cell>
        </row>
        <row r="64">
          <cell r="B64">
            <v>7910.8117579999998</v>
          </cell>
          <cell r="C64">
            <v>8012.2510439999996</v>
          </cell>
          <cell r="D64">
            <v>8112.49251</v>
          </cell>
          <cell r="E64">
            <v>8218.2887950000004</v>
          </cell>
          <cell r="F64">
            <v>8319.1196990000008</v>
          </cell>
          <cell r="G64">
            <v>8426.7940660000004</v>
          </cell>
          <cell r="H64">
            <v>9428.995175</v>
          </cell>
          <cell r="I64">
            <v>10564.897010000001</v>
          </cell>
          <cell r="J64">
            <v>11824.49977</v>
          </cell>
          <cell r="K64">
            <v>13219.110140000001</v>
          </cell>
          <cell r="L64">
            <v>14768.561089999999</v>
          </cell>
          <cell r="M64">
            <v>15887.618700000001</v>
          </cell>
          <cell r="N64">
            <v>17046.671419999999</v>
          </cell>
          <cell r="O64">
            <v>18293.985189999999</v>
          </cell>
          <cell r="P64">
            <v>19650.76785</v>
          </cell>
          <cell r="Q64">
            <v>21131.477200000001</v>
          </cell>
          <cell r="R64">
            <v>23166.79783</v>
          </cell>
          <cell r="S64">
            <v>25370.497869999999</v>
          </cell>
          <cell r="T64">
            <v>27732.731919999998</v>
          </cell>
          <cell r="U64">
            <v>30252.031289999999</v>
          </cell>
          <cell r="V64">
            <v>32926.488189999996</v>
          </cell>
          <cell r="W64">
            <v>35763.098740000001</v>
          </cell>
          <cell r="X64">
            <v>38794.912470000003</v>
          </cell>
          <cell r="Y64">
            <v>42057.793019999997</v>
          </cell>
          <cell r="Z64">
            <v>45590.843430000001</v>
          </cell>
          <cell r="AA64">
            <v>49417.718580000001</v>
          </cell>
          <cell r="AB64">
            <v>50541.351649999997</v>
          </cell>
          <cell r="AC64">
            <v>51280.20493</v>
          </cell>
          <cell r="AD64">
            <v>52050.449379999998</v>
          </cell>
          <cell r="AE64">
            <v>52938.476170000002</v>
          </cell>
          <cell r="AF64">
            <v>53934.589449999999</v>
          </cell>
          <cell r="AG64">
            <v>55003.368159999998</v>
          </cell>
          <cell r="AH64">
            <v>56129.125740000003</v>
          </cell>
          <cell r="AI64">
            <v>57296.732739999999</v>
          </cell>
          <cell r="AJ64">
            <v>58491.523930000003</v>
          </cell>
          <cell r="AK64">
            <v>59699.563119999999</v>
          </cell>
        </row>
        <row r="65">
          <cell r="B65">
            <v>7910.8117579999998</v>
          </cell>
          <cell r="C65">
            <v>8012.2510439999996</v>
          </cell>
          <cell r="D65">
            <v>8112.49251</v>
          </cell>
          <cell r="E65">
            <v>8218.2887950000004</v>
          </cell>
          <cell r="F65">
            <v>8319.1196990000008</v>
          </cell>
          <cell r="G65">
            <v>8426.7940660000004</v>
          </cell>
          <cell r="H65">
            <v>9428.995175</v>
          </cell>
          <cell r="I65">
            <v>10548.085230000001</v>
          </cell>
          <cell r="J65">
            <v>11780.31734</v>
          </cell>
          <cell r="K65">
            <v>13134.933150000001</v>
          </cell>
          <cell r="L65">
            <v>14626.251539999999</v>
          </cell>
          <cell r="M65">
            <v>15765.672839999999</v>
          </cell>
          <cell r="N65">
            <v>16967.46098</v>
          </cell>
          <cell r="O65">
            <v>18260.424900000002</v>
          </cell>
          <cell r="P65">
            <v>19661.668010000001</v>
          </cell>
          <cell r="Q65">
            <v>21187.868729999998</v>
          </cell>
          <cell r="R65">
            <v>23263.753270000001</v>
          </cell>
          <cell r="S65">
            <v>25522.878499999999</v>
          </cell>
          <cell r="T65">
            <v>27966.253949999998</v>
          </cell>
          <cell r="U65">
            <v>30601.752810000002</v>
          </cell>
          <cell r="V65">
            <v>33436.406410000003</v>
          </cell>
          <cell r="W65">
            <v>36500.502330000003</v>
          </cell>
          <cell r="X65">
            <v>39822.322119999997</v>
          </cell>
          <cell r="Y65">
            <v>43438.706100000003</v>
          </cell>
          <cell r="Z65">
            <v>47394.496769999998</v>
          </cell>
          <cell r="AA65">
            <v>51722.34923</v>
          </cell>
          <cell r="AB65">
            <v>53246.995459999998</v>
          </cell>
          <cell r="AC65">
            <v>54337.747109999997</v>
          </cell>
          <cell r="AD65">
            <v>55428.882640000003</v>
          </cell>
          <cell r="AE65">
            <v>56617.169809999999</v>
          </cell>
          <cell r="AF65">
            <v>57896.916340000003</v>
          </cell>
          <cell r="AG65">
            <v>59239.5389</v>
          </cell>
          <cell r="AH65">
            <v>60616.827239999999</v>
          </cell>
          <cell r="AI65">
            <v>62005.337610000002</v>
          </cell>
          <cell r="AJ65">
            <v>63386.292009999997</v>
          </cell>
          <cell r="AK65">
            <v>64744.11234</v>
          </cell>
        </row>
        <row r="66">
          <cell r="B66">
            <v>109.8244856</v>
          </cell>
          <cell r="C66">
            <v>111.4691448</v>
          </cell>
          <cell r="D66">
            <v>113.0112115</v>
          </cell>
          <cell r="E66">
            <v>114.6827308</v>
          </cell>
          <cell r="F66">
            <v>116.19944289999999</v>
          </cell>
          <cell r="G66">
            <v>117.7361949</v>
          </cell>
          <cell r="H66">
            <v>120.48047699999999</v>
          </cell>
          <cell r="I66">
            <v>124.4316481</v>
          </cell>
          <cell r="J66">
            <v>128.99230549999999</v>
          </cell>
          <cell r="K66">
            <v>134.05867190000001</v>
          </cell>
          <cell r="L66">
            <v>139.5884562</v>
          </cell>
          <cell r="M66">
            <v>144.59056039999999</v>
          </cell>
          <cell r="N66">
            <v>148.83541099999999</v>
          </cell>
          <cell r="O66">
            <v>152.92004879999999</v>
          </cell>
          <cell r="P66">
            <v>157.09141940000001</v>
          </cell>
          <cell r="Q66">
            <v>161.48197920000001</v>
          </cell>
          <cell r="R66">
            <v>165.6023017</v>
          </cell>
          <cell r="S66">
            <v>170.1171056</v>
          </cell>
          <cell r="T66">
            <v>175.08363320000001</v>
          </cell>
          <cell r="U66">
            <v>180.6332874</v>
          </cell>
          <cell r="V66">
            <v>186.91144420000001</v>
          </cell>
          <cell r="W66">
            <v>194.04142390000001</v>
          </cell>
          <cell r="X66">
            <v>202.32130620000001</v>
          </cell>
          <cell r="Y66">
            <v>212.0294806</v>
          </cell>
          <cell r="Z66">
            <v>223.4309447</v>
          </cell>
          <cell r="AA66">
            <v>236.7387363</v>
          </cell>
          <cell r="AB66">
            <v>242.54275150000001</v>
          </cell>
          <cell r="AC66">
            <v>246.2791009</v>
          </cell>
          <cell r="AD66">
            <v>250.15788459999999</v>
          </cell>
          <cell r="AE66">
            <v>254.64580789999999</v>
          </cell>
          <cell r="AF66">
            <v>259.69863620000001</v>
          </cell>
          <cell r="AG66">
            <v>265.13083890000001</v>
          </cell>
          <cell r="AH66">
            <v>270.85652060000001</v>
          </cell>
          <cell r="AI66">
            <v>276.79726429999999</v>
          </cell>
          <cell r="AJ66">
            <v>282.87831210000002</v>
          </cell>
          <cell r="AK66">
            <v>289.02886740000002</v>
          </cell>
        </row>
        <row r="67">
          <cell r="B67">
            <v>109.8244856</v>
          </cell>
          <cell r="C67">
            <v>111.4691448</v>
          </cell>
          <cell r="D67">
            <v>113.0112115</v>
          </cell>
          <cell r="E67">
            <v>114.6827308</v>
          </cell>
          <cell r="F67">
            <v>116.19944289999999</v>
          </cell>
          <cell r="G67">
            <v>117.7361949</v>
          </cell>
          <cell r="H67">
            <v>120.48047699999999</v>
          </cell>
          <cell r="I67">
            <v>124.04077700000001</v>
          </cell>
          <cell r="J67">
            <v>127.9247153</v>
          </cell>
          <cell r="K67">
            <v>132.05111550000001</v>
          </cell>
          <cell r="L67">
            <v>136.36658829999999</v>
          </cell>
          <cell r="M67">
            <v>141.07709819999999</v>
          </cell>
          <cell r="N67">
            <v>145.48082350000001</v>
          </cell>
          <cell r="O67">
            <v>149.89941469999999</v>
          </cell>
          <cell r="P67">
            <v>154.46299440000001</v>
          </cell>
          <cell r="Q67">
            <v>159.27027659999999</v>
          </cell>
          <cell r="R67">
            <v>163.7854523</v>
          </cell>
          <cell r="S67">
            <v>168.74467319999999</v>
          </cell>
          <cell r="T67">
            <v>174.26301029999999</v>
          </cell>
          <cell r="U67">
            <v>180.51237230000001</v>
          </cell>
          <cell r="V67">
            <v>187.6728641</v>
          </cell>
          <cell r="W67">
            <v>195.99196559999999</v>
          </cell>
          <cell r="X67">
            <v>205.7176011</v>
          </cell>
          <cell r="Y67">
            <v>217.11682099999999</v>
          </cell>
          <cell r="Z67">
            <v>230.4769987</v>
          </cell>
          <cell r="AA67">
            <v>246.05936310000001</v>
          </cell>
          <cell r="AB67">
            <v>253.82620019999999</v>
          </cell>
          <cell r="AC67">
            <v>259.27288770000001</v>
          </cell>
          <cell r="AD67">
            <v>264.70063870000001</v>
          </cell>
          <cell r="AE67">
            <v>270.62621280000002</v>
          </cell>
          <cell r="AF67">
            <v>277.02430370000002</v>
          </cell>
          <cell r="AG67">
            <v>283.74759390000003</v>
          </cell>
          <cell r="AH67">
            <v>290.64982670000001</v>
          </cell>
          <cell r="AI67">
            <v>297.6095004</v>
          </cell>
          <cell r="AJ67">
            <v>304.52964200000002</v>
          </cell>
          <cell r="AK67">
            <v>311.33020290000002</v>
          </cell>
        </row>
      </sheetData>
      <sheetData sheetId="2"/>
      <sheetData sheetId="4">
        <row r="485">
          <cell r="F485">
            <v>129.1535753</v>
          </cell>
          <cell r="G485">
            <v>128.0442276</v>
          </cell>
          <cell r="H485">
            <v>126.7877968</v>
          </cell>
          <cell r="I485">
            <v>125.56542829999999</v>
          </cell>
          <cell r="J485">
            <v>124.9966939</v>
          </cell>
          <cell r="K485">
            <v>124.8368849</v>
          </cell>
          <cell r="L485">
            <v>124.90613620000001</v>
          </cell>
          <cell r="M485">
            <v>124.5094587</v>
          </cell>
          <cell r="N485">
            <v>123.74739750000001</v>
          </cell>
          <cell r="O485">
            <v>122.63883060000001</v>
          </cell>
          <cell r="P485">
            <v>121.20990949999999</v>
          </cell>
          <cell r="Q485">
            <v>120.7484372</v>
          </cell>
          <cell r="R485">
            <v>120.720175</v>
          </cell>
          <cell r="S485">
            <v>120.851331</v>
          </cell>
          <cell r="T485">
            <v>120.99872379999999</v>
          </cell>
          <cell r="U485">
            <v>121.090895</v>
          </cell>
          <cell r="V485">
            <v>121.0069252</v>
          </cell>
          <cell r="W485">
            <v>120.7831051</v>
          </cell>
          <cell r="X485">
            <v>120.4478575</v>
          </cell>
          <cell r="Y485">
            <v>120.0241786</v>
          </cell>
          <cell r="Z485">
            <v>119.50500169999999</v>
          </cell>
          <cell r="AA485">
            <v>119.0531027</v>
          </cell>
          <cell r="AB485">
            <v>118.6261167</v>
          </cell>
          <cell r="AC485">
            <v>118.2066614</v>
          </cell>
          <cell r="AD485">
            <v>117.7901945</v>
          </cell>
          <cell r="AE485">
            <v>117.3086931</v>
          </cell>
          <cell r="AF485">
            <v>116.9064401</v>
          </cell>
          <cell r="AG485">
            <v>116.551148</v>
          </cell>
          <cell r="AH485">
            <v>116.22581649999999</v>
          </cell>
          <cell r="AI485">
            <v>115.9218236</v>
          </cell>
          <cell r="AJ485">
            <v>115.6336319</v>
          </cell>
          <cell r="AK485">
            <v>115.3956402</v>
          </cell>
          <cell r="AL485">
            <v>115.182092</v>
          </cell>
          <cell r="AM485">
            <v>114.97404330000001</v>
          </cell>
          <cell r="AN485">
            <v>114.75630339999999</v>
          </cell>
          <cell r="AO485">
            <v>114.5157251</v>
          </cell>
        </row>
        <row r="857">
          <cell r="F857">
            <v>338.43888449999997</v>
          </cell>
          <cell r="G857">
            <v>341.48024090000001</v>
          </cell>
          <cell r="H857">
            <v>345.0108133</v>
          </cell>
          <cell r="I857">
            <v>348.53316169999999</v>
          </cell>
          <cell r="J857">
            <v>353.67139120000002</v>
          </cell>
          <cell r="K857">
            <v>360.1800733</v>
          </cell>
          <cell r="L857">
            <v>367.95222260000003</v>
          </cell>
          <cell r="M857">
            <v>374.71511909999998</v>
          </cell>
          <cell r="N857">
            <v>379.97278110000002</v>
          </cell>
          <cell r="O857">
            <v>383.47119759999998</v>
          </cell>
          <cell r="P857">
            <v>384.85178980000001</v>
          </cell>
          <cell r="Q857">
            <v>387.72734650000001</v>
          </cell>
          <cell r="R857">
            <v>391.00549230000001</v>
          </cell>
          <cell r="S857">
            <v>394.61981250000002</v>
          </cell>
          <cell r="T857">
            <v>398.53804760000003</v>
          </cell>
          <cell r="U857">
            <v>402.77251150000001</v>
          </cell>
          <cell r="V857">
            <v>407.22140480000002</v>
          </cell>
          <cell r="W857">
            <v>412.07682360000001</v>
          </cell>
          <cell r="X857">
            <v>417.42447270000002</v>
          </cell>
          <cell r="Y857">
            <v>423.34191820000001</v>
          </cell>
          <cell r="Z857">
            <v>429.8781654</v>
          </cell>
          <cell r="AA857">
            <v>437.39324590000001</v>
          </cell>
          <cell r="AB857">
            <v>446.006259</v>
          </cell>
          <cell r="AC857">
            <v>455.7944789</v>
          </cell>
          <cell r="AD857">
            <v>466.79631719999998</v>
          </cell>
          <cell r="AE857">
            <v>478.93355120000001</v>
          </cell>
          <cell r="AF857">
            <v>488.60492040000003</v>
          </cell>
          <cell r="AG857">
            <v>498.08032079999998</v>
          </cell>
          <cell r="AH857">
            <v>508.31264479999999</v>
          </cell>
          <cell r="AI857">
            <v>519.45609730000001</v>
          </cell>
          <cell r="AJ857">
            <v>531.37418249999996</v>
          </cell>
          <cell r="AK857">
            <v>543.97376650000001</v>
          </cell>
          <cell r="AL857">
            <v>557.10812429999999</v>
          </cell>
          <cell r="AM857">
            <v>570.62821429999997</v>
          </cell>
          <cell r="AN857">
            <v>584.38408860000004</v>
          </cell>
          <cell r="AO857">
            <v>598.22690929999999</v>
          </cell>
        </row>
        <row r="911">
          <cell r="F911">
            <v>129.1535753</v>
          </cell>
          <cell r="G911">
            <v>128.0442276</v>
          </cell>
          <cell r="H911">
            <v>126.7877968</v>
          </cell>
          <cell r="I911">
            <v>125.56542829999999</v>
          </cell>
          <cell r="J911">
            <v>124.9966939</v>
          </cell>
          <cell r="K911">
            <v>124.8368849</v>
          </cell>
          <cell r="L911">
            <v>124.90613620000001</v>
          </cell>
          <cell r="M911">
            <v>125.1229618</v>
          </cell>
          <cell r="N911">
            <v>125.4360081</v>
          </cell>
          <cell r="O911">
            <v>125.8125395</v>
          </cell>
          <cell r="P911">
            <v>126.27450519999999</v>
          </cell>
          <cell r="Q911">
            <v>126.7297142</v>
          </cell>
          <cell r="R911">
            <v>127.16747890000001</v>
          </cell>
          <cell r="S911">
            <v>127.5741379</v>
          </cell>
          <cell r="T911">
            <v>127.9378172</v>
          </cell>
          <cell r="U911">
            <v>128.25118549999999</v>
          </cell>
          <cell r="V911">
            <v>128.51006480000001</v>
          </cell>
          <cell r="W911">
            <v>128.71638239999999</v>
          </cell>
          <cell r="X911">
            <v>128.87777170000001</v>
          </cell>
          <cell r="Y911">
            <v>129.0040673</v>
          </cell>
          <cell r="Z911">
            <v>129.0774107</v>
          </cell>
          <cell r="AA911">
            <v>129.1562648</v>
          </cell>
          <cell r="AB911">
            <v>129.245822</v>
          </cell>
          <cell r="AC911">
            <v>129.35533409999999</v>
          </cell>
          <cell r="AD911">
            <v>129.4948732</v>
          </cell>
          <cell r="AE911">
            <v>129.5940947</v>
          </cell>
          <cell r="AF911">
            <v>129.7453831</v>
          </cell>
          <cell r="AG911">
            <v>129.9511804</v>
          </cell>
          <cell r="AH911">
            <v>130.2168073</v>
          </cell>
          <cell r="AI911">
            <v>130.542574</v>
          </cell>
          <cell r="AJ911">
            <v>130.92941239999999</v>
          </cell>
          <cell r="AK911">
            <v>131.3760303</v>
          </cell>
          <cell r="AL911">
            <v>131.8782056</v>
          </cell>
          <cell r="AM911">
            <v>132.42921899999999</v>
          </cell>
          <cell r="AN911">
            <v>133.0205191</v>
          </cell>
          <cell r="AO911">
            <v>133.64212130000001</v>
          </cell>
        </row>
        <row r="1283">
          <cell r="F1283">
            <v>338.43888449999997</v>
          </cell>
          <cell r="G1283">
            <v>341.48024090000001</v>
          </cell>
          <cell r="H1283">
            <v>345.0108133</v>
          </cell>
          <cell r="I1283">
            <v>348.53316169999999</v>
          </cell>
          <cell r="J1283">
            <v>353.67139120000002</v>
          </cell>
          <cell r="K1283">
            <v>360.1800733</v>
          </cell>
          <cell r="L1283">
            <v>367.95222260000003</v>
          </cell>
          <cell r="M1283">
            <v>376.79190419999998</v>
          </cell>
          <cell r="N1283">
            <v>386.42281759999997</v>
          </cell>
          <cell r="O1283">
            <v>396.67764490000002</v>
          </cell>
          <cell r="P1283">
            <v>407.16389179999999</v>
          </cell>
          <cell r="Q1283">
            <v>417.78230009999999</v>
          </cell>
          <cell r="R1283">
            <v>427.51846089999998</v>
          </cell>
          <cell r="S1283">
            <v>436.54491230000002</v>
          </cell>
          <cell r="T1283">
            <v>445.10116440000002</v>
          </cell>
          <cell r="U1283">
            <v>453.44348930000001</v>
          </cell>
          <cell r="V1283">
            <v>461.87429250000002</v>
          </cell>
          <cell r="W1283">
            <v>470.73515079999999</v>
          </cell>
          <cell r="X1283">
            <v>480.22074279999998</v>
          </cell>
          <cell r="Y1283">
            <v>490.49205990000002</v>
          </cell>
          <cell r="Z1283">
            <v>501.67082790000001</v>
          </cell>
          <cell r="AA1283">
            <v>513.98422370000003</v>
          </cell>
          <cell r="AB1283">
            <v>527.61997610000003</v>
          </cell>
          <cell r="AC1283">
            <v>542.73905749999994</v>
          </cell>
          <cell r="AD1283">
            <v>559.4609997</v>
          </cell>
          <cell r="AE1283">
            <v>577.77543700000001</v>
          </cell>
          <cell r="AF1283">
            <v>593.7369989</v>
          </cell>
          <cell r="AG1283">
            <v>609.67864380000003</v>
          </cell>
          <cell r="AH1283">
            <v>626.63345730000003</v>
          </cell>
          <cell r="AI1283">
            <v>644.78385100000003</v>
          </cell>
          <cell r="AJ1283">
            <v>663.97952610000004</v>
          </cell>
          <cell r="AK1283">
            <v>684.00303729999996</v>
          </cell>
          <cell r="AL1283">
            <v>704.64726559999997</v>
          </cell>
          <cell r="AM1283">
            <v>725.7118888</v>
          </cell>
          <cell r="AN1283">
            <v>746.99806539999997</v>
          </cell>
          <cell r="AO1283">
            <v>768.30442489999996</v>
          </cell>
        </row>
        <row r="1365">
          <cell r="E1365" t="str">
            <v>100*(GDP_2/GDP_0-1)</v>
          </cell>
          <cell r="F1365">
            <v>0</v>
          </cell>
          <cell r="G1365">
            <v>0</v>
          </cell>
          <cell r="H1365">
            <v>0</v>
          </cell>
          <cell r="I1365">
            <v>0</v>
          </cell>
          <cell r="J1365">
            <v>0</v>
          </cell>
          <cell r="K1365">
            <v>0</v>
          </cell>
          <cell r="L1365">
            <v>0</v>
          </cell>
          <cell r="M1365">
            <v>2.0823865236163641E-2</v>
          </cell>
          <cell r="N1365">
            <v>5.969068673032929E-2</v>
          </cell>
          <cell r="O1365">
            <v>0.12037566417515411</v>
          </cell>
          <cell r="P1365">
            <v>0.20501193096824633</v>
          </cell>
          <cell r="Q1365">
            <v>0.25481767418293888</v>
          </cell>
          <cell r="R1365">
            <v>0.29589899799884467</v>
          </cell>
          <cell r="S1365">
            <v>0.3243623671546958</v>
          </cell>
          <cell r="T1365">
            <v>0.33516890786529085</v>
          </cell>
          <cell r="U1365">
            <v>0.32816176435344069</v>
          </cell>
          <cell r="V1365">
            <v>0.30920099242217614</v>
          </cell>
          <cell r="W1365">
            <v>0.27919508061919895</v>
          </cell>
          <cell r="X1365">
            <v>0.24081330103753462</v>
          </cell>
          <cell r="Y1365">
            <v>0.19610383438168899</v>
          </cell>
          <cell r="Z1365">
            <v>0.14609052589631411</v>
          </cell>
          <cell r="AA1365">
            <v>8.6913883075956377E-2</v>
          </cell>
          <cell r="AB1365">
            <v>2.327138631363912E-2</v>
          </cell>
          <cell r="AC1365">
            <v>-4.3117830278271985E-2</v>
          </cell>
          <cell r="AD1365">
            <v>-0.11011708434496281</v>
          </cell>
          <cell r="AE1365">
            <v>-0.175832786341934</v>
          </cell>
          <cell r="AF1365">
            <v>-0.24529192448559112</v>
          </cell>
          <cell r="AG1365">
            <v>-0.31486956126345333</v>
          </cell>
          <cell r="AH1365">
            <v>-0.38131461023795943</v>
          </cell>
          <cell r="AI1365">
            <v>-0.44133356045207295</v>
          </cell>
          <cell r="AJ1365">
            <v>-0.49235198428665417</v>
          </cell>
          <cell r="AK1365">
            <v>-0.53551889847613943</v>
          </cell>
          <cell r="AL1365">
            <v>-0.56792601178644597</v>
          </cell>
          <cell r="AM1365">
            <v>-0.58905059412087679</v>
          </cell>
          <cell r="AN1365">
            <v>-0.59880068605886461</v>
          </cell>
          <cell r="AO1365">
            <v>-0.59711984399372087</v>
          </cell>
        </row>
        <row r="1366">
          <cell r="C1366" t="str">
            <v>VA du secteur marchand</v>
          </cell>
          <cell r="E1366" t="str">
            <v>100*((VA_2-VA_spub_2)/(VA_0-VA_spub_0)-1)</v>
          </cell>
          <cell r="F1366">
            <v>0</v>
          </cell>
          <cell r="G1366">
            <v>0</v>
          </cell>
          <cell r="H1366">
            <v>0</v>
          </cell>
          <cell r="I1366">
            <v>0</v>
          </cell>
          <cell r="J1366">
            <v>0</v>
          </cell>
          <cell r="K1366">
            <v>0</v>
          </cell>
          <cell r="L1366">
            <v>0</v>
          </cell>
          <cell r="M1366">
            <v>2.6182803631513707E-2</v>
          </cell>
          <cell r="N1366">
            <v>7.2949353114770688E-2</v>
          </cell>
          <cell r="O1366">
            <v>0.14183365942839199</v>
          </cell>
          <cell r="P1366">
            <v>0.23234373650460327</v>
          </cell>
          <cell r="Q1366">
            <v>0.27291009517953491</v>
          </cell>
          <cell r="R1366">
            <v>0.29836940818501745</v>
          </cell>
          <cell r="S1366">
            <v>0.30817211994020877</v>
          </cell>
          <cell r="T1366">
            <v>0.29831471396504217</v>
          </cell>
          <cell r="U1366">
            <v>0.26921046669869941</v>
          </cell>
          <cell r="V1366">
            <v>0.22770185043428093</v>
          </cell>
          <cell r="W1366">
            <v>0.17433802515725016</v>
          </cell>
          <cell r="X1366">
            <v>0.11193522933703459</v>
          </cell>
          <cell r="Y1366">
            <v>4.2864462015645977E-2</v>
          </cell>
          <cell r="Z1366">
            <v>-3.1580281772092267E-2</v>
          </cell>
          <cell r="AA1366">
            <v>-0.11531447634743897</v>
          </cell>
          <cell r="AB1366">
            <v>-0.20223298825156055</v>
          </cell>
          <cell r="AC1366">
            <v>-0.28991958851242172</v>
          </cell>
          <cell r="AD1366">
            <v>-0.37576101332901235</v>
          </cell>
          <cell r="AE1366">
            <v>-0.45758223816992905</v>
          </cell>
          <cell r="AF1366">
            <v>-0.54137153060156429</v>
          </cell>
          <cell r="AG1366">
            <v>-0.62272940030984048</v>
          </cell>
          <cell r="AH1366">
            <v>-0.69797426786996075</v>
          </cell>
          <cell r="AI1366">
            <v>-0.76355292289664867</v>
          </cell>
          <cell r="AJ1366">
            <v>-0.81682606937104607</v>
          </cell>
          <cell r="AK1366">
            <v>-0.85915252801291864</v>
          </cell>
          <cell r="AL1366">
            <v>-0.88753428976224846</v>
          </cell>
          <cell r="AM1366">
            <v>-0.90174846000480313</v>
          </cell>
          <cell r="AN1366">
            <v>-0.90214194085902477</v>
          </cell>
          <cell r="AO1366">
            <v>-0.88913105136930737</v>
          </cell>
        </row>
        <row r="1367">
          <cell r="E1367" t="str">
            <v>100*((CH_2-CH_0)/GDP_0)</v>
          </cell>
          <cell r="F1367">
            <v>0</v>
          </cell>
          <cell r="G1367">
            <v>0</v>
          </cell>
          <cell r="H1367">
            <v>0</v>
          </cell>
          <cell r="I1367">
            <v>0</v>
          </cell>
          <cell r="J1367">
            <v>0</v>
          </cell>
          <cell r="K1367">
            <v>0</v>
          </cell>
          <cell r="L1367">
            <v>0</v>
          </cell>
          <cell r="M1367">
            <v>2.3943525574161892E-2</v>
          </cell>
          <cell r="N1367">
            <v>8.3338480251531441E-2</v>
          </cell>
          <cell r="O1367">
            <v>0.19607039743963681</v>
          </cell>
          <cell r="P1367">
            <v>0.37874683001567655</v>
          </cell>
          <cell r="Q1367">
            <v>0.56916397150161857</v>
          </cell>
          <cell r="R1367">
            <v>0.76567651066821696</v>
          </cell>
          <cell r="S1367">
            <v>0.94837772998494252</v>
          </cell>
          <cell r="T1367">
            <v>1.1073076523945262</v>
          </cell>
          <cell r="U1367">
            <v>1.2417369857515415</v>
          </cell>
          <cell r="V1367">
            <v>1.3595874052200763</v>
          </cell>
          <cell r="W1367">
            <v>1.4651696488857633</v>
          </cell>
          <cell r="X1367">
            <v>1.5627420483012702</v>
          </cell>
          <cell r="Y1367">
            <v>1.6546039258147602</v>
          </cell>
          <cell r="Z1367">
            <v>1.741855904659749</v>
          </cell>
          <cell r="AA1367">
            <v>1.8175830280766623</v>
          </cell>
          <cell r="AB1367">
            <v>1.8826848557829863</v>
          </cell>
          <cell r="AC1367">
            <v>1.9370420000462389</v>
          </cell>
          <cell r="AD1367">
            <v>1.9821224090084597</v>
          </cell>
          <cell r="AE1367">
            <v>2.0201040667328267</v>
          </cell>
          <cell r="AF1367">
            <v>2.0409550188804206</v>
          </cell>
          <cell r="AG1367">
            <v>2.0474309389477909</v>
          </cell>
          <cell r="AH1367">
            <v>2.0429601302677409</v>
          </cell>
          <cell r="AI1367">
            <v>2.0308283336574675</v>
          </cell>
          <cell r="AJ1367">
            <v>2.0136491069672182</v>
          </cell>
          <cell r="AK1367">
            <v>1.9893062675143676</v>
          </cell>
          <cell r="AL1367">
            <v>1.9605136515037154</v>
          </cell>
          <cell r="AM1367">
            <v>1.9287676222281429</v>
          </cell>
          <cell r="AN1367">
            <v>1.8959090478742942</v>
          </cell>
          <cell r="AO1367">
            <v>1.864065145424838</v>
          </cell>
        </row>
        <row r="1368">
          <cell r="C1368" t="str">
            <v>Consommation des ménages automobile</v>
          </cell>
          <cell r="E1368" t="str">
            <v>100*((CH_cveh_2-CH_cveh_0)/GDP_0)</v>
          </cell>
          <cell r="F1368">
            <v>0</v>
          </cell>
          <cell r="G1368">
            <v>0</v>
          </cell>
          <cell r="H1368">
            <v>0</v>
          </cell>
          <cell r="I1368">
            <v>0</v>
          </cell>
          <cell r="J1368">
            <v>0</v>
          </cell>
          <cell r="K1368">
            <v>0</v>
          </cell>
          <cell r="L1368">
            <v>0</v>
          </cell>
          <cell r="M1368">
            <v>-1.9410425741869547E-2</v>
          </cell>
          <cell r="N1368">
            <v>-4.8471930244175711E-2</v>
          </cell>
          <cell r="O1368">
            <v>-8.3896530583816561E-2</v>
          </cell>
          <cell r="P1368">
            <v>-0.1291243962445042</v>
          </cell>
          <cell r="Q1368">
            <v>-0.11297565520365677</v>
          </cell>
          <cell r="R1368">
            <v>-8.0715950281942672E-2</v>
          </cell>
          <cell r="S1368">
            <v>-5.537067021785827E-2</v>
          </cell>
          <cell r="T1368">
            <v>-4.1296555346788416E-2</v>
          </cell>
          <cell r="U1368">
            <v>-3.6469261172984185E-2</v>
          </cell>
          <cell r="V1368">
            <v>-4.3142602900128876E-2</v>
          </cell>
          <cell r="W1368">
            <v>-5.4317398947006448E-2</v>
          </cell>
          <cell r="X1368">
            <v>-6.6563847951811722E-2</v>
          </cell>
          <cell r="Y1368">
            <v>-7.8856179450402686E-2</v>
          </cell>
          <cell r="Z1368">
            <v>-9.1119801409807966E-2</v>
          </cell>
          <cell r="AA1368">
            <v>-9.5896219940076938E-2</v>
          </cell>
          <cell r="AB1368">
            <v>-9.9817282684862313E-2</v>
          </cell>
          <cell r="AC1368">
            <v>-0.10543339637994649</v>
          </cell>
          <cell r="AD1368">
            <v>-0.11288558287188914</v>
          </cell>
          <cell r="AE1368">
            <v>-0.12186214296964479</v>
          </cell>
          <cell r="AF1368">
            <v>-0.12753747381169839</v>
          </cell>
          <cell r="AG1368">
            <v>-0.13358452315902522</v>
          </cell>
          <cell r="AH1368">
            <v>-0.1410890084117184</v>
          </cell>
          <cell r="AI1368">
            <v>-0.14992396613851805</v>
          </cell>
          <cell r="AJ1368">
            <v>-0.15973694156833401</v>
          </cell>
          <cell r="AK1368">
            <v>-0.16735223021016396</v>
          </cell>
          <cell r="AL1368">
            <v>-0.17519488449075846</v>
          </cell>
          <cell r="AM1368">
            <v>-0.18397640308243612</v>
          </cell>
          <cell r="AN1368">
            <v>-0.19351890676058833</v>
          </cell>
          <cell r="AO1368">
            <v>-0.2034451031480719</v>
          </cell>
        </row>
        <row r="1369">
          <cell r="C1369" t="str">
            <v>Dépenses publiques</v>
          </cell>
          <cell r="E1369" t="str">
            <v>100*((G_2-G_0)/GDP_0)</v>
          </cell>
          <cell r="F1369">
            <v>0</v>
          </cell>
          <cell r="G1369">
            <v>0</v>
          </cell>
          <cell r="H1369">
            <v>0</v>
          </cell>
          <cell r="I1369">
            <v>0</v>
          </cell>
          <cell r="J1369">
            <v>0</v>
          </cell>
          <cell r="K1369">
            <v>0</v>
          </cell>
          <cell r="L1369">
            <v>0</v>
          </cell>
          <cell r="M1369">
            <v>0</v>
          </cell>
          <cell r="N1369">
            <v>0</v>
          </cell>
          <cell r="O1369">
            <v>0</v>
          </cell>
          <cell r="P1369">
            <v>0</v>
          </cell>
          <cell r="Q1369">
            <v>0</v>
          </cell>
          <cell r="R1369">
            <v>0</v>
          </cell>
          <cell r="S1369">
            <v>0</v>
          </cell>
          <cell r="T1369">
            <v>0</v>
          </cell>
          <cell r="U1369">
            <v>0</v>
          </cell>
          <cell r="V1369">
            <v>0</v>
          </cell>
          <cell r="W1369">
            <v>0</v>
          </cell>
          <cell r="X1369">
            <v>0</v>
          </cell>
          <cell r="Y1369">
            <v>0</v>
          </cell>
          <cell r="Z1369">
            <v>0</v>
          </cell>
          <cell r="AA1369">
            <v>0</v>
          </cell>
          <cell r="AB1369">
            <v>0</v>
          </cell>
          <cell r="AC1369">
            <v>0</v>
          </cell>
          <cell r="AD1369">
            <v>0</v>
          </cell>
          <cell r="AE1369">
            <v>0</v>
          </cell>
          <cell r="AF1369">
            <v>0</v>
          </cell>
          <cell r="AG1369">
            <v>0</v>
          </cell>
          <cell r="AH1369">
            <v>0</v>
          </cell>
          <cell r="AI1369">
            <v>0</v>
          </cell>
          <cell r="AJ1369">
            <v>0</v>
          </cell>
          <cell r="AK1369">
            <v>0</v>
          </cell>
          <cell r="AL1369">
            <v>0</v>
          </cell>
          <cell r="AM1369">
            <v>0</v>
          </cell>
          <cell r="AN1369">
            <v>0</v>
          </cell>
          <cell r="AO1369">
            <v>0</v>
          </cell>
        </row>
        <row r="1370">
          <cell r="E1370" t="str">
            <v>100*((I_2-I_0)/GDP_0)</v>
          </cell>
          <cell r="F1370">
            <v>0</v>
          </cell>
          <cell r="G1370">
            <v>0</v>
          </cell>
          <cell r="H1370">
            <v>0</v>
          </cell>
          <cell r="I1370">
            <v>0</v>
          </cell>
          <cell r="J1370">
            <v>0</v>
          </cell>
          <cell r="K1370">
            <v>0</v>
          </cell>
          <cell r="L1370">
            <v>0</v>
          </cell>
          <cell r="M1370">
            <v>-2.8220453305479532E-3</v>
          </cell>
          <cell r="N1370">
            <v>-6.5874582626656505E-3</v>
          </cell>
          <cell r="O1370">
            <v>-9.4263175856291199E-3</v>
          </cell>
          <cell r="P1370">
            <v>-1.0290769071143475E-2</v>
          </cell>
          <cell r="Q1370">
            <v>1.4703161461452751E-3</v>
          </cell>
          <cell r="R1370">
            <v>2.2085263211493872E-2</v>
          </cell>
          <cell r="S1370">
            <v>4.7262046805918813E-2</v>
          </cell>
          <cell r="T1370">
            <v>7.3623623324306622E-2</v>
          </cell>
          <cell r="U1370">
            <v>9.94481760111873E-2</v>
          </cell>
          <cell r="V1370">
            <v>0.12324907418593857</v>
          </cell>
          <cell r="W1370">
            <v>0.14568564256620525</v>
          </cell>
          <cell r="X1370">
            <v>0.1676776931861397</v>
          </cell>
          <cell r="Y1370">
            <v>0.19002388383066293</v>
          </cell>
          <cell r="Z1370">
            <v>0.21324443598719334</v>
          </cell>
          <cell r="AA1370">
            <v>0.23948072265666587</v>
          </cell>
          <cell r="AB1370">
            <v>0.26844254546591678</v>
          </cell>
          <cell r="AC1370">
            <v>0.29982996974343629</v>
          </cell>
          <cell r="AD1370">
            <v>0.33356340041228338</v>
          </cell>
          <cell r="AE1370">
            <v>0.3696975920179838</v>
          </cell>
          <cell r="AF1370">
            <v>0.410480697680282</v>
          </cell>
          <cell r="AG1370">
            <v>0.45545704536613091</v>
          </cell>
          <cell r="AH1370">
            <v>0.50410129101883705</v>
          </cell>
          <cell r="AI1370">
            <v>0.55620478540890284</v>
          </cell>
          <cell r="AJ1370">
            <v>0.61178382194213787</v>
          </cell>
          <cell r="AK1370">
            <v>0.67148938948080317</v>
          </cell>
          <cell r="AL1370">
            <v>0.73503069492865036</v>
          </cell>
          <cell r="AM1370">
            <v>0.80209417695994256</v>
          </cell>
          <cell r="AN1370">
            <v>0.87239002377426378</v>
          </cell>
          <cell r="AO1370">
            <v>0.94568516427496285</v>
          </cell>
        </row>
        <row r="1371">
          <cell r="C1371" t="str">
            <v>Variations de stocks</v>
          </cell>
          <cell r="E1371" t="str">
            <v>100*((DS_2-DS_0)/GDP_0)</v>
          </cell>
          <cell r="F1371">
            <v>0</v>
          </cell>
          <cell r="G1371">
            <v>0</v>
          </cell>
          <cell r="H1371">
            <v>0</v>
          </cell>
          <cell r="I1371">
            <v>0</v>
          </cell>
          <cell r="J1371">
            <v>0</v>
          </cell>
          <cell r="K1371">
            <v>0</v>
          </cell>
          <cell r="L1371">
            <v>0</v>
          </cell>
          <cell r="M1371">
            <v>0</v>
          </cell>
          <cell r="N1371">
            <v>0</v>
          </cell>
          <cell r="O1371">
            <v>0</v>
          </cell>
          <cell r="P1371">
            <v>0</v>
          </cell>
          <cell r="Q1371">
            <v>0</v>
          </cell>
          <cell r="R1371">
            <v>0</v>
          </cell>
          <cell r="S1371">
            <v>0</v>
          </cell>
          <cell r="T1371">
            <v>0</v>
          </cell>
          <cell r="U1371">
            <v>0</v>
          </cell>
          <cell r="V1371">
            <v>0</v>
          </cell>
          <cell r="W1371">
            <v>0</v>
          </cell>
          <cell r="X1371">
            <v>0</v>
          </cell>
          <cell r="Y1371">
            <v>0</v>
          </cell>
          <cell r="Z1371">
            <v>0</v>
          </cell>
          <cell r="AA1371">
            <v>0</v>
          </cell>
          <cell r="AB1371">
            <v>0</v>
          </cell>
          <cell r="AC1371">
            <v>0</v>
          </cell>
          <cell r="AD1371">
            <v>0</v>
          </cell>
          <cell r="AE1371">
            <v>0</v>
          </cell>
          <cell r="AF1371">
            <v>0</v>
          </cell>
          <cell r="AG1371">
            <v>0</v>
          </cell>
          <cell r="AH1371">
            <v>0</v>
          </cell>
          <cell r="AI1371">
            <v>0</v>
          </cell>
          <cell r="AJ1371">
            <v>0</v>
          </cell>
          <cell r="AK1371">
            <v>0</v>
          </cell>
          <cell r="AL1371">
            <v>0</v>
          </cell>
          <cell r="AM1371">
            <v>0</v>
          </cell>
          <cell r="AN1371">
            <v>0</v>
          </cell>
          <cell r="AO1371">
            <v>0</v>
          </cell>
        </row>
        <row r="1372">
          <cell r="E1372" t="str">
            <v>100*((X_2-X_0)/GDP_0)-100*((M_2-M_0)/GDP_0)</v>
          </cell>
          <cell r="F1372">
            <v>0</v>
          </cell>
          <cell r="G1372">
            <v>0</v>
          </cell>
          <cell r="H1372">
            <v>0</v>
          </cell>
          <cell r="I1372">
            <v>0</v>
          </cell>
          <cell r="J1372">
            <v>0</v>
          </cell>
          <cell r="K1372">
            <v>0</v>
          </cell>
          <cell r="L1372">
            <v>0</v>
          </cell>
          <cell r="M1372">
            <v>-2.9763463412419561E-4</v>
          </cell>
          <cell r="N1372">
            <v>-1.7060300740125194E-2</v>
          </cell>
          <cell r="O1372">
            <v>-6.6268441908338832E-2</v>
          </cell>
          <cell r="P1372">
            <v>-0.16344410800207912</v>
          </cell>
          <cell r="Q1372">
            <v>-0.31581658475107249</v>
          </cell>
          <cell r="R1372">
            <v>-0.49186278292998525</v>
          </cell>
          <cell r="S1372">
            <v>-0.67127737150223399</v>
          </cell>
          <cell r="T1372">
            <v>-0.84576235761206287</v>
          </cell>
          <cell r="U1372">
            <v>-1.0130234007734398</v>
          </cell>
          <cell r="V1372">
            <v>-1.173635493616209</v>
          </cell>
          <cell r="W1372">
            <v>-1.3316602075643797</v>
          </cell>
          <cell r="X1372">
            <v>-1.4896064694274527</v>
          </cell>
          <cell r="Y1372">
            <v>-1.6485239752637399</v>
          </cell>
          <cell r="Z1372">
            <v>-1.8090098428102039</v>
          </cell>
          <cell r="AA1372">
            <v>-1.970149867657379</v>
          </cell>
          <cell r="AB1372">
            <v>-2.1278560029085321</v>
          </cell>
          <cell r="AC1372">
            <v>-2.2799898324885444</v>
          </cell>
          <cell r="AD1372">
            <v>-2.4258029168522151</v>
          </cell>
          <cell r="AE1372">
            <v>-2.5656344422692836</v>
          </cell>
          <cell r="AF1372">
            <v>-2.6967276438059709</v>
          </cell>
          <cell r="AG1372">
            <v>-2.8177575347973289</v>
          </cell>
          <cell r="AH1372">
            <v>-2.9283760709701729</v>
          </cell>
          <cell r="AI1372">
            <v>-3.0283666795184421</v>
          </cell>
          <cell r="AJ1372">
            <v>-3.1177848881981336</v>
          </cell>
          <cell r="AK1372">
            <v>-3.1963145311065806</v>
          </cell>
          <cell r="AL1372">
            <v>-3.2634703344701421</v>
          </cell>
          <cell r="AM1372">
            <v>-3.3199123933089627</v>
          </cell>
          <cell r="AN1372">
            <v>-3.3670997577074075</v>
          </cell>
          <cell r="AO1372">
            <v>-3.4068701316581804</v>
          </cell>
        </row>
        <row r="1373">
          <cell r="C1373" t="str">
            <v>Consommation des ménages</v>
          </cell>
          <cell r="E1373" t="str">
            <v>100*((CH_2-CH_ccon_2-(CH_0-CH_ccon_0))/GDP_0)</v>
          </cell>
          <cell r="F1373">
            <v>0</v>
          </cell>
          <cell r="G1373">
            <v>0</v>
          </cell>
          <cell r="H1373">
            <v>0</v>
          </cell>
          <cell r="I1373">
            <v>0</v>
          </cell>
          <cell r="J1373">
            <v>0</v>
          </cell>
          <cell r="K1373">
            <v>0</v>
          </cell>
          <cell r="L1373">
            <v>0</v>
          </cell>
          <cell r="M1373">
            <v>2.3883255581339087E-2</v>
          </cell>
          <cell r="N1373">
            <v>8.3229099090680173E-2</v>
          </cell>
          <cell r="O1373">
            <v>0.19568872078011171</v>
          </cell>
          <cell r="P1373">
            <v>0.3776255408896545</v>
          </cell>
          <cell r="Q1373">
            <v>0.56712455929198291</v>
          </cell>
          <cell r="R1373">
            <v>0.76182011948476269</v>
          </cell>
          <cell r="S1373">
            <v>0.94219075933543828</v>
          </cell>
          <cell r="T1373">
            <v>1.0987400855686476</v>
          </cell>
          <cell r="U1373">
            <v>1.2309863273215578</v>
          </cell>
          <cell r="V1373">
            <v>1.3468948311593687</v>
          </cell>
          <cell r="W1373">
            <v>1.4508030227640709</v>
          </cell>
          <cell r="X1373">
            <v>1.5468823181163061</v>
          </cell>
          <cell r="Y1373">
            <v>1.6373498647315896</v>
          </cell>
          <cell r="Z1373">
            <v>1.7232539819181107</v>
          </cell>
          <cell r="AA1373">
            <v>1.7977147048022266</v>
          </cell>
          <cell r="AB1373">
            <v>1.8615387530154441</v>
          </cell>
          <cell r="AC1373">
            <v>1.9146486839917987</v>
          </cell>
          <cell r="AD1373">
            <v>1.9585543201992204</v>
          </cell>
          <cell r="AE1373">
            <v>1.995441483073743</v>
          </cell>
          <cell r="AF1373">
            <v>2.0154149212179884</v>
          </cell>
          <cell r="AG1373">
            <v>2.0211759734982611</v>
          </cell>
          <cell r="AH1373">
            <v>2.0161539047818069</v>
          </cell>
          <cell r="AI1373">
            <v>2.0036358090159272</v>
          </cell>
          <cell r="AJ1373">
            <v>1.9862239235599346</v>
          </cell>
          <cell r="AK1373">
            <v>1.9618222124299489</v>
          </cell>
          <cell r="AL1373">
            <v>1.9330759864976153</v>
          </cell>
          <cell r="AM1373">
            <v>1.9014716866601735</v>
          </cell>
          <cell r="AN1373">
            <v>1.8688379661552079</v>
          </cell>
          <cell r="AO1373">
            <v>1.8372751741745346</v>
          </cell>
        </row>
        <row r="1374">
          <cell r="E1374" t="str">
            <v>100*((I_2+CH_ccon_2-(I_0+CH_ccon_0))/GDP_0)</v>
          </cell>
          <cell r="F1374">
            <v>0</v>
          </cell>
          <cell r="G1374">
            <v>0</v>
          </cell>
          <cell r="H1374">
            <v>0</v>
          </cell>
          <cell r="I1374">
            <v>0</v>
          </cell>
          <cell r="J1374">
            <v>0</v>
          </cell>
          <cell r="K1374">
            <v>0</v>
          </cell>
          <cell r="L1374">
            <v>0</v>
          </cell>
          <cell r="M1374">
            <v>-2.7617753377251453E-3</v>
          </cell>
          <cell r="N1374">
            <v>-6.4780771018188446E-3</v>
          </cell>
          <cell r="O1374">
            <v>-9.0446409260952817E-3</v>
          </cell>
          <cell r="P1374">
            <v>-9.1694799451214129E-3</v>
          </cell>
          <cell r="Q1374">
            <v>3.5097283557850648E-3</v>
          </cell>
          <cell r="R1374">
            <v>2.5941654394943989E-2</v>
          </cell>
          <cell r="S1374">
            <v>5.344901745542302E-2</v>
          </cell>
          <cell r="T1374">
            <v>8.2191190150189414E-2</v>
          </cell>
          <cell r="U1374">
            <v>0.11019883444117486</v>
          </cell>
          <cell r="V1374">
            <v>0.13594164824664226</v>
          </cell>
          <cell r="W1374">
            <v>0.16005226868790517</v>
          </cell>
          <cell r="X1374">
            <v>0.18353742337110399</v>
          </cell>
          <cell r="Y1374">
            <v>0.20727794491382634</v>
          </cell>
          <cell r="Z1374">
            <v>0.23184635872883172</v>
          </cell>
          <cell r="AA1374">
            <v>0.25934904593110519</v>
          </cell>
          <cell r="AB1374">
            <v>0.28958864823345531</v>
          </cell>
          <cell r="AC1374">
            <v>0.32222328579788007</v>
          </cell>
          <cell r="AD1374">
            <v>0.35713148922152638</v>
          </cell>
          <cell r="AE1374">
            <v>0.3943601756770671</v>
          </cell>
          <cell r="AF1374">
            <v>0.43602079534272059</v>
          </cell>
          <cell r="AG1374">
            <v>0.48171201081566367</v>
          </cell>
          <cell r="AH1374">
            <v>0.53090751650476808</v>
          </cell>
          <cell r="AI1374">
            <v>0.58339731005044315</v>
          </cell>
          <cell r="AJ1374">
            <v>0.63920900534942726</v>
          </cell>
          <cell r="AK1374">
            <v>0.69897344456522192</v>
          </cell>
          <cell r="AL1374">
            <v>0.76246835993475071</v>
          </cell>
          <cell r="AM1374">
            <v>0.82939011252791195</v>
          </cell>
          <cell r="AN1374">
            <v>0.89946110549334979</v>
          </cell>
          <cell r="AO1374">
            <v>0.97247513552526144</v>
          </cell>
        </row>
        <row r="1375">
          <cell r="C1375" t="str">
            <v>Investissement entreprises</v>
          </cell>
          <cell r="E1375" t="str">
            <v>100*((I_2-IA_spub_2-(I_0-IA_spub_0))/GDP_0)</v>
          </cell>
          <cell r="F1375">
            <v>0</v>
          </cell>
          <cell r="G1375">
            <v>0</v>
          </cell>
          <cell r="H1375">
            <v>0</v>
          </cell>
          <cell r="I1375">
            <v>0</v>
          </cell>
          <cell r="J1375">
            <v>0</v>
          </cell>
          <cell r="K1375">
            <v>0</v>
          </cell>
          <cell r="L1375">
            <v>0</v>
          </cell>
          <cell r="M1375">
            <v>-2.1832998320784306E-3</v>
          </cell>
          <cell r="N1375">
            <v>-4.9226945606191379E-3</v>
          </cell>
          <cell r="O1375">
            <v>-6.4800595703729726E-3</v>
          </cell>
          <cell r="P1375">
            <v>-5.836006199009299E-3</v>
          </cell>
          <cell r="Q1375">
            <v>5.7485787170635924E-3</v>
          </cell>
          <cell r="R1375">
            <v>2.5274375666147549E-2</v>
          </cell>
          <cell r="S1375">
            <v>4.8927020021172427E-2</v>
          </cell>
          <cell r="T1375">
            <v>7.3585549925708232E-2</v>
          </cell>
          <cell r="U1375">
            <v>9.7626428427629641E-2</v>
          </cell>
          <cell r="V1375">
            <v>0.11972579918038866</v>
          </cell>
          <cell r="W1375">
            <v>0.14044852634269459</v>
          </cell>
          <cell r="X1375">
            <v>0.16064221122164737</v>
          </cell>
          <cell r="Y1375">
            <v>0.18106142578587825</v>
          </cell>
          <cell r="Z1375">
            <v>0.2022053362928653</v>
          </cell>
          <cell r="AA1375">
            <v>0.22598797013580799</v>
          </cell>
          <cell r="AB1375">
            <v>0.2522353781608383</v>
          </cell>
          <cell r="AC1375">
            <v>0.28073079253114558</v>
          </cell>
          <cell r="AD1375">
            <v>0.31144947114830929</v>
          </cell>
          <cell r="AE1375">
            <v>0.34448135303031646</v>
          </cell>
          <cell r="AF1375">
            <v>0.38198862953858087</v>
          </cell>
          <cell r="AG1375">
            <v>0.42367881598001134</v>
          </cell>
          <cell r="AH1375">
            <v>0.46912722169720678</v>
          </cell>
          <cell r="AI1375">
            <v>0.51817742476777107</v>
          </cell>
          <cell r="AJ1375">
            <v>0.5708696417275263</v>
          </cell>
          <cell r="AK1375">
            <v>0.6277951333955587</v>
          </cell>
          <cell r="AL1375">
            <v>0.68871836670846953</v>
          </cell>
          <cell r="AM1375">
            <v>0.75335295506703204</v>
          </cell>
          <cell r="AN1375">
            <v>0.82141490786942872</v>
          </cell>
          <cell r="AO1375">
            <v>0.89266147050867362</v>
          </cell>
        </row>
        <row r="1376">
          <cell r="C1376" t="str">
            <v>Investissement ménages</v>
          </cell>
          <cell r="E1376" t="str">
            <v>100*((CH_ccon_2-CH_ccon_0)/GDP_0)</v>
          </cell>
          <cell r="F1376">
            <v>0</v>
          </cell>
          <cell r="G1376">
            <v>0</v>
          </cell>
          <cell r="H1376">
            <v>0</v>
          </cell>
          <cell r="I1376">
            <v>0</v>
          </cell>
          <cell r="J1376">
            <v>0</v>
          </cell>
          <cell r="K1376">
            <v>0</v>
          </cell>
          <cell r="L1376">
            <v>0</v>
          </cell>
          <cell r="M1376">
            <v>6.0269992822379344E-5</v>
          </cell>
          <cell r="N1376">
            <v>1.0938116084652653E-4</v>
          </cell>
          <cell r="O1376">
            <v>3.8167665953138568E-4</v>
          </cell>
          <cell r="P1376">
            <v>1.1212891260219291E-3</v>
          </cell>
          <cell r="Q1376">
            <v>2.0394122096358729E-3</v>
          </cell>
          <cell r="R1376">
            <v>3.8563911834519128E-3</v>
          </cell>
          <cell r="S1376">
            <v>6.1869706495030728E-3</v>
          </cell>
          <cell r="T1376">
            <v>8.5675668258811764E-3</v>
          </cell>
          <cell r="U1376">
            <v>1.0750658429987694E-2</v>
          </cell>
          <cell r="V1376">
            <v>1.269257406070283E-2</v>
          </cell>
          <cell r="W1376">
            <v>1.4366626121698612E-2</v>
          </cell>
          <cell r="X1376">
            <v>1.585973018496642E-2</v>
          </cell>
          <cell r="Y1376">
            <v>1.7254061083166052E-2</v>
          </cell>
          <cell r="Z1376">
            <v>1.8601922741637033E-2</v>
          </cell>
          <cell r="AA1376">
            <v>1.9868323274437522E-2</v>
          </cell>
          <cell r="AB1376">
            <v>2.1146102767538016E-2</v>
          </cell>
          <cell r="AC1376">
            <v>2.2393316054442832E-2</v>
          </cell>
          <cell r="AD1376">
            <v>2.3568088809243097E-2</v>
          </cell>
          <cell r="AE1376">
            <v>2.4662583659083994E-2</v>
          </cell>
          <cell r="AF1376">
            <v>2.554009766243685E-2</v>
          </cell>
          <cell r="AG1376">
            <v>2.6254965449530838E-2</v>
          </cell>
          <cell r="AH1376">
            <v>2.6806225485931839E-2</v>
          </cell>
          <cell r="AI1376">
            <v>2.7192524641542298E-2</v>
          </cell>
          <cell r="AJ1376">
            <v>2.7425183407288639E-2</v>
          </cell>
          <cell r="AK1376">
            <v>2.7484055084419007E-2</v>
          </cell>
          <cell r="AL1376">
            <v>2.7437665006101935E-2</v>
          </cell>
          <cell r="AM1376">
            <v>2.7295935567966868E-2</v>
          </cell>
          <cell r="AN1376">
            <v>2.7071081719085982E-2</v>
          </cell>
          <cell r="AO1376">
            <v>2.6789971250298906E-2</v>
          </cell>
        </row>
        <row r="1377">
          <cell r="C1377" t="str">
            <v>Investissement public</v>
          </cell>
          <cell r="E1377" t="str">
            <v>100*((IA_spub_2-IA_spub_0)/GDP_0)</v>
          </cell>
          <cell r="F1377">
            <v>0</v>
          </cell>
          <cell r="G1377">
            <v>0</v>
          </cell>
          <cell r="H1377">
            <v>0</v>
          </cell>
          <cell r="I1377">
            <v>0</v>
          </cell>
          <cell r="J1377">
            <v>0</v>
          </cell>
          <cell r="K1377">
            <v>0</v>
          </cell>
          <cell r="L1377">
            <v>0</v>
          </cell>
          <cell r="M1377">
            <v>-6.3874549846809441E-4</v>
          </cell>
          <cell r="N1377">
            <v>-1.6647637020495826E-3</v>
          </cell>
          <cell r="O1377">
            <v>-2.946258015258601E-3</v>
          </cell>
          <cell r="P1377">
            <v>-4.4547628721312441E-3</v>
          </cell>
          <cell r="Q1377">
            <v>-4.2782625709170113E-3</v>
          </cell>
          <cell r="R1377">
            <v>-3.1891124546539313E-3</v>
          </cell>
          <cell r="S1377">
            <v>-1.6649732152563808E-3</v>
          </cell>
          <cell r="T1377">
            <v>3.8073398596148065E-5</v>
          </cell>
          <cell r="U1377">
            <v>1.8217475835574145E-3</v>
          </cell>
          <cell r="V1377">
            <v>3.5232750055506409E-3</v>
          </cell>
          <cell r="W1377">
            <v>5.2371162235116267E-3</v>
          </cell>
          <cell r="X1377">
            <v>7.0354819644902027E-3</v>
          </cell>
          <cell r="Y1377">
            <v>8.9624580447835358E-3</v>
          </cell>
          <cell r="Z1377">
            <v>1.1039099694330281E-2</v>
          </cell>
          <cell r="AA1377">
            <v>1.3492752520855668E-2</v>
          </cell>
          <cell r="AB1377">
            <v>1.6207167305078207E-2</v>
          </cell>
          <cell r="AC1377">
            <v>1.90991772122894E-2</v>
          </cell>
          <cell r="AD1377">
            <v>2.2113929263976023E-2</v>
          </cell>
          <cell r="AE1377">
            <v>2.5216238987666968E-2</v>
          </cell>
          <cell r="AF1377">
            <v>2.8492068141699974E-2</v>
          </cell>
          <cell r="AG1377">
            <v>3.1778229386121279E-2</v>
          </cell>
          <cell r="AH1377">
            <v>3.4974069321627804E-2</v>
          </cell>
          <cell r="AI1377">
            <v>3.8027360641132102E-2</v>
          </cell>
          <cell r="AJ1377">
            <v>4.0914180214611809E-2</v>
          </cell>
          <cell r="AK1377">
            <v>4.369425608524239E-2</v>
          </cell>
          <cell r="AL1377">
            <v>4.6312328220182844E-2</v>
          </cell>
          <cell r="AM1377">
            <v>4.8741221892910892E-2</v>
          </cell>
          <cell r="AN1377">
            <v>5.097511590483228E-2</v>
          </cell>
          <cell r="AO1377">
            <v>5.3023693766288515E-2</v>
          </cell>
        </row>
        <row r="1378">
          <cell r="C1378" t="str">
            <v>Consommation des ménages</v>
          </cell>
          <cell r="E1378" t="str">
            <v>100*(CH_2/CH_0-1)</v>
          </cell>
          <cell r="F1378">
            <v>0</v>
          </cell>
          <cell r="G1378">
            <v>0</v>
          </cell>
          <cell r="H1378">
            <v>0</v>
          </cell>
          <cell r="I1378">
            <v>0</v>
          </cell>
          <cell r="J1378">
            <v>0</v>
          </cell>
          <cell r="K1378">
            <v>0</v>
          </cell>
          <cell r="L1378">
            <v>0</v>
          </cell>
          <cell r="M1378">
            <v>4.3659591924916086E-2</v>
          </cell>
          <cell r="N1378">
            <v>0.1518028595314691</v>
          </cell>
          <cell r="O1378">
            <v>0.35682001125159069</v>
          </cell>
          <cell r="P1378">
            <v>0.68827201041143926</v>
          </cell>
          <cell r="Q1378">
            <v>1.0315309892140245</v>
          </cell>
          <cell r="R1378">
            <v>1.3838710012986866</v>
          </cell>
          <cell r="S1378">
            <v>1.7103108273564871</v>
          </cell>
          <cell r="T1378">
            <v>1.9945249609563342</v>
          </cell>
          <cell r="U1378">
            <v>2.2366776378577313</v>
          </cell>
          <cell r="V1378">
            <v>2.4519269834396118</v>
          </cell>
          <cell r="W1378">
            <v>2.6484778102565443</v>
          </cell>
          <cell r="X1378">
            <v>2.8341203157037809</v>
          </cell>
          <cell r="Y1378">
            <v>3.012823631952033</v>
          </cell>
          <cell r="Z1378">
            <v>3.1868192620077673</v>
          </cell>
          <cell r="AA1378">
            <v>3.3422923512873348</v>
          </cell>
          <cell r="AB1378">
            <v>3.4805225479217716</v>
          </cell>
          <cell r="AC1378">
            <v>3.6006172695183247</v>
          </cell>
          <cell r="AD1378">
            <v>3.7044719782358237</v>
          </cell>
          <cell r="AE1378">
            <v>3.7969582307080252</v>
          </cell>
          <cell r="AF1378">
            <v>3.8572631662678436</v>
          </cell>
          <cell r="AG1378">
            <v>3.8897225017825665</v>
          </cell>
          <cell r="AH1378">
            <v>3.8999539838302288</v>
          </cell>
          <cell r="AI1378">
            <v>3.8930329463797042</v>
          </cell>
          <cell r="AJ1378">
            <v>3.8731412101364882</v>
          </cell>
          <cell r="AK1378">
            <v>3.8360259603466451</v>
          </cell>
          <cell r="AL1378">
            <v>3.7871933116988776</v>
          </cell>
          <cell r="AM1378">
            <v>3.7300414492313472</v>
          </cell>
          <cell r="AN1378">
            <v>3.668726096293673</v>
          </cell>
          <cell r="AO1378">
            <v>3.6079689467091169</v>
          </cell>
        </row>
        <row r="1379">
          <cell r="C1379" t="str">
            <v>Consommation des ménages automobile</v>
          </cell>
          <cell r="E1379" t="str">
            <v>100*(CH_cveh_2/CH_cveh_0-1)</v>
          </cell>
          <cell r="F1379">
            <v>0</v>
          </cell>
          <cell r="G1379">
            <v>0</v>
          </cell>
          <cell r="H1379">
            <v>0</v>
          </cell>
          <cell r="I1379">
            <v>0</v>
          </cell>
          <cell r="J1379">
            <v>0</v>
          </cell>
          <cell r="K1379">
            <v>0</v>
          </cell>
          <cell r="L1379">
            <v>0</v>
          </cell>
          <cell r="M1379">
            <v>-0.56731168932987464</v>
          </cell>
          <cell r="N1379">
            <v>-1.4215663225462638</v>
          </cell>
          <cell r="O1379">
            <v>-2.4755251803462497</v>
          </cell>
          <cell r="P1379">
            <v>-3.8366437395730868</v>
          </cell>
          <cell r="Q1379">
            <v>-3.3829349577012668</v>
          </cell>
          <cell r="R1379">
            <v>-2.4389080290623699</v>
          </cell>
          <cell r="S1379">
            <v>-1.690561844050642</v>
          </cell>
          <cell r="T1379">
            <v>-1.2757217144747868</v>
          </cell>
          <cell r="U1379">
            <v>-1.1411217574359478</v>
          </cell>
          <cell r="V1379">
            <v>-1.3681847000298619</v>
          </cell>
          <cell r="W1379">
            <v>-1.7462162267959158</v>
          </cell>
          <cell r="X1379">
            <v>-2.1691550152977856</v>
          </cell>
          <cell r="Y1379">
            <v>-2.6042646970041106</v>
          </cell>
          <cell r="Z1379">
            <v>-3.049893592398778</v>
          </cell>
          <cell r="AA1379">
            <v>-3.2507191287470705</v>
          </cell>
          <cell r="AB1379">
            <v>-3.4251977354338714</v>
          </cell>
          <cell r="AC1379">
            <v>-3.6608184523080456</v>
          </cell>
          <cell r="AD1379">
            <v>-3.9645697847990879</v>
          </cell>
          <cell r="AE1379">
            <v>-4.3314601224163756</v>
          </cell>
          <cell r="AF1379">
            <v>-4.5850448416153817</v>
          </cell>
          <cell r="AG1379">
            <v>-4.8552479794887855</v>
          </cell>
          <cell r="AH1379">
            <v>-5.1818711700403863</v>
          </cell>
          <cell r="AI1379">
            <v>-5.5606573290413852</v>
          </cell>
          <cell r="AJ1379">
            <v>-5.9794481918410742</v>
          </cell>
          <cell r="AK1379">
            <v>-6.3200847021057882</v>
          </cell>
          <cell r="AL1379">
            <v>-6.6742709706085979</v>
          </cell>
          <cell r="AM1379">
            <v>-7.0712636924243455</v>
          </cell>
          <cell r="AN1379">
            <v>-7.506778058186514</v>
          </cell>
          <cell r="AO1379">
            <v>-7.9684264950491084</v>
          </cell>
        </row>
        <row r="1380">
          <cell r="C1380" t="str">
            <v>Dépenses publiques</v>
          </cell>
          <cell r="E1380" t="str">
            <v>100*(G_2/G_0-1)</v>
          </cell>
          <cell r="F1380">
            <v>0</v>
          </cell>
          <cell r="G1380">
            <v>0</v>
          </cell>
          <cell r="H1380">
            <v>0</v>
          </cell>
          <cell r="I1380">
            <v>0</v>
          </cell>
          <cell r="J1380">
            <v>0</v>
          </cell>
          <cell r="K1380">
            <v>0</v>
          </cell>
          <cell r="L1380">
            <v>0</v>
          </cell>
          <cell r="M1380">
            <v>0</v>
          </cell>
          <cell r="N1380">
            <v>0</v>
          </cell>
          <cell r="O1380">
            <v>0</v>
          </cell>
          <cell r="P1380">
            <v>0</v>
          </cell>
          <cell r="Q1380">
            <v>0</v>
          </cell>
          <cell r="R1380">
            <v>0</v>
          </cell>
          <cell r="S1380">
            <v>0</v>
          </cell>
          <cell r="T1380">
            <v>0</v>
          </cell>
          <cell r="U1380">
            <v>0</v>
          </cell>
          <cell r="V1380">
            <v>0</v>
          </cell>
          <cell r="W1380">
            <v>0</v>
          </cell>
          <cell r="X1380">
            <v>0</v>
          </cell>
          <cell r="Y1380">
            <v>0</v>
          </cell>
          <cell r="Z1380">
            <v>0</v>
          </cell>
          <cell r="AA1380">
            <v>0</v>
          </cell>
          <cell r="AB1380">
            <v>0</v>
          </cell>
          <cell r="AC1380">
            <v>0</v>
          </cell>
          <cell r="AD1380">
            <v>0</v>
          </cell>
          <cell r="AE1380">
            <v>0</v>
          </cell>
          <cell r="AF1380">
            <v>0</v>
          </cell>
          <cell r="AG1380">
            <v>0</v>
          </cell>
          <cell r="AH1380">
            <v>0</v>
          </cell>
          <cell r="AI1380">
            <v>0</v>
          </cell>
          <cell r="AJ1380">
            <v>0</v>
          </cell>
          <cell r="AK1380">
            <v>0</v>
          </cell>
          <cell r="AL1380">
            <v>0</v>
          </cell>
          <cell r="AM1380">
            <v>0</v>
          </cell>
          <cell r="AN1380">
            <v>0</v>
          </cell>
          <cell r="AO1380">
            <v>0</v>
          </cell>
        </row>
        <row r="1381">
          <cell r="C1381" t="str">
            <v>Investissement</v>
          </cell>
          <cell r="E1381" t="str">
            <v>100*(I_2/I_0-1)</v>
          </cell>
          <cell r="F1381">
            <v>0</v>
          </cell>
          <cell r="G1381">
            <v>0</v>
          </cell>
          <cell r="H1381">
            <v>0</v>
          </cell>
          <cell r="I1381">
            <v>0</v>
          </cell>
          <cell r="J1381">
            <v>0</v>
          </cell>
          <cell r="K1381">
            <v>0</v>
          </cell>
          <cell r="L1381">
            <v>0</v>
          </cell>
          <cell r="M1381">
            <v>-1.2893837728855662E-2</v>
          </cell>
          <cell r="N1381">
            <v>-2.9925666157337716E-2</v>
          </cell>
          <cell r="O1381">
            <v>-4.255115849545188E-2</v>
          </cell>
          <cell r="P1381">
            <v>-4.612634437108909E-2</v>
          </cell>
          <cell r="Q1381">
            <v>6.5363483876756945E-3</v>
          </cell>
          <cell r="R1381">
            <v>9.7345983469088182E-2</v>
          </cell>
          <cell r="S1381">
            <v>0.20650167151607945</v>
          </cell>
          <cell r="T1381">
            <v>0.31882050740212886</v>
          </cell>
          <cell r="U1381">
            <v>0.42675555588276293</v>
          </cell>
          <cell r="V1381">
            <v>0.52403435284353872</v>
          </cell>
          <cell r="W1381">
            <v>0.6136961219895154</v>
          </cell>
          <cell r="X1381">
            <v>0.69977955656090884</v>
          </cell>
          <cell r="Y1381">
            <v>0.78567942748797304</v>
          </cell>
          <cell r="Z1381">
            <v>0.87350240357846332</v>
          </cell>
          <cell r="AA1381">
            <v>0.97201635566470657</v>
          </cell>
          <cell r="AB1381">
            <v>1.079775949095052</v>
          </cell>
          <cell r="AC1381">
            <v>1.1953332667383743</v>
          </cell>
          <cell r="AD1381">
            <v>1.3181295477076471</v>
          </cell>
          <cell r="AE1381">
            <v>1.4479348877181941</v>
          </cell>
          <cell r="AF1381">
            <v>1.5955118833321347</v>
          </cell>
          <cell r="AG1381">
            <v>1.7589111938137281</v>
          </cell>
          <cell r="AH1381">
            <v>1.9357097612109575</v>
          </cell>
          <cell r="AI1381">
            <v>2.124656618166143</v>
          </cell>
          <cell r="AJ1381">
            <v>2.3254324569181861</v>
          </cell>
          <cell r="AK1381">
            <v>2.5402274765420785</v>
          </cell>
          <cell r="AL1381">
            <v>2.7676863252579231</v>
          </cell>
          <cell r="AM1381">
            <v>3.0063746564895855</v>
          </cell>
          <cell r="AN1381">
            <v>3.254953687851847</v>
          </cell>
          <cell r="AO1381">
            <v>3.5123119318505758</v>
          </cell>
        </row>
        <row r="1382">
          <cell r="C1382" t="str">
            <v>Investissement entreprises</v>
          </cell>
          <cell r="E1382" t="str">
            <v>100*((I_2-IA_spub_2)/(I_0-IA_spub_0)-1)</v>
          </cell>
          <cell r="F1382">
            <v>0</v>
          </cell>
          <cell r="G1382">
            <v>0</v>
          </cell>
          <cell r="H1382">
            <v>0</v>
          </cell>
          <cell r="I1382">
            <v>0</v>
          </cell>
          <cell r="J1382">
            <v>0</v>
          </cell>
          <cell r="K1382">
            <v>0</v>
          </cell>
          <cell r="L1382">
            <v>0</v>
          </cell>
          <cell r="M1382">
            <v>-1.0823947190519156E-2</v>
          </cell>
          <cell r="N1382">
            <v>-2.4237876954347204E-2</v>
          </cell>
          <cell r="O1382">
            <v>-3.1667191724082944E-2</v>
          </cell>
          <cell r="P1382">
            <v>-2.8286107858921383E-2</v>
          </cell>
          <cell r="Q1382">
            <v>2.7605146877118791E-2</v>
          </cell>
          <cell r="R1382">
            <v>0.1202290258811356</v>
          </cell>
          <cell r="S1382">
            <v>0.23053283519511858</v>
          </cell>
          <cell r="T1382">
            <v>0.34339346534479898</v>
          </cell>
          <cell r="U1382">
            <v>0.45117156567719974</v>
          </cell>
          <cell r="V1382">
            <v>0.54788317498477568</v>
          </cell>
          <cell r="W1382">
            <v>0.63636932795709811</v>
          </cell>
          <cell r="X1382">
            <v>0.72064539525114046</v>
          </cell>
          <cell r="Y1382">
            <v>0.80415859962295055</v>
          </cell>
          <cell r="Z1382">
            <v>0.88907358429288763</v>
          </cell>
          <cell r="AA1382">
            <v>0.98378407593671113</v>
          </cell>
          <cell r="AB1382">
            <v>1.0872295972472301</v>
          </cell>
          <cell r="AC1382">
            <v>1.1981886995924729</v>
          </cell>
          <cell r="AD1382">
            <v>1.3162666130082323</v>
          </cell>
          <cell r="AE1382">
            <v>1.4413558580621766</v>
          </cell>
          <cell r="AF1382">
            <v>1.5845013249072393</v>
          </cell>
          <cell r="AG1382">
            <v>1.7442334394160763</v>
          </cell>
          <cell r="AH1382">
            <v>1.9183196982289541</v>
          </cell>
          <cell r="AI1382">
            <v>2.105606633052548</v>
          </cell>
          <cell r="AJ1382">
            <v>2.3058364757933658</v>
          </cell>
          <cell r="AK1382">
            <v>2.5210855782703767</v>
          </cell>
          <cell r="AL1382">
            <v>2.7501307081866155</v>
          </cell>
          <cell r="AM1382">
            <v>2.9915622188712687</v>
          </cell>
          <cell r="AN1382">
            <v>3.2439979612025382</v>
          </cell>
          <cell r="AO1382">
            <v>3.5062458158267251</v>
          </cell>
        </row>
        <row r="1383">
          <cell r="E1383" t="str">
            <v>100*(X_2/X_0-1)</v>
          </cell>
          <cell r="F1383">
            <v>0</v>
          </cell>
          <cell r="G1383">
            <v>0</v>
          </cell>
          <cell r="H1383">
            <v>0</v>
          </cell>
          <cell r="I1383">
            <v>0</v>
          </cell>
          <cell r="J1383">
            <v>0</v>
          </cell>
          <cell r="K1383">
            <v>0</v>
          </cell>
          <cell r="L1383">
            <v>0</v>
          </cell>
          <cell r="M1383">
            <v>-3.6559399706004303E-2</v>
          </cell>
          <cell r="N1383">
            <v>-0.13715467046253593</v>
          </cell>
          <cell r="O1383">
            <v>-0.32936245743734327</v>
          </cell>
          <cell r="P1383">
            <v>-0.64630356651446119</v>
          </cell>
          <cell r="Q1383">
            <v>-1.010875343343931</v>
          </cell>
          <cell r="R1383">
            <v>-1.3909427820815834</v>
          </cell>
          <cell r="S1383">
            <v>-1.7744420416081819</v>
          </cell>
          <cell r="T1383">
            <v>-2.1566211913056077</v>
          </cell>
          <cell r="U1383">
            <v>-2.534616473161555</v>
          </cell>
          <cell r="V1383">
            <v>-2.9135830085370573</v>
          </cell>
          <cell r="W1383">
            <v>-3.2947264666827736</v>
          </cell>
          <cell r="X1383">
            <v>-3.677690037696868</v>
          </cell>
          <cell r="Y1383">
            <v>-4.0618132209567452</v>
          </cell>
          <cell r="Z1383">
            <v>-4.4466395714647504</v>
          </cell>
          <cell r="AA1383">
            <v>-4.8219981002958985</v>
          </cell>
          <cell r="AB1383">
            <v>-5.1832240098306892</v>
          </cell>
          <cell r="AC1383">
            <v>-5.5282713865234534</v>
          </cell>
          <cell r="AD1383">
            <v>-5.8561742439200533</v>
          </cell>
          <cell r="AE1383">
            <v>-6.1664259721205479</v>
          </cell>
          <cell r="AF1383">
            <v>-6.4508433906404257</v>
          </cell>
          <cell r="AG1383">
            <v>-6.7072283440032461</v>
          </cell>
          <cell r="AH1383">
            <v>-6.9357142210458411</v>
          </cell>
          <cell r="AI1383">
            <v>-7.1374940923865982</v>
          </cell>
          <cell r="AJ1383">
            <v>-7.3143620950355759</v>
          </cell>
          <cell r="AK1383">
            <v>-7.4644776827670682</v>
          </cell>
          <cell r="AL1383">
            <v>-7.5887256279614013</v>
          </cell>
          <cell r="AM1383">
            <v>-7.6894010892507803</v>
          </cell>
          <cell r="AN1383">
            <v>-7.7694655506551964</v>
          </cell>
          <cell r="AO1383">
            <v>-7.8321619527870752</v>
          </cell>
        </row>
        <row r="1384">
          <cell r="E1384" t="str">
            <v>100*(M_2/M_0-1)</v>
          </cell>
          <cell r="F1384">
            <v>0</v>
          </cell>
          <cell r="G1384">
            <v>0</v>
          </cell>
          <cell r="H1384">
            <v>0</v>
          </cell>
          <cell r="I1384">
            <v>0</v>
          </cell>
          <cell r="J1384">
            <v>0</v>
          </cell>
          <cell r="K1384">
            <v>0</v>
          </cell>
          <cell r="L1384">
            <v>0</v>
          </cell>
          <cell r="M1384">
            <v>-3.6576814616195996E-2</v>
          </cell>
          <cell r="N1384">
            <v>-8.6005925978727138E-2</v>
          </cell>
          <cell r="O1384">
            <v>-0.12670077635406063</v>
          </cell>
          <cell r="P1384">
            <v>-0.14454332197424424</v>
          </cell>
          <cell r="Q1384">
            <v>-3.4120291346650955E-2</v>
          </cell>
          <cell r="R1384">
            <v>0.13723225614421519</v>
          </cell>
          <cell r="S1384">
            <v>0.31716933488836752</v>
          </cell>
          <cell r="T1384">
            <v>0.48287045158050823</v>
          </cell>
          <cell r="U1384">
            <v>0.62800282509714034</v>
          </cell>
          <cell r="V1384">
            <v>0.74703237546889234</v>
          </cell>
          <cell r="W1384">
            <v>0.84931650800110781</v>
          </cell>
          <cell r="X1384">
            <v>0.94115706794706266</v>
          </cell>
          <cell r="Y1384">
            <v>1.0253420877164077</v>
          </cell>
          <cell r="Z1384">
            <v>1.1024537096759213</v>
          </cell>
          <cell r="AA1384">
            <v>1.1799904459429911</v>
          </cell>
          <cell r="AB1384">
            <v>1.2489603631508084</v>
          </cell>
          <cell r="AC1384">
            <v>1.3049189866165989</v>
          </cell>
          <cell r="AD1384">
            <v>1.347875485854888</v>
          </cell>
          <cell r="AE1384">
            <v>1.3784219070494874</v>
          </cell>
          <cell r="AF1384">
            <v>1.4006820585351853</v>
          </cell>
          <cell r="AG1384">
            <v>1.4113145369024416</v>
          </cell>
          <cell r="AH1384">
            <v>1.4104937460360789</v>
          </cell>
          <cell r="AI1384">
            <v>1.4012297445338939</v>
          </cell>
          <cell r="AJ1384">
            <v>1.3870866973265006</v>
          </cell>
          <cell r="AK1384">
            <v>1.3726505407312573</v>
          </cell>
          <cell r="AL1384">
            <v>1.3573388638447481</v>
          </cell>
          <cell r="AM1384">
            <v>1.3415891704075422</v>
          </cell>
          <cell r="AN1384">
            <v>1.3269285897467009</v>
          </cell>
          <cell r="AO1384">
            <v>1.315311807242292</v>
          </cell>
        </row>
        <row r="1385">
          <cell r="C1385" t="str">
            <v>Consommation des ménages</v>
          </cell>
          <cell r="E1385" t="str">
            <v>100*((CH_2-CH_ccon_2)/(CH_0-CH_ccon_0)-1)</v>
          </cell>
          <cell r="F1385">
            <v>0</v>
          </cell>
          <cell r="G1385">
            <v>0</v>
          </cell>
          <cell r="H1385">
            <v>0</v>
          </cell>
          <cell r="I1385">
            <v>0</v>
          </cell>
          <cell r="J1385">
            <v>0</v>
          </cell>
          <cell r="K1385">
            <v>0</v>
          </cell>
          <cell r="L1385">
            <v>0</v>
          </cell>
          <cell r="M1385">
            <v>4.4201358677131708E-2</v>
          </cell>
          <cell r="N1385">
            <v>0.15387033474567602</v>
          </cell>
          <cell r="O1385">
            <v>0.361445235314517</v>
          </cell>
          <cell r="P1385">
            <v>0.69647601151101579</v>
          </cell>
          <cell r="Q1385">
            <v>1.0431648122926962</v>
          </cell>
          <cell r="R1385">
            <v>1.397434657092389</v>
          </cell>
          <cell r="S1385">
            <v>1.724506997863684</v>
          </cell>
          <cell r="T1385">
            <v>2.0086621713867991</v>
          </cell>
          <cell r="U1385">
            <v>2.2505060525443765</v>
          </cell>
          <cell r="V1385">
            <v>2.4654866526905295</v>
          </cell>
          <cell r="W1385">
            <v>2.6619663060041043</v>
          </cell>
          <cell r="X1385">
            <v>2.847681861673057</v>
          </cell>
          <cell r="Y1385">
            <v>3.0265026345029034</v>
          </cell>
          <cell r="Z1385">
            <v>3.2005833412896978</v>
          </cell>
          <cell r="AA1385">
            <v>3.3559642973231441</v>
          </cell>
          <cell r="AB1385">
            <v>3.4937642313547013</v>
          </cell>
          <cell r="AC1385">
            <v>3.6131524503534962</v>
          </cell>
          <cell r="AD1385">
            <v>3.7161343962735405</v>
          </cell>
          <cell r="AE1385">
            <v>3.8076562162552952</v>
          </cell>
          <cell r="AF1385">
            <v>3.8668763551963359</v>
          </cell>
          <cell r="AG1385">
            <v>3.8981168235884489</v>
          </cell>
          <cell r="AH1385">
            <v>3.9071066375305552</v>
          </cell>
          <cell r="AI1385">
            <v>3.899028342310995</v>
          </cell>
          <cell r="AJ1385">
            <v>3.8781273081369916</v>
          </cell>
          <cell r="AK1385">
            <v>3.8401379290266879</v>
          </cell>
          <cell r="AL1385">
            <v>3.7905189618799628</v>
          </cell>
          <cell r="AM1385">
            <v>3.7326982619854343</v>
          </cell>
          <cell r="AN1385">
            <v>3.6708648911224939</v>
          </cell>
          <cell r="AO1385">
            <v>3.6097517933457723</v>
          </cell>
        </row>
        <row r="1386">
          <cell r="C1386" t="str">
            <v>Investissement</v>
          </cell>
          <cell r="E1386" t="str">
            <v>100*((I_2+CH_ccon_2)/(I_0+CH_ccon_0)-1)</v>
          </cell>
          <cell r="F1386">
            <v>0</v>
          </cell>
          <cell r="G1386">
            <v>0</v>
          </cell>
          <cell r="H1386">
            <v>0</v>
          </cell>
          <cell r="I1386">
            <v>0</v>
          </cell>
          <cell r="J1386">
            <v>0</v>
          </cell>
          <cell r="K1386">
            <v>0</v>
          </cell>
          <cell r="L1386">
            <v>0</v>
          </cell>
          <cell r="M1386">
            <v>-1.2168926342071007E-2</v>
          </cell>
          <cell r="N1386">
            <v>-2.8385882593440215E-2</v>
          </cell>
          <cell r="O1386">
            <v>-3.9390186904753044E-2</v>
          </cell>
          <cell r="P1386">
            <v>-3.9661831707060724E-2</v>
          </cell>
          <cell r="Q1386">
            <v>1.505977722313645E-2</v>
          </cell>
          <cell r="R1386">
            <v>0.1103882428401981</v>
          </cell>
          <cell r="S1386">
            <v>0.22550194524175726</v>
          </cell>
          <cell r="T1386">
            <v>0.34375569538493966</v>
          </cell>
          <cell r="U1386">
            <v>0.45683689462068244</v>
          </cell>
          <cell r="V1386">
            <v>0.55853318039520428</v>
          </cell>
          <cell r="W1386">
            <v>0.65170327099650649</v>
          </cell>
          <cell r="X1386">
            <v>0.74063672180721962</v>
          </cell>
          <cell r="Y1386">
            <v>0.82897091431579639</v>
          </cell>
          <cell r="Z1386">
            <v>0.9189736395507353</v>
          </cell>
          <cell r="AA1386">
            <v>1.0190093606740058</v>
          </cell>
          <cell r="AB1386">
            <v>1.1280675526252226</v>
          </cell>
          <cell r="AC1386">
            <v>1.2445959020995767</v>
          </cell>
          <cell r="AD1386">
            <v>1.3679036126842625</v>
          </cell>
          <cell r="AE1386">
            <v>1.4977632993036005</v>
          </cell>
          <cell r="AF1386">
            <v>1.6441680541393833</v>
          </cell>
          <cell r="AG1386">
            <v>1.8054401465928294</v>
          </cell>
          <cell r="AH1386">
            <v>1.9792123617348611</v>
          </cell>
          <cell r="AI1386">
            <v>2.1642413058663879</v>
          </cell>
          <cell r="AJ1386">
            <v>2.3602369089091413</v>
          </cell>
          <cell r="AK1386">
            <v>2.5692398518258441</v>
          </cell>
          <cell r="AL1386">
            <v>2.7901797221802083</v>
          </cell>
          <cell r="AM1386">
            <v>3.0216941227511063</v>
          </cell>
          <cell r="AN1386">
            <v>3.262524090128438</v>
          </cell>
          <cell r="AO1386">
            <v>3.5116868813095614</v>
          </cell>
        </row>
        <row r="1387">
          <cell r="C1387" t="str">
            <v>Investissement ménages</v>
          </cell>
          <cell r="E1387" t="str">
            <v>100*((CH_ccon_2)/(CH_ccon_0)-1)</v>
          </cell>
          <cell r="F1387">
            <v>0</v>
          </cell>
          <cell r="G1387">
            <v>0</v>
          </cell>
          <cell r="H1387">
            <v>0</v>
          </cell>
          <cell r="I1387">
            <v>0</v>
          </cell>
          <cell r="J1387">
            <v>0</v>
          </cell>
          <cell r="K1387">
            <v>0</v>
          </cell>
          <cell r="L1387">
            <v>0</v>
          </cell>
          <cell r="M1387">
            <v>7.4542440613223349E-3</v>
          </cell>
          <cell r="N1387">
            <v>1.3524923289409685E-2</v>
          </cell>
          <cell r="O1387">
            <v>4.7193074577567273E-2</v>
          </cell>
          <cell r="P1387">
            <v>0.13856867777477522</v>
          </cell>
          <cell r="Q1387">
            <v>0.25151353239505347</v>
          </cell>
          <cell r="R1387">
            <v>0.47434800406802591</v>
          </cell>
          <cell r="S1387">
            <v>0.75891604490516684</v>
          </cell>
          <cell r="T1387">
            <v>1.0483166319832371</v>
          </cell>
          <cell r="U1387">
            <v>1.3129317404575458</v>
          </cell>
          <cell r="V1387">
            <v>1.5483048042789882</v>
          </cell>
          <cell r="W1387">
            <v>1.7519874580998129</v>
          </cell>
          <cell r="X1387">
            <v>1.9352227944160028</v>
          </cell>
          <cell r="Y1387">
            <v>2.1084806814552604</v>
          </cell>
          <cell r="Z1387">
            <v>2.2789186602399703</v>
          </cell>
          <cell r="AA1387">
            <v>2.4420989673541227</v>
          </cell>
          <cell r="AB1387">
            <v>2.6097717581647251</v>
          </cell>
          <cell r="AC1387">
            <v>2.7769042793148069</v>
          </cell>
          <cell r="AD1387">
            <v>2.9381904028379813</v>
          </cell>
          <cell r="AE1387">
            <v>3.0936893453920034</v>
          </cell>
          <cell r="AF1387">
            <v>3.2246579576717727</v>
          </cell>
          <cell r="AG1387">
            <v>3.3365931623017264</v>
          </cell>
          <cell r="AH1387">
            <v>3.4279607339491092</v>
          </cell>
          <cell r="AI1387">
            <v>3.496840202534468</v>
          </cell>
          <cell r="AJ1387">
            <v>3.5432163176671638</v>
          </cell>
          <cell r="AK1387">
            <v>3.5636452917205075</v>
          </cell>
          <cell r="AL1387">
            <v>3.5667235097174066</v>
          </cell>
          <cell r="AM1387">
            <v>3.5538329117337897</v>
          </cell>
          <cell r="AN1387">
            <v>3.5268674216320406</v>
          </cell>
          <cell r="AO1387">
            <v>3.4897642603313406</v>
          </cell>
        </row>
        <row r="1388">
          <cell r="C1388" t="str">
            <v>Investissement public</v>
          </cell>
          <cell r="E1388" t="str">
            <v>100*((IA_spub_2)/(IA_spub_0)-1)</v>
          </cell>
          <cell r="F1388">
            <v>0</v>
          </cell>
          <cell r="G1388">
            <v>0</v>
          </cell>
          <cell r="H1388">
            <v>0</v>
          </cell>
          <cell r="I1388">
            <v>0</v>
          </cell>
          <cell r="J1388">
            <v>0</v>
          </cell>
          <cell r="K1388">
            <v>0</v>
          </cell>
          <cell r="L1388">
            <v>0</v>
          </cell>
          <cell r="M1388">
            <v>-3.7228088812757409E-2</v>
          </cell>
          <cell r="N1388">
            <v>-9.7765529603177637E-2</v>
          </cell>
          <cell r="O1388">
            <v>-0.17434531954846344</v>
          </cell>
          <cell r="P1388">
            <v>-0.2654959898642173</v>
          </cell>
          <cell r="Q1388">
            <v>-0.25615920862972485</v>
          </cell>
          <cell r="R1388">
            <v>-0.19147712490963364</v>
          </cell>
          <cell r="S1388">
            <v>-0.10008525768088194</v>
          </cell>
          <cell r="T1388">
            <v>2.2886590999249279E-3</v>
          </cell>
          <cell r="U1388">
            <v>0.10942184659967769</v>
          </cell>
          <cell r="V1388">
            <v>0.21137431217039815</v>
          </cell>
          <cell r="W1388">
            <v>0.31383151034818368</v>
          </cell>
          <cell r="X1388">
            <v>0.42126981467744962</v>
          </cell>
          <cell r="Y1388">
            <v>0.53657947024130515</v>
          </cell>
          <cell r="Z1388">
            <v>0.66134031088351808</v>
          </cell>
          <cell r="AA1388">
            <v>0.80978118931429588</v>
          </cell>
          <cell r="AB1388">
            <v>0.97567565099714315</v>
          </cell>
          <cell r="AC1388">
            <v>1.1548795150670754</v>
          </cell>
          <cell r="AD1388">
            <v>1.3449383760502975</v>
          </cell>
          <cell r="AE1388">
            <v>1.5442261631383181</v>
          </cell>
          <cell r="AF1388">
            <v>1.7594251044489972</v>
          </cell>
          <cell r="AG1388">
            <v>1.9811843123007655</v>
          </cell>
          <cell r="AH1388">
            <v>2.2036705896194553</v>
          </cell>
          <cell r="AI1388">
            <v>2.4234208053917516</v>
          </cell>
          <cell r="AJ1388">
            <v>2.638271613787424</v>
          </cell>
          <cell r="AK1388">
            <v>2.8512777085839991</v>
          </cell>
          <cell r="AL1388">
            <v>3.0579836055029563</v>
          </cell>
          <cell r="AM1388">
            <v>3.2555188640864818</v>
          </cell>
          <cell r="AN1388">
            <v>3.4422856492316356</v>
          </cell>
          <cell r="AO1388">
            <v>3.6176815731161049</v>
          </cell>
        </row>
        <row r="1389">
          <cell r="C1389" t="str">
            <v>Revenu disponible des ménages</v>
          </cell>
          <cell r="E1389" t="str">
            <v>100*(DISPINC_AT_VAL_2/DISPINC_AT_VAL_0-1)</v>
          </cell>
          <cell r="F1389">
            <v>0</v>
          </cell>
          <cell r="G1389">
            <v>0</v>
          </cell>
          <cell r="H1389">
            <v>0</v>
          </cell>
          <cell r="I1389">
            <v>0</v>
          </cell>
          <cell r="J1389">
            <v>0</v>
          </cell>
          <cell r="K1389">
            <v>0</v>
          </cell>
          <cell r="L1389">
            <v>0</v>
          </cell>
          <cell r="M1389">
            <v>0.32903415210074893</v>
          </cell>
          <cell r="N1389">
            <v>0.9085357568525243</v>
          </cell>
          <cell r="O1389">
            <v>1.836640777860632</v>
          </cell>
          <cell r="P1389">
            <v>3.2326228419005787</v>
          </cell>
          <cell r="Q1389">
            <v>4.1369224668827309</v>
          </cell>
          <cell r="R1389">
            <v>5.0481434168436534</v>
          </cell>
          <cell r="S1389">
            <v>5.9282791746822383</v>
          </cell>
          <cell r="T1389">
            <v>6.7718202092105662</v>
          </cell>
          <cell r="U1389">
            <v>7.5796681964234836</v>
          </cell>
          <cell r="V1389">
            <v>8.4255701729726518</v>
          </cell>
          <cell r="W1389">
            <v>9.2703938158632084</v>
          </cell>
          <cell r="X1389">
            <v>10.116363019280005</v>
          </cell>
          <cell r="Y1389">
            <v>10.963244726518706</v>
          </cell>
          <cell r="Z1389">
            <v>11.811976015853421</v>
          </cell>
          <cell r="AA1389">
            <v>12.557079938058745</v>
          </cell>
          <cell r="AB1389">
            <v>13.256932232379315</v>
          </cell>
          <cell r="AC1389">
            <v>13.908699727722173</v>
          </cell>
          <cell r="AD1389">
            <v>14.514057851997819</v>
          </cell>
          <cell r="AE1389">
            <v>15.077770109767119</v>
          </cell>
          <cell r="AF1389">
            <v>15.496295794472715</v>
          </cell>
          <cell r="AG1389">
            <v>15.835847343403753</v>
          </cell>
          <cell r="AH1389">
            <v>16.106073181672031</v>
          </cell>
          <cell r="AI1389">
            <v>16.315163006170952</v>
          </cell>
          <cell r="AJ1389">
            <v>16.471297780626728</v>
          </cell>
          <cell r="AK1389">
            <v>16.536583413333283</v>
          </cell>
          <cell r="AL1389">
            <v>16.551711434211146</v>
          </cell>
          <cell r="AM1389">
            <v>16.526536113706157</v>
          </cell>
          <cell r="AN1389">
            <v>16.47308042433886</v>
          </cell>
          <cell r="AO1389">
            <v>16.403547475650647</v>
          </cell>
        </row>
        <row r="1390">
          <cell r="C1390" t="str">
            <v>Revenu disponible réel des ménages</v>
          </cell>
          <cell r="E1390" t="str">
            <v>100*(DISPINC_AT_VAL_2/DISPINC_AT_VAL_0-1)-100*(PCH_2/PCH_0-1)</v>
          </cell>
          <cell r="F1390">
            <v>0</v>
          </cell>
          <cell r="G1390">
            <v>0</v>
          </cell>
          <cell r="H1390">
            <v>0</v>
          </cell>
          <cell r="I1390">
            <v>0</v>
          </cell>
          <cell r="J1390">
            <v>0</v>
          </cell>
          <cell r="K1390">
            <v>0</v>
          </cell>
          <cell r="L1390">
            <v>0</v>
          </cell>
          <cell r="M1390">
            <v>6.4299632512154759E-2</v>
          </cell>
          <cell r="N1390">
            <v>0.19790663518650664</v>
          </cell>
          <cell r="O1390">
            <v>0.43930267762608555</v>
          </cell>
          <cell r="P1390">
            <v>0.81945850136382337</v>
          </cell>
          <cell r="Q1390">
            <v>1.1527525926668281</v>
          </cell>
          <cell r="R1390">
            <v>1.5057519027025235</v>
          </cell>
          <cell r="S1390">
            <v>1.8239021180370463</v>
          </cell>
          <cell r="T1390">
            <v>2.1011007504198043</v>
          </cell>
          <cell r="U1390">
            <v>2.3444956703908559</v>
          </cell>
          <cell r="V1390">
            <v>2.5760139500076606</v>
          </cell>
          <cell r="W1390">
            <v>2.79618059507205</v>
          </cell>
          <cell r="X1390">
            <v>3.0115845295589185</v>
          </cell>
          <cell r="Y1390">
            <v>3.2235518508578087</v>
          </cell>
          <cell r="Z1390">
            <v>3.4332685189480756</v>
          </cell>
          <cell r="AA1390">
            <v>3.6148174486613218</v>
          </cell>
          <cell r="AB1390">
            <v>3.7807487669752948</v>
          </cell>
          <cell r="AC1390">
            <v>3.9275029841806735</v>
          </cell>
          <cell r="AD1390">
            <v>4.0579558483747604</v>
          </cell>
          <cell r="AE1390">
            <v>4.1783620350285275</v>
          </cell>
          <cell r="AF1390">
            <v>4.2495235506978091</v>
          </cell>
          <cell r="AG1390">
            <v>4.2929193288806502</v>
          </cell>
          <cell r="AH1390">
            <v>4.3136339777675605</v>
          </cell>
          <cell r="AI1390">
            <v>4.3160053616230201</v>
          </cell>
          <cell r="AJ1390">
            <v>4.3039116520996252</v>
          </cell>
          <cell r="AK1390">
            <v>4.2669798252318536</v>
          </cell>
          <cell r="AL1390">
            <v>4.2185366687491612</v>
          </cell>
          <cell r="AM1390">
            <v>4.1605850588667153</v>
          </cell>
          <cell r="AN1390">
            <v>4.098095762148013</v>
          </cell>
          <cell r="AO1390">
            <v>4.0366304829624102</v>
          </cell>
        </row>
        <row r="1391">
          <cell r="C1391" t="str">
            <v>Revenu disponible par emploi en valeur</v>
          </cell>
          <cell r="E1391" t="str">
            <v>100*(DISPINC_AT_VAL_2/DISPINC_AT_VAL_0-1)-100*((F_L_2/F_L_0)-1)</v>
          </cell>
          <cell r="F1391">
            <v>0</v>
          </cell>
          <cell r="G1391">
            <v>0</v>
          </cell>
          <cell r="H1391">
            <v>0</v>
          </cell>
          <cell r="I1391">
            <v>0</v>
          </cell>
          <cell r="J1391">
            <v>0</v>
          </cell>
          <cell r="K1391">
            <v>0</v>
          </cell>
          <cell r="L1391">
            <v>0</v>
          </cell>
          <cell r="M1391">
            <v>0.30633851821255664</v>
          </cell>
          <cell r="N1391">
            <v>0.83271926263668306</v>
          </cell>
          <cell r="O1391">
            <v>1.6721869999209549</v>
          </cell>
          <cell r="P1391">
            <v>2.9382894501457146</v>
          </cell>
          <cell r="Q1391">
            <v>3.7427420766453778</v>
          </cell>
          <cell r="R1391">
            <v>4.5941261902942454</v>
          </cell>
          <cell r="S1391">
            <v>5.4496068900830918</v>
          </cell>
          <cell r="T1391">
            <v>6.2977707486623569</v>
          </cell>
          <cell r="U1391">
            <v>7.134047801145238</v>
          </cell>
          <cell r="V1391">
            <v>8.0219646452196933</v>
          </cell>
          <cell r="W1391">
            <v>8.9178818124738157</v>
          </cell>
          <cell r="X1391">
            <v>9.8214914555636348</v>
          </cell>
          <cell r="Y1391">
            <v>10.730914280624336</v>
          </cell>
          <cell r="Z1391">
            <v>11.646201217318875</v>
          </cell>
          <cell r="AA1391">
            <v>12.468483438992006</v>
          </cell>
          <cell r="AB1391">
            <v>13.255276359378932</v>
          </cell>
          <cell r="AC1391">
            <v>14.000948138820945</v>
          </cell>
          <cell r="AD1391">
            <v>14.703986246918488</v>
          </cell>
          <cell r="AE1391">
            <v>15.366420859281217</v>
          </cell>
          <cell r="AF1391">
            <v>15.887952585897349</v>
          </cell>
          <cell r="AG1391">
            <v>16.332350637760552</v>
          </cell>
          <cell r="AH1391">
            <v>16.705020166303775</v>
          </cell>
          <cell r="AI1391">
            <v>17.0095820077381</v>
          </cell>
          <cell r="AJ1391">
            <v>17.250174359551565</v>
          </cell>
          <cell r="AK1391">
            <v>17.389233892347953</v>
          </cell>
          <cell r="AL1391">
            <v>17.465121663413807</v>
          </cell>
          <cell r="AM1391">
            <v>17.485552714109819</v>
          </cell>
          <cell r="AN1391">
            <v>17.461259854732969</v>
          </cell>
          <cell r="AO1391">
            <v>17.403926696327741</v>
          </cell>
        </row>
        <row r="1392">
          <cell r="C1392" t="str">
            <v>Revenu disponible réel par emploi</v>
          </cell>
          <cell r="E1392" t="str">
            <v>100*(DISPINC_AT_VAL_2/DISPINC_AT_VAL_0-1)-100*((F_L_2/F_L_0)-1)-100*(PCH_2/PCH_0-1)</v>
          </cell>
          <cell r="F1392">
            <v>0</v>
          </cell>
          <cell r="G1392">
            <v>0</v>
          </cell>
          <cell r="H1392">
            <v>0</v>
          </cell>
          <cell r="I1392">
            <v>0</v>
          </cell>
          <cell r="J1392">
            <v>0</v>
          </cell>
          <cell r="K1392">
            <v>0</v>
          </cell>
          <cell r="L1392">
            <v>0</v>
          </cell>
          <cell r="M1392">
            <v>4.1603998623962468E-2</v>
          </cell>
          <cell r="N1392">
            <v>0.1220901409706654</v>
          </cell>
          <cell r="O1392">
            <v>0.27484889968640847</v>
          </cell>
          <cell r="P1392">
            <v>0.52512510960895931</v>
          </cell>
          <cell r="Q1392">
            <v>0.75857220242947498</v>
          </cell>
          <cell r="R1392">
            <v>1.0517346761531154</v>
          </cell>
          <cell r="S1392">
            <v>1.3452298334378998</v>
          </cell>
          <cell r="T1392">
            <v>1.627051289871595</v>
          </cell>
          <cell r="U1392">
            <v>1.8988752751126103</v>
          </cell>
          <cell r="V1392">
            <v>2.1724084222547022</v>
          </cell>
          <cell r="W1392">
            <v>2.4436685916826573</v>
          </cell>
          <cell r="X1392">
            <v>2.7167129658425484</v>
          </cell>
          <cell r="Y1392">
            <v>2.9912214049634391</v>
          </cell>
          <cell r="Z1392">
            <v>3.2674937204135297</v>
          </cell>
          <cell r="AA1392">
            <v>3.5262209495945829</v>
          </cell>
          <cell r="AB1392">
            <v>3.7790928939749122</v>
          </cell>
          <cell r="AC1392">
            <v>4.0197513952794459</v>
          </cell>
          <cell r="AD1392">
            <v>4.2478842432954291</v>
          </cell>
          <cell r="AE1392">
            <v>4.4670127845426251</v>
          </cell>
          <cell r="AF1392">
            <v>4.6411803421224427</v>
          </cell>
          <cell r="AG1392">
            <v>4.7894226232374493</v>
          </cell>
          <cell r="AH1392">
            <v>4.9125809623993053</v>
          </cell>
          <cell r="AI1392">
            <v>5.0104243631901682</v>
          </cell>
          <cell r="AJ1392">
            <v>5.0827882310244625</v>
          </cell>
          <cell r="AK1392">
            <v>5.1196303042465239</v>
          </cell>
          <cell r="AL1392">
            <v>5.1319468979518224</v>
          </cell>
          <cell r="AM1392">
            <v>5.1196016592703764</v>
          </cell>
          <cell r="AN1392">
            <v>5.0862751925421215</v>
          </cell>
          <cell r="AO1392">
            <v>5.0370097036395034</v>
          </cell>
        </row>
        <row r="1393">
          <cell r="C1393" t="str">
            <v>Taux d'épargne</v>
          </cell>
          <cell r="E1393" t="str">
            <v>100*(MPS_n_2-MPS_n_0)</v>
          </cell>
          <cell r="F1393">
            <v>0</v>
          </cell>
          <cell r="G1393">
            <v>0</v>
          </cell>
          <cell r="H1393">
            <v>0</v>
          </cell>
          <cell r="I1393">
            <v>0</v>
          </cell>
          <cell r="J1393">
            <v>0</v>
          </cell>
          <cell r="K1393">
            <v>0</v>
          </cell>
          <cell r="L1393">
            <v>0</v>
          </cell>
          <cell r="M1393">
            <v>0</v>
          </cell>
          <cell r="N1393">
            <v>0</v>
          </cell>
          <cell r="O1393">
            <v>0</v>
          </cell>
          <cell r="P1393">
            <v>0</v>
          </cell>
          <cell r="Q1393">
            <v>0</v>
          </cell>
          <cell r="R1393">
            <v>0</v>
          </cell>
          <cell r="S1393">
            <v>0</v>
          </cell>
          <cell r="T1393">
            <v>0</v>
          </cell>
          <cell r="U1393">
            <v>0</v>
          </cell>
          <cell r="V1393">
            <v>0</v>
          </cell>
          <cell r="W1393">
            <v>0</v>
          </cell>
          <cell r="X1393">
            <v>0</v>
          </cell>
          <cell r="Y1393">
            <v>0</v>
          </cell>
          <cell r="Z1393">
            <v>0</v>
          </cell>
          <cell r="AA1393">
            <v>0</v>
          </cell>
          <cell r="AB1393">
            <v>0</v>
          </cell>
          <cell r="AC1393">
            <v>0</v>
          </cell>
          <cell r="AD1393">
            <v>0</v>
          </cell>
          <cell r="AE1393">
            <v>0</v>
          </cell>
          <cell r="AF1393">
            <v>0</v>
          </cell>
          <cell r="AG1393">
            <v>0</v>
          </cell>
          <cell r="AH1393">
            <v>0</v>
          </cell>
          <cell r="AI1393">
            <v>0</v>
          </cell>
          <cell r="AJ1393">
            <v>0</v>
          </cell>
          <cell r="AK1393">
            <v>0</v>
          </cell>
          <cell r="AL1393">
            <v>0</v>
          </cell>
          <cell r="AM1393">
            <v>0</v>
          </cell>
          <cell r="AN1393">
            <v>0</v>
          </cell>
          <cell r="AO1393">
            <v>0</v>
          </cell>
        </row>
        <row r="1394">
          <cell r="C1394" t="str">
            <v>Prix à la consommation des ménages</v>
          </cell>
          <cell r="E1394" t="str">
            <v>100*(PCH_2/PCH_0-1)</v>
          </cell>
          <cell r="F1394">
            <v>0</v>
          </cell>
          <cell r="G1394">
            <v>0</v>
          </cell>
          <cell r="H1394">
            <v>0</v>
          </cell>
          <cell r="I1394">
            <v>0</v>
          </cell>
          <cell r="J1394">
            <v>0</v>
          </cell>
          <cell r="K1394">
            <v>0</v>
          </cell>
          <cell r="L1394">
            <v>0</v>
          </cell>
          <cell r="M1394">
            <v>6.4299632512154759E-2</v>
          </cell>
          <cell r="N1394">
            <v>0.19790663518650664</v>
          </cell>
          <cell r="O1394">
            <v>0.43930267762608555</v>
          </cell>
          <cell r="P1394">
            <v>0.81945850136382337</v>
          </cell>
          <cell r="Q1394">
            <v>1.1527525926668281</v>
          </cell>
          <cell r="R1394">
            <v>1.5057519027025235</v>
          </cell>
          <cell r="S1394">
            <v>1.8239021180370463</v>
          </cell>
          <cell r="T1394">
            <v>2.1011007504198043</v>
          </cell>
          <cell r="U1394">
            <v>2.3444956703908559</v>
          </cell>
          <cell r="V1394">
            <v>2.5760139500076606</v>
          </cell>
          <cell r="W1394">
            <v>2.79618059507205</v>
          </cell>
          <cell r="X1394">
            <v>3.0115845295589185</v>
          </cell>
          <cell r="Y1394">
            <v>3.2235518508578087</v>
          </cell>
          <cell r="Z1394">
            <v>3.4332685189480756</v>
          </cell>
          <cell r="AA1394">
            <v>3.6148174486613218</v>
          </cell>
          <cell r="AB1394">
            <v>3.7807487669752948</v>
          </cell>
          <cell r="AC1394">
            <v>3.9275029841806735</v>
          </cell>
          <cell r="AD1394">
            <v>4.0579558483747604</v>
          </cell>
          <cell r="AE1394">
            <v>4.1783620350285275</v>
          </cell>
          <cell r="AF1394">
            <v>4.2495235506978091</v>
          </cell>
          <cell r="AG1394">
            <v>4.2929193288806502</v>
          </cell>
          <cell r="AH1394">
            <v>4.3136339777675605</v>
          </cell>
          <cell r="AI1394">
            <v>4.3160053616230201</v>
          </cell>
          <cell r="AJ1394">
            <v>4.3039116520996252</v>
          </cell>
          <cell r="AK1394">
            <v>4.2669798252318536</v>
          </cell>
          <cell r="AL1394">
            <v>4.2185366687491612</v>
          </cell>
          <cell r="AM1394">
            <v>4.1605850588667153</v>
          </cell>
          <cell r="AN1394">
            <v>4.098095762148013</v>
          </cell>
          <cell r="AO1394">
            <v>4.0366304829624102</v>
          </cell>
        </row>
        <row r="1395">
          <cell r="C1395" t="str">
            <v>Prix à la production marchande</v>
          </cell>
          <cell r="E1395" t="str">
            <v>100*(PY_2/PY_0-1)</v>
          </cell>
          <cell r="F1395">
            <v>0</v>
          </cell>
          <cell r="G1395">
            <v>0</v>
          </cell>
          <cell r="H1395">
            <v>0</v>
          </cell>
          <cell r="I1395">
            <v>0</v>
          </cell>
          <cell r="J1395">
            <v>0</v>
          </cell>
          <cell r="K1395">
            <v>0</v>
          </cell>
          <cell r="L1395">
            <v>0</v>
          </cell>
          <cell r="M1395">
            <v>0.14285169940548847</v>
          </cell>
          <cell r="N1395">
            <v>0.44419311737133871</v>
          </cell>
          <cell r="O1395">
            <v>0.94918231810483533</v>
          </cell>
          <cell r="P1395">
            <v>1.7304974066044476</v>
          </cell>
          <cell r="Q1395">
            <v>2.4034942753458743</v>
          </cell>
          <cell r="R1395">
            <v>3.0380267758465473</v>
          </cell>
          <cell r="S1395">
            <v>3.6642176978469942</v>
          </cell>
          <cell r="T1395">
            <v>4.2886039930013276</v>
          </cell>
          <cell r="U1395">
            <v>4.9069605351513168</v>
          </cell>
          <cell r="V1395">
            <v>5.5488377560032776</v>
          </cell>
          <cell r="W1395">
            <v>6.2030172786462945</v>
          </cell>
          <cell r="X1395">
            <v>6.8646759302767757</v>
          </cell>
          <cell r="Y1395">
            <v>7.5329889351846369</v>
          </cell>
          <cell r="Z1395">
            <v>8.2092533785807618</v>
          </cell>
          <cell r="AA1395">
            <v>8.8455199107902125</v>
          </cell>
          <cell r="AB1395">
            <v>9.4511247758313885</v>
          </cell>
          <cell r="AC1395">
            <v>10.030992556066831</v>
          </cell>
          <cell r="AD1395">
            <v>10.587544351119792</v>
          </cell>
          <cell r="AE1395">
            <v>11.122187523257022</v>
          </cell>
          <cell r="AF1395">
            <v>11.526428880339523</v>
          </cell>
          <cell r="AG1395">
            <v>11.860235862877966</v>
          </cell>
          <cell r="AH1395">
            <v>12.14179306538119</v>
          </cell>
          <cell r="AI1395">
            <v>12.380206309814024</v>
          </cell>
          <cell r="AJ1395">
            <v>12.581767338820949</v>
          </cell>
          <cell r="AK1395">
            <v>12.728960846707471</v>
          </cell>
          <cell r="AL1395">
            <v>12.833785214166493</v>
          </cell>
          <cell r="AM1395">
            <v>12.905904622354459</v>
          </cell>
          <cell r="AN1395">
            <v>12.953399692392576</v>
          </cell>
          <cell r="AO1395">
            <v>12.983384274267085</v>
          </cell>
        </row>
        <row r="1396">
          <cell r="C1396" t="str">
            <v>Prix des exportations</v>
          </cell>
          <cell r="E1396" t="str">
            <v>100*(PX_2/PX_0-1)</v>
          </cell>
          <cell r="F1396">
            <v>0</v>
          </cell>
          <cell r="G1396">
            <v>0</v>
          </cell>
          <cell r="H1396">
            <v>0</v>
          </cell>
          <cell r="I1396">
            <v>0</v>
          </cell>
          <cell r="J1396">
            <v>0</v>
          </cell>
          <cell r="K1396">
            <v>0</v>
          </cell>
          <cell r="L1396">
            <v>0</v>
          </cell>
          <cell r="M1396">
            <v>0.1631092806960277</v>
          </cell>
          <cell r="N1396">
            <v>0.49809216139891088</v>
          </cell>
          <cell r="O1396">
            <v>1.045161286756513</v>
          </cell>
          <cell r="P1396">
            <v>1.8742486453044327</v>
          </cell>
          <cell r="Q1396">
            <v>2.52395432348409</v>
          </cell>
          <cell r="R1396">
            <v>3.0918527183908751</v>
          </cell>
          <cell r="S1396">
            <v>3.6270859475765471</v>
          </cell>
          <cell r="T1396">
            <v>4.1483526326605125</v>
          </cell>
          <cell r="U1396">
            <v>4.6589267382588284</v>
          </cell>
          <cell r="V1396">
            <v>5.1949373320513637</v>
          </cell>
          <cell r="W1396">
            <v>5.7450730977051556</v>
          </cell>
          <cell r="X1396">
            <v>6.3034116537970863</v>
          </cell>
          <cell r="Y1396">
            <v>6.867752395725879</v>
          </cell>
          <cell r="Z1396">
            <v>7.4378319230703704</v>
          </cell>
          <cell r="AA1396">
            <v>7.961682918559454</v>
          </cell>
          <cell r="AB1396">
            <v>8.4512444333872061</v>
          </cell>
          <cell r="AC1396">
            <v>8.9125198500272127</v>
          </cell>
          <cell r="AD1396">
            <v>9.3477309712707282</v>
          </cell>
          <cell r="AE1396">
            <v>9.7573378976877567</v>
          </cell>
          <cell r="AF1396">
            <v>10.097749792213317</v>
          </cell>
          <cell r="AG1396">
            <v>10.387769915629995</v>
          </cell>
          <cell r="AH1396">
            <v>10.636319009383865</v>
          </cell>
          <cell r="AI1396">
            <v>10.849547037753027</v>
          </cell>
          <cell r="AJ1396">
            <v>11.032514374665414</v>
          </cell>
          <cell r="AK1396">
            <v>11.167094660260402</v>
          </cell>
          <cell r="AL1396">
            <v>11.265139333447284</v>
          </cell>
          <cell r="AM1396">
            <v>11.335648126709884</v>
          </cell>
          <cell r="AN1396">
            <v>11.38576958070332</v>
          </cell>
          <cell r="AO1396">
            <v>11.421584166214082</v>
          </cell>
        </row>
        <row r="1397">
          <cell r="C1397" t="str">
            <v>Prix des importations</v>
          </cell>
          <cell r="E1397" t="str">
            <v>100*(PM_2/PM_0-1)</v>
          </cell>
          <cell r="F1397">
            <v>0</v>
          </cell>
          <cell r="G1397">
            <v>0</v>
          </cell>
          <cell r="H1397">
            <v>0</v>
          </cell>
          <cell r="I1397">
            <v>0</v>
          </cell>
          <cell r="J1397">
            <v>0</v>
          </cell>
          <cell r="K1397">
            <v>0</v>
          </cell>
          <cell r="L1397">
            <v>0</v>
          </cell>
          <cell r="M1397">
            <v>-8.5700670529043066E-4</v>
          </cell>
          <cell r="N1397">
            <v>-2.9682671868203059E-3</v>
          </cell>
          <cell r="O1397">
            <v>-6.746534693025108E-3</v>
          </cell>
          <cell r="P1397">
            <v>-1.2518545765916045E-2</v>
          </cell>
          <cell r="Q1397">
            <v>-1.854728332302269E-2</v>
          </cell>
          <cell r="R1397">
            <v>-2.4868090465179904E-2</v>
          </cell>
          <cell r="S1397">
            <v>-3.1531868118173101E-2</v>
          </cell>
          <cell r="T1397">
            <v>-3.8521073275876727E-2</v>
          </cell>
          <cell r="U1397">
            <v>-4.5829179844503187E-2</v>
          </cell>
          <cell r="V1397">
            <v>-5.3787144625572214E-2</v>
          </cell>
          <cell r="W1397">
            <v>-6.2533404980635865E-2</v>
          </cell>
          <cell r="X1397">
            <v>-7.2064293719464878E-2</v>
          </cell>
          <cell r="Y1397">
            <v>-8.233029033174466E-2</v>
          </cell>
          <cell r="Z1397">
            <v>-9.3279543550373045E-2</v>
          </cell>
          <cell r="AA1397">
            <v>-0.10459329019314456</v>
          </cell>
          <cell r="AB1397">
            <v>-0.11614101018843082</v>
          </cell>
          <cell r="AC1397">
            <v>-0.12780159050881368</v>
          </cell>
          <cell r="AD1397">
            <v>-0.13937529645215996</v>
          </cell>
          <cell r="AE1397">
            <v>-0.15079190587468094</v>
          </cell>
          <cell r="AF1397">
            <v>-0.16126994039606934</v>
          </cell>
          <cell r="AG1397">
            <v>-0.17072208791455434</v>
          </cell>
          <cell r="AH1397">
            <v>-0.17918831147644143</v>
          </cell>
          <cell r="AI1397">
            <v>-0.18693587296555458</v>
          </cell>
          <cell r="AJ1397">
            <v>-0.194065538371202</v>
          </cell>
          <cell r="AK1397">
            <v>-0.20049181471064603</v>
          </cell>
          <cell r="AL1397">
            <v>-0.20621692644088307</v>
          </cell>
          <cell r="AM1397">
            <v>-0.21126949822390939</v>
          </cell>
          <cell r="AN1397">
            <v>-0.21571289134111327</v>
          </cell>
          <cell r="AO1397">
            <v>-0.21962937473583022</v>
          </cell>
        </row>
        <row r="1398">
          <cell r="C1398" t="str">
            <v>Salaire net nominal (hors cotisations employeurs et employés, unitaire)</v>
          </cell>
          <cell r="E1398" t="str">
            <v>100*(W_2/W_0-1)</v>
          </cell>
          <cell r="F1398">
            <v>0</v>
          </cell>
          <cell r="G1398">
            <v>0</v>
          </cell>
          <cell r="H1398">
            <v>0</v>
          </cell>
          <cell r="I1398">
            <v>0</v>
          </cell>
          <cell r="J1398">
            <v>0</v>
          </cell>
          <cell r="K1398">
            <v>0</v>
          </cell>
          <cell r="L1398">
            <v>0</v>
          </cell>
          <cell r="M1398">
            <v>3.0723060472137576E-3</v>
          </cell>
          <cell r="N1398">
            <v>8.6257453845806076E-2</v>
          </cell>
          <cell r="O1398">
            <v>0.30074469934047166</v>
          </cell>
          <cell r="P1398">
            <v>0.69708420633542989</v>
          </cell>
          <cell r="Q1398">
            <v>1.3276480116503286</v>
          </cell>
          <cell r="R1398">
            <v>2.0195811842187217</v>
          </cell>
          <cell r="S1398">
            <v>2.7125075888619454</v>
          </cell>
          <cell r="T1398">
            <v>3.3884580181993362</v>
          </cell>
          <cell r="U1398">
            <v>4.0434792127006736</v>
          </cell>
          <cell r="V1398">
            <v>4.6773572814877928</v>
          </cell>
          <cell r="W1398">
            <v>5.3057759772559443</v>
          </cell>
          <cell r="X1398">
            <v>5.9336202766600454</v>
          </cell>
          <cell r="Y1398">
            <v>6.5615193675501171</v>
          </cell>
          <cell r="Z1398">
            <v>7.1888319834079173</v>
          </cell>
          <cell r="AA1398">
            <v>7.8138134363550771</v>
          </cell>
          <cell r="AB1398">
            <v>8.4132681743700921</v>
          </cell>
          <cell r="AC1398">
            <v>8.978116252524849</v>
          </cell>
          <cell r="AD1398">
            <v>9.5051163340870595</v>
          </cell>
          <cell r="AE1398">
            <v>9.9930594463275355</v>
          </cell>
          <cell r="AF1398">
            <v>10.442251523288416</v>
          </cell>
          <cell r="AG1398">
            <v>10.835202542964728</v>
          </cell>
          <cell r="AH1398">
            <v>11.167825134036269</v>
          </cell>
          <cell r="AI1398">
            <v>11.441904776781374</v>
          </cell>
          <cell r="AJ1398">
            <v>11.661957029622872</v>
          </cell>
          <cell r="AK1398">
            <v>11.833366331675199</v>
          </cell>
          <cell r="AL1398">
            <v>11.953447754815416</v>
          </cell>
          <cell r="AM1398">
            <v>12.026579074907563</v>
          </cell>
          <cell r="AN1398">
            <v>12.060061977056646</v>
          </cell>
          <cell r="AO1398">
            <v>12.062202779616227</v>
          </cell>
        </row>
        <row r="1399">
          <cell r="C1399" t="str">
            <v>Salaire net réel (hors cotisations employeurs et employés, unitaire)</v>
          </cell>
          <cell r="E1399" t="str">
            <v>100*((W_2/PCH_2)/(W_0/PCH_0)-1)</v>
          </cell>
          <cell r="F1399">
            <v>0</v>
          </cell>
          <cell r="G1399">
            <v>0</v>
          </cell>
          <cell r="H1399">
            <v>0</v>
          </cell>
          <cell r="I1399">
            <v>0</v>
          </cell>
          <cell r="J1399">
            <v>0</v>
          </cell>
          <cell r="K1399">
            <v>0</v>
          </cell>
          <cell r="L1399">
            <v>0</v>
          </cell>
          <cell r="M1399">
            <v>-0.26097133233845549</v>
          </cell>
          <cell r="N1399">
            <v>-0.61996600881710773</v>
          </cell>
          <cell r="O1399">
            <v>-1.0814814485662905</v>
          </cell>
          <cell r="P1399">
            <v>-1.6756440885813517</v>
          </cell>
          <cell r="Q1399">
            <v>-1.6085208674195717</v>
          </cell>
          <cell r="R1399">
            <v>-1.4707119544504876</v>
          </cell>
          <cell r="S1399">
            <v>-1.3369941851973266</v>
          </cell>
          <cell r="T1399">
            <v>-1.2250431135101159</v>
          </cell>
          <cell r="U1399">
            <v>-1.1324097112466514</v>
          </cell>
          <cell r="V1399">
            <v>-1.1074197977816946</v>
          </cell>
          <cell r="W1399">
            <v>-1.0973898826679096</v>
          </cell>
          <cell r="X1399">
            <v>-1.0934696187933746</v>
          </cell>
          <cell r="Y1399">
            <v>-1.0935370954421431</v>
          </cell>
          <cell r="Z1399">
            <v>-1.0978867906608181</v>
          </cell>
          <cell r="AA1399">
            <v>-1.0358230380539291</v>
          </cell>
          <cell r="AB1399">
            <v>-0.97091007138536689</v>
          </cell>
          <cell r="AC1399">
            <v>-0.91204725963807132</v>
          </cell>
          <cell r="AD1399">
            <v>-0.86096254736998112</v>
          </cell>
          <cell r="AE1399">
            <v>-0.81727093421476438</v>
          </cell>
          <cell r="AF1399">
            <v>-0.72318567474798368</v>
          </cell>
          <cell r="AG1399">
            <v>-0.63448708417106481</v>
          </cell>
          <cell r="AH1399">
            <v>-0.55872657785819291</v>
          </cell>
          <cell r="AI1399">
            <v>-0.49755094545897993</v>
          </cell>
          <cell r="AJ1399">
            <v>-0.45060254709428094</v>
          </cell>
          <cell r="AK1399">
            <v>-0.38856221317633555</v>
          </cell>
          <cell r="AL1399">
            <v>-0.33803639168874522</v>
          </cell>
          <cell r="AM1399">
            <v>-0.30202385753514971</v>
          </cell>
          <cell r="AN1399">
            <v>-0.28024269465386498</v>
          </cell>
          <cell r="AO1399">
            <v>-0.27117787087798106</v>
          </cell>
        </row>
        <row r="1400">
          <cell r="C1400" t="str">
            <v>Coût du travail nominal (yc. Cotisations employeurs et employés, unitaire)</v>
          </cell>
          <cell r="E1400" t="str">
            <v>100*(C_L_2/C_L_0-1)</v>
          </cell>
          <cell r="F1400">
            <v>0</v>
          </cell>
          <cell r="G1400">
            <v>0</v>
          </cell>
          <cell r="H1400">
            <v>0</v>
          </cell>
          <cell r="I1400">
            <v>0</v>
          </cell>
          <cell r="J1400">
            <v>0</v>
          </cell>
          <cell r="K1400">
            <v>0</v>
          </cell>
          <cell r="L1400">
            <v>0</v>
          </cell>
          <cell r="M1400">
            <v>3.0723020973955073E-3</v>
          </cell>
          <cell r="N1400">
            <v>8.6257440114456685E-2</v>
          </cell>
          <cell r="O1400">
            <v>0.30074470102359196</v>
          </cell>
          <cell r="P1400">
            <v>0.69708420448293396</v>
          </cell>
          <cell r="Q1400">
            <v>1.327648017604699</v>
          </cell>
          <cell r="R1400">
            <v>2.0195812084824016</v>
          </cell>
          <cell r="S1400">
            <v>2.7125075914019803</v>
          </cell>
          <cell r="T1400">
            <v>3.3884580155093103</v>
          </cell>
          <cell r="U1400">
            <v>4.0434792251884177</v>
          </cell>
          <cell r="V1400">
            <v>4.677357280066663</v>
          </cell>
          <cell r="W1400">
            <v>5.3057759885798195</v>
          </cell>
          <cell r="X1400">
            <v>5.9336202774705527</v>
          </cell>
          <cell r="Y1400">
            <v>6.5615193795201643</v>
          </cell>
          <cell r="Z1400">
            <v>7.1888319880214935</v>
          </cell>
          <cell r="AA1400">
            <v>7.8138134132594406</v>
          </cell>
          <cell r="AB1400">
            <v>8.4132681859969249</v>
          </cell>
          <cell r="AC1400">
            <v>8.9781162653028943</v>
          </cell>
          <cell r="AD1400">
            <v>9.5051163182542595</v>
          </cell>
          <cell r="AE1400">
            <v>9.9930595256732868</v>
          </cell>
          <cell r="AF1400">
            <v>10.442251510319856</v>
          </cell>
          <cell r="AG1400">
            <v>10.835202541726762</v>
          </cell>
          <cell r="AH1400">
            <v>11.167825173267044</v>
          </cell>
          <cell r="AI1400">
            <v>11.44190470851456</v>
          </cell>
          <cell r="AJ1400">
            <v>11.661957072295293</v>
          </cell>
          <cell r="AK1400">
            <v>11.833366476758279</v>
          </cell>
          <cell r="AL1400">
            <v>11.953447811380592</v>
          </cell>
          <cell r="AM1400">
            <v>12.026579044796716</v>
          </cell>
          <cell r="AN1400">
            <v>12.060061978800496</v>
          </cell>
          <cell r="AO1400">
            <v>12.062202787732712</v>
          </cell>
        </row>
        <row r="1401">
          <cell r="C1401" t="str">
            <v>Coût réel du travail (yc. Cotisations employeurs et employés, unitaire)</v>
          </cell>
          <cell r="E1401" t="str">
            <v>100*((C_L_2/PVA_2)/(C_L_0/PVA_0)-1)</v>
          </cell>
          <cell r="F1401">
            <v>0</v>
          </cell>
          <cell r="G1401">
            <v>0</v>
          </cell>
          <cell r="H1401">
            <v>0</v>
          </cell>
          <cell r="I1401">
            <v>0</v>
          </cell>
          <cell r="J1401">
            <v>0</v>
          </cell>
          <cell r="K1401">
            <v>0</v>
          </cell>
          <cell r="L1401">
            <v>0</v>
          </cell>
          <cell r="M1401">
            <v>2.6849250981753059E-2</v>
          </cell>
          <cell r="N1401">
            <v>2.7352960596571663E-2</v>
          </cell>
          <cell r="O1401">
            <v>2.9980736499668481E-2</v>
          </cell>
          <cell r="P1401">
            <v>4.0633227788089421E-2</v>
          </cell>
          <cell r="Q1401">
            <v>-4.9388563637386973E-2</v>
          </cell>
          <cell r="R1401">
            <v>-2.7118106160917144E-2</v>
          </cell>
          <cell r="S1401">
            <v>1.178006854096747E-2</v>
          </cell>
          <cell r="T1401">
            <v>4.3153541583995647E-2</v>
          </cell>
          <cell r="U1401">
            <v>6.9429491704453561E-2</v>
          </cell>
          <cell r="V1401">
            <v>0.10333955779597837</v>
          </cell>
          <cell r="W1401">
            <v>0.13703087953758075</v>
          </cell>
          <cell r="X1401">
            <v>0.18201343156649674</v>
          </cell>
          <cell r="Y1401">
            <v>0.24131695650502216</v>
          </cell>
          <cell r="Z1401">
            <v>0.3146333831688386</v>
          </cell>
          <cell r="AA1401">
            <v>0.3917648150175701</v>
          </cell>
          <cell r="AB1401">
            <v>0.49463907561586584</v>
          </cell>
          <cell r="AC1401">
            <v>0.61121231358232109</v>
          </cell>
          <cell r="AD1401">
            <v>0.73781241314545554</v>
          </cell>
          <cell r="AE1401">
            <v>0.87374165250415636</v>
          </cell>
          <cell r="AF1401">
            <v>0.98157831849206012</v>
          </cell>
          <cell r="AG1401">
            <v>1.0869923318582941</v>
          </cell>
          <cell r="AH1401">
            <v>1.1871221776527774</v>
          </cell>
          <cell r="AI1401">
            <v>1.2800847108739744</v>
          </cell>
          <cell r="AJ1401">
            <v>1.3642300621977022</v>
          </cell>
          <cell r="AK1401">
            <v>1.4314197048108657</v>
          </cell>
          <cell r="AL1401">
            <v>1.4943971219634866</v>
          </cell>
          <cell r="AM1401">
            <v>1.547305808732502</v>
          </cell>
          <cell r="AN1401">
            <v>1.5886472313183964</v>
          </cell>
          <cell r="AO1401">
            <v>1.6188810496747141</v>
          </cell>
        </row>
        <row r="1402">
          <cell r="C1402" t="str">
            <v>Emploi en %</v>
          </cell>
          <cell r="E1402" t="str">
            <v>((F_L_2/F_L_0)-1)*100</v>
          </cell>
          <cell r="F1402">
            <v>0</v>
          </cell>
          <cell r="G1402">
            <v>0</v>
          </cell>
          <cell r="H1402">
            <v>0</v>
          </cell>
          <cell r="I1402">
            <v>0</v>
          </cell>
          <cell r="J1402">
            <v>0</v>
          </cell>
          <cell r="K1402">
            <v>0</v>
          </cell>
          <cell r="L1402">
            <v>0</v>
          </cell>
          <cell r="M1402">
            <v>2.269563388819229E-2</v>
          </cell>
          <cell r="N1402">
            <v>7.5816494215841246E-2</v>
          </cell>
          <cell r="O1402">
            <v>0.16445377793967708</v>
          </cell>
          <cell r="P1402">
            <v>0.29433339175486406</v>
          </cell>
          <cell r="Q1402">
            <v>0.39418039023735307</v>
          </cell>
          <cell r="R1402">
            <v>0.45401722654940802</v>
          </cell>
          <cell r="S1402">
            <v>0.47867228459914646</v>
          </cell>
          <cell r="T1402">
            <v>0.47404946054820929</v>
          </cell>
          <cell r="U1402">
            <v>0.4456203952782456</v>
          </cell>
          <cell r="V1402">
            <v>0.40360552775295933</v>
          </cell>
          <cell r="W1402">
            <v>0.35251200338939359</v>
          </cell>
          <cell r="X1402">
            <v>0.29487156371637013</v>
          </cell>
          <cell r="Y1402">
            <v>0.23233044589436869</v>
          </cell>
          <cell r="Z1402">
            <v>0.16577479853454591</v>
          </cell>
          <cell r="AA1402">
            <v>8.8596499066739831E-2</v>
          </cell>
          <cell r="AB1402">
            <v>1.6558730003835009E-3</v>
          </cell>
          <cell r="AC1402">
            <v>-9.2248411098772021E-2</v>
          </cell>
          <cell r="AD1402">
            <v>-0.18992839492066871</v>
          </cell>
          <cell r="AE1402">
            <v>-0.28865074951409664</v>
          </cell>
          <cell r="AF1402">
            <v>-0.39165679142463272</v>
          </cell>
          <cell r="AG1402">
            <v>-0.49650329435679819</v>
          </cell>
          <cell r="AH1402">
            <v>-0.59894698463174301</v>
          </cell>
          <cell r="AI1402">
            <v>-0.69441900156714809</v>
          </cell>
          <cell r="AJ1402">
            <v>-0.77887657892483642</v>
          </cell>
          <cell r="AK1402">
            <v>-0.85265047901467161</v>
          </cell>
          <cell r="AL1402">
            <v>-0.91341022920266024</v>
          </cell>
          <cell r="AM1402">
            <v>-0.95901660040366155</v>
          </cell>
          <cell r="AN1402">
            <v>-0.98817943039410938</v>
          </cell>
          <cell r="AO1402">
            <v>-1.0003792206770945</v>
          </cell>
        </row>
        <row r="1403">
          <cell r="C1403" t="str">
            <v>Emploi en millier</v>
          </cell>
          <cell r="E1403" t="str">
            <v>F_L_2-F_L_0</v>
          </cell>
          <cell r="F1403">
            <v>0</v>
          </cell>
          <cell r="G1403">
            <v>0</v>
          </cell>
          <cell r="H1403">
            <v>0</v>
          </cell>
          <cell r="I1403">
            <v>0</v>
          </cell>
          <cell r="J1403">
            <v>0</v>
          </cell>
          <cell r="K1403">
            <v>0</v>
          </cell>
          <cell r="L1403">
            <v>0</v>
          </cell>
          <cell r="M1403">
            <v>6.642520000001241</v>
          </cell>
          <cell r="N1403">
            <v>22.469679999998334</v>
          </cell>
          <cell r="O1403">
            <v>49.353610000001936</v>
          </cell>
          <cell r="P1403">
            <v>89.412140000000363</v>
          </cell>
          <cell r="Q1403">
            <v>120.98209000000134</v>
          </cell>
          <cell r="R1403">
            <v>140.45853999999963</v>
          </cell>
          <cell r="S1403">
            <v>148.925900000002</v>
          </cell>
          <cell r="T1403">
            <v>148.0412299999989</v>
          </cell>
          <cell r="U1403">
            <v>139.49186999999802</v>
          </cell>
          <cell r="V1403">
            <v>126.53563999999824</v>
          </cell>
          <cell r="W1403">
            <v>110.65932000000248</v>
          </cell>
          <cell r="X1403">
            <v>92.704829999998765</v>
          </cell>
          <cell r="Y1403">
            <v>73.196349999998347</v>
          </cell>
          <cell r="Z1403">
            <v>52.380280000001221</v>
          </cell>
          <cell r="AA1403">
            <v>28.105559999999969</v>
          </cell>
          <cell r="AB1403">
            <v>0.52803999999741791</v>
          </cell>
          <cell r="AC1403">
            <v>-29.610370000002149</v>
          </cell>
          <cell r="AD1403">
            <v>-61.447179999999207</v>
          </cell>
          <cell r="AE1403">
            <v>-94.232390000001033</v>
          </cell>
          <cell r="AF1403">
            <v>-129.09758999999758</v>
          </cell>
          <cell r="AG1403">
            <v>-165.32832999999664</v>
          </cell>
          <cell r="AH1403">
            <v>-201.58993999999802</v>
          </cell>
          <cell r="AI1403">
            <v>-236.35960999999952</v>
          </cell>
          <cell r="AJ1403">
            <v>-268.17882999999711</v>
          </cell>
          <cell r="AK1403">
            <v>-296.99940000000061</v>
          </cell>
          <cell r="AL1403">
            <v>-321.80679999999847</v>
          </cell>
          <cell r="AM1403">
            <v>-341.59859999999753</v>
          </cell>
          <cell r="AN1403">
            <v>-355.64097000000038</v>
          </cell>
          <cell r="AO1403">
            <v>-363.47293000000354</v>
          </cell>
        </row>
        <row r="1404">
          <cell r="C1404" t="str">
            <v>Taux de chômage (en point)</v>
          </cell>
          <cell r="E1404" t="str">
            <v>100*(UnR_2-UnR_0)</v>
          </cell>
          <cell r="F1404">
            <v>0</v>
          </cell>
          <cell r="G1404">
            <v>0</v>
          </cell>
          <cell r="H1404">
            <v>0</v>
          </cell>
          <cell r="I1404">
            <v>0</v>
          </cell>
          <cell r="J1404">
            <v>0</v>
          </cell>
          <cell r="K1404">
            <v>0</v>
          </cell>
          <cell r="L1404">
            <v>0</v>
          </cell>
          <cell r="M1404">
            <v>-1.7027990000000048E-2</v>
          </cell>
          <cell r="N1404">
            <v>-5.5934259999999847E-2</v>
          </cell>
          <cell r="O1404">
            <v>-0.1199579800000003</v>
          </cell>
          <cell r="P1404">
            <v>-0.21284605999999928</v>
          </cell>
          <cell r="Q1404">
            <v>-0.27977312000000004</v>
          </cell>
          <cell r="R1404">
            <v>-0.316110750000001</v>
          </cell>
          <cell r="S1404">
            <v>-0.32747160999999914</v>
          </cell>
          <cell r="T1404">
            <v>-0.31905376000000013</v>
          </cell>
          <cell r="U1404">
            <v>-0.2951541900000007</v>
          </cell>
          <cell r="V1404">
            <v>-0.26346307999999957</v>
          </cell>
          <cell r="W1404">
            <v>-0.22683104000000009</v>
          </cell>
          <cell r="X1404">
            <v>-0.18669191000000029</v>
          </cell>
          <cell r="Y1404">
            <v>-0.14391878999999996</v>
          </cell>
          <cell r="Z1404">
            <v>-9.8955789999999322E-2</v>
          </cell>
          <cell r="AA1404">
            <v>-4.6311749999999874E-2</v>
          </cell>
          <cell r="AB1404">
            <v>1.3041970000000902E-2</v>
          </cell>
          <cell r="AC1404">
            <v>7.7060030000000723E-2</v>
          </cell>
          <cell r="AD1404">
            <v>0.1436138699999992</v>
          </cell>
          <cell r="AE1404">
            <v>0.21141122999999984</v>
          </cell>
          <cell r="AF1404">
            <v>0.2827782599999995</v>
          </cell>
          <cell r="AG1404">
            <v>0.35601915999999983</v>
          </cell>
          <cell r="AH1404">
            <v>0.42799681000000034</v>
          </cell>
          <cell r="AI1404">
            <v>0.49540304999999907</v>
          </cell>
          <cell r="AJ1404">
            <v>0.55530130999999971</v>
          </cell>
          <cell r="AK1404">
            <v>0.60815687000000052</v>
          </cell>
          <cell r="AL1404">
            <v>0.65199800999999957</v>
          </cell>
          <cell r="AM1404">
            <v>0.68501328000000061</v>
          </cell>
          <cell r="AN1404">
            <v>0.70607577999999971</v>
          </cell>
          <cell r="AO1404">
            <v>0.71465744000000009</v>
          </cell>
        </row>
        <row r="1405">
          <cell r="C1405" t="str">
            <v>Balance commerciale</v>
          </cell>
          <cell r="E1405" t="str">
            <v>100*(Bal_Trade_VAL_2/(GDP_2*PGDP_2)-Bal_Trade_VAL_0/(GDP_0*PGDP_0))</v>
          </cell>
          <cell r="F1405">
            <v>0</v>
          </cell>
          <cell r="G1405">
            <v>0</v>
          </cell>
          <cell r="H1405">
            <v>0</v>
          </cell>
          <cell r="I1405">
            <v>0</v>
          </cell>
          <cell r="J1405">
            <v>0</v>
          </cell>
          <cell r="K1405">
            <v>0</v>
          </cell>
          <cell r="L1405">
            <v>0</v>
          </cell>
          <cell r="M1405">
            <v>4.3137372357521589E-2</v>
          </cell>
          <cell r="N1405">
            <v>0.1150345499551484</v>
          </cell>
          <cell r="O1405">
            <v>0.20831952623224584</v>
          </cell>
          <cell r="P1405">
            <v>0.32302643856622004</v>
          </cell>
          <cell r="Q1405">
            <v>0.34282667282782353</v>
          </cell>
          <cell r="R1405">
            <v>0.31796350395911288</v>
          </cell>
          <cell r="S1405">
            <v>0.28120984383256042</v>
          </cell>
          <cell r="T1405">
            <v>0.24557245701192637</v>
          </cell>
          <cell r="U1405">
            <v>0.21417080459485566</v>
          </cell>
          <cell r="V1405">
            <v>0.19415513639245985</v>
          </cell>
          <cell r="W1405">
            <v>0.17956981028269259</v>
          </cell>
          <cell r="X1405">
            <v>0.16680533249063337</v>
          </cell>
          <cell r="Y1405">
            <v>0.15447084316659934</v>
          </cell>
          <cell r="Z1405">
            <v>0.14165551666101284</v>
          </cell>
          <cell r="AA1405">
            <v>0.11859386198932939</v>
          </cell>
          <cell r="AB1405">
            <v>9.0429208102031644E-2</v>
          </cell>
          <cell r="AC1405">
            <v>6.0263648166326844E-2</v>
          </cell>
          <cell r="AD1405">
            <v>2.9445647018878918E-2</v>
          </cell>
          <cell r="AE1405">
            <v>-3.0007434850917725E-3</v>
          </cell>
          <cell r="AF1405">
            <v>-4.6172099260193E-2</v>
          </cell>
          <cell r="AG1405">
            <v>-9.4119922607698026E-2</v>
          </cell>
          <cell r="AH1405">
            <v>-0.14365510057001221</v>
          </cell>
          <cell r="AI1405">
            <v>-0.19283919503297678</v>
          </cell>
          <cell r="AJ1405">
            <v>-0.24010717346594906</v>
          </cell>
          <cell r="AK1405">
            <v>-0.28812529240532514</v>
          </cell>
          <cell r="AL1405">
            <v>-0.33435938274385679</v>
          </cell>
          <cell r="AM1405">
            <v>-0.37729109550266732</v>
          </cell>
          <cell r="AN1405">
            <v>-0.41648638699181978</v>
          </cell>
          <cell r="AO1405">
            <v>-0.45208160165680911</v>
          </cell>
        </row>
        <row r="1406">
          <cell r="C1406" t="str">
            <v>Facture énergétique</v>
          </cell>
          <cell r="E1406" t="str">
            <v>100*(ENER_BILL_2/(GDP_2*PGDP_2)-ENER_BILL_0/(GDP_0*PGDP_0))</v>
          </cell>
          <cell r="F1406">
            <v>0</v>
          </cell>
          <cell r="G1406">
            <v>0</v>
          </cell>
          <cell r="H1406">
            <v>0</v>
          </cell>
          <cell r="I1406">
            <v>0</v>
          </cell>
          <cell r="J1406">
            <v>0</v>
          </cell>
          <cell r="K1406">
            <v>0</v>
          </cell>
          <cell r="L1406">
            <v>0</v>
          </cell>
          <cell r="M1406">
            <v>-1.4923670118903269E-2</v>
          </cell>
          <cell r="N1406">
            <v>-4.3925614496258258E-2</v>
          </cell>
          <cell r="O1406">
            <v>-8.744768078573234E-2</v>
          </cell>
          <cell r="P1406">
            <v>-0.1463717086800983</v>
          </cell>
          <cell r="Q1406">
            <v>-0.18735593966227662</v>
          </cell>
          <cell r="R1406">
            <v>-0.21793649906306239</v>
          </cell>
          <cell r="S1406">
            <v>-0.24220352764681291</v>
          </cell>
          <cell r="T1406">
            <v>-0.26285586181404585</v>
          </cell>
          <cell r="U1406">
            <v>-0.28159973976177044</v>
          </cell>
          <cell r="V1406">
            <v>-0.30162891081622256</v>
          </cell>
          <cell r="W1406">
            <v>-0.32287143368296228</v>
          </cell>
          <cell r="X1406">
            <v>-0.34536481498181382</v>
          </cell>
          <cell r="Y1406">
            <v>-0.36912800196774487</v>
          </cell>
          <cell r="Z1406">
            <v>-0.39415570982285719</v>
          </cell>
          <cell r="AA1406">
            <v>-0.4178399248812108</v>
          </cell>
          <cell r="AB1406">
            <v>-0.4409451621310162</v>
          </cell>
          <cell r="AC1406">
            <v>-0.46383668095888425</v>
          </cell>
          <cell r="AD1406">
            <v>-0.48671520717063427</v>
          </cell>
          <cell r="AE1406">
            <v>-0.50958554674125567</v>
          </cell>
          <cell r="AF1406">
            <v>-0.52769090019903786</v>
          </cell>
          <cell r="AG1406">
            <v>-0.54339929468965875</v>
          </cell>
          <cell r="AH1406">
            <v>-0.5575465233111534</v>
          </cell>
          <cell r="AI1406">
            <v>-0.57041815651655692</v>
          </cell>
          <cell r="AJ1406">
            <v>-0.58212135628514261</v>
          </cell>
          <cell r="AK1406">
            <v>-0.59164764325143637</v>
          </cell>
          <cell r="AL1406">
            <v>-0.59945142064102896</v>
          </cell>
          <cell r="AM1406">
            <v>-0.60585621502126086</v>
          </cell>
          <cell r="AN1406">
            <v>-0.61114270026387119</v>
          </cell>
          <cell r="AO1406">
            <v>-0.61556425948047722</v>
          </cell>
        </row>
        <row r="1407">
          <cell r="C1407" t="str">
            <v>Solde public primaire</v>
          </cell>
          <cell r="E1407" t="str">
            <v>100*((-Bal_G_prim_VAL_2)/(GDP_2*PGDP_2)-(-Bal_G_prim_VAL_0)/(GDP_0*PGDP_0))</v>
          </cell>
          <cell r="F1407">
            <v>0</v>
          </cell>
          <cell r="G1407">
            <v>0</v>
          </cell>
          <cell r="H1407">
            <v>0</v>
          </cell>
          <cell r="I1407">
            <v>0</v>
          </cell>
          <cell r="J1407">
            <v>0</v>
          </cell>
          <cell r="K1407">
            <v>0</v>
          </cell>
          <cell r="L1407">
            <v>0</v>
          </cell>
          <cell r="M1407">
            <v>1.7882421672466009E-2</v>
          </cell>
          <cell r="N1407">
            <v>1.7475295415005088E-2</v>
          </cell>
          <cell r="O1407">
            <v>-5.9061399861608244E-3</v>
          </cell>
          <cell r="P1407">
            <v>-5.3835288773945722E-2</v>
          </cell>
          <cell r="Q1407">
            <v>-0.19559120790932777</v>
          </cell>
          <cell r="R1407">
            <v>-0.3151466507294497</v>
          </cell>
          <cell r="S1407">
            <v>-0.40386820545507618</v>
          </cell>
          <cell r="T1407">
            <v>-0.46636415037621393</v>
          </cell>
          <cell r="U1407">
            <v>-0.50918285208063352</v>
          </cell>
          <cell r="V1407">
            <v>-0.53345140446902983</v>
          </cell>
          <cell r="W1407">
            <v>-0.55100201251674497</v>
          </cell>
          <cell r="X1407">
            <v>-0.56316636769839012</v>
          </cell>
          <cell r="Y1407">
            <v>-0.56959675333465443</v>
          </cell>
          <cell r="Z1407">
            <v>-0.56929513655071473</v>
          </cell>
          <cell r="AA1407">
            <v>-0.56721771846779534</v>
          </cell>
          <cell r="AB1407">
            <v>-0.55165996104997306</v>
          </cell>
          <cell r="AC1407">
            <v>-0.52372043853445427</v>
          </cell>
          <cell r="AD1407">
            <v>-0.48620899631718617</v>
          </cell>
          <cell r="AE1407">
            <v>-0.44050476422680951</v>
          </cell>
          <cell r="AF1407">
            <v>-0.39175179145930772</v>
          </cell>
          <cell r="AG1407">
            <v>-0.33550895466093467</v>
          </cell>
          <cell r="AH1407">
            <v>-0.27428276946684649</v>
          </cell>
          <cell r="AI1407">
            <v>-0.21100657486206181</v>
          </cell>
          <cell r="AJ1407">
            <v>-0.14819244341174043</v>
          </cell>
          <cell r="AK1407">
            <v>-8.976712976446477E-2</v>
          </cell>
          <cell r="AL1407">
            <v>-3.2559117829918105E-2</v>
          </cell>
          <cell r="AM1407">
            <v>2.202341768616084E-2</v>
          </cell>
          <cell r="AN1407">
            <v>7.2268493784434507E-2</v>
          </cell>
          <cell r="AO1407">
            <v>0.11668671071551617</v>
          </cell>
        </row>
        <row r="1408">
          <cell r="C1408" t="str">
            <v xml:space="preserve">Solde public </v>
          </cell>
          <cell r="E1408" t="str">
            <v>100*((-Bal_G_tot_VAL_2)/(GDP_2*PGDP_2)-(-Bal_G_tot_VAL_0)/(GDP_0*PGDP_0))</v>
          </cell>
          <cell r="F1408">
            <v>0</v>
          </cell>
          <cell r="G1408">
            <v>0</v>
          </cell>
          <cell r="H1408">
            <v>0</v>
          </cell>
          <cell r="I1408">
            <v>0</v>
          </cell>
          <cell r="J1408">
            <v>0</v>
          </cell>
          <cell r="K1408">
            <v>0</v>
          </cell>
          <cell r="L1408">
            <v>0</v>
          </cell>
          <cell r="M1408">
            <v>1.336520471573871E-2</v>
          </cell>
          <cell r="N1408">
            <v>0.10342023899043637</v>
          </cell>
          <cell r="O1408">
            <v>0.17065418177702255</v>
          </cell>
          <cell r="P1408">
            <v>0.2164951887420101</v>
          </cell>
          <cell r="Q1408">
            <v>0.1882488649623093</v>
          </cell>
          <cell r="R1408">
            <v>-2.5586156860466641E-2</v>
          </cell>
          <cell r="S1408">
            <v>-0.18415810794213949</v>
          </cell>
          <cell r="T1408">
            <v>-0.30078932805949821</v>
          </cell>
          <cell r="U1408">
            <v>-0.38963295181950119</v>
          </cell>
          <cell r="V1408">
            <v>-0.45630007945382034</v>
          </cell>
          <cell r="W1408">
            <v>-0.50833512865430597</v>
          </cell>
          <cell r="X1408">
            <v>-0.55586062960702798</v>
          </cell>
          <cell r="Y1408">
            <v>-0.59782328440723465</v>
          </cell>
          <cell r="Z1408">
            <v>-0.63290669361817242</v>
          </cell>
          <cell r="AA1408">
            <v>-0.66658398727551738</v>
          </cell>
          <cell r="AB1408">
            <v>-0.68303501160603686</v>
          </cell>
          <cell r="AC1408">
            <v>-0.684472211463933</v>
          </cell>
          <cell r="AD1408">
            <v>-0.67460216768763792</v>
          </cell>
          <cell r="AE1408">
            <v>-0.65537278062887949</v>
          </cell>
          <cell r="AF1408">
            <v>-0.63312525760487048</v>
          </cell>
          <cell r="AG1408">
            <v>-0.58975647529928843</v>
          </cell>
          <cell r="AH1408">
            <v>-0.53852005306532647</v>
          </cell>
          <cell r="AI1408">
            <v>-0.48247136581027333</v>
          </cell>
          <cell r="AJ1408">
            <v>-0.42370959759309157</v>
          </cell>
          <cell r="AK1408">
            <v>-0.36641154050591068</v>
          </cell>
          <cell r="AL1408">
            <v>-0.29622859154692649</v>
          </cell>
          <cell r="AM1408">
            <v>-0.2257351668191826</v>
          </cell>
          <cell r="AN1408">
            <v>-0.1573369809183045</v>
          </cell>
          <cell r="AO1408">
            <v>-9.3138256407016007E-2</v>
          </cell>
        </row>
        <row r="1409">
          <cell r="C1409" t="str">
            <v>Dette publique</v>
          </cell>
          <cell r="E1409" t="str">
            <v>(DEBT_G_VAL_2/(PGDP_2*GDP_2)-DEBT_G_VAL_0/(PGDP_0*GDP_0))*100</v>
          </cell>
          <cell r="F1409">
            <v>0</v>
          </cell>
          <cell r="G1409">
            <v>0</v>
          </cell>
          <cell r="H1409">
            <v>0</v>
          </cell>
          <cell r="I1409">
            <v>0</v>
          </cell>
          <cell r="J1409">
            <v>0</v>
          </cell>
          <cell r="K1409">
            <v>0</v>
          </cell>
          <cell r="L1409">
            <v>0</v>
          </cell>
          <cell r="M1409">
            <v>-0.1936269924537104</v>
          </cell>
          <cell r="N1409">
            <v>-0.43837319939914465</v>
          </cell>
          <cell r="O1409">
            <v>-0.76979153435295933</v>
          </cell>
          <cell r="P1409">
            <v>-1.2248595889841951</v>
          </cell>
          <cell r="Q1409">
            <v>-1.4172743896593398</v>
          </cell>
          <cell r="R1409">
            <v>-1.7472875833881685</v>
          </cell>
          <cell r="S1409">
            <v>-2.1741807090851495</v>
          </cell>
          <cell r="T1409">
            <v>-2.6570707161300611</v>
          </cell>
          <cell r="U1409">
            <v>-3.1686486440293535</v>
          </cell>
          <cell r="V1409">
            <v>-3.7025312003458906</v>
          </cell>
          <cell r="W1409">
            <v>-4.2360821313106891</v>
          </cell>
          <cell r="X1409">
            <v>-4.7649211457238465</v>
          </cell>
          <cell r="Y1409">
            <v>-5.2838748358477012</v>
          </cell>
          <cell r="Z1409">
            <v>-5.7857983396964618</v>
          </cell>
          <cell r="AA1409">
            <v>-6.2715447510788724</v>
          </cell>
          <cell r="AB1409">
            <v>-6.726152065971112</v>
          </cell>
          <cell r="AC1409">
            <v>-7.1358466102874329</v>
          </cell>
          <cell r="AD1409">
            <v>-7.4907478179054383</v>
          </cell>
          <cell r="AE1409">
            <v>-7.7840765652435531</v>
          </cell>
          <cell r="AF1409">
            <v>-8.037052815983909</v>
          </cell>
          <cell r="AG1409">
            <v>-8.2247609555890779</v>
          </cell>
          <cell r="AH1409">
            <v>-8.341760651300568</v>
          </cell>
          <cell r="AI1409">
            <v>-8.3873752232568428</v>
          </cell>
          <cell r="AJ1409">
            <v>-8.3638714741645082</v>
          </cell>
          <cell r="AK1409">
            <v>-8.2983673442810435</v>
          </cell>
          <cell r="AL1409">
            <v>-8.1731207075131813</v>
          </cell>
          <cell r="AM1409">
            <v>-7.9901472239567672</v>
          </cell>
          <cell r="AN1409">
            <v>-7.7536355853596417</v>
          </cell>
          <cell r="AO1409">
            <v>-7.4687679215444502</v>
          </cell>
        </row>
        <row r="1410">
          <cell r="C1410" t="str">
            <v>PIB</v>
          </cell>
          <cell r="E1410" t="str">
            <v>GDP_2</v>
          </cell>
          <cell r="F1410">
            <v>2197038.7069999999</v>
          </cell>
          <cell r="G1410">
            <v>2236729.7930000001</v>
          </cell>
          <cell r="H1410">
            <v>2280579.3450000002</v>
          </cell>
          <cell r="I1410">
            <v>2328545.1189999999</v>
          </cell>
          <cell r="J1410">
            <v>2379669.0759999999</v>
          </cell>
          <cell r="K1410">
            <v>2433645.02</v>
          </cell>
          <cell r="L1410">
            <v>2489618.9160000002</v>
          </cell>
          <cell r="M1410">
            <v>2548083.4819999998</v>
          </cell>
          <cell r="N1410">
            <v>2608860.8829999999</v>
          </cell>
          <cell r="O1410">
            <v>2671966.2370000002</v>
          </cell>
          <cell r="P1410">
            <v>2736071.0780000002</v>
          </cell>
          <cell r="Q1410">
            <v>2793221.4210000001</v>
          </cell>
          <cell r="R1410">
            <v>2845627.9989999998</v>
          </cell>
          <cell r="S1410">
            <v>2893925.9849999999</v>
          </cell>
          <cell r="T1410">
            <v>2939081.037</v>
          </cell>
          <cell r="U1410">
            <v>2982254.7779999999</v>
          </cell>
          <cell r="V1410">
            <v>3024838.2540000002</v>
          </cell>
          <cell r="W1410">
            <v>3068137.696</v>
          </cell>
          <cell r="X1410">
            <v>3113328.9210000001</v>
          </cell>
          <cell r="Y1410">
            <v>3161232.5619999999</v>
          </cell>
          <cell r="Z1410">
            <v>3212147.727</v>
          </cell>
          <cell r="AA1410">
            <v>3267073.926</v>
          </cell>
          <cell r="AB1410">
            <v>3326699.611</v>
          </cell>
          <cell r="AC1410">
            <v>3391442.0079999999</v>
          </cell>
          <cell r="AD1410">
            <v>3461411.2489999998</v>
          </cell>
          <cell r="AE1410">
            <v>3535528.284</v>
          </cell>
          <cell r="AF1410">
            <v>3614709.497</v>
          </cell>
          <cell r="AG1410">
            <v>3698876.895</v>
          </cell>
          <cell r="AH1410">
            <v>3788200.8769999999</v>
          </cell>
          <cell r="AI1410">
            <v>3882347.9049999998</v>
          </cell>
          <cell r="AJ1410">
            <v>3980643.7680000002</v>
          </cell>
          <cell r="AK1410">
            <v>4082317.1409999998</v>
          </cell>
          <cell r="AL1410">
            <v>4186847.6910000001</v>
          </cell>
          <cell r="AM1410">
            <v>4293606.807</v>
          </cell>
          <cell r="AN1410">
            <v>4401917.142</v>
          </cell>
          <cell r="AO1410">
            <v>4511065.7560000001</v>
          </cell>
        </row>
        <row r="1411">
          <cell r="C1411" t="str">
            <v>Ecart PIB</v>
          </cell>
          <cell r="E1411" t="str">
            <v>(GDPter_2/GDPbis_2-1)*100</v>
          </cell>
          <cell r="F1411">
            <v>0</v>
          </cell>
          <cell r="G1411">
            <v>0</v>
          </cell>
          <cell r="H1411">
            <v>0</v>
          </cell>
          <cell r="I1411">
            <v>0</v>
          </cell>
          <cell r="J1411">
            <v>0</v>
          </cell>
          <cell r="K1411">
            <v>0</v>
          </cell>
          <cell r="L1411">
            <v>4.0166781012374031E-8</v>
          </cell>
          <cell r="M1411">
            <v>0</v>
          </cell>
          <cell r="N1411">
            <v>3.8330916218853872E-8</v>
          </cell>
          <cell r="O1411">
            <v>0</v>
          </cell>
          <cell r="P1411">
            <v>0</v>
          </cell>
          <cell r="Q1411">
            <v>0</v>
          </cell>
          <cell r="R1411">
            <v>0</v>
          </cell>
          <cell r="S1411">
            <v>0</v>
          </cell>
          <cell r="T1411">
            <v>-3.4024250084030427E-8</v>
          </cell>
          <cell r="U1411">
            <v>-3.3531677434694984E-8</v>
          </cell>
          <cell r="V1411">
            <v>0</v>
          </cell>
          <cell r="W1411">
            <v>0</v>
          </cell>
          <cell r="X1411">
            <v>0</v>
          </cell>
          <cell r="Y1411">
            <v>0</v>
          </cell>
          <cell r="Z1411">
            <v>0</v>
          </cell>
          <cell r="AA1411">
            <v>0</v>
          </cell>
          <cell r="AB1411">
            <v>0</v>
          </cell>
          <cell r="AC1411">
            <v>-2.9485969221809682E-8</v>
          </cell>
          <cell r="AD1411">
            <v>-2.8889945991039667E-8</v>
          </cell>
          <cell r="AE1411">
            <v>0</v>
          </cell>
          <cell r="AF1411">
            <v>2.7664737167754083E-8</v>
          </cell>
          <cell r="AG1411">
            <v>0</v>
          </cell>
          <cell r="AH1411">
            <v>0</v>
          </cell>
          <cell r="AI1411">
            <v>0</v>
          </cell>
          <cell r="AJ1411">
            <v>0</v>
          </cell>
          <cell r="AK1411">
            <v>-2.449588309971773E-8</v>
          </cell>
          <cell r="AL1411">
            <v>0</v>
          </cell>
          <cell r="AM1411">
            <v>0</v>
          </cell>
          <cell r="AN1411">
            <v>-2.2717383529879953E-8</v>
          </cell>
          <cell r="AO1411">
            <v>-2.2167712110388038E-8</v>
          </cell>
        </row>
        <row r="1412">
          <cell r="C1412" t="str">
            <v>Dépenses publiques</v>
          </cell>
          <cell r="E1412" t="str">
            <v>SPEND_G_VAL_2</v>
          </cell>
          <cell r="F1412">
            <v>1178061.808</v>
          </cell>
          <cell r="G1412">
            <v>1216946.149</v>
          </cell>
          <cell r="H1412">
            <v>1253425.4620000001</v>
          </cell>
          <cell r="I1412">
            <v>1291989.007</v>
          </cell>
          <cell r="J1412">
            <v>1332015.2069999999</v>
          </cell>
          <cell r="K1412">
            <v>1370596.939</v>
          </cell>
          <cell r="L1412">
            <v>1409399.101</v>
          </cell>
          <cell r="M1412">
            <v>1450895.0560000001</v>
          </cell>
          <cell r="N1412">
            <v>1497688.4010000001</v>
          </cell>
          <cell r="O1412">
            <v>1547716.058</v>
          </cell>
          <cell r="P1412">
            <v>1603607.611</v>
          </cell>
          <cell r="Q1412">
            <v>1656255.6329999999</v>
          </cell>
          <cell r="R1412">
            <v>1700259.0460000001</v>
          </cell>
          <cell r="S1412">
            <v>1742999.4210000001</v>
          </cell>
          <cell r="T1412">
            <v>1784039.706</v>
          </cell>
          <cell r="U1412">
            <v>1823171.0319999999</v>
          </cell>
          <cell r="V1412">
            <v>1860803.351</v>
          </cell>
          <cell r="W1412">
            <v>1896950.0149999999</v>
          </cell>
          <cell r="X1412">
            <v>1931397.4129999999</v>
          </cell>
          <cell r="Y1412">
            <v>1964450.8940000001</v>
          </cell>
          <cell r="Z1412">
            <v>1994995.6810000001</v>
          </cell>
          <cell r="AA1412">
            <v>2025476.71</v>
          </cell>
          <cell r="AB1412">
            <v>2055023.899</v>
          </cell>
          <cell r="AC1412">
            <v>2083765.9790000001</v>
          </cell>
          <cell r="AD1412">
            <v>2111847.375</v>
          </cell>
          <cell r="AE1412">
            <v>2134906.1039999998</v>
          </cell>
          <cell r="AF1412">
            <v>2159224.9670000002</v>
          </cell>
          <cell r="AG1412">
            <v>2183366.1609999998</v>
          </cell>
          <cell r="AH1412">
            <v>2206377.4360000002</v>
          </cell>
          <cell r="AI1412">
            <v>2227677.091</v>
          </cell>
          <cell r="AJ1412">
            <v>2246802.0460000001</v>
          </cell>
          <cell r="AK1412">
            <v>2262794.9780000001</v>
          </cell>
          <cell r="AL1412">
            <v>2276206.784</v>
          </cell>
          <cell r="AM1412">
            <v>2285692.156</v>
          </cell>
          <cell r="AN1412">
            <v>2290702.327</v>
          </cell>
          <cell r="AO1412">
            <v>2290800.4739999999</v>
          </cell>
        </row>
        <row r="1413">
          <cell r="C1413" t="str">
            <v>Recettes publiques</v>
          </cell>
          <cell r="E1413" t="str">
            <v>INC_G_VAL_2</v>
          </cell>
          <cell r="F1413">
            <v>1010828.828</v>
          </cell>
          <cell r="G1413">
            <v>1047522.868</v>
          </cell>
          <cell r="H1413">
            <v>1089072.912</v>
          </cell>
          <cell r="I1413">
            <v>1135573.246</v>
          </cell>
          <cell r="J1413">
            <v>1186117.6329999999</v>
          </cell>
          <cell r="K1413">
            <v>1240503.557</v>
          </cell>
          <cell r="L1413">
            <v>1298609.581</v>
          </cell>
          <cell r="M1413">
            <v>1362038.56</v>
          </cell>
          <cell r="N1413">
            <v>1431803.3859999999</v>
          </cell>
          <cell r="O1413">
            <v>1509202.8759999999</v>
          </cell>
          <cell r="P1413">
            <v>1595517.89</v>
          </cell>
          <cell r="Q1413">
            <v>1682628.7409999999</v>
          </cell>
          <cell r="R1413">
            <v>1767703.216</v>
          </cell>
          <cell r="S1413">
            <v>1848704.298</v>
          </cell>
          <cell r="T1413">
            <v>1924767.05</v>
          </cell>
          <cell r="U1413">
            <v>1995822.034</v>
          </cell>
          <cell r="V1413">
            <v>2062884.8319999999</v>
          </cell>
          <cell r="W1413">
            <v>2127016.304</v>
          </cell>
          <cell r="X1413">
            <v>2189473.9330000002</v>
          </cell>
          <cell r="Y1413">
            <v>2251582.8670000001</v>
          </cell>
          <cell r="Z1413">
            <v>2314426.16</v>
          </cell>
          <cell r="AA1413">
            <v>2379429.84</v>
          </cell>
          <cell r="AB1413">
            <v>2447723.0869999998</v>
          </cell>
          <cell r="AC1413">
            <v>2520934.102</v>
          </cell>
          <cell r="AD1413">
            <v>2600675.9810000001</v>
          </cell>
          <cell r="AE1413">
            <v>2687503.9810000001</v>
          </cell>
          <cell r="AF1413">
            <v>2781779.5610000002</v>
          </cell>
          <cell r="AG1413">
            <v>2884824.6329999999</v>
          </cell>
          <cell r="AH1413">
            <v>2998536.35</v>
          </cell>
          <cell r="AI1413">
            <v>3124228.696</v>
          </cell>
          <cell r="AJ1413">
            <v>3262583.2990000001</v>
          </cell>
          <cell r="AK1413">
            <v>3413331.3</v>
          </cell>
          <cell r="AL1413">
            <v>3576253.3429999999</v>
          </cell>
          <cell r="AM1413">
            <v>3750909.4210000001</v>
          </cell>
          <cell r="AN1413">
            <v>3936589.1</v>
          </cell>
          <cell r="AO1413">
            <v>4132261.7259999998</v>
          </cell>
        </row>
        <row r="1414">
          <cell r="C1414" t="str">
            <v>Solde public</v>
          </cell>
          <cell r="E1414" t="str">
            <v>Bal_G_tot_VAL_2</v>
          </cell>
          <cell r="F1414">
            <v>-65255.911809999998</v>
          </cell>
          <cell r="G1414">
            <v>-64183.41734</v>
          </cell>
          <cell r="H1414">
            <v>-55903.516239999997</v>
          </cell>
          <cell r="I1414">
            <v>-45171.550920000001</v>
          </cell>
          <cell r="J1414">
            <v>-32394.786619999999</v>
          </cell>
          <cell r="K1414">
            <v>-14970.8555</v>
          </cell>
          <cell r="L1414">
            <v>5081.5499159999999</v>
          </cell>
          <cell r="M1414">
            <v>26760.496159999999</v>
          </cell>
          <cell r="N1414">
            <v>48393.95263</v>
          </cell>
          <cell r="O1414">
            <v>73346.087740000003</v>
          </cell>
          <cell r="P1414">
            <v>100102.2445</v>
          </cell>
          <cell r="Q1414">
            <v>129559.96120000001</v>
          </cell>
          <cell r="R1414">
            <v>164153.02439999999</v>
          </cell>
          <cell r="S1414">
            <v>194206.0815</v>
          </cell>
          <cell r="T1414">
            <v>219518.2438</v>
          </cell>
          <cell r="U1414">
            <v>240465.9889</v>
          </cell>
          <cell r="V1414">
            <v>257873.16949999999</v>
          </cell>
          <cell r="W1414">
            <v>272964.31839999999</v>
          </cell>
          <cell r="X1414">
            <v>287326.33409999998</v>
          </cell>
          <cell r="Y1414">
            <v>302015.47009999998</v>
          </cell>
          <cell r="Z1414">
            <v>319213.20209999999</v>
          </cell>
          <cell r="AA1414">
            <v>337775.19339999999</v>
          </cell>
          <cell r="AB1414">
            <v>359632.49229999998</v>
          </cell>
          <cell r="AC1414">
            <v>386119.80229999998</v>
          </cell>
          <cell r="AD1414">
            <v>418474.29470000003</v>
          </cell>
          <cell r="AE1414">
            <v>461319.85060000001</v>
          </cell>
          <cell r="AF1414">
            <v>508210.576</v>
          </cell>
          <cell r="AG1414">
            <v>561703.9253</v>
          </cell>
          <cell r="AH1414">
            <v>624319.17110000004</v>
          </cell>
          <cell r="AI1414">
            <v>697495.90229999996</v>
          </cell>
          <cell r="AJ1414">
            <v>781850.75630000001</v>
          </cell>
          <cell r="AK1414">
            <v>877513.28769999999</v>
          </cell>
          <cell r="AL1414">
            <v>983147.85970000003</v>
          </cell>
          <cell r="AM1414">
            <v>1099161.173</v>
          </cell>
          <cell r="AN1414">
            <v>1224872.622</v>
          </cell>
          <cell r="AO1414">
            <v>1359203.469</v>
          </cell>
        </row>
        <row r="1415">
          <cell r="C1415" t="str">
            <v>Dette publique</v>
          </cell>
          <cell r="E1415" t="str">
            <v>DEBT_G_VAL_2</v>
          </cell>
          <cell r="F1415">
            <v>2104797.2650000001</v>
          </cell>
          <cell r="G1415">
            <v>2168980.6830000002</v>
          </cell>
          <cell r="H1415">
            <v>2224884.199</v>
          </cell>
          <cell r="I1415">
            <v>2270055.75</v>
          </cell>
          <cell r="J1415">
            <v>2302450.5359999998</v>
          </cell>
          <cell r="K1415">
            <v>2317421.392</v>
          </cell>
          <cell r="L1415">
            <v>2312339.8420000002</v>
          </cell>
          <cell r="M1415">
            <v>2285579.3459999999</v>
          </cell>
          <cell r="N1415">
            <v>2237185.3930000002</v>
          </cell>
          <cell r="O1415">
            <v>2163839.3050000002</v>
          </cell>
          <cell r="P1415">
            <v>2063737.061</v>
          </cell>
          <cell r="Q1415">
            <v>1934177.1</v>
          </cell>
          <cell r="R1415">
            <v>1770024.075</v>
          </cell>
          <cell r="S1415">
            <v>1575817.9939999999</v>
          </cell>
          <cell r="T1415">
            <v>1356299.75</v>
          </cell>
          <cell r="U1415">
            <v>1115833.7609999999</v>
          </cell>
          <cell r="V1415">
            <v>857960.59160000004</v>
          </cell>
          <cell r="W1415">
            <v>584996.27320000005</v>
          </cell>
          <cell r="X1415">
            <v>297669.93910000002</v>
          </cell>
          <cell r="Y1415">
            <v>-4345.5309900000002</v>
          </cell>
          <cell r="Z1415">
            <v>-323558.73310000001</v>
          </cell>
          <cell r="AA1415">
            <v>-661333.92649999994</v>
          </cell>
          <cell r="AB1415">
            <v>-1020966.419</v>
          </cell>
          <cell r="AC1415">
            <v>-1407086.2209999999</v>
          </cell>
          <cell r="AD1415">
            <v>-1825560.5160000001</v>
          </cell>
          <cell r="AE1415">
            <v>-2286880.3659999999</v>
          </cell>
          <cell r="AF1415">
            <v>-2795090.9419999998</v>
          </cell>
          <cell r="AG1415">
            <v>-3356794.8679999998</v>
          </cell>
          <cell r="AH1415">
            <v>-3981114.0389999999</v>
          </cell>
          <cell r="AI1415">
            <v>-4678609.9409999996</v>
          </cell>
          <cell r="AJ1415">
            <v>-5460460.6969999997</v>
          </cell>
          <cell r="AK1415">
            <v>-6337973.9850000003</v>
          </cell>
          <cell r="AL1415">
            <v>-7321121.8449999997</v>
          </cell>
          <cell r="AM1415">
            <v>-8420283.0170000009</v>
          </cell>
          <cell r="AN1415">
            <v>-9645155.6390000004</v>
          </cell>
          <cell r="AO1415">
            <v>-11004359.109999999</v>
          </cell>
        </row>
        <row r="1512">
          <cell r="F1512">
            <v>1966068.3489999999</v>
          </cell>
          <cell r="G1512">
            <v>2002113.8959999999</v>
          </cell>
          <cell r="H1512">
            <v>2041560.58</v>
          </cell>
          <cell r="I1512">
            <v>2084531.6980000001</v>
          </cell>
          <cell r="J1512">
            <v>2130170.0109999999</v>
          </cell>
          <cell r="K1512">
            <v>2178253.8849999998</v>
          </cell>
          <cell r="L1512">
            <v>2227940.7039999999</v>
          </cell>
          <cell r="M1512">
            <v>2279838.6189999999</v>
          </cell>
          <cell r="N1512">
            <v>2333776.3960000002</v>
          </cell>
          <cell r="O1512">
            <v>2389727.7829999998</v>
          </cell>
          <cell r="P1512">
            <v>2446335.4610000001</v>
          </cell>
          <cell r="Q1512">
            <v>2496251.7609999999</v>
          </cell>
          <cell r="R1512">
            <v>2541758.2799999998</v>
          </cell>
          <cell r="S1512">
            <v>2583622.1230000001</v>
          </cell>
          <cell r="T1512">
            <v>2622842.4470000002</v>
          </cell>
          <cell r="U1512">
            <v>2660522.2039999999</v>
          </cell>
          <cell r="V1512">
            <v>2697920.0869999998</v>
          </cell>
          <cell r="W1512">
            <v>2736170.969</v>
          </cell>
          <cell r="X1512">
            <v>2776289.8020000001</v>
          </cell>
          <cell r="Y1512">
            <v>2818967.1910000001</v>
          </cell>
          <cell r="Z1512">
            <v>2864465.173</v>
          </cell>
          <cell r="AA1512">
            <v>2913587.125</v>
          </cell>
          <cell r="AB1512">
            <v>2966945.0440000002</v>
          </cell>
          <cell r="AC1512">
            <v>3024885.9109999998</v>
          </cell>
          <cell r="AD1512">
            <v>3087467.7949999999</v>
          </cell>
          <cell r="AE1512">
            <v>3153774.3820000002</v>
          </cell>
          <cell r="AF1512">
            <v>3225052.06</v>
          </cell>
          <cell r="AG1512">
            <v>3300933.0359999998</v>
          </cell>
          <cell r="AH1512">
            <v>3381430.9890000001</v>
          </cell>
          <cell r="AI1512">
            <v>3466152.3020000001</v>
          </cell>
          <cell r="AJ1512">
            <v>3554436.0279999999</v>
          </cell>
          <cell r="AK1512">
            <v>3645575.861</v>
          </cell>
          <cell r="AL1512">
            <v>3739118.8130000001</v>
          </cell>
          <cell r="AM1512">
            <v>3834523.4789999998</v>
          </cell>
          <cell r="AN1512">
            <v>3931207.7379999999</v>
          </cell>
          <cell r="AO1512">
            <v>4028560.0159999998</v>
          </cell>
        </row>
        <row r="1513">
          <cell r="F1513">
            <v>36093.471129999998</v>
          </cell>
          <cell r="G1513">
            <v>36605.857519999998</v>
          </cell>
          <cell r="H1513">
            <v>37205.437850000002</v>
          </cell>
          <cell r="I1513">
            <v>37892.887710000003</v>
          </cell>
          <cell r="J1513">
            <v>38666.860990000001</v>
          </cell>
          <cell r="K1513">
            <v>39511.717299999997</v>
          </cell>
          <cell r="L1513">
            <v>40435.124880000003</v>
          </cell>
          <cell r="M1513">
            <v>41400.639190000002</v>
          </cell>
          <cell r="N1513">
            <v>42401.57632</v>
          </cell>
          <cell r="O1513">
            <v>43433.610460000004</v>
          </cell>
          <cell r="P1513">
            <v>44460.974020000001</v>
          </cell>
          <cell r="Q1513">
            <v>45339.163829999998</v>
          </cell>
          <cell r="R1513">
            <v>46126.296869999998</v>
          </cell>
          <cell r="S1513">
            <v>46840.755319999997</v>
          </cell>
          <cell r="T1513">
            <v>47503.801220000001</v>
          </cell>
          <cell r="U1513">
            <v>48138.818359999997</v>
          </cell>
          <cell r="V1513">
            <v>48790.488949999999</v>
          </cell>
          <cell r="W1513">
            <v>49467.367140000002</v>
          </cell>
          <cell r="X1513">
            <v>50188.592270000001</v>
          </cell>
          <cell r="Y1513">
            <v>50968.014029999998</v>
          </cell>
          <cell r="Z1513">
            <v>51809.500189999999</v>
          </cell>
          <cell r="AA1513">
            <v>52734.969519999999</v>
          </cell>
          <cell r="AB1513">
            <v>53758.537799999998</v>
          </cell>
          <cell r="AC1513">
            <v>54888.820290000003</v>
          </cell>
          <cell r="AD1513">
            <v>56128.153919999997</v>
          </cell>
          <cell r="AE1513">
            <v>57453.865769999997</v>
          </cell>
          <cell r="AF1513">
            <v>58734.953320000001</v>
          </cell>
          <cell r="AG1513">
            <v>60077.714350000002</v>
          </cell>
          <cell r="AH1513">
            <v>61517.709360000001</v>
          </cell>
          <cell r="AI1513">
            <v>63052.549749999998</v>
          </cell>
          <cell r="AJ1513">
            <v>64666.280400000003</v>
          </cell>
          <cell r="AK1513">
            <v>66340.803490000006</v>
          </cell>
          <cell r="AL1513">
            <v>68065.507719999994</v>
          </cell>
          <cell r="AM1513">
            <v>69827.421900000001</v>
          </cell>
          <cell r="AN1513">
            <v>71612.611229999995</v>
          </cell>
          <cell r="AO1513">
            <v>73406.649449999997</v>
          </cell>
        </row>
        <row r="1516">
          <cell r="F1516">
            <v>331632.60869999998</v>
          </cell>
          <cell r="G1516">
            <v>339630.46230000001</v>
          </cell>
          <cell r="H1516">
            <v>347911.86349999998</v>
          </cell>
          <cell r="I1516">
            <v>356741.3162</v>
          </cell>
          <cell r="J1516">
            <v>366071.1</v>
          </cell>
          <cell r="K1516">
            <v>375862.77539999998</v>
          </cell>
          <cell r="L1516">
            <v>386131.63900000002</v>
          </cell>
          <cell r="M1516">
            <v>396872.8847</v>
          </cell>
          <cell r="N1516">
            <v>408069.78409999999</v>
          </cell>
          <cell r="O1516">
            <v>419700.11910000001</v>
          </cell>
          <cell r="P1516">
            <v>431257.22499999998</v>
          </cell>
          <cell r="Q1516">
            <v>441278.0318</v>
          </cell>
          <cell r="R1516">
            <v>450555.75280000002</v>
          </cell>
          <cell r="S1516">
            <v>459324.23249999998</v>
          </cell>
          <cell r="T1516">
            <v>467868.52919999999</v>
          </cell>
          <cell r="U1516">
            <v>476447.38219999999</v>
          </cell>
          <cell r="V1516">
            <v>485293.58439999999</v>
          </cell>
          <cell r="W1516">
            <v>494640.6937</v>
          </cell>
          <cell r="X1516">
            <v>504673.36570000002</v>
          </cell>
          <cell r="Y1516">
            <v>515496.33899999998</v>
          </cell>
          <cell r="Z1516">
            <v>527165.87470000004</v>
          </cell>
          <cell r="AA1516">
            <v>539859.96920000005</v>
          </cell>
          <cell r="AB1516">
            <v>553693.65969999996</v>
          </cell>
          <cell r="AC1516">
            <v>568729.49450000003</v>
          </cell>
          <cell r="AD1516">
            <v>584966.73230000003</v>
          </cell>
          <cell r="AE1516">
            <v>602284.91559999995</v>
          </cell>
          <cell r="AF1516">
            <v>620298.24109999998</v>
          </cell>
          <cell r="AG1516">
            <v>639175.97120000003</v>
          </cell>
          <cell r="AH1516">
            <v>659037.28940000001</v>
          </cell>
          <cell r="AI1516">
            <v>679792.79749999999</v>
          </cell>
          <cell r="AJ1516">
            <v>701280.19039999996</v>
          </cell>
          <cell r="AK1516">
            <v>723389.06039999996</v>
          </cell>
          <cell r="AL1516">
            <v>746025.98309999995</v>
          </cell>
          <cell r="AM1516">
            <v>769088.70180000004</v>
          </cell>
          <cell r="AN1516">
            <v>792467.375</v>
          </cell>
          <cell r="AO1516">
            <v>816043.40090000001</v>
          </cell>
        </row>
        <row r="1528">
          <cell r="F1528">
            <v>48465.39256</v>
          </cell>
          <cell r="G1528">
            <v>49473.832329999997</v>
          </cell>
          <cell r="H1528">
            <v>50490.20134</v>
          </cell>
          <cell r="I1528">
            <v>51557.117400000003</v>
          </cell>
          <cell r="J1528">
            <v>52695.806900000003</v>
          </cell>
          <cell r="K1528">
            <v>53906.270450000004</v>
          </cell>
          <cell r="L1528">
            <v>55178.891779999998</v>
          </cell>
          <cell r="M1528">
            <v>56465.629249999998</v>
          </cell>
          <cell r="N1528">
            <v>57733.11694</v>
          </cell>
          <cell r="O1528">
            <v>58952.927459999999</v>
          </cell>
          <cell r="P1528">
            <v>60033.063419999999</v>
          </cell>
          <cell r="Q1528">
            <v>60883.254910000003</v>
          </cell>
          <cell r="R1528">
            <v>61639.203690000002</v>
          </cell>
          <cell r="S1528">
            <v>62327.353909999998</v>
          </cell>
          <cell r="T1528">
            <v>62974.259570000002</v>
          </cell>
          <cell r="U1528">
            <v>63605.41635</v>
          </cell>
          <cell r="V1528">
            <v>64237.067389999997</v>
          </cell>
          <cell r="W1528">
            <v>64894.476159999998</v>
          </cell>
          <cell r="X1528">
            <v>65601.336129999996</v>
          </cell>
          <cell r="Y1528">
            <v>66372.211209999994</v>
          </cell>
          <cell r="Z1528">
            <v>67213.668009999994</v>
          </cell>
          <cell r="AA1528">
            <v>68162.714989999993</v>
          </cell>
          <cell r="AB1528">
            <v>69235.546830000007</v>
          </cell>
          <cell r="AC1528">
            <v>70436.816449999998</v>
          </cell>
          <cell r="AD1528">
            <v>71762.407959999997</v>
          </cell>
          <cell r="AE1528">
            <v>73188.85411</v>
          </cell>
          <cell r="AF1528">
            <v>74717.893110000005</v>
          </cell>
          <cell r="AG1528">
            <v>76370.121320000006</v>
          </cell>
          <cell r="AH1528">
            <v>78150.691229999997</v>
          </cell>
          <cell r="AI1528">
            <v>80040.245410000003</v>
          </cell>
          <cell r="AJ1528">
            <v>82012.099610000005</v>
          </cell>
          <cell r="AK1528">
            <v>84053.454509999996</v>
          </cell>
          <cell r="AL1528">
            <v>86150.026209999996</v>
          </cell>
          <cell r="AM1528">
            <v>88284.662559999997</v>
          </cell>
          <cell r="AN1528">
            <v>90439.670400000003</v>
          </cell>
          <cell r="AO1528">
            <v>92597.294909999997</v>
          </cell>
        </row>
        <row r="1533">
          <cell r="F1533">
            <v>1511265.9569999999</v>
          </cell>
          <cell r="G1533">
            <v>1537211.689</v>
          </cell>
          <cell r="H1533">
            <v>1566217.4650000001</v>
          </cell>
          <cell r="I1533">
            <v>1598012.8859999999</v>
          </cell>
          <cell r="J1533">
            <v>1631872.57</v>
          </cell>
          <cell r="K1533">
            <v>1667566.588</v>
          </cell>
          <cell r="L1533">
            <v>1704845.25</v>
          </cell>
          <cell r="M1533">
            <v>1743879.46</v>
          </cell>
          <cell r="N1533">
            <v>1784508.219</v>
          </cell>
          <cell r="O1533">
            <v>1826759.172</v>
          </cell>
          <cell r="P1533">
            <v>1869942.932</v>
          </cell>
          <cell r="Q1533">
            <v>1908583.993</v>
          </cell>
          <cell r="R1533">
            <v>1943913.8089999999</v>
          </cell>
          <cell r="S1533">
            <v>1976404.2679999999</v>
          </cell>
          <cell r="T1533">
            <v>2006696.496</v>
          </cell>
          <cell r="U1533">
            <v>2035568.922</v>
          </cell>
          <cell r="V1533">
            <v>2064022.0379999999</v>
          </cell>
          <cell r="W1533">
            <v>2092903.821</v>
          </cell>
          <cell r="X1533">
            <v>2122986.9169999999</v>
          </cell>
          <cell r="Y1533">
            <v>2154826.406</v>
          </cell>
          <cell r="Z1533">
            <v>2188629.3420000002</v>
          </cell>
          <cell r="AA1533">
            <v>2224977.4980000001</v>
          </cell>
          <cell r="AB1533">
            <v>2264336.6409999998</v>
          </cell>
          <cell r="AC1533">
            <v>2307004.3590000002</v>
          </cell>
          <cell r="AD1533">
            <v>2353083.3360000001</v>
          </cell>
          <cell r="AE1533">
            <v>2401890.642</v>
          </cell>
          <cell r="AF1533">
            <v>2452842.9750000001</v>
          </cell>
          <cell r="AG1533">
            <v>2506565.6949999998</v>
          </cell>
          <cell r="AH1533">
            <v>2563484.85</v>
          </cell>
          <cell r="AI1533">
            <v>2623499.6260000002</v>
          </cell>
          <cell r="AJ1533">
            <v>2686200.1860000002</v>
          </cell>
          <cell r="AK1533">
            <v>2751029.2110000001</v>
          </cell>
          <cell r="AL1533">
            <v>2817638.358</v>
          </cell>
          <cell r="AM1533">
            <v>2885613.537</v>
          </cell>
          <cell r="AN1533">
            <v>2954512.662</v>
          </cell>
          <cell r="AO1533">
            <v>3023875.3790000002</v>
          </cell>
        </row>
        <row r="1537">
          <cell r="F1537">
            <v>-2125.2218480000001</v>
          </cell>
          <cell r="G1537">
            <v>-2143.619976</v>
          </cell>
          <cell r="H1537">
            <v>-2160.8728729999998</v>
          </cell>
          <cell r="I1537">
            <v>-2178.5219579999998</v>
          </cell>
          <cell r="J1537">
            <v>-2196.1836579999999</v>
          </cell>
          <cell r="K1537">
            <v>-2222.8973369999999</v>
          </cell>
          <cell r="L1537">
            <v>-2257.379218</v>
          </cell>
          <cell r="M1537">
            <v>-2303.5124930000002</v>
          </cell>
          <cell r="N1537">
            <v>-2347.8733470000002</v>
          </cell>
          <cell r="O1537">
            <v>-2386.5842640000001</v>
          </cell>
          <cell r="P1537">
            <v>-2418.7008900000001</v>
          </cell>
          <cell r="Q1537">
            <v>-2436.8243000000002</v>
          </cell>
          <cell r="R1537">
            <v>-2453.468179</v>
          </cell>
          <cell r="S1537">
            <v>-2470.9088999999999</v>
          </cell>
          <cell r="T1537">
            <v>-2489.195862</v>
          </cell>
          <cell r="U1537">
            <v>-2508.1910889999999</v>
          </cell>
          <cell r="V1537">
            <v>-2528.5408859999998</v>
          </cell>
          <cell r="W1537">
            <v>-2547.804991</v>
          </cell>
          <cell r="X1537">
            <v>-2567.8316380000001</v>
          </cell>
          <cell r="Y1537">
            <v>-2589.5364</v>
          </cell>
          <cell r="Z1537">
            <v>-2613.3997720000002</v>
          </cell>
          <cell r="AA1537">
            <v>-2638.9945229999998</v>
          </cell>
          <cell r="AB1537">
            <v>-2668.7790249999998</v>
          </cell>
          <cell r="AC1537">
            <v>-2703.3925340000001</v>
          </cell>
          <cell r="AD1537">
            <v>-2743.0002850000001</v>
          </cell>
          <cell r="AE1537">
            <v>-2787.5451589999998</v>
          </cell>
          <cell r="AF1537">
            <v>-2838.3783760000001</v>
          </cell>
          <cell r="AG1537">
            <v>-2884.6495140000002</v>
          </cell>
          <cell r="AH1537">
            <v>-2931.4602030000001</v>
          </cell>
          <cell r="AI1537">
            <v>-2982.3016889999999</v>
          </cell>
          <cell r="AJ1537">
            <v>-3037.4943010000002</v>
          </cell>
          <cell r="AK1537">
            <v>-3095.6329000000001</v>
          </cell>
          <cell r="AL1537">
            <v>-3156.3128350000002</v>
          </cell>
          <cell r="AM1537">
            <v>-3218.699079</v>
          </cell>
          <cell r="AN1537">
            <v>-3281.9863150000001</v>
          </cell>
          <cell r="AO1537">
            <v>-3345.4221299999999</v>
          </cell>
        </row>
        <row r="1541">
          <cell r="F1541">
            <v>40646.55257</v>
          </cell>
          <cell r="G1541">
            <v>41245.83466</v>
          </cell>
          <cell r="H1541">
            <v>41803.155270000003</v>
          </cell>
          <cell r="I1541">
            <v>42409.779569999999</v>
          </cell>
          <cell r="J1541">
            <v>42958.84964</v>
          </cell>
          <cell r="K1541">
            <v>43523.718930000003</v>
          </cell>
          <cell r="L1541">
            <v>43481.390140000003</v>
          </cell>
          <cell r="M1541">
            <v>43378.205020000001</v>
          </cell>
          <cell r="N1541">
            <v>43246.959560000003</v>
          </cell>
          <cell r="O1541">
            <v>43084.287450000003</v>
          </cell>
          <cell r="P1541">
            <v>42855.475200000001</v>
          </cell>
          <cell r="Q1541">
            <v>42389.338250000001</v>
          </cell>
          <cell r="R1541">
            <v>41753.035510000002</v>
          </cell>
          <cell r="S1541">
            <v>40963.793160000001</v>
          </cell>
          <cell r="T1541">
            <v>40046.292829999999</v>
          </cell>
          <cell r="U1541">
            <v>39016.941639999997</v>
          </cell>
          <cell r="V1541">
            <v>37841.064189999997</v>
          </cell>
          <cell r="W1541">
            <v>36535.008779999996</v>
          </cell>
          <cell r="X1541">
            <v>35115.64817</v>
          </cell>
          <cell r="Y1541">
            <v>33586.224159999998</v>
          </cell>
          <cell r="Z1541">
            <v>31935.459859999999</v>
          </cell>
          <cell r="AA1541">
            <v>30146.85427</v>
          </cell>
          <cell r="AB1541">
            <v>28223.778900000001</v>
          </cell>
          <cell r="AC1541">
            <v>26140.208600000002</v>
          </cell>
          <cell r="AD1541">
            <v>23853.941080000001</v>
          </cell>
          <cell r="AE1541">
            <v>21298.12196</v>
          </cell>
          <cell r="AF1541">
            <v>20835.500260000001</v>
          </cell>
          <cell r="AG1541">
            <v>21156.098300000001</v>
          </cell>
          <cell r="AH1541">
            <v>21687.92496</v>
          </cell>
          <cell r="AI1541">
            <v>22251.803660000001</v>
          </cell>
          <cell r="AJ1541">
            <v>22802.079689999999</v>
          </cell>
          <cell r="AK1541">
            <v>23329.889800000001</v>
          </cell>
          <cell r="AL1541">
            <v>23848.885900000001</v>
          </cell>
          <cell r="AM1541">
            <v>24363.53298</v>
          </cell>
          <cell r="AN1541">
            <v>24874.650570000002</v>
          </cell>
          <cell r="AO1541">
            <v>25381.227269999999</v>
          </cell>
        </row>
        <row r="1551">
          <cell r="F1551">
            <v>1966068.3489999999</v>
          </cell>
          <cell r="G1551">
            <v>2002113.8959999999</v>
          </cell>
          <cell r="H1551">
            <v>2041560.58</v>
          </cell>
          <cell r="I1551">
            <v>2084531.6980000001</v>
          </cell>
          <cell r="J1551">
            <v>2130170.0109999999</v>
          </cell>
          <cell r="K1551">
            <v>2178253.8849999998</v>
          </cell>
          <cell r="L1551">
            <v>2227940.7039999999</v>
          </cell>
          <cell r="M1551">
            <v>2279299.7510000002</v>
          </cell>
          <cell r="N1551">
            <v>2332228.8730000001</v>
          </cell>
          <cell r="O1551">
            <v>2386630.77</v>
          </cell>
          <cell r="P1551">
            <v>2441112.33</v>
          </cell>
          <cell r="Q1551">
            <v>2489931.5249999999</v>
          </cell>
          <cell r="R1551">
            <v>2534665.9580000001</v>
          </cell>
          <cell r="S1551">
            <v>2576105.9980000001</v>
          </cell>
          <cell r="T1551">
            <v>2615353.193</v>
          </cell>
          <cell r="U1551">
            <v>2653516.074</v>
          </cell>
          <cell r="V1551">
            <v>2691700.5079999999</v>
          </cell>
          <cell r="W1551">
            <v>2731039.5129999998</v>
          </cell>
          <cell r="X1551">
            <v>2772494.122</v>
          </cell>
          <cell r="Y1551">
            <v>2816711.1719999998</v>
          </cell>
          <cell r="Z1551">
            <v>2863934.5389999999</v>
          </cell>
          <cell r="AA1551">
            <v>2915094.4709999999</v>
          </cell>
          <cell r="AB1551">
            <v>2970666.585</v>
          </cell>
          <cell r="AC1551">
            <v>3030949.96</v>
          </cell>
          <cell r="AD1551">
            <v>3095945.423</v>
          </cell>
          <cell r="AE1551">
            <v>3164680.9920000001</v>
          </cell>
          <cell r="AF1551">
            <v>3238593.449</v>
          </cell>
          <cell r="AG1551">
            <v>3317197.1970000002</v>
          </cell>
          <cell r="AH1551">
            <v>3400398.591</v>
          </cell>
          <cell r="AI1551">
            <v>3487685.6140000001</v>
          </cell>
          <cell r="AJ1551">
            <v>3578290.9989999998</v>
          </cell>
          <cell r="AK1551">
            <v>3671526.7450000001</v>
          </cell>
          <cell r="AL1551">
            <v>3766805.9739999999</v>
          </cell>
          <cell r="AM1551">
            <v>3863536.02</v>
          </cell>
          <cell r="AN1551">
            <v>3961101.17</v>
          </cell>
          <cell r="AO1551">
            <v>4058858.966</v>
          </cell>
        </row>
        <row r="1552">
          <cell r="F1552">
            <v>36093.471129999998</v>
          </cell>
          <cell r="G1552">
            <v>36605.857519999998</v>
          </cell>
          <cell r="H1552">
            <v>37205.437850000002</v>
          </cell>
          <cell r="I1552">
            <v>37892.887710000003</v>
          </cell>
          <cell r="J1552">
            <v>38666.860990000001</v>
          </cell>
          <cell r="K1552">
            <v>39511.717299999997</v>
          </cell>
          <cell r="L1552">
            <v>40435.124880000003</v>
          </cell>
          <cell r="M1552">
            <v>41408.415560000001</v>
          </cell>
          <cell r="N1552">
            <v>42422.021589999997</v>
          </cell>
          <cell r="O1552">
            <v>43470.757239999999</v>
          </cell>
          <cell r="P1552">
            <v>44521.314709999999</v>
          </cell>
          <cell r="Q1552">
            <v>45426.11578</v>
          </cell>
          <cell r="R1552">
            <v>46236.709210000001</v>
          </cell>
          <cell r="S1552">
            <v>46973.996099999997</v>
          </cell>
          <cell r="T1552">
            <v>47663.260139999999</v>
          </cell>
          <cell r="U1552">
            <v>48329.531080000001</v>
          </cell>
          <cell r="V1552">
            <v>49015.541039999996</v>
          </cell>
          <cell r="W1552">
            <v>49732.547740000002</v>
          </cell>
          <cell r="X1552">
            <v>50500.202409999998</v>
          </cell>
          <cell r="Y1552">
            <v>51332.684739999997</v>
          </cell>
          <cell r="Z1552">
            <v>52234.279949999996</v>
          </cell>
          <cell r="AA1552">
            <v>53229.982000000004</v>
          </cell>
          <cell r="AB1552">
            <v>54330.77665</v>
          </cell>
          <cell r="AC1552">
            <v>55544.342470000003</v>
          </cell>
          <cell r="AD1552">
            <v>56872.088580000003</v>
          </cell>
          <cell r="AE1552">
            <v>58289.93679</v>
          </cell>
          <cell r="AF1552">
            <v>59685.207589999998</v>
          </cell>
          <cell r="AG1552">
            <v>61150.320910000002</v>
          </cell>
          <cell r="AH1552">
            <v>62714.947919999999</v>
          </cell>
          <cell r="AI1552">
            <v>64373.163959999998</v>
          </cell>
          <cell r="AJ1552">
            <v>66106.437130000006</v>
          </cell>
          <cell r="AK1552">
            <v>67897.272429999997</v>
          </cell>
          <cell r="AL1552">
            <v>69730.711569999999</v>
          </cell>
          <cell r="AM1552">
            <v>71591.888810000004</v>
          </cell>
          <cell r="AN1552">
            <v>73465.751480000006</v>
          </cell>
          <cell r="AO1552">
            <v>75336.994200000001</v>
          </cell>
        </row>
        <row r="1555">
          <cell r="F1555">
            <v>331632.60869999998</v>
          </cell>
          <cell r="G1555">
            <v>339630.46230000001</v>
          </cell>
          <cell r="H1555">
            <v>347911.86349999998</v>
          </cell>
          <cell r="I1555">
            <v>356741.3162</v>
          </cell>
          <cell r="J1555">
            <v>366071.1</v>
          </cell>
          <cell r="K1555">
            <v>375862.77539999998</v>
          </cell>
          <cell r="L1555">
            <v>386131.63900000002</v>
          </cell>
          <cell r="M1555">
            <v>396846.49619999999</v>
          </cell>
          <cell r="N1555">
            <v>407991.96120000002</v>
          </cell>
          <cell r="O1555">
            <v>419568.33620000002</v>
          </cell>
          <cell r="P1555">
            <v>431137.64919999999</v>
          </cell>
          <cell r="Q1555">
            <v>441176.12660000002</v>
          </cell>
          <cell r="R1555">
            <v>450480.55930000002</v>
          </cell>
          <cell r="S1555">
            <v>459325.23499999999</v>
          </cell>
          <cell r="T1555">
            <v>468017.8308</v>
          </cell>
          <cell r="U1555">
            <v>476817.0085</v>
          </cell>
          <cell r="V1555">
            <v>485961.78330000001</v>
          </cell>
          <cell r="W1555">
            <v>495672.26610000001</v>
          </cell>
          <cell r="X1555">
            <v>506119.26650000003</v>
          </cell>
          <cell r="Y1555">
            <v>517397.5085</v>
          </cell>
          <cell r="Z1555">
            <v>529558.43180000002</v>
          </cell>
          <cell r="AA1555">
            <v>542741.76000000001</v>
          </cell>
          <cell r="AB1555">
            <v>557057.47580000001</v>
          </cell>
          <cell r="AC1555">
            <v>572562.83319999999</v>
          </cell>
          <cell r="AD1555">
            <v>589244.21100000001</v>
          </cell>
          <cell r="AE1555">
            <v>606966.92139999999</v>
          </cell>
          <cell r="AF1555">
            <v>625301.94810000004</v>
          </cell>
          <cell r="AG1555">
            <v>644408.94739999995</v>
          </cell>
          <cell r="AH1555">
            <v>664395.20680000004</v>
          </cell>
          <cell r="AI1555">
            <v>685151.08349999995</v>
          </cell>
          <cell r="AJ1555">
            <v>706495.40350000001</v>
          </cell>
          <cell r="AK1555">
            <v>728290.41449999996</v>
          </cell>
          <cell r="AL1555">
            <v>750435.49670000002</v>
          </cell>
          <cell r="AM1555">
            <v>772829.39780000004</v>
          </cell>
          <cell r="AN1555">
            <v>795366.20700000005</v>
          </cell>
          <cell r="AO1555">
            <v>817933.52350000001</v>
          </cell>
        </row>
        <row r="1567">
          <cell r="F1567">
            <v>48465.39256</v>
          </cell>
          <cell r="G1567">
            <v>49473.832329999997</v>
          </cell>
          <cell r="H1567">
            <v>50490.20134</v>
          </cell>
          <cell r="I1567">
            <v>51557.117400000003</v>
          </cell>
          <cell r="J1567">
            <v>52695.806900000003</v>
          </cell>
          <cell r="K1567">
            <v>53906.270450000004</v>
          </cell>
          <cell r="L1567">
            <v>55178.891779999998</v>
          </cell>
          <cell r="M1567">
            <v>56503.335780000001</v>
          </cell>
          <cell r="N1567">
            <v>57872.122920000002</v>
          </cell>
          <cell r="O1567">
            <v>59280.104930000001</v>
          </cell>
          <cell r="P1567">
            <v>60666.949840000001</v>
          </cell>
          <cell r="Q1567">
            <v>61824.086920000002</v>
          </cell>
          <cell r="R1567">
            <v>62849.845809999999</v>
          </cell>
          <cell r="S1567">
            <v>63776.989500000003</v>
          </cell>
          <cell r="T1567">
            <v>64645.54146</v>
          </cell>
          <cell r="U1567">
            <v>65492.098319999997</v>
          </cell>
          <cell r="V1567">
            <v>66351.670549999995</v>
          </cell>
          <cell r="W1567">
            <v>67257.910059999995</v>
          </cell>
          <cell r="X1567">
            <v>68238.086790000001</v>
          </cell>
          <cell r="Y1567">
            <v>69309.010609999998</v>
          </cell>
          <cell r="Z1567">
            <v>70479.367679999996</v>
          </cell>
          <cell r="AA1567">
            <v>71773.519990000001</v>
          </cell>
          <cell r="AB1567">
            <v>73206.408450000003</v>
          </cell>
          <cell r="AC1567">
            <v>74785.518609999999</v>
          </cell>
          <cell r="AD1567">
            <v>76508.530719999995</v>
          </cell>
          <cell r="AE1567">
            <v>78351.812590000001</v>
          </cell>
          <cell r="AF1567">
            <v>80310.22739</v>
          </cell>
          <cell r="AG1567">
            <v>82403.177389999997</v>
          </cell>
          <cell r="AH1567">
            <v>84635.902319999994</v>
          </cell>
          <cell r="AI1567">
            <v>86986.449919999999</v>
          </cell>
          <cell r="AJ1567">
            <v>89424.623290000003</v>
          </cell>
          <cell r="AK1567">
            <v>91926.519279999993</v>
          </cell>
          <cell r="AL1567">
            <v>94473.548039999994</v>
          </cell>
          <cell r="AM1567">
            <v>97047.493839999996</v>
          </cell>
          <cell r="AN1567">
            <v>99630.028330000001</v>
          </cell>
          <cell r="AO1567">
            <v>102202.6024</v>
          </cell>
        </row>
        <row r="1572">
          <cell r="F1572">
            <v>1511265.9569999999</v>
          </cell>
          <cell r="G1572">
            <v>1537211.689</v>
          </cell>
          <cell r="H1572">
            <v>1566217.4650000001</v>
          </cell>
          <cell r="I1572">
            <v>1598012.8859999999</v>
          </cell>
          <cell r="J1572">
            <v>1631872.57</v>
          </cell>
          <cell r="K1572">
            <v>1667566.588</v>
          </cell>
          <cell r="L1572">
            <v>1704845.25</v>
          </cell>
          <cell r="M1572">
            <v>1743446.87</v>
          </cell>
          <cell r="N1572">
            <v>1783200.5859999999</v>
          </cell>
          <cell r="O1572">
            <v>1823999.75</v>
          </cell>
          <cell r="P1572">
            <v>1865006.8049999999</v>
          </cell>
          <cell r="Q1572">
            <v>1902186.054</v>
          </cell>
          <cell r="R1572">
            <v>1936310.4669999999</v>
          </cell>
          <cell r="S1572">
            <v>1967899.4310000001</v>
          </cell>
          <cell r="T1572">
            <v>1997680.6059999999</v>
          </cell>
          <cell r="U1572">
            <v>2026430.175</v>
          </cell>
          <cell r="V1572">
            <v>2054980.5349999999</v>
          </cell>
          <cell r="W1572">
            <v>2084160.5020000001</v>
          </cell>
          <cell r="X1572">
            <v>2114692.1540000001</v>
          </cell>
          <cell r="Y1572">
            <v>2147093.7519999999</v>
          </cell>
          <cell r="Z1572">
            <v>2181558.798</v>
          </cell>
          <cell r="AA1572">
            <v>2218834.1409999998</v>
          </cell>
          <cell r="AB1572">
            <v>2259288.2489999998</v>
          </cell>
          <cell r="AC1572">
            <v>2303186.1460000002</v>
          </cell>
          <cell r="AD1572">
            <v>2350592.932</v>
          </cell>
          <cell r="AE1572">
            <v>2400794.0249999999</v>
          </cell>
          <cell r="AF1572">
            <v>2453388.267</v>
          </cell>
          <cell r="AG1572">
            <v>2508904.6800000002</v>
          </cell>
          <cell r="AH1572">
            <v>2567686.1680000001</v>
          </cell>
          <cell r="AI1572">
            <v>2629544.91</v>
          </cell>
          <cell r="AJ1572">
            <v>2693993.0189999999</v>
          </cell>
          <cell r="AK1572">
            <v>2760528.4849999999</v>
          </cell>
          <cell r="AL1572">
            <v>2828695.16</v>
          </cell>
          <cell r="AM1572">
            <v>2898031.18</v>
          </cell>
          <cell r="AN1572">
            <v>2968058.2689999999</v>
          </cell>
          <cell r="AO1572">
            <v>3038280.216</v>
          </cell>
        </row>
        <row r="1575">
          <cell r="F1575">
            <v>-2035.6335240000001</v>
          </cell>
          <cell r="G1575">
            <v>-2053.7800029999999</v>
          </cell>
          <cell r="H1575">
            <v>-2067.542285</v>
          </cell>
          <cell r="I1575">
            <v>-2082.2889169999999</v>
          </cell>
          <cell r="J1575">
            <v>-2095.1765230000001</v>
          </cell>
          <cell r="K1575">
            <v>-2117.1850599999998</v>
          </cell>
          <cell r="L1575">
            <v>-2131.5914039999998</v>
          </cell>
          <cell r="M1575">
            <v>-2151.5995269999999</v>
          </cell>
          <cell r="N1575">
            <v>-2175.0266280000001</v>
          </cell>
          <cell r="O1575">
            <v>-2199.762835</v>
          </cell>
          <cell r="P1575">
            <v>-2225.4780219999998</v>
          </cell>
          <cell r="Q1575">
            <v>-2268.5583459999998</v>
          </cell>
          <cell r="R1575">
            <v>-2305.3638740000001</v>
          </cell>
          <cell r="S1575">
            <v>-2334.5398989999999</v>
          </cell>
          <cell r="T1575">
            <v>-2357.7083560000001</v>
          </cell>
          <cell r="U1575">
            <v>-2376.7229240000001</v>
          </cell>
          <cell r="V1575">
            <v>-2393.4410590000002</v>
          </cell>
          <cell r="W1575">
            <v>-2407.713013</v>
          </cell>
          <cell r="X1575">
            <v>-2422.3664960000001</v>
          </cell>
          <cell r="Y1575">
            <v>-2438.509622</v>
          </cell>
          <cell r="Z1575">
            <v>-2456.626393</v>
          </cell>
          <cell r="AA1575">
            <v>-2476.4140819999998</v>
          </cell>
          <cell r="AB1575">
            <v>-2498.3877600000001</v>
          </cell>
          <cell r="AC1575">
            <v>-2523.020309</v>
          </cell>
          <cell r="AD1575">
            <v>-2550.5880769999999</v>
          </cell>
          <cell r="AE1575">
            <v>-2581.3828469999999</v>
          </cell>
          <cell r="AF1575">
            <v>-2635.480309</v>
          </cell>
          <cell r="AG1575">
            <v>-2690.2115549999999</v>
          </cell>
          <cell r="AH1575">
            <v>-2745.7807469999998</v>
          </cell>
          <cell r="AI1575">
            <v>-2805.1049929999999</v>
          </cell>
          <cell r="AJ1575">
            <v>-2868.913548</v>
          </cell>
          <cell r="AK1575">
            <v>-2936.431619</v>
          </cell>
          <cell r="AL1575">
            <v>-3006.6673599999999</v>
          </cell>
          <cell r="AM1575">
            <v>-3078.8785309999998</v>
          </cell>
          <cell r="AN1575">
            <v>-3152.4311130000001</v>
          </cell>
          <cell r="AO1575">
            <v>-3226.708122</v>
          </cell>
        </row>
        <row r="1580">
          <cell r="F1580">
            <v>40646.55257</v>
          </cell>
          <cell r="G1580">
            <v>41245.83466</v>
          </cell>
          <cell r="H1580">
            <v>41803.155270000003</v>
          </cell>
          <cell r="I1580">
            <v>42409.779569999999</v>
          </cell>
          <cell r="J1580">
            <v>42958.84964</v>
          </cell>
          <cell r="K1580">
            <v>43523.718930000003</v>
          </cell>
          <cell r="L1580">
            <v>43481.390140000003</v>
          </cell>
          <cell r="M1580">
            <v>43246.232960000001</v>
          </cell>
          <cell r="N1580">
            <v>42917.207979999999</v>
          </cell>
          <cell r="O1580">
            <v>42511.5844</v>
          </cell>
          <cell r="P1580">
            <v>42005.088810000001</v>
          </cell>
          <cell r="Q1580">
            <v>41587.700510000002</v>
          </cell>
          <cell r="R1580">
            <v>41093.7408</v>
          </cell>
          <cell r="S1580">
            <v>40464.886740000002</v>
          </cell>
          <cell r="T1580">
            <v>39703.663119999997</v>
          </cell>
          <cell r="U1580">
            <v>38823.98358</v>
          </cell>
          <cell r="V1580">
            <v>37784.418729999998</v>
          </cell>
          <cell r="W1580">
            <v>36624.00056</v>
          </cell>
          <cell r="X1580">
            <v>35366.778160000002</v>
          </cell>
          <cell r="Y1580">
            <v>34016.726179999998</v>
          </cell>
          <cell r="Z1580">
            <v>32560.288420000001</v>
          </cell>
          <cell r="AA1580">
            <v>30991.482049999999</v>
          </cell>
          <cell r="AB1580">
            <v>29282.063010000002</v>
          </cell>
          <cell r="AC1580">
            <v>27394.139780000001</v>
          </cell>
          <cell r="AD1580">
            <v>25278.24898</v>
          </cell>
          <cell r="AE1580">
            <v>22859.67899</v>
          </cell>
          <cell r="AF1580">
            <v>22543.279210000001</v>
          </cell>
          <cell r="AG1580">
            <v>23020.283530000001</v>
          </cell>
          <cell r="AH1580">
            <v>23712.14704</v>
          </cell>
          <cell r="AI1580">
            <v>24435.111560000001</v>
          </cell>
          <cell r="AJ1580">
            <v>25140.42972</v>
          </cell>
          <cell r="AK1580">
            <v>25820.48576</v>
          </cell>
          <cell r="AL1580">
            <v>26477.725330000001</v>
          </cell>
          <cell r="AM1580">
            <v>27114.937709999998</v>
          </cell>
          <cell r="AN1580">
            <v>27733.34561</v>
          </cell>
          <cell r="AO1580">
            <v>28332.338100000001</v>
          </cell>
        </row>
        <row r="1760">
          <cell r="F1760">
            <v>1.0018776700000001</v>
          </cell>
          <cell r="G1760">
            <v>1.0211941339999999</v>
          </cell>
          <cell r="H1760">
            <v>1.0411036899999999</v>
          </cell>
          <cell r="I1760">
            <v>1.062712782</v>
          </cell>
          <cell r="J1760">
            <v>1.083479646</v>
          </cell>
          <cell r="K1760">
            <v>1.1049654170000001</v>
          </cell>
          <cell r="L1760">
            <v>1.1273623909999999</v>
          </cell>
          <cell r="M1760">
            <v>1.1537561030000001</v>
          </cell>
          <cell r="N1760">
            <v>1.183316279</v>
          </cell>
          <cell r="O1760">
            <v>1.2168511289999999</v>
          </cell>
          <cell r="P1760">
            <v>1.255356994</v>
          </cell>
          <cell r="Q1760">
            <v>1.2886198790000001</v>
          </cell>
          <cell r="R1760">
            <v>1.3210637789999999</v>
          </cell>
          <cell r="S1760">
            <v>1.352307514</v>
          </cell>
          <cell r="T1760">
            <v>1.3820396239999999</v>
          </cell>
          <cell r="U1760">
            <v>1.4100321929999999</v>
          </cell>
          <cell r="V1760">
            <v>1.436895263</v>
          </cell>
          <cell r="W1760">
            <v>1.4621351440000001</v>
          </cell>
          <cell r="X1760">
            <v>1.4859218169999999</v>
          </cell>
          <cell r="Y1760">
            <v>1.50858388</v>
          </cell>
          <cell r="Z1760">
            <v>1.5306341290000001</v>
          </cell>
          <cell r="AA1760">
            <v>1.551358628</v>
          </cell>
          <cell r="AB1760">
            <v>1.571897476</v>
          </cell>
          <cell r="AC1760">
            <v>1.592815774</v>
          </cell>
          <cell r="AD1760">
            <v>1.614721625</v>
          </cell>
          <cell r="AE1760">
            <v>1.6384145880000001</v>
          </cell>
          <cell r="AF1760">
            <v>1.663130006</v>
          </cell>
          <cell r="AG1760">
            <v>1.6898312520000001</v>
          </cell>
          <cell r="AH1760">
            <v>1.7188910509999999</v>
          </cell>
          <cell r="AI1760">
            <v>1.750496879</v>
          </cell>
          <cell r="AJ1760">
            <v>1.7847761959999999</v>
          </cell>
          <cell r="AK1760">
            <v>1.8212441029999999</v>
          </cell>
          <cell r="AL1760">
            <v>1.8601991550000001</v>
          </cell>
          <cell r="AM1760">
            <v>1.9015649670000001</v>
          </cell>
          <cell r="AN1760">
            <v>1.945183683</v>
          </cell>
          <cell r="AO1760">
            <v>1.9908266080000001</v>
          </cell>
        </row>
        <row r="1789">
          <cell r="F1789">
            <v>1.0018776700000001</v>
          </cell>
          <cell r="G1789">
            <v>1.0211941339999999</v>
          </cell>
          <cell r="H1789">
            <v>1.0411036899999999</v>
          </cell>
          <cell r="I1789">
            <v>1.062712782</v>
          </cell>
          <cell r="J1789">
            <v>1.083479646</v>
          </cell>
          <cell r="K1789">
            <v>1.1049654170000001</v>
          </cell>
          <cell r="L1789">
            <v>1.1273623909999999</v>
          </cell>
          <cell r="M1789">
            <v>1.1507097770000001</v>
          </cell>
          <cell r="N1789">
            <v>1.1749666240000001</v>
          </cell>
          <cell r="O1789">
            <v>1.200081927</v>
          </cell>
          <cell r="P1789">
            <v>1.2257769810000001</v>
          </cell>
          <cell r="Q1789">
            <v>1.251279571</v>
          </cell>
          <cell r="R1789">
            <v>1.275867555</v>
          </cell>
          <cell r="S1789">
            <v>1.298991985</v>
          </cell>
          <cell r="T1789">
            <v>1.320368897</v>
          </cell>
          <cell r="U1789">
            <v>1.3398868070000001</v>
          </cell>
          <cell r="V1789">
            <v>1.3574882260000001</v>
          </cell>
          <cell r="W1789">
            <v>1.373229348</v>
          </cell>
          <cell r="X1789">
            <v>1.387353429</v>
          </cell>
          <cell r="Y1789">
            <v>1.400211788</v>
          </cell>
          <cell r="Z1789">
            <v>1.4123015160000001</v>
          </cell>
          <cell r="AA1789">
            <v>1.4240191019999999</v>
          </cell>
          <cell r="AB1789">
            <v>1.4358351069999999</v>
          </cell>
          <cell r="AC1789">
            <v>1.448261904</v>
          </cell>
          <cell r="AD1789">
            <v>1.46186729</v>
          </cell>
          <cell r="AE1789">
            <v>1.4773880370000001</v>
          </cell>
          <cell r="AF1789">
            <v>1.494991695</v>
          </cell>
          <cell r="AG1789">
            <v>1.5149604569999999</v>
          </cell>
          <cell r="AH1789">
            <v>1.5375736170000001</v>
          </cell>
          <cell r="AI1789">
            <v>1.5629553970000001</v>
          </cell>
          <cell r="AJ1789">
            <v>1.5911721379999999</v>
          </cell>
          <cell r="AK1789">
            <v>1.622205873</v>
          </cell>
          <cell r="AL1789">
            <v>1.6559659769999999</v>
          </cell>
          <cell r="AM1789">
            <v>1.6922964199999999</v>
          </cell>
          <cell r="AN1789">
            <v>1.7309757050000001</v>
          </cell>
          <cell r="AO1789">
            <v>1.771719525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27"/>
  <sheetViews>
    <sheetView workbookViewId="0">
      <pane xSplit="2" ySplit="3" topLeftCell="C119" activePane="bottomRight" state="frozen"/>
      <selection pane="topRight" activeCell="C1" sqref="C1"/>
      <selection pane="bottomLeft" activeCell="A4" sqref="A4"/>
      <selection pane="bottomRight" activeCell="C122" sqref="C122"/>
    </sheetView>
  </sheetViews>
  <sheetFormatPr baseColWidth="10" defaultRowHeight="14.5" x14ac:dyDescent="0.35"/>
  <cols>
    <col min="1" max="1" width="26.90625" customWidth="1"/>
    <col min="2" max="2" width="43.08984375" customWidth="1"/>
    <col min="3" max="26" width="11.1796875" bestFit="1" customWidth="1"/>
    <col min="27" max="36" width="11.81640625" bestFit="1" customWidth="1"/>
    <col min="37" max="38" width="12.81640625" bestFit="1" customWidth="1"/>
  </cols>
  <sheetData>
    <row r="1" spans="1:38" x14ac:dyDescent="0.35">
      <c r="A1" t="s">
        <v>5</v>
      </c>
      <c r="B1" t="s">
        <v>6</v>
      </c>
    </row>
    <row r="3" spans="1:38" x14ac:dyDescent="0.35">
      <c r="B3" t="s">
        <v>0</v>
      </c>
      <c r="C3" s="2">
        <v>42005</v>
      </c>
      <c r="D3" s="2">
        <v>42370</v>
      </c>
      <c r="E3" s="2">
        <v>42736</v>
      </c>
      <c r="F3" s="2">
        <v>43101</v>
      </c>
      <c r="G3" s="2">
        <v>43466</v>
      </c>
      <c r="H3" s="2">
        <v>43831</v>
      </c>
      <c r="I3" s="2">
        <v>44197</v>
      </c>
      <c r="J3" s="2">
        <v>44562</v>
      </c>
      <c r="K3" s="2">
        <v>44927</v>
      </c>
      <c r="L3" s="2">
        <v>45292</v>
      </c>
      <c r="M3" s="2">
        <v>45658</v>
      </c>
      <c r="N3" s="2">
        <v>46023</v>
      </c>
      <c r="O3" s="2">
        <v>46388</v>
      </c>
      <c r="P3" s="2">
        <v>46753</v>
      </c>
      <c r="Q3" s="2">
        <v>47119</v>
      </c>
      <c r="R3" s="2">
        <v>47484</v>
      </c>
      <c r="S3" s="2">
        <v>47849</v>
      </c>
      <c r="T3" s="2">
        <v>48214</v>
      </c>
      <c r="U3" s="2">
        <v>48580</v>
      </c>
      <c r="V3" s="2">
        <v>48945</v>
      </c>
      <c r="W3" s="2">
        <v>49310</v>
      </c>
      <c r="X3" s="2">
        <v>49675</v>
      </c>
      <c r="Y3" s="2">
        <v>50041</v>
      </c>
      <c r="Z3" s="2">
        <v>50406</v>
      </c>
      <c r="AA3" s="2">
        <v>50771</v>
      </c>
      <c r="AB3" s="2">
        <v>51136</v>
      </c>
      <c r="AC3" s="2">
        <v>51502</v>
      </c>
      <c r="AD3" s="2">
        <v>51867</v>
      </c>
      <c r="AE3" s="2">
        <v>52232</v>
      </c>
      <c r="AF3" s="2">
        <v>52597</v>
      </c>
      <c r="AG3" s="2">
        <v>52963</v>
      </c>
      <c r="AH3" s="2">
        <v>53328</v>
      </c>
      <c r="AI3" s="2">
        <v>53693</v>
      </c>
      <c r="AJ3" s="2">
        <v>54058</v>
      </c>
      <c r="AK3" s="2">
        <v>54424</v>
      </c>
      <c r="AL3" s="2">
        <v>54789</v>
      </c>
    </row>
    <row r="4" spans="1:38" x14ac:dyDescent="0.35">
      <c r="A4" s="3" t="str">
        <f>[1]Results!E1365</f>
        <v>100*(GDP_2/GDP_0-1)</v>
      </c>
      <c r="B4" t="s">
        <v>20</v>
      </c>
      <c r="C4" s="1">
        <f>[1]Results!F1365</f>
        <v>0</v>
      </c>
      <c r="D4" s="1">
        <f>[1]Results!G1365</f>
        <v>0</v>
      </c>
      <c r="E4" s="1">
        <f>[1]Results!H1365</f>
        <v>0</v>
      </c>
      <c r="F4" s="1">
        <f>[1]Results!I1365</f>
        <v>0</v>
      </c>
      <c r="G4" s="1">
        <f>[1]Results!J1365</f>
        <v>0</v>
      </c>
      <c r="H4" s="1">
        <f>[1]Results!K1365</f>
        <v>0</v>
      </c>
      <c r="I4" s="1">
        <f>[1]Results!L1365</f>
        <v>0</v>
      </c>
      <c r="J4" s="1">
        <f>[1]Results!M1365</f>
        <v>2.0823865236163641E-2</v>
      </c>
      <c r="K4" s="1">
        <f>[1]Results!N1365</f>
        <v>5.969068673032929E-2</v>
      </c>
      <c r="L4" s="1">
        <f>[1]Results!O1365</f>
        <v>0.12037566417515411</v>
      </c>
      <c r="M4" s="1">
        <f>[1]Results!P1365</f>
        <v>0.20501193096824633</v>
      </c>
      <c r="N4" s="1">
        <f>[1]Results!Q1365</f>
        <v>0.25481767418293888</v>
      </c>
      <c r="O4" s="1">
        <f>[1]Results!R1365</f>
        <v>0.29589899799884467</v>
      </c>
      <c r="P4" s="1">
        <f>[1]Results!S1365</f>
        <v>0.3243623671546958</v>
      </c>
      <c r="Q4" s="1">
        <f>[1]Results!T1365</f>
        <v>0.33516890786529085</v>
      </c>
      <c r="R4" s="1">
        <f>[1]Results!U1365</f>
        <v>0.32816176435344069</v>
      </c>
      <c r="S4" s="1">
        <f>[1]Results!V1365</f>
        <v>0.30920099242217614</v>
      </c>
      <c r="T4" s="1">
        <f>[1]Results!W1365</f>
        <v>0.27919508061919895</v>
      </c>
      <c r="U4" s="1">
        <f>[1]Results!X1365</f>
        <v>0.24081330103753462</v>
      </c>
      <c r="V4" s="1">
        <f>[1]Results!Y1365</f>
        <v>0.19610383438168899</v>
      </c>
      <c r="W4" s="1">
        <f>[1]Results!Z1365</f>
        <v>0.14609052589631411</v>
      </c>
      <c r="X4" s="1">
        <f>[1]Results!AA1365</f>
        <v>8.6913883075956377E-2</v>
      </c>
      <c r="Y4" s="1">
        <f>[1]Results!AB1365</f>
        <v>2.327138631363912E-2</v>
      </c>
      <c r="Z4" s="1">
        <f>[1]Results!AC1365</f>
        <v>-4.3117830278271985E-2</v>
      </c>
      <c r="AA4" s="1">
        <f>[1]Results!AD1365</f>
        <v>-0.11011708434496281</v>
      </c>
      <c r="AB4" s="1">
        <f>[1]Results!AE1365</f>
        <v>-0.175832786341934</v>
      </c>
      <c r="AC4" s="1">
        <f>[1]Results!AF1365</f>
        <v>-0.24529192448559112</v>
      </c>
      <c r="AD4" s="1">
        <f>[1]Results!AG1365</f>
        <v>-0.31486956126345333</v>
      </c>
      <c r="AE4" s="1">
        <f>[1]Results!AH1365</f>
        <v>-0.38131461023795943</v>
      </c>
      <c r="AF4" s="1">
        <f>[1]Results!AI1365</f>
        <v>-0.44133356045207295</v>
      </c>
      <c r="AG4" s="1">
        <f>[1]Results!AJ1365</f>
        <v>-0.49235198428665417</v>
      </c>
      <c r="AH4" s="1">
        <f>[1]Results!AK1365</f>
        <v>-0.53551889847613943</v>
      </c>
      <c r="AI4" s="1">
        <f>[1]Results!AL1365</f>
        <v>-0.56792601178644597</v>
      </c>
      <c r="AJ4" s="1">
        <f>[1]Results!AM1365</f>
        <v>-0.58905059412087679</v>
      </c>
      <c r="AK4" s="1">
        <f>[1]Results!AN1365</f>
        <v>-0.59880068605886461</v>
      </c>
      <c r="AL4" s="1">
        <f>[1]Results!AO1365</f>
        <v>-0.59711984399372087</v>
      </c>
    </row>
    <row r="5" spans="1:38" x14ac:dyDescent="0.35">
      <c r="A5" s="3" t="str">
        <f>[1]Results!E1366</f>
        <v>100*((VA_2-VA_spub_2)/(VA_0-VA_spub_0)-1)</v>
      </c>
      <c r="B5" t="str">
        <f>[1]Results!C1366</f>
        <v>VA du secteur marchand</v>
      </c>
      <c r="C5" s="1">
        <f>[1]Results!F1366</f>
        <v>0</v>
      </c>
      <c r="D5" s="1">
        <f>[1]Results!G1366</f>
        <v>0</v>
      </c>
      <c r="E5" s="1">
        <f>[1]Results!H1366</f>
        <v>0</v>
      </c>
      <c r="F5" s="1">
        <f>[1]Results!I1366</f>
        <v>0</v>
      </c>
      <c r="G5" s="1">
        <f>[1]Results!J1366</f>
        <v>0</v>
      </c>
      <c r="H5" s="1">
        <f>[1]Results!K1366</f>
        <v>0</v>
      </c>
      <c r="I5" s="1">
        <f>[1]Results!L1366</f>
        <v>0</v>
      </c>
      <c r="J5" s="1">
        <f>[1]Results!M1366</f>
        <v>2.6182803631513707E-2</v>
      </c>
      <c r="K5" s="1">
        <f>[1]Results!N1366</f>
        <v>7.2949353114770688E-2</v>
      </c>
      <c r="L5" s="1">
        <f>[1]Results!O1366</f>
        <v>0.14183365942839199</v>
      </c>
      <c r="M5" s="1">
        <f>[1]Results!P1366</f>
        <v>0.23234373650460327</v>
      </c>
      <c r="N5" s="1">
        <f>[1]Results!Q1366</f>
        <v>0.27291009517953491</v>
      </c>
      <c r="O5" s="1">
        <f>[1]Results!R1366</f>
        <v>0.29836940818501745</v>
      </c>
      <c r="P5" s="1">
        <f>[1]Results!S1366</f>
        <v>0.30817211994020877</v>
      </c>
      <c r="Q5" s="1">
        <f>[1]Results!T1366</f>
        <v>0.29831471396504217</v>
      </c>
      <c r="R5" s="1">
        <f>[1]Results!U1366</f>
        <v>0.26921046669869941</v>
      </c>
      <c r="S5" s="1">
        <f>[1]Results!V1366</f>
        <v>0.22770185043428093</v>
      </c>
      <c r="T5" s="1">
        <f>[1]Results!W1366</f>
        <v>0.17433802515725016</v>
      </c>
      <c r="U5" s="1">
        <f>[1]Results!X1366</f>
        <v>0.11193522933703459</v>
      </c>
      <c r="V5" s="1">
        <f>[1]Results!Y1366</f>
        <v>4.2864462015645977E-2</v>
      </c>
      <c r="W5" s="1">
        <f>[1]Results!Z1366</f>
        <v>-3.1580281772092267E-2</v>
      </c>
      <c r="X5" s="1">
        <f>[1]Results!AA1366</f>
        <v>-0.11531447634743897</v>
      </c>
      <c r="Y5" s="1">
        <f>[1]Results!AB1366</f>
        <v>-0.20223298825156055</v>
      </c>
      <c r="Z5" s="1">
        <f>[1]Results!AC1366</f>
        <v>-0.28991958851242172</v>
      </c>
      <c r="AA5" s="1">
        <f>[1]Results!AD1366</f>
        <v>-0.37576101332901235</v>
      </c>
      <c r="AB5" s="1">
        <f>[1]Results!AE1366</f>
        <v>-0.45758223816992905</v>
      </c>
      <c r="AC5" s="1">
        <f>[1]Results!AF1366</f>
        <v>-0.54137153060156429</v>
      </c>
      <c r="AD5" s="1">
        <f>[1]Results!AG1366</f>
        <v>-0.62272940030984048</v>
      </c>
      <c r="AE5" s="1">
        <f>[1]Results!AH1366</f>
        <v>-0.69797426786996075</v>
      </c>
      <c r="AF5" s="1">
        <f>[1]Results!AI1366</f>
        <v>-0.76355292289664867</v>
      </c>
      <c r="AG5" s="1">
        <f>[1]Results!AJ1366</f>
        <v>-0.81682606937104607</v>
      </c>
      <c r="AH5" s="1">
        <f>[1]Results!AK1366</f>
        <v>-0.85915252801291864</v>
      </c>
      <c r="AI5" s="1">
        <f>[1]Results!AL1366</f>
        <v>-0.88753428976224846</v>
      </c>
      <c r="AJ5" s="1">
        <f>[1]Results!AM1366</f>
        <v>-0.90174846000480313</v>
      </c>
      <c r="AK5" s="1">
        <f>[1]Results!AN1366</f>
        <v>-0.90214194085902477</v>
      </c>
      <c r="AL5" s="1">
        <f>[1]Results!AO1366</f>
        <v>-0.88913105136930737</v>
      </c>
    </row>
    <row r="6" spans="1:38" x14ac:dyDescent="0.35">
      <c r="A6" s="3" t="str">
        <f>[1]Results!E1367</f>
        <v>100*((CH_2-CH_0)/GDP_0)</v>
      </c>
      <c r="B6" t="s">
        <v>21</v>
      </c>
      <c r="C6" s="1">
        <f>[1]Results!F1367</f>
        <v>0</v>
      </c>
      <c r="D6" s="1">
        <f>[1]Results!G1367</f>
        <v>0</v>
      </c>
      <c r="E6" s="1">
        <f>[1]Results!H1367</f>
        <v>0</v>
      </c>
      <c r="F6" s="1">
        <f>[1]Results!I1367</f>
        <v>0</v>
      </c>
      <c r="G6" s="1">
        <f>[1]Results!J1367</f>
        <v>0</v>
      </c>
      <c r="H6" s="1">
        <f>[1]Results!K1367</f>
        <v>0</v>
      </c>
      <c r="I6" s="1">
        <f>[1]Results!L1367</f>
        <v>0</v>
      </c>
      <c r="J6" s="1">
        <f>[1]Results!M1367</f>
        <v>2.3943525574161892E-2</v>
      </c>
      <c r="K6" s="1">
        <f>[1]Results!N1367</f>
        <v>8.3338480251531441E-2</v>
      </c>
      <c r="L6" s="1">
        <f>[1]Results!O1367</f>
        <v>0.19607039743963681</v>
      </c>
      <c r="M6" s="1">
        <f>[1]Results!P1367</f>
        <v>0.37874683001567655</v>
      </c>
      <c r="N6" s="1">
        <f>[1]Results!Q1367</f>
        <v>0.56916397150161857</v>
      </c>
      <c r="O6" s="1">
        <f>[1]Results!R1367</f>
        <v>0.76567651066821696</v>
      </c>
      <c r="P6" s="1">
        <f>[1]Results!S1367</f>
        <v>0.94837772998494252</v>
      </c>
      <c r="Q6" s="1">
        <f>[1]Results!T1367</f>
        <v>1.1073076523945262</v>
      </c>
      <c r="R6" s="1">
        <f>[1]Results!U1367</f>
        <v>1.2417369857515415</v>
      </c>
      <c r="S6" s="1">
        <f>[1]Results!V1367</f>
        <v>1.3595874052200763</v>
      </c>
      <c r="T6" s="1">
        <f>[1]Results!W1367</f>
        <v>1.4651696488857633</v>
      </c>
      <c r="U6" s="1">
        <f>[1]Results!X1367</f>
        <v>1.5627420483012702</v>
      </c>
      <c r="V6" s="1">
        <f>[1]Results!Y1367</f>
        <v>1.6546039258147602</v>
      </c>
      <c r="W6" s="1">
        <f>[1]Results!Z1367</f>
        <v>1.741855904659749</v>
      </c>
      <c r="X6" s="1">
        <f>[1]Results!AA1367</f>
        <v>1.8175830280766623</v>
      </c>
      <c r="Y6" s="1">
        <f>[1]Results!AB1367</f>
        <v>1.8826848557829863</v>
      </c>
      <c r="Z6" s="1">
        <f>[1]Results!AC1367</f>
        <v>1.9370420000462389</v>
      </c>
      <c r="AA6" s="1">
        <f>[1]Results!AD1367</f>
        <v>1.9821224090084597</v>
      </c>
      <c r="AB6" s="1">
        <f>[1]Results!AE1367</f>
        <v>2.0201040667328267</v>
      </c>
      <c r="AC6" s="1">
        <f>[1]Results!AF1367</f>
        <v>2.0409550188804206</v>
      </c>
      <c r="AD6" s="1">
        <f>[1]Results!AG1367</f>
        <v>2.0474309389477909</v>
      </c>
      <c r="AE6" s="1">
        <f>[1]Results!AH1367</f>
        <v>2.0429601302677409</v>
      </c>
      <c r="AF6" s="1">
        <f>[1]Results!AI1367</f>
        <v>2.0308283336574675</v>
      </c>
      <c r="AG6" s="1">
        <f>[1]Results!AJ1367</f>
        <v>2.0136491069672182</v>
      </c>
      <c r="AH6" s="1">
        <f>[1]Results!AK1367</f>
        <v>1.9893062675143676</v>
      </c>
      <c r="AI6" s="1">
        <f>[1]Results!AL1367</f>
        <v>1.9605136515037154</v>
      </c>
      <c r="AJ6" s="1">
        <f>[1]Results!AM1367</f>
        <v>1.9287676222281429</v>
      </c>
      <c r="AK6" s="1">
        <f>[1]Results!AN1367</f>
        <v>1.8959090478742942</v>
      </c>
      <c r="AL6" s="1">
        <f>[1]Results!AO1367</f>
        <v>1.864065145424838</v>
      </c>
    </row>
    <row r="7" spans="1:38" x14ac:dyDescent="0.35">
      <c r="A7" s="3" t="str">
        <f>[1]Results!E1368</f>
        <v>100*((CH_cveh_2-CH_cveh_0)/GDP_0)</v>
      </c>
      <c r="B7" t="str">
        <f>[1]Results!C1368</f>
        <v>Consommation des ménages automobile</v>
      </c>
      <c r="C7" s="1">
        <f>[1]Results!F1368</f>
        <v>0</v>
      </c>
      <c r="D7" s="1">
        <f>[1]Results!G1368</f>
        <v>0</v>
      </c>
      <c r="E7" s="1">
        <f>[1]Results!H1368</f>
        <v>0</v>
      </c>
      <c r="F7" s="1">
        <f>[1]Results!I1368</f>
        <v>0</v>
      </c>
      <c r="G7" s="1">
        <f>[1]Results!J1368</f>
        <v>0</v>
      </c>
      <c r="H7" s="1">
        <f>[1]Results!K1368</f>
        <v>0</v>
      </c>
      <c r="I7" s="1">
        <f>[1]Results!L1368</f>
        <v>0</v>
      </c>
      <c r="J7" s="1">
        <f>[1]Results!M1368</f>
        <v>-1.9410425741869547E-2</v>
      </c>
      <c r="K7" s="1">
        <f>[1]Results!N1368</f>
        <v>-4.8471930244175711E-2</v>
      </c>
      <c r="L7" s="1">
        <f>[1]Results!O1368</f>
        <v>-8.3896530583816561E-2</v>
      </c>
      <c r="M7" s="1">
        <f>[1]Results!P1368</f>
        <v>-0.1291243962445042</v>
      </c>
      <c r="N7" s="1">
        <f>[1]Results!Q1368</f>
        <v>-0.11297565520365677</v>
      </c>
      <c r="O7" s="1">
        <f>[1]Results!R1368</f>
        <v>-8.0715950281942672E-2</v>
      </c>
      <c r="P7" s="1">
        <f>[1]Results!S1368</f>
        <v>-5.537067021785827E-2</v>
      </c>
      <c r="Q7" s="1">
        <f>[1]Results!T1368</f>
        <v>-4.1296555346788416E-2</v>
      </c>
      <c r="R7" s="1">
        <f>[1]Results!U1368</f>
        <v>-3.6469261172984185E-2</v>
      </c>
      <c r="S7" s="1">
        <f>[1]Results!V1368</f>
        <v>-4.3142602900128876E-2</v>
      </c>
      <c r="T7" s="1">
        <f>[1]Results!W1368</f>
        <v>-5.4317398947006448E-2</v>
      </c>
      <c r="U7" s="1">
        <f>[1]Results!X1368</f>
        <v>-6.6563847951811722E-2</v>
      </c>
      <c r="V7" s="1">
        <f>[1]Results!Y1368</f>
        <v>-7.8856179450402686E-2</v>
      </c>
      <c r="W7" s="1">
        <f>[1]Results!Z1368</f>
        <v>-9.1119801409807966E-2</v>
      </c>
      <c r="X7" s="1">
        <f>[1]Results!AA1368</f>
        <v>-9.5896219940076938E-2</v>
      </c>
      <c r="Y7" s="1">
        <f>[1]Results!AB1368</f>
        <v>-9.9817282684862313E-2</v>
      </c>
      <c r="Z7" s="1">
        <f>[1]Results!AC1368</f>
        <v>-0.10543339637994649</v>
      </c>
      <c r="AA7" s="1">
        <f>[1]Results!AD1368</f>
        <v>-0.11288558287188914</v>
      </c>
      <c r="AB7" s="1">
        <f>[1]Results!AE1368</f>
        <v>-0.12186214296964479</v>
      </c>
      <c r="AC7" s="1">
        <f>[1]Results!AF1368</f>
        <v>-0.12753747381169839</v>
      </c>
      <c r="AD7" s="1">
        <f>[1]Results!AG1368</f>
        <v>-0.13358452315902522</v>
      </c>
      <c r="AE7" s="1">
        <f>[1]Results!AH1368</f>
        <v>-0.1410890084117184</v>
      </c>
      <c r="AF7" s="1">
        <f>[1]Results!AI1368</f>
        <v>-0.14992396613851805</v>
      </c>
      <c r="AG7" s="1">
        <f>[1]Results!AJ1368</f>
        <v>-0.15973694156833401</v>
      </c>
      <c r="AH7" s="1">
        <f>[1]Results!AK1368</f>
        <v>-0.16735223021016396</v>
      </c>
      <c r="AI7" s="1">
        <f>[1]Results!AL1368</f>
        <v>-0.17519488449075846</v>
      </c>
      <c r="AJ7" s="1">
        <f>[1]Results!AM1368</f>
        <v>-0.18397640308243612</v>
      </c>
      <c r="AK7" s="1">
        <f>[1]Results!AN1368</f>
        <v>-0.19351890676058833</v>
      </c>
      <c r="AL7" s="1">
        <f>[1]Results!AO1368</f>
        <v>-0.2034451031480719</v>
      </c>
    </row>
    <row r="8" spans="1:38" x14ac:dyDescent="0.35">
      <c r="A8" s="3" t="str">
        <f>[1]Results!E1369</f>
        <v>100*((G_2-G_0)/GDP_0)</v>
      </c>
      <c r="B8" t="str">
        <f>[1]Results!C1369</f>
        <v>Dépenses publiques</v>
      </c>
      <c r="C8" s="1">
        <f>[1]Results!F1369</f>
        <v>0</v>
      </c>
      <c r="D8" s="1">
        <f>[1]Results!G1369</f>
        <v>0</v>
      </c>
      <c r="E8" s="1">
        <f>[1]Results!H1369</f>
        <v>0</v>
      </c>
      <c r="F8" s="1">
        <f>[1]Results!I1369</f>
        <v>0</v>
      </c>
      <c r="G8" s="1">
        <f>[1]Results!J1369</f>
        <v>0</v>
      </c>
      <c r="H8" s="1">
        <f>[1]Results!K1369</f>
        <v>0</v>
      </c>
      <c r="I8" s="1">
        <f>[1]Results!L1369</f>
        <v>0</v>
      </c>
      <c r="J8" s="1">
        <f>[1]Results!M1369</f>
        <v>0</v>
      </c>
      <c r="K8" s="1">
        <f>[1]Results!N1369</f>
        <v>0</v>
      </c>
      <c r="L8" s="1">
        <f>[1]Results!O1369</f>
        <v>0</v>
      </c>
      <c r="M8" s="1">
        <f>[1]Results!P1369</f>
        <v>0</v>
      </c>
      <c r="N8" s="1">
        <f>[1]Results!Q1369</f>
        <v>0</v>
      </c>
      <c r="O8" s="1">
        <f>[1]Results!R1369</f>
        <v>0</v>
      </c>
      <c r="P8" s="1">
        <f>[1]Results!S1369</f>
        <v>0</v>
      </c>
      <c r="Q8" s="1">
        <f>[1]Results!T1369</f>
        <v>0</v>
      </c>
      <c r="R8" s="1">
        <f>[1]Results!U1369</f>
        <v>0</v>
      </c>
      <c r="S8" s="1">
        <f>[1]Results!V1369</f>
        <v>0</v>
      </c>
      <c r="T8" s="1">
        <f>[1]Results!W1369</f>
        <v>0</v>
      </c>
      <c r="U8" s="1">
        <f>[1]Results!X1369</f>
        <v>0</v>
      </c>
      <c r="V8" s="1">
        <f>[1]Results!Y1369</f>
        <v>0</v>
      </c>
      <c r="W8" s="1">
        <f>[1]Results!Z1369</f>
        <v>0</v>
      </c>
      <c r="X8" s="1">
        <f>[1]Results!AA1369</f>
        <v>0</v>
      </c>
      <c r="Y8" s="1">
        <f>[1]Results!AB1369</f>
        <v>0</v>
      </c>
      <c r="Z8" s="1">
        <f>[1]Results!AC1369</f>
        <v>0</v>
      </c>
      <c r="AA8" s="1">
        <f>[1]Results!AD1369</f>
        <v>0</v>
      </c>
      <c r="AB8" s="1">
        <f>[1]Results!AE1369</f>
        <v>0</v>
      </c>
      <c r="AC8" s="1">
        <f>[1]Results!AF1369</f>
        <v>0</v>
      </c>
      <c r="AD8" s="1">
        <f>[1]Results!AG1369</f>
        <v>0</v>
      </c>
      <c r="AE8" s="1">
        <f>[1]Results!AH1369</f>
        <v>0</v>
      </c>
      <c r="AF8" s="1">
        <f>[1]Results!AI1369</f>
        <v>0</v>
      </c>
      <c r="AG8" s="1">
        <f>[1]Results!AJ1369</f>
        <v>0</v>
      </c>
      <c r="AH8" s="1">
        <f>[1]Results!AK1369</f>
        <v>0</v>
      </c>
      <c r="AI8" s="1">
        <f>[1]Results!AL1369</f>
        <v>0</v>
      </c>
      <c r="AJ8" s="1">
        <f>[1]Results!AM1369</f>
        <v>0</v>
      </c>
      <c r="AK8" s="1">
        <f>[1]Results!AN1369</f>
        <v>0</v>
      </c>
      <c r="AL8" s="1">
        <f>[1]Results!AO1369</f>
        <v>0</v>
      </c>
    </row>
    <row r="9" spans="1:38" x14ac:dyDescent="0.35">
      <c r="A9" s="3" t="str">
        <f>[1]Results!E1370</f>
        <v>100*((I_2-I_0)/GDP_0)</v>
      </c>
      <c r="B9" t="s">
        <v>23</v>
      </c>
      <c r="C9" s="1">
        <f>[1]Results!F1370</f>
        <v>0</v>
      </c>
      <c r="D9" s="1">
        <f>[1]Results!G1370</f>
        <v>0</v>
      </c>
      <c r="E9" s="1">
        <f>[1]Results!H1370</f>
        <v>0</v>
      </c>
      <c r="F9" s="1">
        <f>[1]Results!I1370</f>
        <v>0</v>
      </c>
      <c r="G9" s="1">
        <f>[1]Results!J1370</f>
        <v>0</v>
      </c>
      <c r="H9" s="1">
        <f>[1]Results!K1370</f>
        <v>0</v>
      </c>
      <c r="I9" s="1">
        <f>[1]Results!L1370</f>
        <v>0</v>
      </c>
      <c r="J9" s="1">
        <f>[1]Results!M1370</f>
        <v>-2.8220453305479532E-3</v>
      </c>
      <c r="K9" s="1">
        <f>[1]Results!N1370</f>
        <v>-6.5874582626656505E-3</v>
      </c>
      <c r="L9" s="1">
        <f>[1]Results!O1370</f>
        <v>-9.4263175856291199E-3</v>
      </c>
      <c r="M9" s="1">
        <f>[1]Results!P1370</f>
        <v>-1.0290769071143475E-2</v>
      </c>
      <c r="N9" s="1">
        <f>[1]Results!Q1370</f>
        <v>1.4703161461452751E-3</v>
      </c>
      <c r="O9" s="1">
        <f>[1]Results!R1370</f>
        <v>2.2085263211493872E-2</v>
      </c>
      <c r="P9" s="1">
        <f>[1]Results!S1370</f>
        <v>4.7262046805918813E-2</v>
      </c>
      <c r="Q9" s="1">
        <f>[1]Results!T1370</f>
        <v>7.3623623324306622E-2</v>
      </c>
      <c r="R9" s="1">
        <f>[1]Results!U1370</f>
        <v>9.94481760111873E-2</v>
      </c>
      <c r="S9" s="1">
        <f>[1]Results!V1370</f>
        <v>0.12324907418593857</v>
      </c>
      <c r="T9" s="1">
        <f>[1]Results!W1370</f>
        <v>0.14568564256620525</v>
      </c>
      <c r="U9" s="1">
        <f>[1]Results!X1370</f>
        <v>0.1676776931861397</v>
      </c>
      <c r="V9" s="1">
        <f>[1]Results!Y1370</f>
        <v>0.19002388383066293</v>
      </c>
      <c r="W9" s="1">
        <f>[1]Results!Z1370</f>
        <v>0.21324443598719334</v>
      </c>
      <c r="X9" s="1">
        <f>[1]Results!AA1370</f>
        <v>0.23948072265666587</v>
      </c>
      <c r="Y9" s="1">
        <f>[1]Results!AB1370</f>
        <v>0.26844254546591678</v>
      </c>
      <c r="Z9" s="1">
        <f>[1]Results!AC1370</f>
        <v>0.29982996974343629</v>
      </c>
      <c r="AA9" s="1">
        <f>[1]Results!AD1370</f>
        <v>0.33356340041228338</v>
      </c>
      <c r="AB9" s="1">
        <f>[1]Results!AE1370</f>
        <v>0.3696975920179838</v>
      </c>
      <c r="AC9" s="1">
        <f>[1]Results!AF1370</f>
        <v>0.410480697680282</v>
      </c>
      <c r="AD9" s="1">
        <f>[1]Results!AG1370</f>
        <v>0.45545704536613091</v>
      </c>
      <c r="AE9" s="1">
        <f>[1]Results!AH1370</f>
        <v>0.50410129101883705</v>
      </c>
      <c r="AF9" s="1">
        <f>[1]Results!AI1370</f>
        <v>0.55620478540890284</v>
      </c>
      <c r="AG9" s="1">
        <f>[1]Results!AJ1370</f>
        <v>0.61178382194213787</v>
      </c>
      <c r="AH9" s="1">
        <f>[1]Results!AK1370</f>
        <v>0.67148938948080317</v>
      </c>
      <c r="AI9" s="1">
        <f>[1]Results!AL1370</f>
        <v>0.73503069492865036</v>
      </c>
      <c r="AJ9" s="1">
        <f>[1]Results!AM1370</f>
        <v>0.80209417695994256</v>
      </c>
      <c r="AK9" s="1">
        <f>[1]Results!AN1370</f>
        <v>0.87239002377426378</v>
      </c>
      <c r="AL9" s="1">
        <f>[1]Results!AO1370</f>
        <v>0.94568516427496285</v>
      </c>
    </row>
    <row r="10" spans="1:38" x14ac:dyDescent="0.35">
      <c r="A10" s="3" t="str">
        <f>[1]Results!E1371</f>
        <v>100*((DS_2-DS_0)/GDP_0)</v>
      </c>
      <c r="B10" t="str">
        <f>[1]Results!C1371</f>
        <v>Variations de stocks</v>
      </c>
      <c r="C10" s="1">
        <f>[1]Results!F1371</f>
        <v>0</v>
      </c>
      <c r="D10" s="1">
        <f>[1]Results!G1371</f>
        <v>0</v>
      </c>
      <c r="E10" s="1">
        <f>[1]Results!H1371</f>
        <v>0</v>
      </c>
      <c r="F10" s="1">
        <f>[1]Results!I1371</f>
        <v>0</v>
      </c>
      <c r="G10" s="1">
        <f>[1]Results!J1371</f>
        <v>0</v>
      </c>
      <c r="H10" s="1">
        <f>[1]Results!K1371</f>
        <v>0</v>
      </c>
      <c r="I10" s="1">
        <f>[1]Results!L1371</f>
        <v>0</v>
      </c>
      <c r="J10" s="1">
        <f>[1]Results!M1371</f>
        <v>0</v>
      </c>
      <c r="K10" s="1">
        <f>[1]Results!N1371</f>
        <v>0</v>
      </c>
      <c r="L10" s="1">
        <f>[1]Results!O1371</f>
        <v>0</v>
      </c>
      <c r="M10" s="1">
        <f>[1]Results!P1371</f>
        <v>0</v>
      </c>
      <c r="N10" s="1">
        <f>[1]Results!Q1371</f>
        <v>0</v>
      </c>
      <c r="O10" s="1">
        <f>[1]Results!R1371</f>
        <v>0</v>
      </c>
      <c r="P10" s="1">
        <f>[1]Results!S1371</f>
        <v>0</v>
      </c>
      <c r="Q10" s="1">
        <f>[1]Results!T1371</f>
        <v>0</v>
      </c>
      <c r="R10" s="1">
        <f>[1]Results!U1371</f>
        <v>0</v>
      </c>
      <c r="S10" s="1">
        <f>[1]Results!V1371</f>
        <v>0</v>
      </c>
      <c r="T10" s="1">
        <f>[1]Results!W1371</f>
        <v>0</v>
      </c>
      <c r="U10" s="1">
        <f>[1]Results!X1371</f>
        <v>0</v>
      </c>
      <c r="V10" s="1">
        <f>[1]Results!Y1371</f>
        <v>0</v>
      </c>
      <c r="W10" s="1">
        <f>[1]Results!Z1371</f>
        <v>0</v>
      </c>
      <c r="X10" s="1">
        <f>[1]Results!AA1371</f>
        <v>0</v>
      </c>
      <c r="Y10" s="1">
        <f>[1]Results!AB1371</f>
        <v>0</v>
      </c>
      <c r="Z10" s="1">
        <f>[1]Results!AC1371</f>
        <v>0</v>
      </c>
      <c r="AA10" s="1">
        <f>[1]Results!AD1371</f>
        <v>0</v>
      </c>
      <c r="AB10" s="1">
        <f>[1]Results!AE1371</f>
        <v>0</v>
      </c>
      <c r="AC10" s="1">
        <f>[1]Results!AF1371</f>
        <v>0</v>
      </c>
      <c r="AD10" s="1">
        <f>[1]Results!AG1371</f>
        <v>0</v>
      </c>
      <c r="AE10" s="1">
        <f>[1]Results!AH1371</f>
        <v>0</v>
      </c>
      <c r="AF10" s="1">
        <f>[1]Results!AI1371</f>
        <v>0</v>
      </c>
      <c r="AG10" s="1">
        <f>[1]Results!AJ1371</f>
        <v>0</v>
      </c>
      <c r="AH10" s="1">
        <f>[1]Results!AK1371</f>
        <v>0</v>
      </c>
      <c r="AI10" s="1">
        <f>[1]Results!AL1371</f>
        <v>0</v>
      </c>
      <c r="AJ10" s="1">
        <f>[1]Results!AM1371</f>
        <v>0</v>
      </c>
      <c r="AK10" s="1">
        <f>[1]Results!AN1371</f>
        <v>0</v>
      </c>
      <c r="AL10" s="1">
        <f>[1]Results!AO1371</f>
        <v>0</v>
      </c>
    </row>
    <row r="11" spans="1:38" x14ac:dyDescent="0.35">
      <c r="A11" s="3" t="str">
        <f>[1]Results!E1372</f>
        <v>100*((X_2-X_0)/GDP_0)-100*((M_2-M_0)/GDP_0)</v>
      </c>
      <c r="B11" t="s">
        <v>22</v>
      </c>
      <c r="C11" s="1">
        <f>[1]Results!F1372</f>
        <v>0</v>
      </c>
      <c r="D11" s="1">
        <f>[1]Results!G1372</f>
        <v>0</v>
      </c>
      <c r="E11" s="1">
        <f>[1]Results!H1372</f>
        <v>0</v>
      </c>
      <c r="F11" s="1">
        <f>[1]Results!I1372</f>
        <v>0</v>
      </c>
      <c r="G11" s="1">
        <f>[1]Results!J1372</f>
        <v>0</v>
      </c>
      <c r="H11" s="1">
        <f>[1]Results!K1372</f>
        <v>0</v>
      </c>
      <c r="I11" s="1">
        <f>[1]Results!L1372</f>
        <v>0</v>
      </c>
      <c r="J11" s="1">
        <f>[1]Results!M1372</f>
        <v>-2.9763463412419561E-4</v>
      </c>
      <c r="K11" s="1">
        <f>[1]Results!N1372</f>
        <v>-1.7060300740125194E-2</v>
      </c>
      <c r="L11" s="1">
        <f>[1]Results!O1372</f>
        <v>-6.6268441908338832E-2</v>
      </c>
      <c r="M11" s="1">
        <f>[1]Results!P1372</f>
        <v>-0.16344410800207912</v>
      </c>
      <c r="N11" s="1">
        <f>[1]Results!Q1372</f>
        <v>-0.31581658475107249</v>
      </c>
      <c r="O11" s="1">
        <f>[1]Results!R1372</f>
        <v>-0.49186278292998525</v>
      </c>
      <c r="P11" s="1">
        <f>[1]Results!S1372</f>
        <v>-0.67127737150223399</v>
      </c>
      <c r="Q11" s="1">
        <f>[1]Results!T1372</f>
        <v>-0.84576235761206287</v>
      </c>
      <c r="R11" s="1">
        <f>[1]Results!U1372</f>
        <v>-1.0130234007734398</v>
      </c>
      <c r="S11" s="1">
        <f>[1]Results!V1372</f>
        <v>-1.173635493616209</v>
      </c>
      <c r="T11" s="1">
        <f>[1]Results!W1372</f>
        <v>-1.3316602075643797</v>
      </c>
      <c r="U11" s="1">
        <f>[1]Results!X1372</f>
        <v>-1.4896064694274527</v>
      </c>
      <c r="V11" s="1">
        <f>[1]Results!Y1372</f>
        <v>-1.6485239752637399</v>
      </c>
      <c r="W11" s="1">
        <f>[1]Results!Z1372</f>
        <v>-1.8090098428102039</v>
      </c>
      <c r="X11" s="1">
        <f>[1]Results!AA1372</f>
        <v>-1.970149867657379</v>
      </c>
      <c r="Y11" s="1">
        <f>[1]Results!AB1372</f>
        <v>-2.1278560029085321</v>
      </c>
      <c r="Z11" s="1">
        <f>[1]Results!AC1372</f>
        <v>-2.2799898324885444</v>
      </c>
      <c r="AA11" s="1">
        <f>[1]Results!AD1372</f>
        <v>-2.4258029168522151</v>
      </c>
      <c r="AB11" s="1">
        <f>[1]Results!AE1372</f>
        <v>-2.5656344422692836</v>
      </c>
      <c r="AC11" s="1">
        <f>[1]Results!AF1372</f>
        <v>-2.6967276438059709</v>
      </c>
      <c r="AD11" s="1">
        <f>[1]Results!AG1372</f>
        <v>-2.8177575347973289</v>
      </c>
      <c r="AE11" s="1">
        <f>[1]Results!AH1372</f>
        <v>-2.9283760709701729</v>
      </c>
      <c r="AF11" s="1">
        <f>[1]Results!AI1372</f>
        <v>-3.0283666795184421</v>
      </c>
      <c r="AG11" s="1">
        <f>[1]Results!AJ1372</f>
        <v>-3.1177848881981336</v>
      </c>
      <c r="AH11" s="1">
        <f>[1]Results!AK1372</f>
        <v>-3.1963145311065806</v>
      </c>
      <c r="AI11" s="1">
        <f>[1]Results!AL1372</f>
        <v>-3.2634703344701421</v>
      </c>
      <c r="AJ11" s="1">
        <f>[1]Results!AM1372</f>
        <v>-3.3199123933089627</v>
      </c>
      <c r="AK11" s="1">
        <f>[1]Results!AN1372</f>
        <v>-3.3670997577074075</v>
      </c>
      <c r="AL11" s="1">
        <f>[1]Results!AO1372</f>
        <v>-3.4068701316581804</v>
      </c>
    </row>
    <row r="12" spans="1:38" x14ac:dyDescent="0.35">
      <c r="A12" s="3" t="str">
        <f>[1]Results!E1373</f>
        <v>100*((CH_2-CH_ccon_2-(CH_0-CH_ccon_0))/GDP_0)</v>
      </c>
      <c r="B12" t="str">
        <f>[1]Results!C1373</f>
        <v>Consommation des ménages</v>
      </c>
      <c r="C12" s="1">
        <f>[1]Results!F1373</f>
        <v>0</v>
      </c>
      <c r="D12" s="1">
        <f>[1]Results!G1373</f>
        <v>0</v>
      </c>
      <c r="E12" s="1">
        <f>[1]Results!H1373</f>
        <v>0</v>
      </c>
      <c r="F12" s="1">
        <f>[1]Results!I1373</f>
        <v>0</v>
      </c>
      <c r="G12" s="1">
        <f>[1]Results!J1373</f>
        <v>0</v>
      </c>
      <c r="H12" s="1">
        <f>[1]Results!K1373</f>
        <v>0</v>
      </c>
      <c r="I12" s="1">
        <f>[1]Results!L1373</f>
        <v>0</v>
      </c>
      <c r="J12" s="1">
        <f>[1]Results!M1373</f>
        <v>2.3883255581339087E-2</v>
      </c>
      <c r="K12" s="1">
        <f>[1]Results!N1373</f>
        <v>8.3229099090680173E-2</v>
      </c>
      <c r="L12" s="1">
        <f>[1]Results!O1373</f>
        <v>0.19568872078011171</v>
      </c>
      <c r="M12" s="1">
        <f>[1]Results!P1373</f>
        <v>0.3776255408896545</v>
      </c>
      <c r="N12" s="1">
        <f>[1]Results!Q1373</f>
        <v>0.56712455929198291</v>
      </c>
      <c r="O12" s="1">
        <f>[1]Results!R1373</f>
        <v>0.76182011948476269</v>
      </c>
      <c r="P12" s="1">
        <f>[1]Results!S1373</f>
        <v>0.94219075933543828</v>
      </c>
      <c r="Q12" s="1">
        <f>[1]Results!T1373</f>
        <v>1.0987400855686476</v>
      </c>
      <c r="R12" s="1">
        <f>[1]Results!U1373</f>
        <v>1.2309863273215578</v>
      </c>
      <c r="S12" s="1">
        <f>[1]Results!V1373</f>
        <v>1.3468948311593687</v>
      </c>
      <c r="T12" s="1">
        <f>[1]Results!W1373</f>
        <v>1.4508030227640709</v>
      </c>
      <c r="U12" s="1">
        <f>[1]Results!X1373</f>
        <v>1.5468823181163061</v>
      </c>
      <c r="V12" s="1">
        <f>[1]Results!Y1373</f>
        <v>1.6373498647315896</v>
      </c>
      <c r="W12" s="1">
        <f>[1]Results!Z1373</f>
        <v>1.7232539819181107</v>
      </c>
      <c r="X12" s="1">
        <f>[1]Results!AA1373</f>
        <v>1.7977147048022266</v>
      </c>
      <c r="Y12" s="1">
        <f>[1]Results!AB1373</f>
        <v>1.8615387530154441</v>
      </c>
      <c r="Z12" s="1">
        <f>[1]Results!AC1373</f>
        <v>1.9146486839917987</v>
      </c>
      <c r="AA12" s="1">
        <f>[1]Results!AD1373</f>
        <v>1.9585543201992204</v>
      </c>
      <c r="AB12" s="1">
        <f>[1]Results!AE1373</f>
        <v>1.995441483073743</v>
      </c>
      <c r="AC12" s="1">
        <f>[1]Results!AF1373</f>
        <v>2.0154149212179884</v>
      </c>
      <c r="AD12" s="1">
        <f>[1]Results!AG1373</f>
        <v>2.0211759734982611</v>
      </c>
      <c r="AE12" s="1">
        <f>[1]Results!AH1373</f>
        <v>2.0161539047818069</v>
      </c>
      <c r="AF12" s="1">
        <f>[1]Results!AI1373</f>
        <v>2.0036358090159272</v>
      </c>
      <c r="AG12" s="1">
        <f>[1]Results!AJ1373</f>
        <v>1.9862239235599346</v>
      </c>
      <c r="AH12" s="1">
        <f>[1]Results!AK1373</f>
        <v>1.9618222124299489</v>
      </c>
      <c r="AI12" s="1">
        <f>[1]Results!AL1373</f>
        <v>1.9330759864976153</v>
      </c>
      <c r="AJ12" s="1">
        <f>[1]Results!AM1373</f>
        <v>1.9014716866601735</v>
      </c>
      <c r="AK12" s="1">
        <f>[1]Results!AN1373</f>
        <v>1.8688379661552079</v>
      </c>
      <c r="AL12" s="1">
        <f>[1]Results!AO1373</f>
        <v>1.8372751741745346</v>
      </c>
    </row>
    <row r="13" spans="1:38" x14ac:dyDescent="0.35">
      <c r="A13" s="3" t="str">
        <f>[1]Results!E1374</f>
        <v>100*((I_2+CH_ccon_2-(I_0+CH_ccon_0))/GDP_0)</v>
      </c>
      <c r="B13" t="s">
        <v>23</v>
      </c>
      <c r="C13" s="1">
        <f>[1]Results!F1374</f>
        <v>0</v>
      </c>
      <c r="D13" s="1">
        <f>[1]Results!G1374</f>
        <v>0</v>
      </c>
      <c r="E13" s="1">
        <f>[1]Results!H1374</f>
        <v>0</v>
      </c>
      <c r="F13" s="1">
        <f>[1]Results!I1374</f>
        <v>0</v>
      </c>
      <c r="G13" s="1">
        <f>[1]Results!J1374</f>
        <v>0</v>
      </c>
      <c r="H13" s="1">
        <f>[1]Results!K1374</f>
        <v>0</v>
      </c>
      <c r="I13" s="1">
        <f>[1]Results!L1374</f>
        <v>0</v>
      </c>
      <c r="J13" s="1">
        <f>[1]Results!M1374</f>
        <v>-2.7617753377251453E-3</v>
      </c>
      <c r="K13" s="1">
        <f>[1]Results!N1374</f>
        <v>-6.4780771018188446E-3</v>
      </c>
      <c r="L13" s="1">
        <f>[1]Results!O1374</f>
        <v>-9.0446409260952817E-3</v>
      </c>
      <c r="M13" s="1">
        <f>[1]Results!P1374</f>
        <v>-9.1694799451214129E-3</v>
      </c>
      <c r="N13" s="1">
        <f>[1]Results!Q1374</f>
        <v>3.5097283557850648E-3</v>
      </c>
      <c r="O13" s="1">
        <f>[1]Results!R1374</f>
        <v>2.5941654394943989E-2</v>
      </c>
      <c r="P13" s="1">
        <f>[1]Results!S1374</f>
        <v>5.344901745542302E-2</v>
      </c>
      <c r="Q13" s="1">
        <f>[1]Results!T1374</f>
        <v>8.2191190150189414E-2</v>
      </c>
      <c r="R13" s="1">
        <f>[1]Results!U1374</f>
        <v>0.11019883444117486</v>
      </c>
      <c r="S13" s="1">
        <f>[1]Results!V1374</f>
        <v>0.13594164824664226</v>
      </c>
      <c r="T13" s="1">
        <f>[1]Results!W1374</f>
        <v>0.16005226868790517</v>
      </c>
      <c r="U13" s="1">
        <f>[1]Results!X1374</f>
        <v>0.18353742337110399</v>
      </c>
      <c r="V13" s="1">
        <f>[1]Results!Y1374</f>
        <v>0.20727794491382634</v>
      </c>
      <c r="W13" s="1">
        <f>[1]Results!Z1374</f>
        <v>0.23184635872883172</v>
      </c>
      <c r="X13" s="1">
        <f>[1]Results!AA1374</f>
        <v>0.25934904593110519</v>
      </c>
      <c r="Y13" s="1">
        <f>[1]Results!AB1374</f>
        <v>0.28958864823345531</v>
      </c>
      <c r="Z13" s="1">
        <f>[1]Results!AC1374</f>
        <v>0.32222328579788007</v>
      </c>
      <c r="AA13" s="1">
        <f>[1]Results!AD1374</f>
        <v>0.35713148922152638</v>
      </c>
      <c r="AB13" s="1">
        <f>[1]Results!AE1374</f>
        <v>0.3943601756770671</v>
      </c>
      <c r="AC13" s="1">
        <f>[1]Results!AF1374</f>
        <v>0.43602079534272059</v>
      </c>
      <c r="AD13" s="1">
        <f>[1]Results!AG1374</f>
        <v>0.48171201081566367</v>
      </c>
      <c r="AE13" s="1">
        <f>[1]Results!AH1374</f>
        <v>0.53090751650476808</v>
      </c>
      <c r="AF13" s="1">
        <f>[1]Results!AI1374</f>
        <v>0.58339731005044315</v>
      </c>
      <c r="AG13" s="1">
        <f>[1]Results!AJ1374</f>
        <v>0.63920900534942726</v>
      </c>
      <c r="AH13" s="1">
        <f>[1]Results!AK1374</f>
        <v>0.69897344456522192</v>
      </c>
      <c r="AI13" s="1">
        <f>[1]Results!AL1374</f>
        <v>0.76246835993475071</v>
      </c>
      <c r="AJ13" s="1">
        <f>[1]Results!AM1374</f>
        <v>0.82939011252791195</v>
      </c>
      <c r="AK13" s="1">
        <f>[1]Results!AN1374</f>
        <v>0.89946110549334979</v>
      </c>
      <c r="AL13" s="1">
        <f>[1]Results!AO1374</f>
        <v>0.97247513552526144</v>
      </c>
    </row>
    <row r="14" spans="1:38" x14ac:dyDescent="0.35">
      <c r="A14" s="3" t="str">
        <f>[1]Results!E1375</f>
        <v>100*((I_2-IA_spub_2-(I_0-IA_spub_0))/GDP_0)</v>
      </c>
      <c r="B14" t="str">
        <f>[1]Results!C1375</f>
        <v>Investissement entreprises</v>
      </c>
      <c r="C14" s="1">
        <f>[1]Results!F1375</f>
        <v>0</v>
      </c>
      <c r="D14" s="1">
        <f>[1]Results!G1375</f>
        <v>0</v>
      </c>
      <c r="E14" s="1">
        <f>[1]Results!H1375</f>
        <v>0</v>
      </c>
      <c r="F14" s="1">
        <f>[1]Results!I1375</f>
        <v>0</v>
      </c>
      <c r="G14" s="1">
        <f>[1]Results!J1375</f>
        <v>0</v>
      </c>
      <c r="H14" s="1">
        <f>[1]Results!K1375</f>
        <v>0</v>
      </c>
      <c r="I14" s="1">
        <f>[1]Results!L1375</f>
        <v>0</v>
      </c>
      <c r="J14" s="1">
        <f>[1]Results!M1375</f>
        <v>-2.1832998320784306E-3</v>
      </c>
      <c r="K14" s="1">
        <f>[1]Results!N1375</f>
        <v>-4.9226945606191379E-3</v>
      </c>
      <c r="L14" s="1">
        <f>[1]Results!O1375</f>
        <v>-6.4800595703729726E-3</v>
      </c>
      <c r="M14" s="1">
        <f>[1]Results!P1375</f>
        <v>-5.836006199009299E-3</v>
      </c>
      <c r="N14" s="1">
        <f>[1]Results!Q1375</f>
        <v>5.7485787170635924E-3</v>
      </c>
      <c r="O14" s="1">
        <f>[1]Results!R1375</f>
        <v>2.5274375666147549E-2</v>
      </c>
      <c r="P14" s="1">
        <f>[1]Results!S1375</f>
        <v>4.8927020021172427E-2</v>
      </c>
      <c r="Q14" s="1">
        <f>[1]Results!T1375</f>
        <v>7.3585549925708232E-2</v>
      </c>
      <c r="R14" s="1">
        <f>[1]Results!U1375</f>
        <v>9.7626428427629641E-2</v>
      </c>
      <c r="S14" s="1">
        <f>[1]Results!V1375</f>
        <v>0.11972579918038866</v>
      </c>
      <c r="T14" s="1">
        <f>[1]Results!W1375</f>
        <v>0.14044852634269459</v>
      </c>
      <c r="U14" s="1">
        <f>[1]Results!X1375</f>
        <v>0.16064221122164737</v>
      </c>
      <c r="V14" s="1">
        <f>[1]Results!Y1375</f>
        <v>0.18106142578587825</v>
      </c>
      <c r="W14" s="1">
        <f>[1]Results!Z1375</f>
        <v>0.2022053362928653</v>
      </c>
      <c r="X14" s="1">
        <f>[1]Results!AA1375</f>
        <v>0.22598797013580799</v>
      </c>
      <c r="Y14" s="1">
        <f>[1]Results!AB1375</f>
        <v>0.2522353781608383</v>
      </c>
      <c r="Z14" s="1">
        <f>[1]Results!AC1375</f>
        <v>0.28073079253114558</v>
      </c>
      <c r="AA14" s="1">
        <f>[1]Results!AD1375</f>
        <v>0.31144947114830929</v>
      </c>
      <c r="AB14" s="1">
        <f>[1]Results!AE1375</f>
        <v>0.34448135303031646</v>
      </c>
      <c r="AC14" s="1">
        <f>[1]Results!AF1375</f>
        <v>0.38198862953858087</v>
      </c>
      <c r="AD14" s="1">
        <f>[1]Results!AG1375</f>
        <v>0.42367881598001134</v>
      </c>
      <c r="AE14" s="1">
        <f>[1]Results!AH1375</f>
        <v>0.46912722169720678</v>
      </c>
      <c r="AF14" s="1">
        <f>[1]Results!AI1375</f>
        <v>0.51817742476777107</v>
      </c>
      <c r="AG14" s="1">
        <f>[1]Results!AJ1375</f>
        <v>0.5708696417275263</v>
      </c>
      <c r="AH14" s="1">
        <f>[1]Results!AK1375</f>
        <v>0.6277951333955587</v>
      </c>
      <c r="AI14" s="1">
        <f>[1]Results!AL1375</f>
        <v>0.68871836670846953</v>
      </c>
      <c r="AJ14" s="1">
        <f>[1]Results!AM1375</f>
        <v>0.75335295506703204</v>
      </c>
      <c r="AK14" s="1">
        <f>[1]Results!AN1375</f>
        <v>0.82141490786942872</v>
      </c>
      <c r="AL14" s="1">
        <f>[1]Results!AO1375</f>
        <v>0.89266147050867362</v>
      </c>
    </row>
    <row r="15" spans="1:38" x14ac:dyDescent="0.35">
      <c r="A15" s="3" t="str">
        <f>[1]Results!E1376</f>
        <v>100*((CH_ccon_2-CH_ccon_0)/GDP_0)</v>
      </c>
      <c r="B15" t="str">
        <f>[1]Results!C1376</f>
        <v>Investissement ménages</v>
      </c>
      <c r="C15" s="1">
        <f>[1]Results!F1376</f>
        <v>0</v>
      </c>
      <c r="D15" s="1">
        <f>[1]Results!G1376</f>
        <v>0</v>
      </c>
      <c r="E15" s="1">
        <f>[1]Results!H1376</f>
        <v>0</v>
      </c>
      <c r="F15" s="1">
        <f>[1]Results!I1376</f>
        <v>0</v>
      </c>
      <c r="G15" s="1">
        <f>[1]Results!J1376</f>
        <v>0</v>
      </c>
      <c r="H15" s="1">
        <f>[1]Results!K1376</f>
        <v>0</v>
      </c>
      <c r="I15" s="1">
        <f>[1]Results!L1376</f>
        <v>0</v>
      </c>
      <c r="J15" s="1">
        <f>[1]Results!M1376</f>
        <v>6.0269992822379344E-5</v>
      </c>
      <c r="K15" s="1">
        <f>[1]Results!N1376</f>
        <v>1.0938116084652653E-4</v>
      </c>
      <c r="L15" s="1">
        <f>[1]Results!O1376</f>
        <v>3.8167665953138568E-4</v>
      </c>
      <c r="M15" s="1">
        <f>[1]Results!P1376</f>
        <v>1.1212891260219291E-3</v>
      </c>
      <c r="N15" s="1">
        <f>[1]Results!Q1376</f>
        <v>2.0394122096358729E-3</v>
      </c>
      <c r="O15" s="1">
        <f>[1]Results!R1376</f>
        <v>3.8563911834519128E-3</v>
      </c>
      <c r="P15" s="1">
        <f>[1]Results!S1376</f>
        <v>6.1869706495030728E-3</v>
      </c>
      <c r="Q15" s="1">
        <f>[1]Results!T1376</f>
        <v>8.5675668258811764E-3</v>
      </c>
      <c r="R15" s="1">
        <f>[1]Results!U1376</f>
        <v>1.0750658429987694E-2</v>
      </c>
      <c r="S15" s="1">
        <f>[1]Results!V1376</f>
        <v>1.269257406070283E-2</v>
      </c>
      <c r="T15" s="1">
        <f>[1]Results!W1376</f>
        <v>1.4366626121698612E-2</v>
      </c>
      <c r="U15" s="1">
        <f>[1]Results!X1376</f>
        <v>1.585973018496642E-2</v>
      </c>
      <c r="V15" s="1">
        <f>[1]Results!Y1376</f>
        <v>1.7254061083166052E-2</v>
      </c>
      <c r="W15" s="1">
        <f>[1]Results!Z1376</f>
        <v>1.8601922741637033E-2</v>
      </c>
      <c r="X15" s="1">
        <f>[1]Results!AA1376</f>
        <v>1.9868323274437522E-2</v>
      </c>
      <c r="Y15" s="1">
        <f>[1]Results!AB1376</f>
        <v>2.1146102767538016E-2</v>
      </c>
      <c r="Z15" s="1">
        <f>[1]Results!AC1376</f>
        <v>2.2393316054442832E-2</v>
      </c>
      <c r="AA15" s="1">
        <f>[1]Results!AD1376</f>
        <v>2.3568088809243097E-2</v>
      </c>
      <c r="AB15" s="1">
        <f>[1]Results!AE1376</f>
        <v>2.4662583659083994E-2</v>
      </c>
      <c r="AC15" s="1">
        <f>[1]Results!AF1376</f>
        <v>2.554009766243685E-2</v>
      </c>
      <c r="AD15" s="1">
        <f>[1]Results!AG1376</f>
        <v>2.6254965449530838E-2</v>
      </c>
      <c r="AE15" s="1">
        <f>[1]Results!AH1376</f>
        <v>2.6806225485931839E-2</v>
      </c>
      <c r="AF15" s="1">
        <f>[1]Results!AI1376</f>
        <v>2.7192524641542298E-2</v>
      </c>
      <c r="AG15" s="1">
        <f>[1]Results!AJ1376</f>
        <v>2.7425183407288639E-2</v>
      </c>
      <c r="AH15" s="1">
        <f>[1]Results!AK1376</f>
        <v>2.7484055084419007E-2</v>
      </c>
      <c r="AI15" s="1">
        <f>[1]Results!AL1376</f>
        <v>2.7437665006101935E-2</v>
      </c>
      <c r="AJ15" s="1">
        <f>[1]Results!AM1376</f>
        <v>2.7295935567966868E-2</v>
      </c>
      <c r="AK15" s="1">
        <f>[1]Results!AN1376</f>
        <v>2.7071081719085982E-2</v>
      </c>
      <c r="AL15" s="1">
        <f>[1]Results!AO1376</f>
        <v>2.6789971250298906E-2</v>
      </c>
    </row>
    <row r="16" spans="1:38" x14ac:dyDescent="0.35">
      <c r="A16" s="3" t="str">
        <f>[1]Results!E1377</f>
        <v>100*((IA_spub_2-IA_spub_0)/GDP_0)</v>
      </c>
      <c r="B16" t="str">
        <f>[1]Results!C1377</f>
        <v>Investissement public</v>
      </c>
      <c r="C16" s="1">
        <f>[1]Results!F1377</f>
        <v>0</v>
      </c>
      <c r="D16" s="1">
        <f>[1]Results!G1377</f>
        <v>0</v>
      </c>
      <c r="E16" s="1">
        <f>[1]Results!H1377</f>
        <v>0</v>
      </c>
      <c r="F16" s="1">
        <f>[1]Results!I1377</f>
        <v>0</v>
      </c>
      <c r="G16" s="1">
        <f>[1]Results!J1377</f>
        <v>0</v>
      </c>
      <c r="H16" s="1">
        <f>[1]Results!K1377</f>
        <v>0</v>
      </c>
      <c r="I16" s="1">
        <f>[1]Results!L1377</f>
        <v>0</v>
      </c>
      <c r="J16" s="1">
        <f>[1]Results!M1377</f>
        <v>-6.3874549846809441E-4</v>
      </c>
      <c r="K16" s="1">
        <f>[1]Results!N1377</f>
        <v>-1.6647637020495826E-3</v>
      </c>
      <c r="L16" s="1">
        <f>[1]Results!O1377</f>
        <v>-2.946258015258601E-3</v>
      </c>
      <c r="M16" s="1">
        <f>[1]Results!P1377</f>
        <v>-4.4547628721312441E-3</v>
      </c>
      <c r="N16" s="1">
        <f>[1]Results!Q1377</f>
        <v>-4.2782625709170113E-3</v>
      </c>
      <c r="O16" s="1">
        <f>[1]Results!R1377</f>
        <v>-3.1891124546539313E-3</v>
      </c>
      <c r="P16" s="1">
        <f>[1]Results!S1377</f>
        <v>-1.6649732152563808E-3</v>
      </c>
      <c r="Q16" s="1">
        <f>[1]Results!T1377</f>
        <v>3.8073398596148065E-5</v>
      </c>
      <c r="R16" s="1">
        <f>[1]Results!U1377</f>
        <v>1.8217475835574145E-3</v>
      </c>
      <c r="S16" s="1">
        <f>[1]Results!V1377</f>
        <v>3.5232750055506409E-3</v>
      </c>
      <c r="T16" s="1">
        <f>[1]Results!W1377</f>
        <v>5.2371162235116267E-3</v>
      </c>
      <c r="U16" s="1">
        <f>[1]Results!X1377</f>
        <v>7.0354819644902027E-3</v>
      </c>
      <c r="V16" s="1">
        <f>[1]Results!Y1377</f>
        <v>8.9624580447835358E-3</v>
      </c>
      <c r="W16" s="1">
        <f>[1]Results!Z1377</f>
        <v>1.1039099694330281E-2</v>
      </c>
      <c r="X16" s="1">
        <f>[1]Results!AA1377</f>
        <v>1.3492752520855668E-2</v>
      </c>
      <c r="Y16" s="1">
        <f>[1]Results!AB1377</f>
        <v>1.6207167305078207E-2</v>
      </c>
      <c r="Z16" s="1">
        <f>[1]Results!AC1377</f>
        <v>1.90991772122894E-2</v>
      </c>
      <c r="AA16" s="1">
        <f>[1]Results!AD1377</f>
        <v>2.2113929263976023E-2</v>
      </c>
      <c r="AB16" s="1">
        <f>[1]Results!AE1377</f>
        <v>2.5216238987666968E-2</v>
      </c>
      <c r="AC16" s="1">
        <f>[1]Results!AF1377</f>
        <v>2.8492068141699974E-2</v>
      </c>
      <c r="AD16" s="1">
        <f>[1]Results!AG1377</f>
        <v>3.1778229386121279E-2</v>
      </c>
      <c r="AE16" s="1">
        <f>[1]Results!AH1377</f>
        <v>3.4974069321627804E-2</v>
      </c>
      <c r="AF16" s="1">
        <f>[1]Results!AI1377</f>
        <v>3.8027360641132102E-2</v>
      </c>
      <c r="AG16" s="1">
        <f>[1]Results!AJ1377</f>
        <v>4.0914180214611809E-2</v>
      </c>
      <c r="AH16" s="1">
        <f>[1]Results!AK1377</f>
        <v>4.369425608524239E-2</v>
      </c>
      <c r="AI16" s="1">
        <f>[1]Results!AL1377</f>
        <v>4.6312328220182844E-2</v>
      </c>
      <c r="AJ16" s="1">
        <f>[1]Results!AM1377</f>
        <v>4.8741221892910892E-2</v>
      </c>
      <c r="AK16" s="1">
        <f>[1]Results!AN1377</f>
        <v>5.097511590483228E-2</v>
      </c>
      <c r="AL16" s="1">
        <f>[1]Results!AO1377</f>
        <v>5.3023693766288515E-2</v>
      </c>
    </row>
    <row r="17" spans="1:38" x14ac:dyDescent="0.35">
      <c r="A17" s="3" t="str">
        <f>[1]Results!E1378</f>
        <v>100*(CH_2/CH_0-1)</v>
      </c>
      <c r="B17" t="str">
        <f>[1]Results!C1378</f>
        <v>Consommation des ménages</v>
      </c>
      <c r="C17" s="1">
        <f>[1]Results!F1378</f>
        <v>0</v>
      </c>
      <c r="D17" s="1">
        <f>[1]Results!G1378</f>
        <v>0</v>
      </c>
      <c r="E17" s="1">
        <f>[1]Results!H1378</f>
        <v>0</v>
      </c>
      <c r="F17" s="1">
        <f>[1]Results!I1378</f>
        <v>0</v>
      </c>
      <c r="G17" s="1">
        <f>[1]Results!J1378</f>
        <v>0</v>
      </c>
      <c r="H17" s="1">
        <f>[1]Results!K1378</f>
        <v>0</v>
      </c>
      <c r="I17" s="1">
        <f>[1]Results!L1378</f>
        <v>0</v>
      </c>
      <c r="J17" s="1">
        <f>[1]Results!M1378</f>
        <v>4.3659591924916086E-2</v>
      </c>
      <c r="K17" s="1">
        <f>[1]Results!N1378</f>
        <v>0.1518028595314691</v>
      </c>
      <c r="L17" s="1">
        <f>[1]Results!O1378</f>
        <v>0.35682001125159069</v>
      </c>
      <c r="M17" s="1">
        <f>[1]Results!P1378</f>
        <v>0.68827201041143926</v>
      </c>
      <c r="N17" s="1">
        <f>[1]Results!Q1378</f>
        <v>1.0315309892140245</v>
      </c>
      <c r="O17" s="1">
        <f>[1]Results!R1378</f>
        <v>1.3838710012986866</v>
      </c>
      <c r="P17" s="1">
        <f>[1]Results!S1378</f>
        <v>1.7103108273564871</v>
      </c>
      <c r="Q17" s="1">
        <f>[1]Results!T1378</f>
        <v>1.9945249609563342</v>
      </c>
      <c r="R17" s="1">
        <f>[1]Results!U1378</f>
        <v>2.2366776378577313</v>
      </c>
      <c r="S17" s="1">
        <f>[1]Results!V1378</f>
        <v>2.4519269834396118</v>
      </c>
      <c r="T17" s="1">
        <f>[1]Results!W1378</f>
        <v>2.6484778102565443</v>
      </c>
      <c r="U17" s="1">
        <f>[1]Results!X1378</f>
        <v>2.8341203157037809</v>
      </c>
      <c r="V17" s="1">
        <f>[1]Results!Y1378</f>
        <v>3.012823631952033</v>
      </c>
      <c r="W17" s="1">
        <f>[1]Results!Z1378</f>
        <v>3.1868192620077673</v>
      </c>
      <c r="X17" s="1">
        <f>[1]Results!AA1378</f>
        <v>3.3422923512873348</v>
      </c>
      <c r="Y17" s="1">
        <f>[1]Results!AB1378</f>
        <v>3.4805225479217716</v>
      </c>
      <c r="Z17" s="1">
        <f>[1]Results!AC1378</f>
        <v>3.6006172695183247</v>
      </c>
      <c r="AA17" s="1">
        <f>[1]Results!AD1378</f>
        <v>3.7044719782358237</v>
      </c>
      <c r="AB17" s="1">
        <f>[1]Results!AE1378</f>
        <v>3.7969582307080252</v>
      </c>
      <c r="AC17" s="1">
        <f>[1]Results!AF1378</f>
        <v>3.8572631662678436</v>
      </c>
      <c r="AD17" s="1">
        <f>[1]Results!AG1378</f>
        <v>3.8897225017825665</v>
      </c>
      <c r="AE17" s="1">
        <f>[1]Results!AH1378</f>
        <v>3.8999539838302288</v>
      </c>
      <c r="AF17" s="1">
        <f>[1]Results!AI1378</f>
        <v>3.8930329463797042</v>
      </c>
      <c r="AG17" s="1">
        <f>[1]Results!AJ1378</f>
        <v>3.8731412101364882</v>
      </c>
      <c r="AH17" s="1">
        <f>[1]Results!AK1378</f>
        <v>3.8360259603466451</v>
      </c>
      <c r="AI17" s="1">
        <f>[1]Results!AL1378</f>
        <v>3.7871933116988776</v>
      </c>
      <c r="AJ17" s="1">
        <f>[1]Results!AM1378</f>
        <v>3.7300414492313472</v>
      </c>
      <c r="AK17" s="1">
        <f>[1]Results!AN1378</f>
        <v>3.668726096293673</v>
      </c>
      <c r="AL17" s="1">
        <f>[1]Results!AO1378</f>
        <v>3.6079689467091169</v>
      </c>
    </row>
    <row r="18" spans="1:38" x14ac:dyDescent="0.35">
      <c r="A18" s="3" t="str">
        <f>[1]Results!E1379</f>
        <v>100*(CH_cveh_2/CH_cveh_0-1)</v>
      </c>
      <c r="B18" t="str">
        <f>[1]Results!C1379</f>
        <v>Consommation des ménages automobile</v>
      </c>
      <c r="C18" s="1">
        <f>[1]Results!F1379</f>
        <v>0</v>
      </c>
      <c r="D18" s="1">
        <f>[1]Results!G1379</f>
        <v>0</v>
      </c>
      <c r="E18" s="1">
        <f>[1]Results!H1379</f>
        <v>0</v>
      </c>
      <c r="F18" s="1">
        <f>[1]Results!I1379</f>
        <v>0</v>
      </c>
      <c r="G18" s="1">
        <f>[1]Results!J1379</f>
        <v>0</v>
      </c>
      <c r="H18" s="1">
        <f>[1]Results!K1379</f>
        <v>0</v>
      </c>
      <c r="I18" s="1">
        <f>[1]Results!L1379</f>
        <v>0</v>
      </c>
      <c r="J18" s="1">
        <f>[1]Results!M1379</f>
        <v>-0.56731168932987464</v>
      </c>
      <c r="K18" s="1">
        <f>[1]Results!N1379</f>
        <v>-1.4215663225462638</v>
      </c>
      <c r="L18" s="1">
        <f>[1]Results!O1379</f>
        <v>-2.4755251803462497</v>
      </c>
      <c r="M18" s="1">
        <f>[1]Results!P1379</f>
        <v>-3.8366437395730868</v>
      </c>
      <c r="N18" s="1">
        <f>[1]Results!Q1379</f>
        <v>-3.3829349577012668</v>
      </c>
      <c r="O18" s="1">
        <f>[1]Results!R1379</f>
        <v>-2.4389080290623699</v>
      </c>
      <c r="P18" s="1">
        <f>[1]Results!S1379</f>
        <v>-1.690561844050642</v>
      </c>
      <c r="Q18" s="1">
        <f>[1]Results!T1379</f>
        <v>-1.2757217144747868</v>
      </c>
      <c r="R18" s="1">
        <f>[1]Results!U1379</f>
        <v>-1.1411217574359478</v>
      </c>
      <c r="S18" s="1">
        <f>[1]Results!V1379</f>
        <v>-1.3681847000298619</v>
      </c>
      <c r="T18" s="1">
        <f>[1]Results!W1379</f>
        <v>-1.7462162267959158</v>
      </c>
      <c r="U18" s="1">
        <f>[1]Results!X1379</f>
        <v>-2.1691550152977856</v>
      </c>
      <c r="V18" s="1">
        <f>[1]Results!Y1379</f>
        <v>-2.6042646970041106</v>
      </c>
      <c r="W18" s="1">
        <f>[1]Results!Z1379</f>
        <v>-3.049893592398778</v>
      </c>
      <c r="X18" s="1">
        <f>[1]Results!AA1379</f>
        <v>-3.2507191287470705</v>
      </c>
      <c r="Y18" s="1">
        <f>[1]Results!AB1379</f>
        <v>-3.4251977354338714</v>
      </c>
      <c r="Z18" s="1">
        <f>[1]Results!AC1379</f>
        <v>-3.6608184523080456</v>
      </c>
      <c r="AA18" s="1">
        <f>[1]Results!AD1379</f>
        <v>-3.9645697847990879</v>
      </c>
      <c r="AB18" s="1">
        <f>[1]Results!AE1379</f>
        <v>-4.3314601224163756</v>
      </c>
      <c r="AC18" s="1">
        <f>[1]Results!AF1379</f>
        <v>-4.5850448416153817</v>
      </c>
      <c r="AD18" s="1">
        <f>[1]Results!AG1379</f>
        <v>-4.8552479794887855</v>
      </c>
      <c r="AE18" s="1">
        <f>[1]Results!AH1379</f>
        <v>-5.1818711700403863</v>
      </c>
      <c r="AF18" s="1">
        <f>[1]Results!AI1379</f>
        <v>-5.5606573290413852</v>
      </c>
      <c r="AG18" s="1">
        <f>[1]Results!AJ1379</f>
        <v>-5.9794481918410742</v>
      </c>
      <c r="AH18" s="1">
        <f>[1]Results!AK1379</f>
        <v>-6.3200847021057882</v>
      </c>
      <c r="AI18" s="1">
        <f>[1]Results!AL1379</f>
        <v>-6.6742709706085979</v>
      </c>
      <c r="AJ18" s="1">
        <f>[1]Results!AM1379</f>
        <v>-7.0712636924243455</v>
      </c>
      <c r="AK18" s="1">
        <f>[1]Results!AN1379</f>
        <v>-7.506778058186514</v>
      </c>
      <c r="AL18" s="1">
        <f>[1]Results!AO1379</f>
        <v>-7.9684264950491084</v>
      </c>
    </row>
    <row r="19" spans="1:38" x14ac:dyDescent="0.35">
      <c r="A19" s="3" t="str">
        <f>[1]Results!E1380</f>
        <v>100*(G_2/G_0-1)</v>
      </c>
      <c r="B19" t="str">
        <f>[1]Results!C1380</f>
        <v>Dépenses publiques</v>
      </c>
      <c r="C19" s="1">
        <f>[1]Results!F1380</f>
        <v>0</v>
      </c>
      <c r="D19" s="1">
        <f>[1]Results!G1380</f>
        <v>0</v>
      </c>
      <c r="E19" s="1">
        <f>[1]Results!H1380</f>
        <v>0</v>
      </c>
      <c r="F19" s="1">
        <f>[1]Results!I1380</f>
        <v>0</v>
      </c>
      <c r="G19" s="1">
        <f>[1]Results!J1380</f>
        <v>0</v>
      </c>
      <c r="H19" s="1">
        <f>[1]Results!K1380</f>
        <v>0</v>
      </c>
      <c r="I19" s="1">
        <f>[1]Results!L1380</f>
        <v>0</v>
      </c>
      <c r="J19" s="1">
        <f>[1]Results!M1380</f>
        <v>0</v>
      </c>
      <c r="K19" s="1">
        <f>[1]Results!N1380</f>
        <v>0</v>
      </c>
      <c r="L19" s="1">
        <f>[1]Results!O1380</f>
        <v>0</v>
      </c>
      <c r="M19" s="1">
        <f>[1]Results!P1380</f>
        <v>0</v>
      </c>
      <c r="N19" s="1">
        <f>[1]Results!Q1380</f>
        <v>0</v>
      </c>
      <c r="O19" s="1">
        <f>[1]Results!R1380</f>
        <v>0</v>
      </c>
      <c r="P19" s="1">
        <f>[1]Results!S1380</f>
        <v>0</v>
      </c>
      <c r="Q19" s="1">
        <f>[1]Results!T1380</f>
        <v>0</v>
      </c>
      <c r="R19" s="1">
        <f>[1]Results!U1380</f>
        <v>0</v>
      </c>
      <c r="S19" s="1">
        <f>[1]Results!V1380</f>
        <v>0</v>
      </c>
      <c r="T19" s="1">
        <f>[1]Results!W1380</f>
        <v>0</v>
      </c>
      <c r="U19" s="1">
        <f>[1]Results!X1380</f>
        <v>0</v>
      </c>
      <c r="V19" s="1">
        <f>[1]Results!Y1380</f>
        <v>0</v>
      </c>
      <c r="W19" s="1">
        <f>[1]Results!Z1380</f>
        <v>0</v>
      </c>
      <c r="X19" s="1">
        <f>[1]Results!AA1380</f>
        <v>0</v>
      </c>
      <c r="Y19" s="1">
        <f>[1]Results!AB1380</f>
        <v>0</v>
      </c>
      <c r="Z19" s="1">
        <f>[1]Results!AC1380</f>
        <v>0</v>
      </c>
      <c r="AA19" s="1">
        <f>[1]Results!AD1380</f>
        <v>0</v>
      </c>
      <c r="AB19" s="1">
        <f>[1]Results!AE1380</f>
        <v>0</v>
      </c>
      <c r="AC19" s="1">
        <f>[1]Results!AF1380</f>
        <v>0</v>
      </c>
      <c r="AD19" s="1">
        <f>[1]Results!AG1380</f>
        <v>0</v>
      </c>
      <c r="AE19" s="1">
        <f>[1]Results!AH1380</f>
        <v>0</v>
      </c>
      <c r="AF19" s="1">
        <f>[1]Results!AI1380</f>
        <v>0</v>
      </c>
      <c r="AG19" s="1">
        <f>[1]Results!AJ1380</f>
        <v>0</v>
      </c>
      <c r="AH19" s="1">
        <f>[1]Results!AK1380</f>
        <v>0</v>
      </c>
      <c r="AI19" s="1">
        <f>[1]Results!AL1380</f>
        <v>0</v>
      </c>
      <c r="AJ19" s="1">
        <f>[1]Results!AM1380</f>
        <v>0</v>
      </c>
      <c r="AK19" s="1">
        <f>[1]Results!AN1380</f>
        <v>0</v>
      </c>
      <c r="AL19" s="1">
        <f>[1]Results!AO1380</f>
        <v>0</v>
      </c>
    </row>
    <row r="20" spans="1:38" x14ac:dyDescent="0.35">
      <c r="A20" s="3" t="str">
        <f>[1]Results!E1381</f>
        <v>100*(I_2/I_0-1)</v>
      </c>
      <c r="B20" t="str">
        <f>[1]Results!C1381</f>
        <v>Investissement</v>
      </c>
      <c r="C20" s="1">
        <f>[1]Results!F1381</f>
        <v>0</v>
      </c>
      <c r="D20" s="1">
        <f>[1]Results!G1381</f>
        <v>0</v>
      </c>
      <c r="E20" s="1">
        <f>[1]Results!H1381</f>
        <v>0</v>
      </c>
      <c r="F20" s="1">
        <f>[1]Results!I1381</f>
        <v>0</v>
      </c>
      <c r="G20" s="1">
        <f>[1]Results!J1381</f>
        <v>0</v>
      </c>
      <c r="H20" s="1">
        <f>[1]Results!K1381</f>
        <v>0</v>
      </c>
      <c r="I20" s="1">
        <f>[1]Results!L1381</f>
        <v>0</v>
      </c>
      <c r="J20" s="1">
        <f>[1]Results!M1381</f>
        <v>-1.2893837728855662E-2</v>
      </c>
      <c r="K20" s="1">
        <f>[1]Results!N1381</f>
        <v>-2.9925666157337716E-2</v>
      </c>
      <c r="L20" s="1">
        <f>[1]Results!O1381</f>
        <v>-4.255115849545188E-2</v>
      </c>
      <c r="M20" s="1">
        <f>[1]Results!P1381</f>
        <v>-4.612634437108909E-2</v>
      </c>
      <c r="N20" s="1">
        <f>[1]Results!Q1381</f>
        <v>6.5363483876756945E-3</v>
      </c>
      <c r="O20" s="1">
        <f>[1]Results!R1381</f>
        <v>9.7345983469088182E-2</v>
      </c>
      <c r="P20" s="1">
        <f>[1]Results!S1381</f>
        <v>0.20650167151607945</v>
      </c>
      <c r="Q20" s="1">
        <f>[1]Results!T1381</f>
        <v>0.31882050740212886</v>
      </c>
      <c r="R20" s="1">
        <f>[1]Results!U1381</f>
        <v>0.42675555588276293</v>
      </c>
      <c r="S20" s="1">
        <f>[1]Results!V1381</f>
        <v>0.52403435284353872</v>
      </c>
      <c r="T20" s="1">
        <f>[1]Results!W1381</f>
        <v>0.6136961219895154</v>
      </c>
      <c r="U20" s="1">
        <f>[1]Results!X1381</f>
        <v>0.69977955656090884</v>
      </c>
      <c r="V20" s="1">
        <f>[1]Results!Y1381</f>
        <v>0.78567942748797304</v>
      </c>
      <c r="W20" s="1">
        <f>[1]Results!Z1381</f>
        <v>0.87350240357846332</v>
      </c>
      <c r="X20" s="1">
        <f>[1]Results!AA1381</f>
        <v>0.97201635566470657</v>
      </c>
      <c r="Y20" s="1">
        <f>[1]Results!AB1381</f>
        <v>1.079775949095052</v>
      </c>
      <c r="Z20" s="1">
        <f>[1]Results!AC1381</f>
        <v>1.1953332667383743</v>
      </c>
      <c r="AA20" s="1">
        <f>[1]Results!AD1381</f>
        <v>1.3181295477076471</v>
      </c>
      <c r="AB20" s="1">
        <f>[1]Results!AE1381</f>
        <v>1.4479348877181941</v>
      </c>
      <c r="AC20" s="1">
        <f>[1]Results!AF1381</f>
        <v>1.5955118833321347</v>
      </c>
      <c r="AD20" s="1">
        <f>[1]Results!AG1381</f>
        <v>1.7589111938137281</v>
      </c>
      <c r="AE20" s="1">
        <f>[1]Results!AH1381</f>
        <v>1.9357097612109575</v>
      </c>
      <c r="AF20" s="1">
        <f>[1]Results!AI1381</f>
        <v>2.124656618166143</v>
      </c>
      <c r="AG20" s="1">
        <f>[1]Results!AJ1381</f>
        <v>2.3254324569181861</v>
      </c>
      <c r="AH20" s="1">
        <f>[1]Results!AK1381</f>
        <v>2.5402274765420785</v>
      </c>
      <c r="AI20" s="1">
        <f>[1]Results!AL1381</f>
        <v>2.7676863252579231</v>
      </c>
      <c r="AJ20" s="1">
        <f>[1]Results!AM1381</f>
        <v>3.0063746564895855</v>
      </c>
      <c r="AK20" s="1">
        <f>[1]Results!AN1381</f>
        <v>3.254953687851847</v>
      </c>
      <c r="AL20" s="1">
        <f>[1]Results!AO1381</f>
        <v>3.5123119318505758</v>
      </c>
    </row>
    <row r="21" spans="1:38" x14ac:dyDescent="0.35">
      <c r="A21" s="3" t="str">
        <f>[1]Results!E1382</f>
        <v>100*((I_2-IA_spub_2)/(I_0-IA_spub_0)-1)</v>
      </c>
      <c r="B21" t="str">
        <f>[1]Results!C1382</f>
        <v>Investissement entreprises</v>
      </c>
      <c r="C21" s="1">
        <f>[1]Results!F1382</f>
        <v>0</v>
      </c>
      <c r="D21" s="1">
        <f>[1]Results!G1382</f>
        <v>0</v>
      </c>
      <c r="E21" s="1">
        <f>[1]Results!H1382</f>
        <v>0</v>
      </c>
      <c r="F21" s="1">
        <f>[1]Results!I1382</f>
        <v>0</v>
      </c>
      <c r="G21" s="1">
        <f>[1]Results!J1382</f>
        <v>0</v>
      </c>
      <c r="H21" s="1">
        <f>[1]Results!K1382</f>
        <v>0</v>
      </c>
      <c r="I21" s="1">
        <f>[1]Results!L1382</f>
        <v>0</v>
      </c>
      <c r="J21" s="1">
        <f>[1]Results!M1382</f>
        <v>-1.0823947190519156E-2</v>
      </c>
      <c r="K21" s="1">
        <f>[1]Results!N1382</f>
        <v>-2.4237876954347204E-2</v>
      </c>
      <c r="L21" s="1">
        <f>[1]Results!O1382</f>
        <v>-3.1667191724082944E-2</v>
      </c>
      <c r="M21" s="1">
        <f>[1]Results!P1382</f>
        <v>-2.8286107858921383E-2</v>
      </c>
      <c r="N21" s="1">
        <f>[1]Results!Q1382</f>
        <v>2.7605146877118791E-2</v>
      </c>
      <c r="O21" s="1">
        <f>[1]Results!R1382</f>
        <v>0.1202290258811356</v>
      </c>
      <c r="P21" s="1">
        <f>[1]Results!S1382</f>
        <v>0.23053283519511858</v>
      </c>
      <c r="Q21" s="1">
        <f>[1]Results!T1382</f>
        <v>0.34339346534479898</v>
      </c>
      <c r="R21" s="1">
        <f>[1]Results!U1382</f>
        <v>0.45117156567719974</v>
      </c>
      <c r="S21" s="1">
        <f>[1]Results!V1382</f>
        <v>0.54788317498477568</v>
      </c>
      <c r="T21" s="1">
        <f>[1]Results!W1382</f>
        <v>0.63636932795709811</v>
      </c>
      <c r="U21" s="1">
        <f>[1]Results!X1382</f>
        <v>0.72064539525114046</v>
      </c>
      <c r="V21" s="1">
        <f>[1]Results!Y1382</f>
        <v>0.80415859962295055</v>
      </c>
      <c r="W21" s="1">
        <f>[1]Results!Z1382</f>
        <v>0.88907358429288763</v>
      </c>
      <c r="X21" s="1">
        <f>[1]Results!AA1382</f>
        <v>0.98378407593671113</v>
      </c>
      <c r="Y21" s="1">
        <f>[1]Results!AB1382</f>
        <v>1.0872295972472301</v>
      </c>
      <c r="Z21" s="1">
        <f>[1]Results!AC1382</f>
        <v>1.1981886995924729</v>
      </c>
      <c r="AA21" s="1">
        <f>[1]Results!AD1382</f>
        <v>1.3162666130082323</v>
      </c>
      <c r="AB21" s="1">
        <f>[1]Results!AE1382</f>
        <v>1.4413558580621766</v>
      </c>
      <c r="AC21" s="1">
        <f>[1]Results!AF1382</f>
        <v>1.5845013249072393</v>
      </c>
      <c r="AD21" s="1">
        <f>[1]Results!AG1382</f>
        <v>1.7442334394160763</v>
      </c>
      <c r="AE21" s="1">
        <f>[1]Results!AH1382</f>
        <v>1.9183196982289541</v>
      </c>
      <c r="AF21" s="1">
        <f>[1]Results!AI1382</f>
        <v>2.105606633052548</v>
      </c>
      <c r="AG21" s="1">
        <f>[1]Results!AJ1382</f>
        <v>2.3058364757933658</v>
      </c>
      <c r="AH21" s="1">
        <f>[1]Results!AK1382</f>
        <v>2.5210855782703767</v>
      </c>
      <c r="AI21" s="1">
        <f>[1]Results!AL1382</f>
        <v>2.7501307081866155</v>
      </c>
      <c r="AJ21" s="1">
        <f>[1]Results!AM1382</f>
        <v>2.9915622188712687</v>
      </c>
      <c r="AK21" s="1">
        <f>[1]Results!AN1382</f>
        <v>3.2439979612025382</v>
      </c>
      <c r="AL21" s="1">
        <f>[1]Results!AO1382</f>
        <v>3.5062458158267251</v>
      </c>
    </row>
    <row r="22" spans="1:38" x14ac:dyDescent="0.35">
      <c r="A22" s="3" t="str">
        <f>[1]Results!E1383</f>
        <v>100*(X_2/X_0-1)</v>
      </c>
      <c r="B22" t="s">
        <v>24</v>
      </c>
      <c r="C22" s="1">
        <f>[1]Results!F1383</f>
        <v>0</v>
      </c>
      <c r="D22" s="1">
        <f>[1]Results!G1383</f>
        <v>0</v>
      </c>
      <c r="E22" s="1">
        <f>[1]Results!H1383</f>
        <v>0</v>
      </c>
      <c r="F22" s="1">
        <f>[1]Results!I1383</f>
        <v>0</v>
      </c>
      <c r="G22" s="1">
        <f>[1]Results!J1383</f>
        <v>0</v>
      </c>
      <c r="H22" s="1">
        <f>[1]Results!K1383</f>
        <v>0</v>
      </c>
      <c r="I22" s="1">
        <f>[1]Results!L1383</f>
        <v>0</v>
      </c>
      <c r="J22" s="1">
        <f>[1]Results!M1383</f>
        <v>-3.6559399706004303E-2</v>
      </c>
      <c r="K22" s="1">
        <f>[1]Results!N1383</f>
        <v>-0.13715467046253593</v>
      </c>
      <c r="L22" s="1">
        <f>[1]Results!O1383</f>
        <v>-0.32936245743734327</v>
      </c>
      <c r="M22" s="1">
        <f>[1]Results!P1383</f>
        <v>-0.64630356651446119</v>
      </c>
      <c r="N22" s="1">
        <f>[1]Results!Q1383</f>
        <v>-1.010875343343931</v>
      </c>
      <c r="O22" s="1">
        <f>[1]Results!R1383</f>
        <v>-1.3909427820815834</v>
      </c>
      <c r="P22" s="1">
        <f>[1]Results!S1383</f>
        <v>-1.7744420416081819</v>
      </c>
      <c r="Q22" s="1">
        <f>[1]Results!T1383</f>
        <v>-2.1566211913056077</v>
      </c>
      <c r="R22" s="1">
        <f>[1]Results!U1383</f>
        <v>-2.534616473161555</v>
      </c>
      <c r="S22" s="1">
        <f>[1]Results!V1383</f>
        <v>-2.9135830085370573</v>
      </c>
      <c r="T22" s="1">
        <f>[1]Results!W1383</f>
        <v>-3.2947264666827736</v>
      </c>
      <c r="U22" s="1">
        <f>[1]Results!X1383</f>
        <v>-3.677690037696868</v>
      </c>
      <c r="V22" s="1">
        <f>[1]Results!Y1383</f>
        <v>-4.0618132209567452</v>
      </c>
      <c r="W22" s="1">
        <f>[1]Results!Z1383</f>
        <v>-4.4466395714647504</v>
      </c>
      <c r="X22" s="1">
        <f>[1]Results!AA1383</f>
        <v>-4.8219981002958985</v>
      </c>
      <c r="Y22" s="1">
        <f>[1]Results!AB1383</f>
        <v>-5.1832240098306892</v>
      </c>
      <c r="Z22" s="1">
        <f>[1]Results!AC1383</f>
        <v>-5.5282713865234534</v>
      </c>
      <c r="AA22" s="1">
        <f>[1]Results!AD1383</f>
        <v>-5.8561742439200533</v>
      </c>
      <c r="AB22" s="1">
        <f>[1]Results!AE1383</f>
        <v>-6.1664259721205479</v>
      </c>
      <c r="AC22" s="1">
        <f>[1]Results!AF1383</f>
        <v>-6.4508433906404257</v>
      </c>
      <c r="AD22" s="1">
        <f>[1]Results!AG1383</f>
        <v>-6.7072283440032461</v>
      </c>
      <c r="AE22" s="1">
        <f>[1]Results!AH1383</f>
        <v>-6.9357142210458411</v>
      </c>
      <c r="AF22" s="1">
        <f>[1]Results!AI1383</f>
        <v>-7.1374940923865982</v>
      </c>
      <c r="AG22" s="1">
        <f>[1]Results!AJ1383</f>
        <v>-7.3143620950355759</v>
      </c>
      <c r="AH22" s="1">
        <f>[1]Results!AK1383</f>
        <v>-7.4644776827670682</v>
      </c>
      <c r="AI22" s="1">
        <f>[1]Results!AL1383</f>
        <v>-7.5887256279614013</v>
      </c>
      <c r="AJ22" s="1">
        <f>[1]Results!AM1383</f>
        <v>-7.6894010892507803</v>
      </c>
      <c r="AK22" s="1">
        <f>[1]Results!AN1383</f>
        <v>-7.7694655506551964</v>
      </c>
      <c r="AL22" s="1">
        <f>[1]Results!AO1383</f>
        <v>-7.8321619527870752</v>
      </c>
    </row>
    <row r="23" spans="1:38" x14ac:dyDescent="0.35">
      <c r="A23" s="3" t="str">
        <f>[1]Results!E1384</f>
        <v>100*(M_2/M_0-1)</v>
      </c>
      <c r="B23" t="s">
        <v>25</v>
      </c>
      <c r="C23" s="1">
        <f>[1]Results!F1384</f>
        <v>0</v>
      </c>
      <c r="D23" s="1">
        <f>[1]Results!G1384</f>
        <v>0</v>
      </c>
      <c r="E23" s="1">
        <f>[1]Results!H1384</f>
        <v>0</v>
      </c>
      <c r="F23" s="1">
        <f>[1]Results!I1384</f>
        <v>0</v>
      </c>
      <c r="G23" s="1">
        <f>[1]Results!J1384</f>
        <v>0</v>
      </c>
      <c r="H23" s="1">
        <f>[1]Results!K1384</f>
        <v>0</v>
      </c>
      <c r="I23" s="1">
        <f>[1]Results!L1384</f>
        <v>0</v>
      </c>
      <c r="J23" s="1">
        <f>[1]Results!M1384</f>
        <v>-3.6576814616195996E-2</v>
      </c>
      <c r="K23" s="1">
        <f>[1]Results!N1384</f>
        <v>-8.6005925978727138E-2</v>
      </c>
      <c r="L23" s="1">
        <f>[1]Results!O1384</f>
        <v>-0.12670077635406063</v>
      </c>
      <c r="M23" s="1">
        <f>[1]Results!P1384</f>
        <v>-0.14454332197424424</v>
      </c>
      <c r="N23" s="1">
        <f>[1]Results!Q1384</f>
        <v>-3.4120291346650955E-2</v>
      </c>
      <c r="O23" s="1">
        <f>[1]Results!R1384</f>
        <v>0.13723225614421519</v>
      </c>
      <c r="P23" s="1">
        <f>[1]Results!S1384</f>
        <v>0.31716933488836752</v>
      </c>
      <c r="Q23" s="1">
        <f>[1]Results!T1384</f>
        <v>0.48287045158050823</v>
      </c>
      <c r="R23" s="1">
        <f>[1]Results!U1384</f>
        <v>0.62800282509714034</v>
      </c>
      <c r="S23" s="1">
        <f>[1]Results!V1384</f>
        <v>0.74703237546889234</v>
      </c>
      <c r="T23" s="1">
        <f>[1]Results!W1384</f>
        <v>0.84931650800110781</v>
      </c>
      <c r="U23" s="1">
        <f>[1]Results!X1384</f>
        <v>0.94115706794706266</v>
      </c>
      <c r="V23" s="1">
        <f>[1]Results!Y1384</f>
        <v>1.0253420877164077</v>
      </c>
      <c r="W23" s="1">
        <f>[1]Results!Z1384</f>
        <v>1.1024537096759213</v>
      </c>
      <c r="X23" s="1">
        <f>[1]Results!AA1384</f>
        <v>1.1799904459429911</v>
      </c>
      <c r="Y23" s="1">
        <f>[1]Results!AB1384</f>
        <v>1.2489603631508084</v>
      </c>
      <c r="Z23" s="1">
        <f>[1]Results!AC1384</f>
        <v>1.3049189866165989</v>
      </c>
      <c r="AA23" s="1">
        <f>[1]Results!AD1384</f>
        <v>1.347875485854888</v>
      </c>
      <c r="AB23" s="1">
        <f>[1]Results!AE1384</f>
        <v>1.3784219070494874</v>
      </c>
      <c r="AC23" s="1">
        <f>[1]Results!AF1384</f>
        <v>1.4006820585351853</v>
      </c>
      <c r="AD23" s="1">
        <f>[1]Results!AG1384</f>
        <v>1.4113145369024416</v>
      </c>
      <c r="AE23" s="1">
        <f>[1]Results!AH1384</f>
        <v>1.4104937460360789</v>
      </c>
      <c r="AF23" s="1">
        <f>[1]Results!AI1384</f>
        <v>1.4012297445338939</v>
      </c>
      <c r="AG23" s="1">
        <f>[1]Results!AJ1384</f>
        <v>1.3870866973265006</v>
      </c>
      <c r="AH23" s="1">
        <f>[1]Results!AK1384</f>
        <v>1.3726505407312573</v>
      </c>
      <c r="AI23" s="1">
        <f>[1]Results!AL1384</f>
        <v>1.3573388638447481</v>
      </c>
      <c r="AJ23" s="1">
        <f>[1]Results!AM1384</f>
        <v>1.3415891704075422</v>
      </c>
      <c r="AK23" s="1">
        <f>[1]Results!AN1384</f>
        <v>1.3269285897467009</v>
      </c>
      <c r="AL23" s="1">
        <f>[1]Results!AO1384</f>
        <v>1.315311807242292</v>
      </c>
    </row>
    <row r="24" spans="1:38" x14ac:dyDescent="0.35">
      <c r="A24" s="3" t="str">
        <f>[1]Results!E1385</f>
        <v>100*((CH_2-CH_ccon_2)/(CH_0-CH_ccon_0)-1)</v>
      </c>
      <c r="B24" t="str">
        <f>[1]Results!C1385</f>
        <v>Consommation des ménages</v>
      </c>
      <c r="C24" s="1">
        <f>[1]Results!F1385</f>
        <v>0</v>
      </c>
      <c r="D24" s="1">
        <f>[1]Results!G1385</f>
        <v>0</v>
      </c>
      <c r="E24" s="1">
        <f>[1]Results!H1385</f>
        <v>0</v>
      </c>
      <c r="F24" s="1">
        <f>[1]Results!I1385</f>
        <v>0</v>
      </c>
      <c r="G24" s="1">
        <f>[1]Results!J1385</f>
        <v>0</v>
      </c>
      <c r="H24" s="1">
        <f>[1]Results!K1385</f>
        <v>0</v>
      </c>
      <c r="I24" s="1">
        <f>[1]Results!L1385</f>
        <v>0</v>
      </c>
      <c r="J24" s="1">
        <f>[1]Results!M1385</f>
        <v>4.4201358677131708E-2</v>
      </c>
      <c r="K24" s="1">
        <f>[1]Results!N1385</f>
        <v>0.15387033474567602</v>
      </c>
      <c r="L24" s="1">
        <f>[1]Results!O1385</f>
        <v>0.361445235314517</v>
      </c>
      <c r="M24" s="1">
        <f>[1]Results!P1385</f>
        <v>0.69647601151101579</v>
      </c>
      <c r="N24" s="1">
        <f>[1]Results!Q1385</f>
        <v>1.0431648122926962</v>
      </c>
      <c r="O24" s="1">
        <f>[1]Results!R1385</f>
        <v>1.397434657092389</v>
      </c>
      <c r="P24" s="1">
        <f>[1]Results!S1385</f>
        <v>1.724506997863684</v>
      </c>
      <c r="Q24" s="1">
        <f>[1]Results!T1385</f>
        <v>2.0086621713867991</v>
      </c>
      <c r="R24" s="1">
        <f>[1]Results!U1385</f>
        <v>2.2505060525443765</v>
      </c>
      <c r="S24" s="1">
        <f>[1]Results!V1385</f>
        <v>2.4654866526905295</v>
      </c>
      <c r="T24" s="1">
        <f>[1]Results!W1385</f>
        <v>2.6619663060041043</v>
      </c>
      <c r="U24" s="1">
        <f>[1]Results!X1385</f>
        <v>2.847681861673057</v>
      </c>
      <c r="V24" s="1">
        <f>[1]Results!Y1385</f>
        <v>3.0265026345029034</v>
      </c>
      <c r="W24" s="1">
        <f>[1]Results!Z1385</f>
        <v>3.2005833412896978</v>
      </c>
      <c r="X24" s="1">
        <f>[1]Results!AA1385</f>
        <v>3.3559642973231441</v>
      </c>
      <c r="Y24" s="1">
        <f>[1]Results!AB1385</f>
        <v>3.4937642313547013</v>
      </c>
      <c r="Z24" s="1">
        <f>[1]Results!AC1385</f>
        <v>3.6131524503534962</v>
      </c>
      <c r="AA24" s="1">
        <f>[1]Results!AD1385</f>
        <v>3.7161343962735405</v>
      </c>
      <c r="AB24" s="1">
        <f>[1]Results!AE1385</f>
        <v>3.8076562162552952</v>
      </c>
      <c r="AC24" s="1">
        <f>[1]Results!AF1385</f>
        <v>3.8668763551963359</v>
      </c>
      <c r="AD24" s="1">
        <f>[1]Results!AG1385</f>
        <v>3.8981168235884489</v>
      </c>
      <c r="AE24" s="1">
        <f>[1]Results!AH1385</f>
        <v>3.9071066375305552</v>
      </c>
      <c r="AF24" s="1">
        <f>[1]Results!AI1385</f>
        <v>3.899028342310995</v>
      </c>
      <c r="AG24" s="1">
        <f>[1]Results!AJ1385</f>
        <v>3.8781273081369916</v>
      </c>
      <c r="AH24" s="1">
        <f>[1]Results!AK1385</f>
        <v>3.8401379290266879</v>
      </c>
      <c r="AI24" s="1">
        <f>[1]Results!AL1385</f>
        <v>3.7905189618799628</v>
      </c>
      <c r="AJ24" s="1">
        <f>[1]Results!AM1385</f>
        <v>3.7326982619854343</v>
      </c>
      <c r="AK24" s="1">
        <f>[1]Results!AN1385</f>
        <v>3.6708648911224939</v>
      </c>
      <c r="AL24" s="1">
        <f>[1]Results!AO1385</f>
        <v>3.6097517933457723</v>
      </c>
    </row>
    <row r="25" spans="1:38" x14ac:dyDescent="0.35">
      <c r="A25" s="3" t="str">
        <f>[1]Results!E1386</f>
        <v>100*((I_2+CH_ccon_2)/(I_0+CH_ccon_0)-1)</v>
      </c>
      <c r="B25" t="str">
        <f>[1]Results!C1386</f>
        <v>Investissement</v>
      </c>
      <c r="C25" s="1">
        <f>[1]Results!F1386</f>
        <v>0</v>
      </c>
      <c r="D25" s="1">
        <f>[1]Results!G1386</f>
        <v>0</v>
      </c>
      <c r="E25" s="1">
        <f>[1]Results!H1386</f>
        <v>0</v>
      </c>
      <c r="F25" s="1">
        <f>[1]Results!I1386</f>
        <v>0</v>
      </c>
      <c r="G25" s="1">
        <f>[1]Results!J1386</f>
        <v>0</v>
      </c>
      <c r="H25" s="1">
        <f>[1]Results!K1386</f>
        <v>0</v>
      </c>
      <c r="I25" s="1">
        <f>[1]Results!L1386</f>
        <v>0</v>
      </c>
      <c r="J25" s="1">
        <f>[1]Results!M1386</f>
        <v>-1.2168926342071007E-2</v>
      </c>
      <c r="K25" s="1">
        <f>[1]Results!N1386</f>
        <v>-2.8385882593440215E-2</v>
      </c>
      <c r="L25" s="1">
        <f>[1]Results!O1386</f>
        <v>-3.9390186904753044E-2</v>
      </c>
      <c r="M25" s="1">
        <f>[1]Results!P1386</f>
        <v>-3.9661831707060724E-2</v>
      </c>
      <c r="N25" s="1">
        <f>[1]Results!Q1386</f>
        <v>1.505977722313645E-2</v>
      </c>
      <c r="O25" s="1">
        <f>[1]Results!R1386</f>
        <v>0.1103882428401981</v>
      </c>
      <c r="P25" s="1">
        <f>[1]Results!S1386</f>
        <v>0.22550194524175726</v>
      </c>
      <c r="Q25" s="1">
        <f>[1]Results!T1386</f>
        <v>0.34375569538493966</v>
      </c>
      <c r="R25" s="1">
        <f>[1]Results!U1386</f>
        <v>0.45683689462068244</v>
      </c>
      <c r="S25" s="1">
        <f>[1]Results!V1386</f>
        <v>0.55853318039520428</v>
      </c>
      <c r="T25" s="1">
        <f>[1]Results!W1386</f>
        <v>0.65170327099650649</v>
      </c>
      <c r="U25" s="1">
        <f>[1]Results!X1386</f>
        <v>0.74063672180721962</v>
      </c>
      <c r="V25" s="1">
        <f>[1]Results!Y1386</f>
        <v>0.82897091431579639</v>
      </c>
      <c r="W25" s="1">
        <f>[1]Results!Z1386</f>
        <v>0.9189736395507353</v>
      </c>
      <c r="X25" s="1">
        <f>[1]Results!AA1386</f>
        <v>1.0190093606740058</v>
      </c>
      <c r="Y25" s="1">
        <f>[1]Results!AB1386</f>
        <v>1.1280675526252226</v>
      </c>
      <c r="Z25" s="1">
        <f>[1]Results!AC1386</f>
        <v>1.2445959020995767</v>
      </c>
      <c r="AA25" s="1">
        <f>[1]Results!AD1386</f>
        <v>1.3679036126842625</v>
      </c>
      <c r="AB25" s="1">
        <f>[1]Results!AE1386</f>
        <v>1.4977632993036005</v>
      </c>
      <c r="AC25" s="1">
        <f>[1]Results!AF1386</f>
        <v>1.6441680541393833</v>
      </c>
      <c r="AD25" s="1">
        <f>[1]Results!AG1386</f>
        <v>1.8054401465928294</v>
      </c>
      <c r="AE25" s="1">
        <f>[1]Results!AH1386</f>
        <v>1.9792123617348611</v>
      </c>
      <c r="AF25" s="1">
        <f>[1]Results!AI1386</f>
        <v>2.1642413058663879</v>
      </c>
      <c r="AG25" s="1">
        <f>[1]Results!AJ1386</f>
        <v>2.3602369089091413</v>
      </c>
      <c r="AH25" s="1">
        <f>[1]Results!AK1386</f>
        <v>2.5692398518258441</v>
      </c>
      <c r="AI25" s="1">
        <f>[1]Results!AL1386</f>
        <v>2.7901797221802083</v>
      </c>
      <c r="AJ25" s="1">
        <f>[1]Results!AM1386</f>
        <v>3.0216941227511063</v>
      </c>
      <c r="AK25" s="1">
        <f>[1]Results!AN1386</f>
        <v>3.262524090128438</v>
      </c>
      <c r="AL25" s="1">
        <f>[1]Results!AO1386</f>
        <v>3.5116868813095614</v>
      </c>
    </row>
    <row r="26" spans="1:38" x14ac:dyDescent="0.35">
      <c r="A26" s="3" t="str">
        <f>[1]Results!E1387</f>
        <v>100*((CH_ccon_2)/(CH_ccon_0)-1)</v>
      </c>
      <c r="B26" t="str">
        <f>[1]Results!C1387</f>
        <v>Investissement ménages</v>
      </c>
      <c r="C26" s="1">
        <f>[1]Results!F1387</f>
        <v>0</v>
      </c>
      <c r="D26" s="1">
        <f>[1]Results!G1387</f>
        <v>0</v>
      </c>
      <c r="E26" s="1">
        <f>[1]Results!H1387</f>
        <v>0</v>
      </c>
      <c r="F26" s="1">
        <f>[1]Results!I1387</f>
        <v>0</v>
      </c>
      <c r="G26" s="1">
        <f>[1]Results!J1387</f>
        <v>0</v>
      </c>
      <c r="H26" s="1">
        <f>[1]Results!K1387</f>
        <v>0</v>
      </c>
      <c r="I26" s="1">
        <f>[1]Results!L1387</f>
        <v>0</v>
      </c>
      <c r="J26" s="1">
        <f>[1]Results!M1387</f>
        <v>7.4542440613223349E-3</v>
      </c>
      <c r="K26" s="1">
        <f>[1]Results!N1387</f>
        <v>1.3524923289409685E-2</v>
      </c>
      <c r="L26" s="1">
        <f>[1]Results!O1387</f>
        <v>4.7193074577567273E-2</v>
      </c>
      <c r="M26" s="1">
        <f>[1]Results!P1387</f>
        <v>0.13856867777477522</v>
      </c>
      <c r="N26" s="1">
        <f>[1]Results!Q1387</f>
        <v>0.25151353239505347</v>
      </c>
      <c r="O26" s="1">
        <f>[1]Results!R1387</f>
        <v>0.47434800406802591</v>
      </c>
      <c r="P26" s="1">
        <f>[1]Results!S1387</f>
        <v>0.75891604490516684</v>
      </c>
      <c r="Q26" s="1">
        <f>[1]Results!T1387</f>
        <v>1.0483166319832371</v>
      </c>
      <c r="R26" s="1">
        <f>[1]Results!U1387</f>
        <v>1.3129317404575458</v>
      </c>
      <c r="S26" s="1">
        <f>[1]Results!V1387</f>
        <v>1.5483048042789882</v>
      </c>
      <c r="T26" s="1">
        <f>[1]Results!W1387</f>
        <v>1.7519874580998129</v>
      </c>
      <c r="U26" s="1">
        <f>[1]Results!X1387</f>
        <v>1.9352227944160028</v>
      </c>
      <c r="V26" s="1">
        <f>[1]Results!Y1387</f>
        <v>2.1084806814552604</v>
      </c>
      <c r="W26" s="1">
        <f>[1]Results!Z1387</f>
        <v>2.2789186602399703</v>
      </c>
      <c r="X26" s="1">
        <f>[1]Results!AA1387</f>
        <v>2.4420989673541227</v>
      </c>
      <c r="Y26" s="1">
        <f>[1]Results!AB1387</f>
        <v>2.6097717581647251</v>
      </c>
      <c r="Z26" s="1">
        <f>[1]Results!AC1387</f>
        <v>2.7769042793148069</v>
      </c>
      <c r="AA26" s="1">
        <f>[1]Results!AD1387</f>
        <v>2.9381904028379813</v>
      </c>
      <c r="AB26" s="1">
        <f>[1]Results!AE1387</f>
        <v>3.0936893453920034</v>
      </c>
      <c r="AC26" s="1">
        <f>[1]Results!AF1387</f>
        <v>3.2246579576717727</v>
      </c>
      <c r="AD26" s="1">
        <f>[1]Results!AG1387</f>
        <v>3.3365931623017264</v>
      </c>
      <c r="AE26" s="1">
        <f>[1]Results!AH1387</f>
        <v>3.4279607339491092</v>
      </c>
      <c r="AF26" s="1">
        <f>[1]Results!AI1387</f>
        <v>3.496840202534468</v>
      </c>
      <c r="AG26" s="1">
        <f>[1]Results!AJ1387</f>
        <v>3.5432163176671638</v>
      </c>
      <c r="AH26" s="1">
        <f>[1]Results!AK1387</f>
        <v>3.5636452917205075</v>
      </c>
      <c r="AI26" s="1">
        <f>[1]Results!AL1387</f>
        <v>3.5667235097174066</v>
      </c>
      <c r="AJ26" s="1">
        <f>[1]Results!AM1387</f>
        <v>3.5538329117337897</v>
      </c>
      <c r="AK26" s="1">
        <f>[1]Results!AN1387</f>
        <v>3.5268674216320406</v>
      </c>
      <c r="AL26" s="1">
        <f>[1]Results!AO1387</f>
        <v>3.4897642603313406</v>
      </c>
    </row>
    <row r="27" spans="1:38" x14ac:dyDescent="0.35">
      <c r="A27" s="3" t="str">
        <f>[1]Results!E1388</f>
        <v>100*((IA_spub_2)/(IA_spub_0)-1)</v>
      </c>
      <c r="B27" t="str">
        <f>[1]Results!C1388</f>
        <v>Investissement public</v>
      </c>
      <c r="C27" s="1">
        <f>[1]Results!F1388</f>
        <v>0</v>
      </c>
      <c r="D27" s="1">
        <f>[1]Results!G1388</f>
        <v>0</v>
      </c>
      <c r="E27" s="1">
        <f>[1]Results!H1388</f>
        <v>0</v>
      </c>
      <c r="F27" s="1">
        <f>[1]Results!I1388</f>
        <v>0</v>
      </c>
      <c r="G27" s="1">
        <f>[1]Results!J1388</f>
        <v>0</v>
      </c>
      <c r="H27" s="1">
        <f>[1]Results!K1388</f>
        <v>0</v>
      </c>
      <c r="I27" s="1">
        <f>[1]Results!L1388</f>
        <v>0</v>
      </c>
      <c r="J27" s="1">
        <f>[1]Results!M1388</f>
        <v>-3.7228088812757409E-2</v>
      </c>
      <c r="K27" s="1">
        <f>[1]Results!N1388</f>
        <v>-9.7765529603177637E-2</v>
      </c>
      <c r="L27" s="1">
        <f>[1]Results!O1388</f>
        <v>-0.17434531954846344</v>
      </c>
      <c r="M27" s="1">
        <f>[1]Results!P1388</f>
        <v>-0.2654959898642173</v>
      </c>
      <c r="N27" s="1">
        <f>[1]Results!Q1388</f>
        <v>-0.25615920862972485</v>
      </c>
      <c r="O27" s="1">
        <f>[1]Results!R1388</f>
        <v>-0.19147712490963364</v>
      </c>
      <c r="P27" s="1">
        <f>[1]Results!S1388</f>
        <v>-0.10008525768088194</v>
      </c>
      <c r="Q27" s="1">
        <f>[1]Results!T1388</f>
        <v>2.2886590999249279E-3</v>
      </c>
      <c r="R27" s="1">
        <f>[1]Results!U1388</f>
        <v>0.10942184659967769</v>
      </c>
      <c r="S27" s="1">
        <f>[1]Results!V1388</f>
        <v>0.21137431217039815</v>
      </c>
      <c r="T27" s="1">
        <f>[1]Results!W1388</f>
        <v>0.31383151034818368</v>
      </c>
      <c r="U27" s="1">
        <f>[1]Results!X1388</f>
        <v>0.42126981467744962</v>
      </c>
      <c r="V27" s="1">
        <f>[1]Results!Y1388</f>
        <v>0.53657947024130515</v>
      </c>
      <c r="W27" s="1">
        <f>[1]Results!Z1388</f>
        <v>0.66134031088351808</v>
      </c>
      <c r="X27" s="1">
        <f>[1]Results!AA1388</f>
        <v>0.80978118931429588</v>
      </c>
      <c r="Y27" s="1">
        <f>[1]Results!AB1388</f>
        <v>0.97567565099714315</v>
      </c>
      <c r="Z27" s="1">
        <f>[1]Results!AC1388</f>
        <v>1.1548795150670754</v>
      </c>
      <c r="AA27" s="1">
        <f>[1]Results!AD1388</f>
        <v>1.3449383760502975</v>
      </c>
      <c r="AB27" s="1">
        <f>[1]Results!AE1388</f>
        <v>1.5442261631383181</v>
      </c>
      <c r="AC27" s="1">
        <f>[1]Results!AF1388</f>
        <v>1.7594251044489972</v>
      </c>
      <c r="AD27" s="1">
        <f>[1]Results!AG1388</f>
        <v>1.9811843123007655</v>
      </c>
      <c r="AE27" s="1">
        <f>[1]Results!AH1388</f>
        <v>2.2036705896194553</v>
      </c>
      <c r="AF27" s="1">
        <f>[1]Results!AI1388</f>
        <v>2.4234208053917516</v>
      </c>
      <c r="AG27" s="1">
        <f>[1]Results!AJ1388</f>
        <v>2.638271613787424</v>
      </c>
      <c r="AH27" s="1">
        <f>[1]Results!AK1388</f>
        <v>2.8512777085839991</v>
      </c>
      <c r="AI27" s="1">
        <f>[1]Results!AL1388</f>
        <v>3.0579836055029563</v>
      </c>
      <c r="AJ27" s="1">
        <f>[1]Results!AM1388</f>
        <v>3.2555188640864818</v>
      </c>
      <c r="AK27" s="1">
        <f>[1]Results!AN1388</f>
        <v>3.4422856492316356</v>
      </c>
      <c r="AL27" s="1">
        <f>[1]Results!AO1388</f>
        <v>3.6176815731161049</v>
      </c>
    </row>
    <row r="28" spans="1:38" x14ac:dyDescent="0.35">
      <c r="A28" s="3" t="str">
        <f>[1]Results!E1389</f>
        <v>100*(DISPINC_AT_VAL_2/DISPINC_AT_VAL_0-1)</v>
      </c>
      <c r="B28" t="str">
        <f>[1]Results!C1389</f>
        <v>Revenu disponible des ménages</v>
      </c>
      <c r="C28" s="1">
        <f>[1]Results!F1389</f>
        <v>0</v>
      </c>
      <c r="D28" s="1">
        <f>[1]Results!G1389</f>
        <v>0</v>
      </c>
      <c r="E28" s="1">
        <f>[1]Results!H1389</f>
        <v>0</v>
      </c>
      <c r="F28" s="1">
        <f>[1]Results!I1389</f>
        <v>0</v>
      </c>
      <c r="G28" s="1">
        <f>[1]Results!J1389</f>
        <v>0</v>
      </c>
      <c r="H28" s="1">
        <f>[1]Results!K1389</f>
        <v>0</v>
      </c>
      <c r="I28" s="1">
        <f>[1]Results!L1389</f>
        <v>0</v>
      </c>
      <c r="J28" s="1">
        <f>[1]Results!M1389</f>
        <v>0.32903415210074893</v>
      </c>
      <c r="K28" s="1">
        <f>[1]Results!N1389</f>
        <v>0.9085357568525243</v>
      </c>
      <c r="L28" s="1">
        <f>[1]Results!O1389</f>
        <v>1.836640777860632</v>
      </c>
      <c r="M28" s="1">
        <f>[1]Results!P1389</f>
        <v>3.2326228419005787</v>
      </c>
      <c r="N28" s="1">
        <f>[1]Results!Q1389</f>
        <v>4.1369224668827309</v>
      </c>
      <c r="O28" s="1">
        <f>[1]Results!R1389</f>
        <v>5.0481434168436534</v>
      </c>
      <c r="P28" s="1">
        <f>[1]Results!S1389</f>
        <v>5.9282791746822383</v>
      </c>
      <c r="Q28" s="1">
        <f>[1]Results!T1389</f>
        <v>6.7718202092105662</v>
      </c>
      <c r="R28" s="1">
        <f>[1]Results!U1389</f>
        <v>7.5796681964234836</v>
      </c>
      <c r="S28" s="1">
        <f>[1]Results!V1389</f>
        <v>8.4255701729726518</v>
      </c>
      <c r="T28" s="1">
        <f>[1]Results!W1389</f>
        <v>9.2703938158632084</v>
      </c>
      <c r="U28" s="1">
        <f>[1]Results!X1389</f>
        <v>10.116363019280005</v>
      </c>
      <c r="V28" s="1">
        <f>[1]Results!Y1389</f>
        <v>10.963244726518706</v>
      </c>
      <c r="W28" s="1">
        <f>[1]Results!Z1389</f>
        <v>11.811976015853421</v>
      </c>
      <c r="X28" s="1">
        <f>[1]Results!AA1389</f>
        <v>12.557079938058745</v>
      </c>
      <c r="Y28" s="1">
        <f>[1]Results!AB1389</f>
        <v>13.256932232379315</v>
      </c>
      <c r="Z28" s="1">
        <f>[1]Results!AC1389</f>
        <v>13.908699727722173</v>
      </c>
      <c r="AA28" s="1">
        <f>[1]Results!AD1389</f>
        <v>14.514057851997819</v>
      </c>
      <c r="AB28" s="1">
        <f>[1]Results!AE1389</f>
        <v>15.077770109767119</v>
      </c>
      <c r="AC28" s="1">
        <f>[1]Results!AF1389</f>
        <v>15.496295794472715</v>
      </c>
      <c r="AD28" s="1">
        <f>[1]Results!AG1389</f>
        <v>15.835847343403753</v>
      </c>
      <c r="AE28" s="1">
        <f>[1]Results!AH1389</f>
        <v>16.106073181672031</v>
      </c>
      <c r="AF28" s="1">
        <f>[1]Results!AI1389</f>
        <v>16.315163006170952</v>
      </c>
      <c r="AG28" s="1">
        <f>[1]Results!AJ1389</f>
        <v>16.471297780626728</v>
      </c>
      <c r="AH28" s="1">
        <f>[1]Results!AK1389</f>
        <v>16.536583413333283</v>
      </c>
      <c r="AI28" s="1">
        <f>[1]Results!AL1389</f>
        <v>16.551711434211146</v>
      </c>
      <c r="AJ28" s="1">
        <f>[1]Results!AM1389</f>
        <v>16.526536113706157</v>
      </c>
      <c r="AK28" s="1">
        <f>[1]Results!AN1389</f>
        <v>16.47308042433886</v>
      </c>
      <c r="AL28" s="1">
        <f>[1]Results!AO1389</f>
        <v>16.403547475650647</v>
      </c>
    </row>
    <row r="29" spans="1:38" x14ac:dyDescent="0.35">
      <c r="A29" s="3" t="str">
        <f>[1]Results!E1390</f>
        <v>100*(DISPINC_AT_VAL_2/DISPINC_AT_VAL_0-1)-100*(PCH_2/PCH_0-1)</v>
      </c>
      <c r="B29" t="str">
        <f>[1]Results!C1390</f>
        <v>Revenu disponible réel des ménages</v>
      </c>
      <c r="C29" s="1">
        <f>[1]Results!F1390</f>
        <v>0</v>
      </c>
      <c r="D29" s="1">
        <f>[1]Results!G1390</f>
        <v>0</v>
      </c>
      <c r="E29" s="1">
        <f>[1]Results!H1390</f>
        <v>0</v>
      </c>
      <c r="F29" s="1">
        <f>[1]Results!I1390</f>
        <v>0</v>
      </c>
      <c r="G29" s="1">
        <f>[1]Results!J1390</f>
        <v>0</v>
      </c>
      <c r="H29" s="1">
        <f>[1]Results!K1390</f>
        <v>0</v>
      </c>
      <c r="I29" s="1">
        <f>[1]Results!L1390</f>
        <v>0</v>
      </c>
      <c r="J29" s="1">
        <f>[1]Results!M1390</f>
        <v>6.4299632512154759E-2</v>
      </c>
      <c r="K29" s="1">
        <f>[1]Results!N1390</f>
        <v>0.19790663518650664</v>
      </c>
      <c r="L29" s="1">
        <f>[1]Results!O1390</f>
        <v>0.43930267762608555</v>
      </c>
      <c r="M29" s="1">
        <f>[1]Results!P1390</f>
        <v>0.81945850136382337</v>
      </c>
      <c r="N29" s="1">
        <f>[1]Results!Q1390</f>
        <v>1.1527525926668281</v>
      </c>
      <c r="O29" s="1">
        <f>[1]Results!R1390</f>
        <v>1.5057519027025235</v>
      </c>
      <c r="P29" s="1">
        <f>[1]Results!S1390</f>
        <v>1.8239021180370463</v>
      </c>
      <c r="Q29" s="1">
        <f>[1]Results!T1390</f>
        <v>2.1011007504198043</v>
      </c>
      <c r="R29" s="1">
        <f>[1]Results!U1390</f>
        <v>2.3444956703908559</v>
      </c>
      <c r="S29" s="1">
        <f>[1]Results!V1390</f>
        <v>2.5760139500076606</v>
      </c>
      <c r="T29" s="1">
        <f>[1]Results!W1390</f>
        <v>2.79618059507205</v>
      </c>
      <c r="U29" s="1">
        <f>[1]Results!X1390</f>
        <v>3.0115845295589185</v>
      </c>
      <c r="V29" s="1">
        <f>[1]Results!Y1390</f>
        <v>3.2235518508578087</v>
      </c>
      <c r="W29" s="1">
        <f>[1]Results!Z1390</f>
        <v>3.4332685189480756</v>
      </c>
      <c r="X29" s="1">
        <f>[1]Results!AA1390</f>
        <v>3.6148174486613218</v>
      </c>
      <c r="Y29" s="1">
        <f>[1]Results!AB1390</f>
        <v>3.7807487669752948</v>
      </c>
      <c r="Z29" s="1">
        <f>[1]Results!AC1390</f>
        <v>3.9275029841806735</v>
      </c>
      <c r="AA29" s="1">
        <f>[1]Results!AD1390</f>
        <v>4.0579558483747604</v>
      </c>
      <c r="AB29" s="1">
        <f>[1]Results!AE1390</f>
        <v>4.1783620350285275</v>
      </c>
      <c r="AC29" s="1">
        <f>[1]Results!AF1390</f>
        <v>4.2495235506978091</v>
      </c>
      <c r="AD29" s="1">
        <f>[1]Results!AG1390</f>
        <v>4.2929193288806502</v>
      </c>
      <c r="AE29" s="1">
        <f>[1]Results!AH1390</f>
        <v>4.3136339777675605</v>
      </c>
      <c r="AF29" s="1">
        <f>[1]Results!AI1390</f>
        <v>4.3160053616230201</v>
      </c>
      <c r="AG29" s="1">
        <f>[1]Results!AJ1390</f>
        <v>4.3039116520996252</v>
      </c>
      <c r="AH29" s="1">
        <f>[1]Results!AK1390</f>
        <v>4.2669798252318536</v>
      </c>
      <c r="AI29" s="1">
        <f>[1]Results!AL1390</f>
        <v>4.2185366687491612</v>
      </c>
      <c r="AJ29" s="1">
        <f>[1]Results!AM1390</f>
        <v>4.1605850588667153</v>
      </c>
      <c r="AK29" s="1">
        <f>[1]Results!AN1390</f>
        <v>4.098095762148013</v>
      </c>
      <c r="AL29" s="1">
        <f>[1]Results!AO1390</f>
        <v>4.0366304829624102</v>
      </c>
    </row>
    <row r="30" spans="1:38" x14ac:dyDescent="0.35">
      <c r="A30" s="3" t="str">
        <f>[1]Results!E1391</f>
        <v>100*(DISPINC_AT_VAL_2/DISPINC_AT_VAL_0-1)-100*((F_L_2/F_L_0)-1)</v>
      </c>
      <c r="B30" t="str">
        <f>[1]Results!C1391</f>
        <v>Revenu disponible par emploi en valeur</v>
      </c>
      <c r="C30" s="1">
        <f>[1]Results!F1391</f>
        <v>0</v>
      </c>
      <c r="D30" s="1">
        <f>[1]Results!G1391</f>
        <v>0</v>
      </c>
      <c r="E30" s="1">
        <f>[1]Results!H1391</f>
        <v>0</v>
      </c>
      <c r="F30" s="1">
        <f>[1]Results!I1391</f>
        <v>0</v>
      </c>
      <c r="G30" s="1">
        <f>[1]Results!J1391</f>
        <v>0</v>
      </c>
      <c r="H30" s="1">
        <f>[1]Results!K1391</f>
        <v>0</v>
      </c>
      <c r="I30" s="1">
        <f>[1]Results!L1391</f>
        <v>0</v>
      </c>
      <c r="J30" s="1">
        <f>[1]Results!M1391</f>
        <v>0.30633851821255664</v>
      </c>
      <c r="K30" s="1">
        <f>[1]Results!N1391</f>
        <v>0.83271926263668306</v>
      </c>
      <c r="L30" s="1">
        <f>[1]Results!O1391</f>
        <v>1.6721869999209549</v>
      </c>
      <c r="M30" s="1">
        <f>[1]Results!P1391</f>
        <v>2.9382894501457146</v>
      </c>
      <c r="N30" s="1">
        <f>[1]Results!Q1391</f>
        <v>3.7427420766453778</v>
      </c>
      <c r="O30" s="1">
        <f>[1]Results!R1391</f>
        <v>4.5941261902942454</v>
      </c>
      <c r="P30" s="1">
        <f>[1]Results!S1391</f>
        <v>5.4496068900830918</v>
      </c>
      <c r="Q30" s="1">
        <f>[1]Results!T1391</f>
        <v>6.2977707486623569</v>
      </c>
      <c r="R30" s="1">
        <f>[1]Results!U1391</f>
        <v>7.134047801145238</v>
      </c>
      <c r="S30" s="1">
        <f>[1]Results!V1391</f>
        <v>8.0219646452196933</v>
      </c>
      <c r="T30" s="1">
        <f>[1]Results!W1391</f>
        <v>8.9178818124738157</v>
      </c>
      <c r="U30" s="1">
        <f>[1]Results!X1391</f>
        <v>9.8214914555636348</v>
      </c>
      <c r="V30" s="1">
        <f>[1]Results!Y1391</f>
        <v>10.730914280624336</v>
      </c>
      <c r="W30" s="1">
        <f>[1]Results!Z1391</f>
        <v>11.646201217318875</v>
      </c>
      <c r="X30" s="1">
        <f>[1]Results!AA1391</f>
        <v>12.468483438992006</v>
      </c>
      <c r="Y30" s="1">
        <f>[1]Results!AB1391</f>
        <v>13.255276359378932</v>
      </c>
      <c r="Z30" s="1">
        <f>[1]Results!AC1391</f>
        <v>14.000948138820945</v>
      </c>
      <c r="AA30" s="1">
        <f>[1]Results!AD1391</f>
        <v>14.703986246918488</v>
      </c>
      <c r="AB30" s="1">
        <f>[1]Results!AE1391</f>
        <v>15.366420859281217</v>
      </c>
      <c r="AC30" s="1">
        <f>[1]Results!AF1391</f>
        <v>15.887952585897349</v>
      </c>
      <c r="AD30" s="1">
        <f>[1]Results!AG1391</f>
        <v>16.332350637760552</v>
      </c>
      <c r="AE30" s="1">
        <f>[1]Results!AH1391</f>
        <v>16.705020166303775</v>
      </c>
      <c r="AF30" s="1">
        <f>[1]Results!AI1391</f>
        <v>17.0095820077381</v>
      </c>
      <c r="AG30" s="1">
        <f>[1]Results!AJ1391</f>
        <v>17.250174359551565</v>
      </c>
      <c r="AH30" s="1">
        <f>[1]Results!AK1391</f>
        <v>17.389233892347953</v>
      </c>
      <c r="AI30" s="1">
        <f>[1]Results!AL1391</f>
        <v>17.465121663413807</v>
      </c>
      <c r="AJ30" s="1">
        <f>[1]Results!AM1391</f>
        <v>17.485552714109819</v>
      </c>
      <c r="AK30" s="1">
        <f>[1]Results!AN1391</f>
        <v>17.461259854732969</v>
      </c>
      <c r="AL30" s="1">
        <f>[1]Results!AO1391</f>
        <v>17.403926696327741</v>
      </c>
    </row>
    <row r="31" spans="1:38" x14ac:dyDescent="0.35">
      <c r="A31" s="3" t="str">
        <f>[1]Results!E1392</f>
        <v>100*(DISPINC_AT_VAL_2/DISPINC_AT_VAL_0-1)-100*((F_L_2/F_L_0)-1)-100*(PCH_2/PCH_0-1)</v>
      </c>
      <c r="B31" t="str">
        <f>[1]Results!C1392</f>
        <v>Revenu disponible réel par emploi</v>
      </c>
      <c r="C31" s="1">
        <f>[1]Results!F1392</f>
        <v>0</v>
      </c>
      <c r="D31" s="1">
        <f>[1]Results!G1392</f>
        <v>0</v>
      </c>
      <c r="E31" s="1">
        <f>[1]Results!H1392</f>
        <v>0</v>
      </c>
      <c r="F31" s="1">
        <f>[1]Results!I1392</f>
        <v>0</v>
      </c>
      <c r="G31" s="1">
        <f>[1]Results!J1392</f>
        <v>0</v>
      </c>
      <c r="H31" s="1">
        <f>[1]Results!K1392</f>
        <v>0</v>
      </c>
      <c r="I31" s="1">
        <f>[1]Results!L1392</f>
        <v>0</v>
      </c>
      <c r="J31" s="1">
        <f>[1]Results!M1392</f>
        <v>4.1603998623962468E-2</v>
      </c>
      <c r="K31" s="1">
        <f>[1]Results!N1392</f>
        <v>0.1220901409706654</v>
      </c>
      <c r="L31" s="1">
        <f>[1]Results!O1392</f>
        <v>0.27484889968640847</v>
      </c>
      <c r="M31" s="1">
        <f>[1]Results!P1392</f>
        <v>0.52512510960895931</v>
      </c>
      <c r="N31" s="1">
        <f>[1]Results!Q1392</f>
        <v>0.75857220242947498</v>
      </c>
      <c r="O31" s="1">
        <f>[1]Results!R1392</f>
        <v>1.0517346761531154</v>
      </c>
      <c r="P31" s="1">
        <f>[1]Results!S1392</f>
        <v>1.3452298334378998</v>
      </c>
      <c r="Q31" s="1">
        <f>[1]Results!T1392</f>
        <v>1.627051289871595</v>
      </c>
      <c r="R31" s="1">
        <f>[1]Results!U1392</f>
        <v>1.8988752751126103</v>
      </c>
      <c r="S31" s="1">
        <f>[1]Results!V1392</f>
        <v>2.1724084222547022</v>
      </c>
      <c r="T31" s="1">
        <f>[1]Results!W1392</f>
        <v>2.4436685916826573</v>
      </c>
      <c r="U31" s="1">
        <f>[1]Results!X1392</f>
        <v>2.7167129658425484</v>
      </c>
      <c r="V31" s="1">
        <f>[1]Results!Y1392</f>
        <v>2.9912214049634391</v>
      </c>
      <c r="W31" s="1">
        <f>[1]Results!Z1392</f>
        <v>3.2674937204135297</v>
      </c>
      <c r="X31" s="1">
        <f>[1]Results!AA1392</f>
        <v>3.5262209495945829</v>
      </c>
      <c r="Y31" s="1">
        <f>[1]Results!AB1392</f>
        <v>3.7790928939749122</v>
      </c>
      <c r="Z31" s="1">
        <f>[1]Results!AC1392</f>
        <v>4.0197513952794459</v>
      </c>
      <c r="AA31" s="1">
        <f>[1]Results!AD1392</f>
        <v>4.2478842432954291</v>
      </c>
      <c r="AB31" s="1">
        <f>[1]Results!AE1392</f>
        <v>4.4670127845426251</v>
      </c>
      <c r="AC31" s="1">
        <f>[1]Results!AF1392</f>
        <v>4.6411803421224427</v>
      </c>
      <c r="AD31" s="1">
        <f>[1]Results!AG1392</f>
        <v>4.7894226232374493</v>
      </c>
      <c r="AE31" s="1">
        <f>[1]Results!AH1392</f>
        <v>4.9125809623993053</v>
      </c>
      <c r="AF31" s="1">
        <f>[1]Results!AI1392</f>
        <v>5.0104243631901682</v>
      </c>
      <c r="AG31" s="1">
        <f>[1]Results!AJ1392</f>
        <v>5.0827882310244625</v>
      </c>
      <c r="AH31" s="1">
        <f>[1]Results!AK1392</f>
        <v>5.1196303042465239</v>
      </c>
      <c r="AI31" s="1">
        <f>[1]Results!AL1392</f>
        <v>5.1319468979518224</v>
      </c>
      <c r="AJ31" s="1">
        <f>[1]Results!AM1392</f>
        <v>5.1196016592703764</v>
      </c>
      <c r="AK31" s="1">
        <f>[1]Results!AN1392</f>
        <v>5.0862751925421215</v>
      </c>
      <c r="AL31" s="1">
        <f>[1]Results!AO1392</f>
        <v>5.0370097036395034</v>
      </c>
    </row>
    <row r="32" spans="1:38" x14ac:dyDescent="0.35">
      <c r="A32" s="3" t="str">
        <f>[1]Results!E1393</f>
        <v>100*(MPS_n_2-MPS_n_0)</v>
      </c>
      <c r="B32" t="str">
        <f>[1]Results!C1393</f>
        <v>Taux d'épargne</v>
      </c>
      <c r="C32" s="1">
        <f>[1]Results!F1393</f>
        <v>0</v>
      </c>
      <c r="D32" s="1">
        <f>[1]Results!G1393</f>
        <v>0</v>
      </c>
      <c r="E32" s="1">
        <f>[1]Results!H1393</f>
        <v>0</v>
      </c>
      <c r="F32" s="1">
        <f>[1]Results!I1393</f>
        <v>0</v>
      </c>
      <c r="G32" s="1">
        <f>[1]Results!J1393</f>
        <v>0</v>
      </c>
      <c r="H32" s="1">
        <f>[1]Results!K1393</f>
        <v>0</v>
      </c>
      <c r="I32" s="1">
        <f>[1]Results!L1393</f>
        <v>0</v>
      </c>
      <c r="J32" s="1">
        <f>[1]Results!M1393</f>
        <v>0</v>
      </c>
      <c r="K32" s="1">
        <f>[1]Results!N1393</f>
        <v>0</v>
      </c>
      <c r="L32" s="1">
        <f>[1]Results!O1393</f>
        <v>0</v>
      </c>
      <c r="M32" s="1">
        <f>[1]Results!P1393</f>
        <v>0</v>
      </c>
      <c r="N32" s="1">
        <f>[1]Results!Q1393</f>
        <v>0</v>
      </c>
      <c r="O32" s="1">
        <f>[1]Results!R1393</f>
        <v>0</v>
      </c>
      <c r="P32" s="1">
        <f>[1]Results!S1393</f>
        <v>0</v>
      </c>
      <c r="Q32" s="1">
        <f>[1]Results!T1393</f>
        <v>0</v>
      </c>
      <c r="R32" s="1">
        <f>[1]Results!U1393</f>
        <v>0</v>
      </c>
      <c r="S32" s="1">
        <f>[1]Results!V1393</f>
        <v>0</v>
      </c>
      <c r="T32" s="1">
        <f>[1]Results!W1393</f>
        <v>0</v>
      </c>
      <c r="U32" s="1">
        <f>[1]Results!X1393</f>
        <v>0</v>
      </c>
      <c r="V32" s="1">
        <f>[1]Results!Y1393</f>
        <v>0</v>
      </c>
      <c r="W32" s="1">
        <f>[1]Results!Z1393</f>
        <v>0</v>
      </c>
      <c r="X32" s="1">
        <f>[1]Results!AA1393</f>
        <v>0</v>
      </c>
      <c r="Y32" s="1">
        <f>[1]Results!AB1393</f>
        <v>0</v>
      </c>
      <c r="Z32" s="1">
        <f>[1]Results!AC1393</f>
        <v>0</v>
      </c>
      <c r="AA32" s="1">
        <f>[1]Results!AD1393</f>
        <v>0</v>
      </c>
      <c r="AB32" s="1">
        <f>[1]Results!AE1393</f>
        <v>0</v>
      </c>
      <c r="AC32" s="1">
        <f>[1]Results!AF1393</f>
        <v>0</v>
      </c>
      <c r="AD32" s="1">
        <f>[1]Results!AG1393</f>
        <v>0</v>
      </c>
      <c r="AE32" s="1">
        <f>[1]Results!AH1393</f>
        <v>0</v>
      </c>
      <c r="AF32" s="1">
        <f>[1]Results!AI1393</f>
        <v>0</v>
      </c>
      <c r="AG32" s="1">
        <f>[1]Results!AJ1393</f>
        <v>0</v>
      </c>
      <c r="AH32" s="1">
        <f>[1]Results!AK1393</f>
        <v>0</v>
      </c>
      <c r="AI32" s="1">
        <f>[1]Results!AL1393</f>
        <v>0</v>
      </c>
      <c r="AJ32" s="1">
        <f>[1]Results!AM1393</f>
        <v>0</v>
      </c>
      <c r="AK32" s="1">
        <f>[1]Results!AN1393</f>
        <v>0</v>
      </c>
      <c r="AL32" s="1">
        <f>[1]Results!AO1393</f>
        <v>0</v>
      </c>
    </row>
    <row r="33" spans="1:38" x14ac:dyDescent="0.35">
      <c r="A33" s="3" t="str">
        <f>[1]Results!E1394</f>
        <v>100*(PCH_2/PCH_0-1)</v>
      </c>
      <c r="B33" t="str">
        <f>[1]Results!C1394</f>
        <v>Prix à la consommation des ménages</v>
      </c>
      <c r="C33" s="1">
        <f>[1]Results!F1394</f>
        <v>0</v>
      </c>
      <c r="D33" s="1">
        <f>[1]Results!G1394</f>
        <v>0</v>
      </c>
      <c r="E33" s="1">
        <f>[1]Results!H1394</f>
        <v>0</v>
      </c>
      <c r="F33" s="1">
        <f>[1]Results!I1394</f>
        <v>0</v>
      </c>
      <c r="G33" s="1">
        <f>[1]Results!J1394</f>
        <v>0</v>
      </c>
      <c r="H33" s="1">
        <f>[1]Results!K1394</f>
        <v>0</v>
      </c>
      <c r="I33" s="1">
        <f>[1]Results!L1394</f>
        <v>0</v>
      </c>
      <c r="J33" s="1">
        <f>[1]Results!M1394</f>
        <v>6.4299632512154759E-2</v>
      </c>
      <c r="K33" s="1">
        <f>[1]Results!N1394</f>
        <v>0.19790663518650664</v>
      </c>
      <c r="L33" s="1">
        <f>[1]Results!O1394</f>
        <v>0.43930267762608555</v>
      </c>
      <c r="M33" s="1">
        <f>[1]Results!P1394</f>
        <v>0.81945850136382337</v>
      </c>
      <c r="N33" s="1">
        <f>[1]Results!Q1394</f>
        <v>1.1527525926668281</v>
      </c>
      <c r="O33" s="1">
        <f>[1]Results!R1394</f>
        <v>1.5057519027025235</v>
      </c>
      <c r="P33" s="1">
        <f>[1]Results!S1394</f>
        <v>1.8239021180370463</v>
      </c>
      <c r="Q33" s="1">
        <f>[1]Results!T1394</f>
        <v>2.1011007504198043</v>
      </c>
      <c r="R33" s="1">
        <f>[1]Results!U1394</f>
        <v>2.3444956703908559</v>
      </c>
      <c r="S33" s="1">
        <f>[1]Results!V1394</f>
        <v>2.5760139500076606</v>
      </c>
      <c r="T33" s="1">
        <f>[1]Results!W1394</f>
        <v>2.79618059507205</v>
      </c>
      <c r="U33" s="1">
        <f>[1]Results!X1394</f>
        <v>3.0115845295589185</v>
      </c>
      <c r="V33" s="1">
        <f>[1]Results!Y1394</f>
        <v>3.2235518508578087</v>
      </c>
      <c r="W33" s="1">
        <f>[1]Results!Z1394</f>
        <v>3.4332685189480756</v>
      </c>
      <c r="X33" s="1">
        <f>[1]Results!AA1394</f>
        <v>3.6148174486613218</v>
      </c>
      <c r="Y33" s="1">
        <f>[1]Results!AB1394</f>
        <v>3.7807487669752948</v>
      </c>
      <c r="Z33" s="1">
        <f>[1]Results!AC1394</f>
        <v>3.9275029841806735</v>
      </c>
      <c r="AA33" s="1">
        <f>[1]Results!AD1394</f>
        <v>4.0579558483747604</v>
      </c>
      <c r="AB33" s="1">
        <f>[1]Results!AE1394</f>
        <v>4.1783620350285275</v>
      </c>
      <c r="AC33" s="1">
        <f>[1]Results!AF1394</f>
        <v>4.2495235506978091</v>
      </c>
      <c r="AD33" s="1">
        <f>[1]Results!AG1394</f>
        <v>4.2929193288806502</v>
      </c>
      <c r="AE33" s="1">
        <f>[1]Results!AH1394</f>
        <v>4.3136339777675605</v>
      </c>
      <c r="AF33" s="1">
        <f>[1]Results!AI1394</f>
        <v>4.3160053616230201</v>
      </c>
      <c r="AG33" s="1">
        <f>[1]Results!AJ1394</f>
        <v>4.3039116520996252</v>
      </c>
      <c r="AH33" s="1">
        <f>[1]Results!AK1394</f>
        <v>4.2669798252318536</v>
      </c>
      <c r="AI33" s="1">
        <f>[1]Results!AL1394</f>
        <v>4.2185366687491612</v>
      </c>
      <c r="AJ33" s="1">
        <f>[1]Results!AM1394</f>
        <v>4.1605850588667153</v>
      </c>
      <c r="AK33" s="1">
        <f>[1]Results!AN1394</f>
        <v>4.098095762148013</v>
      </c>
      <c r="AL33" s="1">
        <f>[1]Results!AO1394</f>
        <v>4.0366304829624102</v>
      </c>
    </row>
    <row r="34" spans="1:38" x14ac:dyDescent="0.35">
      <c r="A34" s="3" t="str">
        <f>[1]Results!E1395</f>
        <v>100*(PY_2/PY_0-1)</v>
      </c>
      <c r="B34" t="str">
        <f>[1]Results!C1395</f>
        <v>Prix à la production marchande</v>
      </c>
      <c r="C34" s="1">
        <f>[1]Results!F1395</f>
        <v>0</v>
      </c>
      <c r="D34" s="1">
        <f>[1]Results!G1395</f>
        <v>0</v>
      </c>
      <c r="E34" s="1">
        <f>[1]Results!H1395</f>
        <v>0</v>
      </c>
      <c r="F34" s="1">
        <f>[1]Results!I1395</f>
        <v>0</v>
      </c>
      <c r="G34" s="1">
        <f>[1]Results!J1395</f>
        <v>0</v>
      </c>
      <c r="H34" s="1">
        <f>[1]Results!K1395</f>
        <v>0</v>
      </c>
      <c r="I34" s="1">
        <f>[1]Results!L1395</f>
        <v>0</v>
      </c>
      <c r="J34" s="1">
        <f>[1]Results!M1395</f>
        <v>0.14285169940548847</v>
      </c>
      <c r="K34" s="1">
        <f>[1]Results!N1395</f>
        <v>0.44419311737133871</v>
      </c>
      <c r="L34" s="1">
        <f>[1]Results!O1395</f>
        <v>0.94918231810483533</v>
      </c>
      <c r="M34" s="1">
        <f>[1]Results!P1395</f>
        <v>1.7304974066044476</v>
      </c>
      <c r="N34" s="1">
        <f>[1]Results!Q1395</f>
        <v>2.4034942753458743</v>
      </c>
      <c r="O34" s="1">
        <f>[1]Results!R1395</f>
        <v>3.0380267758465473</v>
      </c>
      <c r="P34" s="1">
        <f>[1]Results!S1395</f>
        <v>3.6642176978469942</v>
      </c>
      <c r="Q34" s="1">
        <f>[1]Results!T1395</f>
        <v>4.2886039930013276</v>
      </c>
      <c r="R34" s="1">
        <f>[1]Results!U1395</f>
        <v>4.9069605351513168</v>
      </c>
      <c r="S34" s="1">
        <f>[1]Results!V1395</f>
        <v>5.5488377560032776</v>
      </c>
      <c r="T34" s="1">
        <f>[1]Results!W1395</f>
        <v>6.2030172786462945</v>
      </c>
      <c r="U34" s="1">
        <f>[1]Results!X1395</f>
        <v>6.8646759302767757</v>
      </c>
      <c r="V34" s="1">
        <f>[1]Results!Y1395</f>
        <v>7.5329889351846369</v>
      </c>
      <c r="W34" s="1">
        <f>[1]Results!Z1395</f>
        <v>8.2092533785807618</v>
      </c>
      <c r="X34" s="1">
        <f>[1]Results!AA1395</f>
        <v>8.8455199107902125</v>
      </c>
      <c r="Y34" s="1">
        <f>[1]Results!AB1395</f>
        <v>9.4511247758313885</v>
      </c>
      <c r="Z34" s="1">
        <f>[1]Results!AC1395</f>
        <v>10.030992556066831</v>
      </c>
      <c r="AA34" s="1">
        <f>[1]Results!AD1395</f>
        <v>10.587544351119792</v>
      </c>
      <c r="AB34" s="1">
        <f>[1]Results!AE1395</f>
        <v>11.122187523257022</v>
      </c>
      <c r="AC34" s="1">
        <f>[1]Results!AF1395</f>
        <v>11.526428880339523</v>
      </c>
      <c r="AD34" s="1">
        <f>[1]Results!AG1395</f>
        <v>11.860235862877966</v>
      </c>
      <c r="AE34" s="1">
        <f>[1]Results!AH1395</f>
        <v>12.14179306538119</v>
      </c>
      <c r="AF34" s="1">
        <f>[1]Results!AI1395</f>
        <v>12.380206309814024</v>
      </c>
      <c r="AG34" s="1">
        <f>[1]Results!AJ1395</f>
        <v>12.581767338820949</v>
      </c>
      <c r="AH34" s="1">
        <f>[1]Results!AK1395</f>
        <v>12.728960846707471</v>
      </c>
      <c r="AI34" s="1">
        <f>[1]Results!AL1395</f>
        <v>12.833785214166493</v>
      </c>
      <c r="AJ34" s="1">
        <f>[1]Results!AM1395</f>
        <v>12.905904622354459</v>
      </c>
      <c r="AK34" s="1">
        <f>[1]Results!AN1395</f>
        <v>12.953399692392576</v>
      </c>
      <c r="AL34" s="1">
        <f>[1]Results!AO1395</f>
        <v>12.983384274267085</v>
      </c>
    </row>
    <row r="35" spans="1:38" x14ac:dyDescent="0.35">
      <c r="A35" s="3" t="str">
        <f>[1]Results!E1396</f>
        <v>100*(PX_2/PX_0-1)</v>
      </c>
      <c r="B35" t="str">
        <f>[1]Results!C1396</f>
        <v>Prix des exportations</v>
      </c>
      <c r="C35" s="1">
        <f>[1]Results!F1396</f>
        <v>0</v>
      </c>
      <c r="D35" s="1">
        <f>[1]Results!G1396</f>
        <v>0</v>
      </c>
      <c r="E35" s="1">
        <f>[1]Results!H1396</f>
        <v>0</v>
      </c>
      <c r="F35" s="1">
        <f>[1]Results!I1396</f>
        <v>0</v>
      </c>
      <c r="G35" s="1">
        <f>[1]Results!J1396</f>
        <v>0</v>
      </c>
      <c r="H35" s="1">
        <f>[1]Results!K1396</f>
        <v>0</v>
      </c>
      <c r="I35" s="1">
        <f>[1]Results!L1396</f>
        <v>0</v>
      </c>
      <c r="J35" s="1">
        <f>[1]Results!M1396</f>
        <v>0.1631092806960277</v>
      </c>
      <c r="K35" s="1">
        <f>[1]Results!N1396</f>
        <v>0.49809216139891088</v>
      </c>
      <c r="L35" s="1">
        <f>[1]Results!O1396</f>
        <v>1.045161286756513</v>
      </c>
      <c r="M35" s="1">
        <f>[1]Results!P1396</f>
        <v>1.8742486453044327</v>
      </c>
      <c r="N35" s="1">
        <f>[1]Results!Q1396</f>
        <v>2.52395432348409</v>
      </c>
      <c r="O35" s="1">
        <f>[1]Results!R1396</f>
        <v>3.0918527183908751</v>
      </c>
      <c r="P35" s="1">
        <f>[1]Results!S1396</f>
        <v>3.6270859475765471</v>
      </c>
      <c r="Q35" s="1">
        <f>[1]Results!T1396</f>
        <v>4.1483526326605125</v>
      </c>
      <c r="R35" s="1">
        <f>[1]Results!U1396</f>
        <v>4.6589267382588284</v>
      </c>
      <c r="S35" s="1">
        <f>[1]Results!V1396</f>
        <v>5.1949373320513637</v>
      </c>
      <c r="T35" s="1">
        <f>[1]Results!W1396</f>
        <v>5.7450730977051556</v>
      </c>
      <c r="U35" s="1">
        <f>[1]Results!X1396</f>
        <v>6.3034116537970863</v>
      </c>
      <c r="V35" s="1">
        <f>[1]Results!Y1396</f>
        <v>6.867752395725879</v>
      </c>
      <c r="W35" s="1">
        <f>[1]Results!Z1396</f>
        <v>7.4378319230703704</v>
      </c>
      <c r="X35" s="1">
        <f>[1]Results!AA1396</f>
        <v>7.961682918559454</v>
      </c>
      <c r="Y35" s="1">
        <f>[1]Results!AB1396</f>
        <v>8.4512444333872061</v>
      </c>
      <c r="Z35" s="1">
        <f>[1]Results!AC1396</f>
        <v>8.9125198500272127</v>
      </c>
      <c r="AA35" s="1">
        <f>[1]Results!AD1396</f>
        <v>9.3477309712707282</v>
      </c>
      <c r="AB35" s="1">
        <f>[1]Results!AE1396</f>
        <v>9.7573378976877567</v>
      </c>
      <c r="AC35" s="1">
        <f>[1]Results!AF1396</f>
        <v>10.097749792213317</v>
      </c>
      <c r="AD35" s="1">
        <f>[1]Results!AG1396</f>
        <v>10.387769915629995</v>
      </c>
      <c r="AE35" s="1">
        <f>[1]Results!AH1396</f>
        <v>10.636319009383865</v>
      </c>
      <c r="AF35" s="1">
        <f>[1]Results!AI1396</f>
        <v>10.849547037753027</v>
      </c>
      <c r="AG35" s="1">
        <f>[1]Results!AJ1396</f>
        <v>11.032514374665414</v>
      </c>
      <c r="AH35" s="1">
        <f>[1]Results!AK1396</f>
        <v>11.167094660260402</v>
      </c>
      <c r="AI35" s="1">
        <f>[1]Results!AL1396</f>
        <v>11.265139333447284</v>
      </c>
      <c r="AJ35" s="1">
        <f>[1]Results!AM1396</f>
        <v>11.335648126709884</v>
      </c>
      <c r="AK35" s="1">
        <f>[1]Results!AN1396</f>
        <v>11.38576958070332</v>
      </c>
      <c r="AL35" s="1">
        <f>[1]Results!AO1396</f>
        <v>11.421584166214082</v>
      </c>
    </row>
    <row r="36" spans="1:38" x14ac:dyDescent="0.35">
      <c r="A36" s="3" t="str">
        <f>[1]Results!E1397</f>
        <v>100*(PM_2/PM_0-1)</v>
      </c>
      <c r="B36" t="str">
        <f>[1]Results!C1397</f>
        <v>Prix des importations</v>
      </c>
      <c r="C36" s="1">
        <f>[1]Results!F1397</f>
        <v>0</v>
      </c>
      <c r="D36" s="1">
        <f>[1]Results!G1397</f>
        <v>0</v>
      </c>
      <c r="E36" s="1">
        <f>[1]Results!H1397</f>
        <v>0</v>
      </c>
      <c r="F36" s="1">
        <f>[1]Results!I1397</f>
        <v>0</v>
      </c>
      <c r="G36" s="1">
        <f>[1]Results!J1397</f>
        <v>0</v>
      </c>
      <c r="H36" s="1">
        <f>[1]Results!K1397</f>
        <v>0</v>
      </c>
      <c r="I36" s="1">
        <f>[1]Results!L1397</f>
        <v>0</v>
      </c>
      <c r="J36" s="1">
        <f>[1]Results!M1397</f>
        <v>-8.5700670529043066E-4</v>
      </c>
      <c r="K36" s="1">
        <f>[1]Results!N1397</f>
        <v>-2.9682671868203059E-3</v>
      </c>
      <c r="L36" s="1">
        <f>[1]Results!O1397</f>
        <v>-6.746534693025108E-3</v>
      </c>
      <c r="M36" s="1">
        <f>[1]Results!P1397</f>
        <v>-1.2518545765916045E-2</v>
      </c>
      <c r="N36" s="1">
        <f>[1]Results!Q1397</f>
        <v>-1.854728332302269E-2</v>
      </c>
      <c r="O36" s="1">
        <f>[1]Results!R1397</f>
        <v>-2.4868090465179904E-2</v>
      </c>
      <c r="P36" s="1">
        <f>[1]Results!S1397</f>
        <v>-3.1531868118173101E-2</v>
      </c>
      <c r="Q36" s="1">
        <f>[1]Results!T1397</f>
        <v>-3.8521073275876727E-2</v>
      </c>
      <c r="R36" s="1">
        <f>[1]Results!U1397</f>
        <v>-4.5829179844503187E-2</v>
      </c>
      <c r="S36" s="1">
        <f>[1]Results!V1397</f>
        <v>-5.3787144625572214E-2</v>
      </c>
      <c r="T36" s="1">
        <f>[1]Results!W1397</f>
        <v>-6.2533404980635865E-2</v>
      </c>
      <c r="U36" s="1">
        <f>[1]Results!X1397</f>
        <v>-7.2064293719464878E-2</v>
      </c>
      <c r="V36" s="1">
        <f>[1]Results!Y1397</f>
        <v>-8.233029033174466E-2</v>
      </c>
      <c r="W36" s="1">
        <f>[1]Results!Z1397</f>
        <v>-9.3279543550373045E-2</v>
      </c>
      <c r="X36" s="1">
        <f>[1]Results!AA1397</f>
        <v>-0.10459329019314456</v>
      </c>
      <c r="Y36" s="1">
        <f>[1]Results!AB1397</f>
        <v>-0.11614101018843082</v>
      </c>
      <c r="Z36" s="1">
        <f>[1]Results!AC1397</f>
        <v>-0.12780159050881368</v>
      </c>
      <c r="AA36" s="1">
        <f>[1]Results!AD1397</f>
        <v>-0.13937529645215996</v>
      </c>
      <c r="AB36" s="1">
        <f>[1]Results!AE1397</f>
        <v>-0.15079190587468094</v>
      </c>
      <c r="AC36" s="1">
        <f>[1]Results!AF1397</f>
        <v>-0.16126994039606934</v>
      </c>
      <c r="AD36" s="1">
        <f>[1]Results!AG1397</f>
        <v>-0.17072208791455434</v>
      </c>
      <c r="AE36" s="1">
        <f>[1]Results!AH1397</f>
        <v>-0.17918831147644143</v>
      </c>
      <c r="AF36" s="1">
        <f>[1]Results!AI1397</f>
        <v>-0.18693587296555458</v>
      </c>
      <c r="AG36" s="1">
        <f>[1]Results!AJ1397</f>
        <v>-0.194065538371202</v>
      </c>
      <c r="AH36" s="1">
        <f>[1]Results!AK1397</f>
        <v>-0.20049181471064603</v>
      </c>
      <c r="AI36" s="1">
        <f>[1]Results!AL1397</f>
        <v>-0.20621692644088307</v>
      </c>
      <c r="AJ36" s="1">
        <f>[1]Results!AM1397</f>
        <v>-0.21126949822390939</v>
      </c>
      <c r="AK36" s="1">
        <f>[1]Results!AN1397</f>
        <v>-0.21571289134111327</v>
      </c>
      <c r="AL36" s="1">
        <f>[1]Results!AO1397</f>
        <v>-0.21962937473583022</v>
      </c>
    </row>
    <row r="37" spans="1:38" x14ac:dyDescent="0.35">
      <c r="A37" s="3" t="str">
        <f>[1]Results!E1398</f>
        <v>100*(W_2/W_0-1)</v>
      </c>
      <c r="B37" t="str">
        <f>[1]Results!C1398</f>
        <v>Salaire net nominal (hors cotisations employeurs et employés, unitaire)</v>
      </c>
      <c r="C37" s="1">
        <f>[1]Results!F1398</f>
        <v>0</v>
      </c>
      <c r="D37" s="1">
        <f>[1]Results!G1398</f>
        <v>0</v>
      </c>
      <c r="E37" s="1">
        <f>[1]Results!H1398</f>
        <v>0</v>
      </c>
      <c r="F37" s="1">
        <f>[1]Results!I1398</f>
        <v>0</v>
      </c>
      <c r="G37" s="1">
        <f>[1]Results!J1398</f>
        <v>0</v>
      </c>
      <c r="H37" s="1">
        <f>[1]Results!K1398</f>
        <v>0</v>
      </c>
      <c r="I37" s="1">
        <f>[1]Results!L1398</f>
        <v>0</v>
      </c>
      <c r="J37" s="1">
        <f>[1]Results!M1398</f>
        <v>3.0723060472137576E-3</v>
      </c>
      <c r="K37" s="1">
        <f>[1]Results!N1398</f>
        <v>8.6257453845806076E-2</v>
      </c>
      <c r="L37" s="1">
        <f>[1]Results!O1398</f>
        <v>0.30074469934047166</v>
      </c>
      <c r="M37" s="1">
        <f>[1]Results!P1398</f>
        <v>0.69708420633542989</v>
      </c>
      <c r="N37" s="1">
        <f>[1]Results!Q1398</f>
        <v>1.3276480116503286</v>
      </c>
      <c r="O37" s="1">
        <f>[1]Results!R1398</f>
        <v>2.0195811842187217</v>
      </c>
      <c r="P37" s="1">
        <f>[1]Results!S1398</f>
        <v>2.7125075888619454</v>
      </c>
      <c r="Q37" s="1">
        <f>[1]Results!T1398</f>
        <v>3.3884580181993362</v>
      </c>
      <c r="R37" s="1">
        <f>[1]Results!U1398</f>
        <v>4.0434792127006736</v>
      </c>
      <c r="S37" s="1">
        <f>[1]Results!V1398</f>
        <v>4.6773572814877928</v>
      </c>
      <c r="T37" s="1">
        <f>[1]Results!W1398</f>
        <v>5.3057759772559443</v>
      </c>
      <c r="U37" s="1">
        <f>[1]Results!X1398</f>
        <v>5.9336202766600454</v>
      </c>
      <c r="V37" s="1">
        <f>[1]Results!Y1398</f>
        <v>6.5615193675501171</v>
      </c>
      <c r="W37" s="1">
        <f>[1]Results!Z1398</f>
        <v>7.1888319834079173</v>
      </c>
      <c r="X37" s="1">
        <f>[1]Results!AA1398</f>
        <v>7.8138134363550771</v>
      </c>
      <c r="Y37" s="1">
        <f>[1]Results!AB1398</f>
        <v>8.4132681743700921</v>
      </c>
      <c r="Z37" s="1">
        <f>[1]Results!AC1398</f>
        <v>8.978116252524849</v>
      </c>
      <c r="AA37" s="1">
        <f>[1]Results!AD1398</f>
        <v>9.5051163340870595</v>
      </c>
      <c r="AB37" s="1">
        <f>[1]Results!AE1398</f>
        <v>9.9930594463275355</v>
      </c>
      <c r="AC37" s="1">
        <f>[1]Results!AF1398</f>
        <v>10.442251523288416</v>
      </c>
      <c r="AD37" s="1">
        <f>[1]Results!AG1398</f>
        <v>10.835202542964728</v>
      </c>
      <c r="AE37" s="1">
        <f>[1]Results!AH1398</f>
        <v>11.167825134036269</v>
      </c>
      <c r="AF37" s="1">
        <f>[1]Results!AI1398</f>
        <v>11.441904776781374</v>
      </c>
      <c r="AG37" s="1">
        <f>[1]Results!AJ1398</f>
        <v>11.661957029622872</v>
      </c>
      <c r="AH37" s="1">
        <f>[1]Results!AK1398</f>
        <v>11.833366331675199</v>
      </c>
      <c r="AI37" s="1">
        <f>[1]Results!AL1398</f>
        <v>11.953447754815416</v>
      </c>
      <c r="AJ37" s="1">
        <f>[1]Results!AM1398</f>
        <v>12.026579074907563</v>
      </c>
      <c r="AK37" s="1">
        <f>[1]Results!AN1398</f>
        <v>12.060061977056646</v>
      </c>
      <c r="AL37" s="1">
        <f>[1]Results!AO1398</f>
        <v>12.062202779616227</v>
      </c>
    </row>
    <row r="38" spans="1:38" x14ac:dyDescent="0.35">
      <c r="A38" s="3" t="str">
        <f>[1]Results!E1399</f>
        <v>100*((W_2/PCH_2)/(W_0/PCH_0)-1)</v>
      </c>
      <c r="B38" t="str">
        <f>[1]Results!C1399</f>
        <v>Salaire net réel (hors cotisations employeurs et employés, unitaire)</v>
      </c>
      <c r="C38" s="1">
        <f>[1]Results!F1399</f>
        <v>0</v>
      </c>
      <c r="D38" s="1">
        <f>[1]Results!G1399</f>
        <v>0</v>
      </c>
      <c r="E38" s="1">
        <f>[1]Results!H1399</f>
        <v>0</v>
      </c>
      <c r="F38" s="1">
        <f>[1]Results!I1399</f>
        <v>0</v>
      </c>
      <c r="G38" s="1">
        <f>[1]Results!J1399</f>
        <v>0</v>
      </c>
      <c r="H38" s="1">
        <f>[1]Results!K1399</f>
        <v>0</v>
      </c>
      <c r="I38" s="1">
        <f>[1]Results!L1399</f>
        <v>0</v>
      </c>
      <c r="J38" s="1">
        <f>[1]Results!M1399</f>
        <v>-0.26097133233845549</v>
      </c>
      <c r="K38" s="1">
        <f>[1]Results!N1399</f>
        <v>-0.61996600881710773</v>
      </c>
      <c r="L38" s="1">
        <f>[1]Results!O1399</f>
        <v>-1.0814814485662905</v>
      </c>
      <c r="M38" s="1">
        <f>[1]Results!P1399</f>
        <v>-1.6756440885813517</v>
      </c>
      <c r="N38" s="1">
        <f>[1]Results!Q1399</f>
        <v>-1.6085208674195717</v>
      </c>
      <c r="O38" s="1">
        <f>[1]Results!R1399</f>
        <v>-1.4707119544504876</v>
      </c>
      <c r="P38" s="1">
        <f>[1]Results!S1399</f>
        <v>-1.3369941851973266</v>
      </c>
      <c r="Q38" s="1">
        <f>[1]Results!T1399</f>
        <v>-1.2250431135101159</v>
      </c>
      <c r="R38" s="1">
        <f>[1]Results!U1399</f>
        <v>-1.1324097112466514</v>
      </c>
      <c r="S38" s="1">
        <f>[1]Results!V1399</f>
        <v>-1.1074197977816946</v>
      </c>
      <c r="T38" s="1">
        <f>[1]Results!W1399</f>
        <v>-1.0973898826679096</v>
      </c>
      <c r="U38" s="1">
        <f>[1]Results!X1399</f>
        <v>-1.0934696187933746</v>
      </c>
      <c r="V38" s="1">
        <f>[1]Results!Y1399</f>
        <v>-1.0935370954421431</v>
      </c>
      <c r="W38" s="1">
        <f>[1]Results!Z1399</f>
        <v>-1.0978867906608181</v>
      </c>
      <c r="X38" s="1">
        <f>[1]Results!AA1399</f>
        <v>-1.0358230380539291</v>
      </c>
      <c r="Y38" s="1">
        <f>[1]Results!AB1399</f>
        <v>-0.97091007138536689</v>
      </c>
      <c r="Z38" s="1">
        <f>[1]Results!AC1399</f>
        <v>-0.91204725963807132</v>
      </c>
      <c r="AA38" s="1">
        <f>[1]Results!AD1399</f>
        <v>-0.86096254736998112</v>
      </c>
      <c r="AB38" s="1">
        <f>[1]Results!AE1399</f>
        <v>-0.81727093421476438</v>
      </c>
      <c r="AC38" s="1">
        <f>[1]Results!AF1399</f>
        <v>-0.72318567474798368</v>
      </c>
      <c r="AD38" s="1">
        <f>[1]Results!AG1399</f>
        <v>-0.63448708417106481</v>
      </c>
      <c r="AE38" s="1">
        <f>[1]Results!AH1399</f>
        <v>-0.55872657785819291</v>
      </c>
      <c r="AF38" s="1">
        <f>[1]Results!AI1399</f>
        <v>-0.49755094545897993</v>
      </c>
      <c r="AG38" s="1">
        <f>[1]Results!AJ1399</f>
        <v>-0.45060254709428094</v>
      </c>
      <c r="AH38" s="1">
        <f>[1]Results!AK1399</f>
        <v>-0.38856221317633555</v>
      </c>
      <c r="AI38" s="1">
        <f>[1]Results!AL1399</f>
        <v>-0.33803639168874522</v>
      </c>
      <c r="AJ38" s="1">
        <f>[1]Results!AM1399</f>
        <v>-0.30202385753514971</v>
      </c>
      <c r="AK38" s="1">
        <f>[1]Results!AN1399</f>
        <v>-0.28024269465386498</v>
      </c>
      <c r="AL38" s="1">
        <f>[1]Results!AO1399</f>
        <v>-0.27117787087798106</v>
      </c>
    </row>
    <row r="39" spans="1:38" x14ac:dyDescent="0.35">
      <c r="A39" s="3" t="str">
        <f>[1]Results!E1400</f>
        <v>100*(C_L_2/C_L_0-1)</v>
      </c>
      <c r="B39" t="str">
        <f>[1]Results!C1400</f>
        <v>Coût du travail nominal (yc. Cotisations employeurs et employés, unitaire)</v>
      </c>
      <c r="C39" s="1">
        <f>[1]Results!F1400</f>
        <v>0</v>
      </c>
      <c r="D39" s="1">
        <f>[1]Results!G1400</f>
        <v>0</v>
      </c>
      <c r="E39" s="1">
        <f>[1]Results!H1400</f>
        <v>0</v>
      </c>
      <c r="F39" s="1">
        <f>[1]Results!I1400</f>
        <v>0</v>
      </c>
      <c r="G39" s="1">
        <f>[1]Results!J1400</f>
        <v>0</v>
      </c>
      <c r="H39" s="1">
        <f>[1]Results!K1400</f>
        <v>0</v>
      </c>
      <c r="I39" s="1">
        <f>[1]Results!L1400</f>
        <v>0</v>
      </c>
      <c r="J39" s="1">
        <f>[1]Results!M1400</f>
        <v>3.0723020973955073E-3</v>
      </c>
      <c r="K39" s="1">
        <f>[1]Results!N1400</f>
        <v>8.6257440114456685E-2</v>
      </c>
      <c r="L39" s="1">
        <f>[1]Results!O1400</f>
        <v>0.30074470102359196</v>
      </c>
      <c r="M39" s="1">
        <f>[1]Results!P1400</f>
        <v>0.69708420448293396</v>
      </c>
      <c r="N39" s="1">
        <f>[1]Results!Q1400</f>
        <v>1.327648017604699</v>
      </c>
      <c r="O39" s="1">
        <f>[1]Results!R1400</f>
        <v>2.0195812084824016</v>
      </c>
      <c r="P39" s="1">
        <f>[1]Results!S1400</f>
        <v>2.7125075914019803</v>
      </c>
      <c r="Q39" s="1">
        <f>[1]Results!T1400</f>
        <v>3.3884580155093103</v>
      </c>
      <c r="R39" s="1">
        <f>[1]Results!U1400</f>
        <v>4.0434792251884177</v>
      </c>
      <c r="S39" s="1">
        <f>[1]Results!V1400</f>
        <v>4.677357280066663</v>
      </c>
      <c r="T39" s="1">
        <f>[1]Results!W1400</f>
        <v>5.3057759885798195</v>
      </c>
      <c r="U39" s="1">
        <f>[1]Results!X1400</f>
        <v>5.9336202774705527</v>
      </c>
      <c r="V39" s="1">
        <f>[1]Results!Y1400</f>
        <v>6.5615193795201643</v>
      </c>
      <c r="W39" s="1">
        <f>[1]Results!Z1400</f>
        <v>7.1888319880214935</v>
      </c>
      <c r="X39" s="1">
        <f>[1]Results!AA1400</f>
        <v>7.8138134132594406</v>
      </c>
      <c r="Y39" s="1">
        <f>[1]Results!AB1400</f>
        <v>8.4132681859969249</v>
      </c>
      <c r="Z39" s="1">
        <f>[1]Results!AC1400</f>
        <v>8.9781162653028943</v>
      </c>
      <c r="AA39" s="1">
        <f>[1]Results!AD1400</f>
        <v>9.5051163182542595</v>
      </c>
      <c r="AB39" s="1">
        <f>[1]Results!AE1400</f>
        <v>9.9930595256732868</v>
      </c>
      <c r="AC39" s="1">
        <f>[1]Results!AF1400</f>
        <v>10.442251510319856</v>
      </c>
      <c r="AD39" s="1">
        <f>[1]Results!AG1400</f>
        <v>10.835202541726762</v>
      </c>
      <c r="AE39" s="1">
        <f>[1]Results!AH1400</f>
        <v>11.167825173267044</v>
      </c>
      <c r="AF39" s="1">
        <f>[1]Results!AI1400</f>
        <v>11.44190470851456</v>
      </c>
      <c r="AG39" s="1">
        <f>[1]Results!AJ1400</f>
        <v>11.661957072295293</v>
      </c>
      <c r="AH39" s="1">
        <f>[1]Results!AK1400</f>
        <v>11.833366476758279</v>
      </c>
      <c r="AI39" s="1">
        <f>[1]Results!AL1400</f>
        <v>11.953447811380592</v>
      </c>
      <c r="AJ39" s="1">
        <f>[1]Results!AM1400</f>
        <v>12.026579044796716</v>
      </c>
      <c r="AK39" s="1">
        <f>[1]Results!AN1400</f>
        <v>12.060061978800496</v>
      </c>
      <c r="AL39" s="1">
        <f>[1]Results!AO1400</f>
        <v>12.062202787732712</v>
      </c>
    </row>
    <row r="40" spans="1:38" x14ac:dyDescent="0.35">
      <c r="A40" s="3" t="str">
        <f>[1]Results!E1401</f>
        <v>100*((C_L_2/PVA_2)/(C_L_0/PVA_0)-1)</v>
      </c>
      <c r="B40" t="str">
        <f>[1]Results!C1401</f>
        <v>Coût réel du travail (yc. Cotisations employeurs et employés, unitaire)</v>
      </c>
      <c r="C40" s="1">
        <f>[1]Results!F1401</f>
        <v>0</v>
      </c>
      <c r="D40" s="1">
        <f>[1]Results!G1401</f>
        <v>0</v>
      </c>
      <c r="E40" s="1">
        <f>[1]Results!H1401</f>
        <v>0</v>
      </c>
      <c r="F40" s="1">
        <f>[1]Results!I1401</f>
        <v>0</v>
      </c>
      <c r="G40" s="1">
        <f>[1]Results!J1401</f>
        <v>0</v>
      </c>
      <c r="H40" s="1">
        <f>[1]Results!K1401</f>
        <v>0</v>
      </c>
      <c r="I40" s="1">
        <f>[1]Results!L1401</f>
        <v>0</v>
      </c>
      <c r="J40" s="1">
        <f>[1]Results!M1401</f>
        <v>2.6849250981753059E-2</v>
      </c>
      <c r="K40" s="1">
        <f>[1]Results!N1401</f>
        <v>2.7352960596571663E-2</v>
      </c>
      <c r="L40" s="1">
        <f>[1]Results!O1401</f>
        <v>2.9980736499668481E-2</v>
      </c>
      <c r="M40" s="1">
        <f>[1]Results!P1401</f>
        <v>4.0633227788089421E-2</v>
      </c>
      <c r="N40" s="1">
        <f>[1]Results!Q1401</f>
        <v>-4.9388563637386973E-2</v>
      </c>
      <c r="O40" s="1">
        <f>[1]Results!R1401</f>
        <v>-2.7118106160917144E-2</v>
      </c>
      <c r="P40" s="1">
        <f>[1]Results!S1401</f>
        <v>1.178006854096747E-2</v>
      </c>
      <c r="Q40" s="1">
        <f>[1]Results!T1401</f>
        <v>4.3153541583995647E-2</v>
      </c>
      <c r="R40" s="1">
        <f>[1]Results!U1401</f>
        <v>6.9429491704453561E-2</v>
      </c>
      <c r="S40" s="1">
        <f>[1]Results!V1401</f>
        <v>0.10333955779597837</v>
      </c>
      <c r="T40" s="1">
        <f>[1]Results!W1401</f>
        <v>0.13703087953758075</v>
      </c>
      <c r="U40" s="1">
        <f>[1]Results!X1401</f>
        <v>0.18201343156649674</v>
      </c>
      <c r="V40" s="1">
        <f>[1]Results!Y1401</f>
        <v>0.24131695650502216</v>
      </c>
      <c r="W40" s="1">
        <f>[1]Results!Z1401</f>
        <v>0.3146333831688386</v>
      </c>
      <c r="X40" s="1">
        <f>[1]Results!AA1401</f>
        <v>0.3917648150175701</v>
      </c>
      <c r="Y40" s="1">
        <f>[1]Results!AB1401</f>
        <v>0.49463907561586584</v>
      </c>
      <c r="Z40" s="1">
        <f>[1]Results!AC1401</f>
        <v>0.61121231358232109</v>
      </c>
      <c r="AA40" s="1">
        <f>[1]Results!AD1401</f>
        <v>0.73781241314545554</v>
      </c>
      <c r="AB40" s="1">
        <f>[1]Results!AE1401</f>
        <v>0.87374165250415636</v>
      </c>
      <c r="AC40" s="1">
        <f>[1]Results!AF1401</f>
        <v>0.98157831849206012</v>
      </c>
      <c r="AD40" s="1">
        <f>[1]Results!AG1401</f>
        <v>1.0869923318582941</v>
      </c>
      <c r="AE40" s="1">
        <f>[1]Results!AH1401</f>
        <v>1.1871221776527774</v>
      </c>
      <c r="AF40" s="1">
        <f>[1]Results!AI1401</f>
        <v>1.2800847108739744</v>
      </c>
      <c r="AG40" s="1">
        <f>[1]Results!AJ1401</f>
        <v>1.3642300621977022</v>
      </c>
      <c r="AH40" s="1">
        <f>[1]Results!AK1401</f>
        <v>1.4314197048108657</v>
      </c>
      <c r="AI40" s="1">
        <f>[1]Results!AL1401</f>
        <v>1.4943971219634866</v>
      </c>
      <c r="AJ40" s="1">
        <f>[1]Results!AM1401</f>
        <v>1.547305808732502</v>
      </c>
      <c r="AK40" s="1">
        <f>[1]Results!AN1401</f>
        <v>1.5886472313183964</v>
      </c>
      <c r="AL40" s="1">
        <f>[1]Results!AO1401</f>
        <v>1.6188810496747141</v>
      </c>
    </row>
    <row r="41" spans="1:38" x14ac:dyDescent="0.35">
      <c r="A41" s="3" t="str">
        <f>[1]Results!E1402</f>
        <v>((F_L_2/F_L_0)-1)*100</v>
      </c>
      <c r="B41" t="str">
        <f>[1]Results!C1402</f>
        <v>Emploi en %</v>
      </c>
      <c r="C41" s="1">
        <f>[1]Results!F1402</f>
        <v>0</v>
      </c>
      <c r="D41" s="1">
        <f>[1]Results!G1402</f>
        <v>0</v>
      </c>
      <c r="E41" s="1">
        <f>[1]Results!H1402</f>
        <v>0</v>
      </c>
      <c r="F41" s="1">
        <f>[1]Results!I1402</f>
        <v>0</v>
      </c>
      <c r="G41" s="1">
        <f>[1]Results!J1402</f>
        <v>0</v>
      </c>
      <c r="H41" s="1">
        <f>[1]Results!K1402</f>
        <v>0</v>
      </c>
      <c r="I41" s="1">
        <f>[1]Results!L1402</f>
        <v>0</v>
      </c>
      <c r="J41" s="1">
        <f>[1]Results!M1402</f>
        <v>2.269563388819229E-2</v>
      </c>
      <c r="K41" s="1">
        <f>[1]Results!N1402</f>
        <v>7.5816494215841246E-2</v>
      </c>
      <c r="L41" s="1">
        <f>[1]Results!O1402</f>
        <v>0.16445377793967708</v>
      </c>
      <c r="M41" s="1">
        <f>[1]Results!P1402</f>
        <v>0.29433339175486406</v>
      </c>
      <c r="N41" s="1">
        <f>[1]Results!Q1402</f>
        <v>0.39418039023735307</v>
      </c>
      <c r="O41" s="1">
        <f>[1]Results!R1402</f>
        <v>0.45401722654940802</v>
      </c>
      <c r="P41" s="1">
        <f>[1]Results!S1402</f>
        <v>0.47867228459914646</v>
      </c>
      <c r="Q41" s="1">
        <f>[1]Results!T1402</f>
        <v>0.47404946054820929</v>
      </c>
      <c r="R41" s="1">
        <f>[1]Results!U1402</f>
        <v>0.4456203952782456</v>
      </c>
      <c r="S41" s="1">
        <f>[1]Results!V1402</f>
        <v>0.40360552775295933</v>
      </c>
      <c r="T41" s="1">
        <f>[1]Results!W1402</f>
        <v>0.35251200338939359</v>
      </c>
      <c r="U41" s="1">
        <f>[1]Results!X1402</f>
        <v>0.29487156371637013</v>
      </c>
      <c r="V41" s="1">
        <f>[1]Results!Y1402</f>
        <v>0.23233044589436869</v>
      </c>
      <c r="W41" s="1">
        <f>[1]Results!Z1402</f>
        <v>0.16577479853454591</v>
      </c>
      <c r="X41" s="1">
        <f>[1]Results!AA1402</f>
        <v>8.8596499066739831E-2</v>
      </c>
      <c r="Y41" s="1">
        <f>[1]Results!AB1402</f>
        <v>1.6558730003835009E-3</v>
      </c>
      <c r="Z41" s="1">
        <f>[1]Results!AC1402</f>
        <v>-9.2248411098772021E-2</v>
      </c>
      <c r="AA41" s="1">
        <f>[1]Results!AD1402</f>
        <v>-0.18992839492066871</v>
      </c>
      <c r="AB41" s="1">
        <f>[1]Results!AE1402</f>
        <v>-0.28865074951409664</v>
      </c>
      <c r="AC41" s="1">
        <f>[1]Results!AF1402</f>
        <v>-0.39165679142463272</v>
      </c>
      <c r="AD41" s="1">
        <f>[1]Results!AG1402</f>
        <v>-0.49650329435679819</v>
      </c>
      <c r="AE41" s="1">
        <f>[1]Results!AH1402</f>
        <v>-0.59894698463174301</v>
      </c>
      <c r="AF41" s="1">
        <f>[1]Results!AI1402</f>
        <v>-0.69441900156714809</v>
      </c>
      <c r="AG41" s="1">
        <f>[1]Results!AJ1402</f>
        <v>-0.77887657892483642</v>
      </c>
      <c r="AH41" s="1">
        <f>[1]Results!AK1402</f>
        <v>-0.85265047901467161</v>
      </c>
      <c r="AI41" s="1">
        <f>[1]Results!AL1402</f>
        <v>-0.91341022920266024</v>
      </c>
      <c r="AJ41" s="1">
        <f>[1]Results!AM1402</f>
        <v>-0.95901660040366155</v>
      </c>
      <c r="AK41" s="1">
        <f>[1]Results!AN1402</f>
        <v>-0.98817943039410938</v>
      </c>
      <c r="AL41" s="1">
        <f>[1]Results!AO1402</f>
        <v>-1.0003792206770945</v>
      </c>
    </row>
    <row r="42" spans="1:38" x14ac:dyDescent="0.35">
      <c r="A42" s="3" t="str">
        <f>[1]Results!E1403</f>
        <v>F_L_2-F_L_0</v>
      </c>
      <c r="B42" t="str">
        <f>[1]Results!C1403</f>
        <v>Emploi en millier</v>
      </c>
      <c r="C42" s="1">
        <f>[1]Results!F1403</f>
        <v>0</v>
      </c>
      <c r="D42" s="1">
        <f>[1]Results!G1403</f>
        <v>0</v>
      </c>
      <c r="E42" s="1">
        <f>[1]Results!H1403</f>
        <v>0</v>
      </c>
      <c r="F42" s="1">
        <f>[1]Results!I1403</f>
        <v>0</v>
      </c>
      <c r="G42" s="1">
        <f>[1]Results!J1403</f>
        <v>0</v>
      </c>
      <c r="H42" s="1">
        <f>[1]Results!K1403</f>
        <v>0</v>
      </c>
      <c r="I42" s="1">
        <f>[1]Results!L1403</f>
        <v>0</v>
      </c>
      <c r="J42" s="1">
        <f>[1]Results!M1403</f>
        <v>6.642520000001241</v>
      </c>
      <c r="K42" s="1">
        <f>[1]Results!N1403</f>
        <v>22.469679999998334</v>
      </c>
      <c r="L42" s="1">
        <f>[1]Results!O1403</f>
        <v>49.353610000001936</v>
      </c>
      <c r="M42" s="1">
        <f>[1]Results!P1403</f>
        <v>89.412140000000363</v>
      </c>
      <c r="N42" s="1">
        <f>[1]Results!Q1403</f>
        <v>120.98209000000134</v>
      </c>
      <c r="O42" s="1">
        <f>[1]Results!R1403</f>
        <v>140.45853999999963</v>
      </c>
      <c r="P42" s="1">
        <f>[1]Results!S1403</f>
        <v>148.925900000002</v>
      </c>
      <c r="Q42" s="1">
        <f>[1]Results!T1403</f>
        <v>148.0412299999989</v>
      </c>
      <c r="R42" s="1">
        <f>[1]Results!U1403</f>
        <v>139.49186999999802</v>
      </c>
      <c r="S42" s="1">
        <f>[1]Results!V1403</f>
        <v>126.53563999999824</v>
      </c>
      <c r="T42" s="1">
        <f>[1]Results!W1403</f>
        <v>110.65932000000248</v>
      </c>
      <c r="U42" s="1">
        <f>[1]Results!X1403</f>
        <v>92.704829999998765</v>
      </c>
      <c r="V42" s="1">
        <f>[1]Results!Y1403</f>
        <v>73.196349999998347</v>
      </c>
      <c r="W42" s="1">
        <f>[1]Results!Z1403</f>
        <v>52.380280000001221</v>
      </c>
      <c r="X42" s="1">
        <f>[1]Results!AA1403</f>
        <v>28.105559999999969</v>
      </c>
      <c r="Y42" s="1">
        <f>[1]Results!AB1403</f>
        <v>0.52803999999741791</v>
      </c>
      <c r="Z42" s="1">
        <f>[1]Results!AC1403</f>
        <v>-29.610370000002149</v>
      </c>
      <c r="AA42" s="1">
        <f>[1]Results!AD1403</f>
        <v>-61.447179999999207</v>
      </c>
      <c r="AB42" s="1">
        <f>[1]Results!AE1403</f>
        <v>-94.232390000001033</v>
      </c>
      <c r="AC42" s="1">
        <f>[1]Results!AF1403</f>
        <v>-129.09758999999758</v>
      </c>
      <c r="AD42" s="1">
        <f>[1]Results!AG1403</f>
        <v>-165.32832999999664</v>
      </c>
      <c r="AE42" s="1">
        <f>[1]Results!AH1403</f>
        <v>-201.58993999999802</v>
      </c>
      <c r="AF42" s="1">
        <f>[1]Results!AI1403</f>
        <v>-236.35960999999952</v>
      </c>
      <c r="AG42" s="1">
        <f>[1]Results!AJ1403</f>
        <v>-268.17882999999711</v>
      </c>
      <c r="AH42" s="1">
        <f>[1]Results!AK1403</f>
        <v>-296.99940000000061</v>
      </c>
      <c r="AI42" s="1">
        <f>[1]Results!AL1403</f>
        <v>-321.80679999999847</v>
      </c>
      <c r="AJ42" s="1">
        <f>[1]Results!AM1403</f>
        <v>-341.59859999999753</v>
      </c>
      <c r="AK42" s="1">
        <f>[1]Results!AN1403</f>
        <v>-355.64097000000038</v>
      </c>
      <c r="AL42" s="1">
        <f>[1]Results!AO1403</f>
        <v>-363.47293000000354</v>
      </c>
    </row>
    <row r="43" spans="1:38" x14ac:dyDescent="0.35">
      <c r="A43" s="3" t="str">
        <f>[1]Results!E1404</f>
        <v>100*(UnR_2-UnR_0)</v>
      </c>
      <c r="B43" t="str">
        <f>[1]Results!C1404</f>
        <v>Taux de chômage (en point)</v>
      </c>
      <c r="C43" s="1">
        <f>[1]Results!F1404</f>
        <v>0</v>
      </c>
      <c r="D43" s="1">
        <f>[1]Results!G1404</f>
        <v>0</v>
      </c>
      <c r="E43" s="1">
        <f>[1]Results!H1404</f>
        <v>0</v>
      </c>
      <c r="F43" s="1">
        <f>[1]Results!I1404</f>
        <v>0</v>
      </c>
      <c r="G43" s="1">
        <f>[1]Results!J1404</f>
        <v>0</v>
      </c>
      <c r="H43" s="1">
        <f>[1]Results!K1404</f>
        <v>0</v>
      </c>
      <c r="I43" s="1">
        <f>[1]Results!L1404</f>
        <v>0</v>
      </c>
      <c r="J43" s="1">
        <f>[1]Results!M1404</f>
        <v>-1.7027990000000048E-2</v>
      </c>
      <c r="K43" s="1">
        <f>[1]Results!N1404</f>
        <v>-5.5934259999999847E-2</v>
      </c>
      <c r="L43" s="1">
        <f>[1]Results!O1404</f>
        <v>-0.1199579800000003</v>
      </c>
      <c r="M43" s="1">
        <f>[1]Results!P1404</f>
        <v>-0.21284605999999928</v>
      </c>
      <c r="N43" s="1">
        <f>[1]Results!Q1404</f>
        <v>-0.27977312000000004</v>
      </c>
      <c r="O43" s="1">
        <f>[1]Results!R1404</f>
        <v>-0.316110750000001</v>
      </c>
      <c r="P43" s="1">
        <f>[1]Results!S1404</f>
        <v>-0.32747160999999914</v>
      </c>
      <c r="Q43" s="1">
        <f>[1]Results!T1404</f>
        <v>-0.31905376000000013</v>
      </c>
      <c r="R43" s="1">
        <f>[1]Results!U1404</f>
        <v>-0.2951541900000007</v>
      </c>
      <c r="S43" s="1">
        <f>[1]Results!V1404</f>
        <v>-0.26346307999999957</v>
      </c>
      <c r="T43" s="1">
        <f>[1]Results!W1404</f>
        <v>-0.22683104000000009</v>
      </c>
      <c r="U43" s="1">
        <f>[1]Results!X1404</f>
        <v>-0.18669191000000029</v>
      </c>
      <c r="V43" s="1">
        <f>[1]Results!Y1404</f>
        <v>-0.14391878999999996</v>
      </c>
      <c r="W43" s="1">
        <f>[1]Results!Z1404</f>
        <v>-9.8955789999999322E-2</v>
      </c>
      <c r="X43" s="1">
        <f>[1]Results!AA1404</f>
        <v>-4.6311749999999874E-2</v>
      </c>
      <c r="Y43" s="1">
        <f>[1]Results!AB1404</f>
        <v>1.3041970000000902E-2</v>
      </c>
      <c r="Z43" s="1">
        <f>[1]Results!AC1404</f>
        <v>7.7060030000000723E-2</v>
      </c>
      <c r="AA43" s="1">
        <f>[1]Results!AD1404</f>
        <v>0.1436138699999992</v>
      </c>
      <c r="AB43" s="1">
        <f>[1]Results!AE1404</f>
        <v>0.21141122999999984</v>
      </c>
      <c r="AC43" s="1">
        <f>[1]Results!AF1404</f>
        <v>0.2827782599999995</v>
      </c>
      <c r="AD43" s="1">
        <f>[1]Results!AG1404</f>
        <v>0.35601915999999983</v>
      </c>
      <c r="AE43" s="1">
        <f>[1]Results!AH1404</f>
        <v>0.42799681000000034</v>
      </c>
      <c r="AF43" s="1">
        <f>[1]Results!AI1404</f>
        <v>0.49540304999999907</v>
      </c>
      <c r="AG43" s="1">
        <f>[1]Results!AJ1404</f>
        <v>0.55530130999999971</v>
      </c>
      <c r="AH43" s="1">
        <f>[1]Results!AK1404</f>
        <v>0.60815687000000052</v>
      </c>
      <c r="AI43" s="1">
        <f>[1]Results!AL1404</f>
        <v>0.65199800999999957</v>
      </c>
      <c r="AJ43" s="1">
        <f>[1]Results!AM1404</f>
        <v>0.68501328000000061</v>
      </c>
      <c r="AK43" s="1">
        <f>[1]Results!AN1404</f>
        <v>0.70607577999999971</v>
      </c>
      <c r="AL43" s="1">
        <f>[1]Results!AO1404</f>
        <v>0.71465744000000009</v>
      </c>
    </row>
    <row r="44" spans="1:38" x14ac:dyDescent="0.35">
      <c r="A44" s="3" t="str">
        <f>[1]Results!E1405</f>
        <v>100*(Bal_Trade_VAL_2/(GDP_2*PGDP_2)-Bal_Trade_VAL_0/(GDP_0*PGDP_0))</v>
      </c>
      <c r="B44" t="str">
        <f>[1]Results!C1405</f>
        <v>Balance commerciale</v>
      </c>
      <c r="C44" s="1">
        <f>[1]Results!F1405</f>
        <v>0</v>
      </c>
      <c r="D44" s="1">
        <f>[1]Results!G1405</f>
        <v>0</v>
      </c>
      <c r="E44" s="1">
        <f>[1]Results!H1405</f>
        <v>0</v>
      </c>
      <c r="F44" s="1">
        <f>[1]Results!I1405</f>
        <v>0</v>
      </c>
      <c r="G44" s="1">
        <f>[1]Results!J1405</f>
        <v>0</v>
      </c>
      <c r="H44" s="1">
        <f>[1]Results!K1405</f>
        <v>0</v>
      </c>
      <c r="I44" s="1">
        <f>[1]Results!L1405</f>
        <v>0</v>
      </c>
      <c r="J44" s="1">
        <f>[1]Results!M1405</f>
        <v>4.3137372357521589E-2</v>
      </c>
      <c r="K44" s="1">
        <f>[1]Results!N1405</f>
        <v>0.1150345499551484</v>
      </c>
      <c r="L44" s="1">
        <f>[1]Results!O1405</f>
        <v>0.20831952623224584</v>
      </c>
      <c r="M44" s="1">
        <f>[1]Results!P1405</f>
        <v>0.32302643856622004</v>
      </c>
      <c r="N44" s="1">
        <f>[1]Results!Q1405</f>
        <v>0.34282667282782353</v>
      </c>
      <c r="O44" s="1">
        <f>[1]Results!R1405</f>
        <v>0.31796350395911288</v>
      </c>
      <c r="P44" s="1">
        <f>[1]Results!S1405</f>
        <v>0.28120984383256042</v>
      </c>
      <c r="Q44" s="1">
        <f>[1]Results!T1405</f>
        <v>0.24557245701192637</v>
      </c>
      <c r="R44" s="1">
        <f>[1]Results!U1405</f>
        <v>0.21417080459485566</v>
      </c>
      <c r="S44" s="1">
        <f>[1]Results!V1405</f>
        <v>0.19415513639245985</v>
      </c>
      <c r="T44" s="1">
        <f>[1]Results!W1405</f>
        <v>0.17956981028269259</v>
      </c>
      <c r="U44" s="1">
        <f>[1]Results!X1405</f>
        <v>0.16680533249063337</v>
      </c>
      <c r="V44" s="1">
        <f>[1]Results!Y1405</f>
        <v>0.15447084316659934</v>
      </c>
      <c r="W44" s="1">
        <f>[1]Results!Z1405</f>
        <v>0.14165551666101284</v>
      </c>
      <c r="X44" s="1">
        <f>[1]Results!AA1405</f>
        <v>0.11859386198932939</v>
      </c>
      <c r="Y44" s="1">
        <f>[1]Results!AB1405</f>
        <v>9.0429208102031644E-2</v>
      </c>
      <c r="Z44" s="1">
        <f>[1]Results!AC1405</f>
        <v>6.0263648166326844E-2</v>
      </c>
      <c r="AA44" s="1">
        <f>[1]Results!AD1405</f>
        <v>2.9445647018878918E-2</v>
      </c>
      <c r="AB44" s="1">
        <f>[1]Results!AE1405</f>
        <v>-3.0007434850917725E-3</v>
      </c>
      <c r="AC44" s="1">
        <f>[1]Results!AF1405</f>
        <v>-4.6172099260193E-2</v>
      </c>
      <c r="AD44" s="1">
        <f>[1]Results!AG1405</f>
        <v>-9.4119922607698026E-2</v>
      </c>
      <c r="AE44" s="1">
        <f>[1]Results!AH1405</f>
        <v>-0.14365510057001221</v>
      </c>
      <c r="AF44" s="1">
        <f>[1]Results!AI1405</f>
        <v>-0.19283919503297678</v>
      </c>
      <c r="AG44" s="1">
        <f>[1]Results!AJ1405</f>
        <v>-0.24010717346594906</v>
      </c>
      <c r="AH44" s="1">
        <f>[1]Results!AK1405</f>
        <v>-0.28812529240532514</v>
      </c>
      <c r="AI44" s="1">
        <f>[1]Results!AL1405</f>
        <v>-0.33435938274385679</v>
      </c>
      <c r="AJ44" s="1">
        <f>[1]Results!AM1405</f>
        <v>-0.37729109550266732</v>
      </c>
      <c r="AK44" s="1">
        <f>[1]Results!AN1405</f>
        <v>-0.41648638699181978</v>
      </c>
      <c r="AL44" s="1">
        <f>[1]Results!AO1405</f>
        <v>-0.45208160165680911</v>
      </c>
    </row>
    <row r="45" spans="1:38" x14ac:dyDescent="0.35">
      <c r="A45" s="3" t="str">
        <f>[1]Results!E1406</f>
        <v>100*(ENER_BILL_2/(GDP_2*PGDP_2)-ENER_BILL_0/(GDP_0*PGDP_0))</v>
      </c>
      <c r="B45" t="str">
        <f>[1]Results!C1406</f>
        <v>Facture énergétique</v>
      </c>
      <c r="C45" s="1">
        <f>[1]Results!F1406</f>
        <v>0</v>
      </c>
      <c r="D45" s="1">
        <f>[1]Results!G1406</f>
        <v>0</v>
      </c>
      <c r="E45" s="1">
        <f>[1]Results!H1406</f>
        <v>0</v>
      </c>
      <c r="F45" s="1">
        <f>[1]Results!I1406</f>
        <v>0</v>
      </c>
      <c r="G45" s="1">
        <f>[1]Results!J1406</f>
        <v>0</v>
      </c>
      <c r="H45" s="1">
        <f>[1]Results!K1406</f>
        <v>0</v>
      </c>
      <c r="I45" s="1">
        <f>[1]Results!L1406</f>
        <v>0</v>
      </c>
      <c r="J45" s="1">
        <f>[1]Results!M1406</f>
        <v>-1.4923670118903269E-2</v>
      </c>
      <c r="K45" s="1">
        <f>[1]Results!N1406</f>
        <v>-4.3925614496258258E-2</v>
      </c>
      <c r="L45" s="1">
        <f>[1]Results!O1406</f>
        <v>-8.744768078573234E-2</v>
      </c>
      <c r="M45" s="1">
        <f>[1]Results!P1406</f>
        <v>-0.1463717086800983</v>
      </c>
      <c r="N45" s="1">
        <f>[1]Results!Q1406</f>
        <v>-0.18735593966227662</v>
      </c>
      <c r="O45" s="1">
        <f>[1]Results!R1406</f>
        <v>-0.21793649906306239</v>
      </c>
      <c r="P45" s="1">
        <f>[1]Results!S1406</f>
        <v>-0.24220352764681291</v>
      </c>
      <c r="Q45" s="1">
        <f>[1]Results!T1406</f>
        <v>-0.26285586181404585</v>
      </c>
      <c r="R45" s="1">
        <f>[1]Results!U1406</f>
        <v>-0.28159973976177044</v>
      </c>
      <c r="S45" s="1">
        <f>[1]Results!V1406</f>
        <v>-0.30162891081622256</v>
      </c>
      <c r="T45" s="1">
        <f>[1]Results!W1406</f>
        <v>-0.32287143368296228</v>
      </c>
      <c r="U45" s="1">
        <f>[1]Results!X1406</f>
        <v>-0.34536481498181382</v>
      </c>
      <c r="V45" s="1">
        <f>[1]Results!Y1406</f>
        <v>-0.36912800196774487</v>
      </c>
      <c r="W45" s="1">
        <f>[1]Results!Z1406</f>
        <v>-0.39415570982285719</v>
      </c>
      <c r="X45" s="1">
        <f>[1]Results!AA1406</f>
        <v>-0.4178399248812108</v>
      </c>
      <c r="Y45" s="1">
        <f>[1]Results!AB1406</f>
        <v>-0.4409451621310162</v>
      </c>
      <c r="Z45" s="1">
        <f>[1]Results!AC1406</f>
        <v>-0.46383668095888425</v>
      </c>
      <c r="AA45" s="1">
        <f>[1]Results!AD1406</f>
        <v>-0.48671520717063427</v>
      </c>
      <c r="AB45" s="1">
        <f>[1]Results!AE1406</f>
        <v>-0.50958554674125567</v>
      </c>
      <c r="AC45" s="1">
        <f>[1]Results!AF1406</f>
        <v>-0.52769090019903786</v>
      </c>
      <c r="AD45" s="1">
        <f>[1]Results!AG1406</f>
        <v>-0.54339929468965875</v>
      </c>
      <c r="AE45" s="1">
        <f>[1]Results!AH1406</f>
        <v>-0.5575465233111534</v>
      </c>
      <c r="AF45" s="1">
        <f>[1]Results!AI1406</f>
        <v>-0.57041815651655692</v>
      </c>
      <c r="AG45" s="1">
        <f>[1]Results!AJ1406</f>
        <v>-0.58212135628514261</v>
      </c>
      <c r="AH45" s="1">
        <f>[1]Results!AK1406</f>
        <v>-0.59164764325143637</v>
      </c>
      <c r="AI45" s="1">
        <f>[1]Results!AL1406</f>
        <v>-0.59945142064102896</v>
      </c>
      <c r="AJ45" s="1">
        <f>[1]Results!AM1406</f>
        <v>-0.60585621502126086</v>
      </c>
      <c r="AK45" s="1">
        <f>[1]Results!AN1406</f>
        <v>-0.61114270026387119</v>
      </c>
      <c r="AL45" s="1">
        <f>[1]Results!AO1406</f>
        <v>-0.61556425948047722</v>
      </c>
    </row>
    <row r="46" spans="1:38" x14ac:dyDescent="0.35">
      <c r="A46" s="3" t="str">
        <f>[1]Results!E1407</f>
        <v>100*((-Bal_G_prim_VAL_2)/(GDP_2*PGDP_2)-(-Bal_G_prim_VAL_0)/(GDP_0*PGDP_0))</v>
      </c>
      <c r="B46" t="str">
        <f>[1]Results!C1407</f>
        <v>Solde public primaire</v>
      </c>
      <c r="C46" s="1">
        <f>[1]Results!F1407</f>
        <v>0</v>
      </c>
      <c r="D46" s="1">
        <f>[1]Results!G1407</f>
        <v>0</v>
      </c>
      <c r="E46" s="1">
        <f>[1]Results!H1407</f>
        <v>0</v>
      </c>
      <c r="F46" s="1">
        <f>[1]Results!I1407</f>
        <v>0</v>
      </c>
      <c r="G46" s="1">
        <f>[1]Results!J1407</f>
        <v>0</v>
      </c>
      <c r="H46" s="1">
        <f>[1]Results!K1407</f>
        <v>0</v>
      </c>
      <c r="I46" s="1">
        <f>[1]Results!L1407</f>
        <v>0</v>
      </c>
      <c r="J46" s="1">
        <f>[1]Results!M1407</f>
        <v>1.7882421672466009E-2</v>
      </c>
      <c r="K46" s="1">
        <f>[1]Results!N1407</f>
        <v>1.7475295415005088E-2</v>
      </c>
      <c r="L46" s="1">
        <f>[1]Results!O1407</f>
        <v>-5.9061399861608244E-3</v>
      </c>
      <c r="M46" s="1">
        <f>[1]Results!P1407</f>
        <v>-5.3835288773945722E-2</v>
      </c>
      <c r="N46" s="1">
        <f>[1]Results!Q1407</f>
        <v>-0.19559120790932777</v>
      </c>
      <c r="O46" s="1">
        <f>[1]Results!R1407</f>
        <v>-0.3151466507294497</v>
      </c>
      <c r="P46" s="1">
        <f>[1]Results!S1407</f>
        <v>-0.40386820545507618</v>
      </c>
      <c r="Q46" s="1">
        <f>[1]Results!T1407</f>
        <v>-0.46636415037621393</v>
      </c>
      <c r="R46" s="1">
        <f>[1]Results!U1407</f>
        <v>-0.50918285208063352</v>
      </c>
      <c r="S46" s="1">
        <f>[1]Results!V1407</f>
        <v>-0.53345140446902983</v>
      </c>
      <c r="T46" s="1">
        <f>[1]Results!W1407</f>
        <v>-0.55100201251674497</v>
      </c>
      <c r="U46" s="1">
        <f>[1]Results!X1407</f>
        <v>-0.56316636769839012</v>
      </c>
      <c r="V46" s="1">
        <f>[1]Results!Y1407</f>
        <v>-0.56959675333465443</v>
      </c>
      <c r="W46" s="1">
        <f>[1]Results!Z1407</f>
        <v>-0.56929513655071473</v>
      </c>
      <c r="X46" s="1">
        <f>[1]Results!AA1407</f>
        <v>-0.56721771846779534</v>
      </c>
      <c r="Y46" s="1">
        <f>[1]Results!AB1407</f>
        <v>-0.55165996104997306</v>
      </c>
      <c r="Z46" s="1">
        <f>[1]Results!AC1407</f>
        <v>-0.52372043853445427</v>
      </c>
      <c r="AA46" s="1">
        <f>[1]Results!AD1407</f>
        <v>-0.48620899631718617</v>
      </c>
      <c r="AB46" s="1">
        <f>[1]Results!AE1407</f>
        <v>-0.44050476422680951</v>
      </c>
      <c r="AC46" s="1">
        <f>[1]Results!AF1407</f>
        <v>-0.39175179145930772</v>
      </c>
      <c r="AD46" s="1">
        <f>[1]Results!AG1407</f>
        <v>-0.33550895466093467</v>
      </c>
      <c r="AE46" s="1">
        <f>[1]Results!AH1407</f>
        <v>-0.27428276946684649</v>
      </c>
      <c r="AF46" s="1">
        <f>[1]Results!AI1407</f>
        <v>-0.21100657486206181</v>
      </c>
      <c r="AG46" s="1">
        <f>[1]Results!AJ1407</f>
        <v>-0.14819244341174043</v>
      </c>
      <c r="AH46" s="1">
        <f>[1]Results!AK1407</f>
        <v>-8.976712976446477E-2</v>
      </c>
      <c r="AI46" s="1">
        <f>[1]Results!AL1407</f>
        <v>-3.2559117829918105E-2</v>
      </c>
      <c r="AJ46" s="1">
        <f>[1]Results!AM1407</f>
        <v>2.202341768616084E-2</v>
      </c>
      <c r="AK46" s="1">
        <f>[1]Results!AN1407</f>
        <v>7.2268493784434507E-2</v>
      </c>
      <c r="AL46" s="1">
        <f>[1]Results!AO1407</f>
        <v>0.11668671071551617</v>
      </c>
    </row>
    <row r="47" spans="1:38" x14ac:dyDescent="0.35">
      <c r="A47" s="3" t="str">
        <f>[1]Results!E1408</f>
        <v>100*((-Bal_G_tot_VAL_2)/(GDP_2*PGDP_2)-(-Bal_G_tot_VAL_0)/(GDP_0*PGDP_0))</v>
      </c>
      <c r="B47" t="str">
        <f>[1]Results!C1408</f>
        <v xml:space="preserve">Solde public </v>
      </c>
      <c r="C47" s="1">
        <f>[1]Results!F1408</f>
        <v>0</v>
      </c>
      <c r="D47" s="1">
        <f>[1]Results!G1408</f>
        <v>0</v>
      </c>
      <c r="E47" s="1">
        <f>[1]Results!H1408</f>
        <v>0</v>
      </c>
      <c r="F47" s="1">
        <f>[1]Results!I1408</f>
        <v>0</v>
      </c>
      <c r="G47" s="1">
        <f>[1]Results!J1408</f>
        <v>0</v>
      </c>
      <c r="H47" s="1">
        <f>[1]Results!K1408</f>
        <v>0</v>
      </c>
      <c r="I47" s="1">
        <f>[1]Results!L1408</f>
        <v>0</v>
      </c>
      <c r="J47" s="1">
        <f>[1]Results!M1408</f>
        <v>1.336520471573871E-2</v>
      </c>
      <c r="K47" s="1">
        <f>[1]Results!N1408</f>
        <v>0.10342023899043637</v>
      </c>
      <c r="L47" s="1">
        <f>[1]Results!O1408</f>
        <v>0.17065418177702255</v>
      </c>
      <c r="M47" s="1">
        <f>[1]Results!P1408</f>
        <v>0.2164951887420101</v>
      </c>
      <c r="N47" s="1">
        <f>[1]Results!Q1408</f>
        <v>0.1882488649623093</v>
      </c>
      <c r="O47" s="1">
        <f>[1]Results!R1408</f>
        <v>-2.5586156860466641E-2</v>
      </c>
      <c r="P47" s="1">
        <f>[1]Results!S1408</f>
        <v>-0.18415810794213949</v>
      </c>
      <c r="Q47" s="1">
        <f>[1]Results!T1408</f>
        <v>-0.30078932805949821</v>
      </c>
      <c r="R47" s="1">
        <f>[1]Results!U1408</f>
        <v>-0.38963295181950119</v>
      </c>
      <c r="S47" s="1">
        <f>[1]Results!V1408</f>
        <v>-0.45630007945382034</v>
      </c>
      <c r="T47" s="1">
        <f>[1]Results!W1408</f>
        <v>-0.50833512865430597</v>
      </c>
      <c r="U47" s="1">
        <f>[1]Results!X1408</f>
        <v>-0.55586062960702798</v>
      </c>
      <c r="V47" s="1">
        <f>[1]Results!Y1408</f>
        <v>-0.59782328440723465</v>
      </c>
      <c r="W47" s="1">
        <f>[1]Results!Z1408</f>
        <v>-0.63290669361817242</v>
      </c>
      <c r="X47" s="1">
        <f>[1]Results!AA1408</f>
        <v>-0.66658398727551738</v>
      </c>
      <c r="Y47" s="1">
        <f>[1]Results!AB1408</f>
        <v>-0.68303501160603686</v>
      </c>
      <c r="Z47" s="1">
        <f>[1]Results!AC1408</f>
        <v>-0.684472211463933</v>
      </c>
      <c r="AA47" s="1">
        <f>[1]Results!AD1408</f>
        <v>-0.67460216768763792</v>
      </c>
      <c r="AB47" s="1">
        <f>[1]Results!AE1408</f>
        <v>-0.65537278062887949</v>
      </c>
      <c r="AC47" s="1">
        <f>[1]Results!AF1408</f>
        <v>-0.63312525760487048</v>
      </c>
      <c r="AD47" s="1">
        <f>[1]Results!AG1408</f>
        <v>-0.58975647529928843</v>
      </c>
      <c r="AE47" s="1">
        <f>[1]Results!AH1408</f>
        <v>-0.53852005306532647</v>
      </c>
      <c r="AF47" s="1">
        <f>[1]Results!AI1408</f>
        <v>-0.48247136581027333</v>
      </c>
      <c r="AG47" s="1">
        <f>[1]Results!AJ1408</f>
        <v>-0.42370959759309157</v>
      </c>
      <c r="AH47" s="1">
        <f>[1]Results!AK1408</f>
        <v>-0.36641154050591068</v>
      </c>
      <c r="AI47" s="1">
        <f>[1]Results!AL1408</f>
        <v>-0.29622859154692649</v>
      </c>
      <c r="AJ47" s="1">
        <f>[1]Results!AM1408</f>
        <v>-0.2257351668191826</v>
      </c>
      <c r="AK47" s="1">
        <f>[1]Results!AN1408</f>
        <v>-0.1573369809183045</v>
      </c>
      <c r="AL47" s="1">
        <f>[1]Results!AO1408</f>
        <v>-9.3138256407016007E-2</v>
      </c>
    </row>
    <row r="48" spans="1:38" x14ac:dyDescent="0.35">
      <c r="A48" s="3" t="str">
        <f>[1]Results!E1409</f>
        <v>(DEBT_G_VAL_2/(PGDP_2*GDP_2)-DEBT_G_VAL_0/(PGDP_0*GDP_0))*100</v>
      </c>
      <c r="B48" t="str">
        <f>[1]Results!C1409</f>
        <v>Dette publique</v>
      </c>
      <c r="C48" s="1">
        <f>[1]Results!F1409</f>
        <v>0</v>
      </c>
      <c r="D48" s="1">
        <f>[1]Results!G1409</f>
        <v>0</v>
      </c>
      <c r="E48" s="1">
        <f>[1]Results!H1409</f>
        <v>0</v>
      </c>
      <c r="F48" s="1">
        <f>[1]Results!I1409</f>
        <v>0</v>
      </c>
      <c r="G48" s="1">
        <f>[1]Results!J1409</f>
        <v>0</v>
      </c>
      <c r="H48" s="1">
        <f>[1]Results!K1409</f>
        <v>0</v>
      </c>
      <c r="I48" s="1">
        <f>[1]Results!L1409</f>
        <v>0</v>
      </c>
      <c r="J48" s="1">
        <f>[1]Results!M1409</f>
        <v>-0.1936269924537104</v>
      </c>
      <c r="K48" s="1">
        <f>[1]Results!N1409</f>
        <v>-0.43837319939914465</v>
      </c>
      <c r="L48" s="1">
        <f>[1]Results!O1409</f>
        <v>-0.76979153435295933</v>
      </c>
      <c r="M48" s="1">
        <f>[1]Results!P1409</f>
        <v>-1.2248595889841951</v>
      </c>
      <c r="N48" s="1">
        <f>[1]Results!Q1409</f>
        <v>-1.4172743896593398</v>
      </c>
      <c r="O48" s="1">
        <f>[1]Results!R1409</f>
        <v>-1.7472875833881685</v>
      </c>
      <c r="P48" s="1">
        <f>[1]Results!S1409</f>
        <v>-2.1741807090851495</v>
      </c>
      <c r="Q48" s="1">
        <f>[1]Results!T1409</f>
        <v>-2.6570707161300611</v>
      </c>
      <c r="R48" s="1">
        <f>[1]Results!U1409</f>
        <v>-3.1686486440293535</v>
      </c>
      <c r="S48" s="1">
        <f>[1]Results!V1409</f>
        <v>-3.7025312003458906</v>
      </c>
      <c r="T48" s="1">
        <f>[1]Results!W1409</f>
        <v>-4.2360821313106891</v>
      </c>
      <c r="U48" s="1">
        <f>[1]Results!X1409</f>
        <v>-4.7649211457238465</v>
      </c>
      <c r="V48" s="1">
        <f>[1]Results!Y1409</f>
        <v>-5.2838748358477012</v>
      </c>
      <c r="W48" s="1">
        <f>[1]Results!Z1409</f>
        <v>-5.7857983396964618</v>
      </c>
      <c r="X48" s="1">
        <f>[1]Results!AA1409</f>
        <v>-6.2715447510788724</v>
      </c>
      <c r="Y48" s="1">
        <f>[1]Results!AB1409</f>
        <v>-6.726152065971112</v>
      </c>
      <c r="Z48" s="1">
        <f>[1]Results!AC1409</f>
        <v>-7.1358466102874329</v>
      </c>
      <c r="AA48" s="1">
        <f>[1]Results!AD1409</f>
        <v>-7.4907478179054383</v>
      </c>
      <c r="AB48" s="1">
        <f>[1]Results!AE1409</f>
        <v>-7.7840765652435531</v>
      </c>
      <c r="AC48" s="1">
        <f>[1]Results!AF1409</f>
        <v>-8.037052815983909</v>
      </c>
      <c r="AD48" s="1">
        <f>[1]Results!AG1409</f>
        <v>-8.2247609555890779</v>
      </c>
      <c r="AE48" s="1">
        <f>[1]Results!AH1409</f>
        <v>-8.341760651300568</v>
      </c>
      <c r="AF48" s="1">
        <f>[1]Results!AI1409</f>
        <v>-8.3873752232568428</v>
      </c>
      <c r="AG48" s="1">
        <f>[1]Results!AJ1409</f>
        <v>-8.3638714741645082</v>
      </c>
      <c r="AH48" s="1">
        <f>[1]Results!AK1409</f>
        <v>-8.2983673442810435</v>
      </c>
      <c r="AI48" s="1">
        <f>[1]Results!AL1409</f>
        <v>-8.1731207075131813</v>
      </c>
      <c r="AJ48" s="1">
        <f>[1]Results!AM1409</f>
        <v>-7.9901472239567672</v>
      </c>
      <c r="AK48" s="1">
        <f>[1]Results!AN1409</f>
        <v>-7.7536355853596417</v>
      </c>
      <c r="AL48" s="1">
        <f>[1]Results!AO1409</f>
        <v>-7.4687679215444502</v>
      </c>
    </row>
    <row r="49" spans="1:38" x14ac:dyDescent="0.35">
      <c r="A49" s="3" t="str">
        <f>[1]Results!E1410</f>
        <v>GDP_2</v>
      </c>
      <c r="B49" t="str">
        <f>[1]Results!C1410</f>
        <v>PIB</v>
      </c>
      <c r="C49" s="1">
        <f>[1]Results!F1410</f>
        <v>2197038.7069999999</v>
      </c>
      <c r="D49" s="1">
        <f>[1]Results!G1410</f>
        <v>2236729.7930000001</v>
      </c>
      <c r="E49" s="1">
        <f>[1]Results!H1410</f>
        <v>2280579.3450000002</v>
      </c>
      <c r="F49" s="1">
        <f>[1]Results!I1410</f>
        <v>2328545.1189999999</v>
      </c>
      <c r="G49" s="1">
        <f>[1]Results!J1410</f>
        <v>2379669.0759999999</v>
      </c>
      <c r="H49" s="1">
        <f>[1]Results!K1410</f>
        <v>2433645.02</v>
      </c>
      <c r="I49" s="1">
        <f>[1]Results!L1410</f>
        <v>2489618.9160000002</v>
      </c>
      <c r="J49" s="1">
        <f>[1]Results!M1410</f>
        <v>2548083.4819999998</v>
      </c>
      <c r="K49" s="1">
        <f>[1]Results!N1410</f>
        <v>2608860.8829999999</v>
      </c>
      <c r="L49" s="1">
        <f>[1]Results!O1410</f>
        <v>2671966.2370000002</v>
      </c>
      <c r="M49" s="1">
        <f>[1]Results!P1410</f>
        <v>2736071.0780000002</v>
      </c>
      <c r="N49" s="1">
        <f>[1]Results!Q1410</f>
        <v>2793221.4210000001</v>
      </c>
      <c r="O49" s="1">
        <f>[1]Results!R1410</f>
        <v>2845627.9989999998</v>
      </c>
      <c r="P49" s="1">
        <f>[1]Results!S1410</f>
        <v>2893925.9849999999</v>
      </c>
      <c r="Q49" s="1">
        <f>[1]Results!T1410</f>
        <v>2939081.037</v>
      </c>
      <c r="R49" s="1">
        <f>[1]Results!U1410</f>
        <v>2982254.7779999999</v>
      </c>
      <c r="S49" s="1">
        <f>[1]Results!V1410</f>
        <v>3024838.2540000002</v>
      </c>
      <c r="T49" s="1">
        <f>[1]Results!W1410</f>
        <v>3068137.696</v>
      </c>
      <c r="U49" s="1">
        <f>[1]Results!X1410</f>
        <v>3113328.9210000001</v>
      </c>
      <c r="V49" s="1">
        <f>[1]Results!Y1410</f>
        <v>3161232.5619999999</v>
      </c>
      <c r="W49" s="1">
        <f>[1]Results!Z1410</f>
        <v>3212147.727</v>
      </c>
      <c r="X49" s="1">
        <f>[1]Results!AA1410</f>
        <v>3267073.926</v>
      </c>
      <c r="Y49" s="1">
        <f>[1]Results!AB1410</f>
        <v>3326699.611</v>
      </c>
      <c r="Z49" s="1">
        <f>[1]Results!AC1410</f>
        <v>3391442.0079999999</v>
      </c>
      <c r="AA49" s="1">
        <f>[1]Results!AD1410</f>
        <v>3461411.2489999998</v>
      </c>
      <c r="AB49" s="1">
        <f>[1]Results!AE1410</f>
        <v>3535528.284</v>
      </c>
      <c r="AC49" s="1">
        <f>[1]Results!AF1410</f>
        <v>3614709.497</v>
      </c>
      <c r="AD49" s="1">
        <f>[1]Results!AG1410</f>
        <v>3698876.895</v>
      </c>
      <c r="AE49" s="1">
        <f>[1]Results!AH1410</f>
        <v>3788200.8769999999</v>
      </c>
      <c r="AF49" s="1">
        <f>[1]Results!AI1410</f>
        <v>3882347.9049999998</v>
      </c>
      <c r="AG49" s="1">
        <f>[1]Results!AJ1410</f>
        <v>3980643.7680000002</v>
      </c>
      <c r="AH49" s="1">
        <f>[1]Results!AK1410</f>
        <v>4082317.1409999998</v>
      </c>
      <c r="AI49" s="1">
        <f>[1]Results!AL1410</f>
        <v>4186847.6910000001</v>
      </c>
      <c r="AJ49" s="1">
        <f>[1]Results!AM1410</f>
        <v>4293606.807</v>
      </c>
      <c r="AK49" s="1">
        <f>[1]Results!AN1410</f>
        <v>4401917.142</v>
      </c>
      <c r="AL49" s="1">
        <f>[1]Results!AO1410</f>
        <v>4511065.7560000001</v>
      </c>
    </row>
    <row r="50" spans="1:38" x14ac:dyDescent="0.35">
      <c r="A50" s="3" t="str">
        <f>[1]Results!E1411</f>
        <v>(GDPter_2/GDPbis_2-1)*100</v>
      </c>
      <c r="B50" t="str">
        <f>[1]Results!C1411</f>
        <v>Ecart PIB</v>
      </c>
      <c r="C50" s="1">
        <f>[1]Results!F1411</f>
        <v>0</v>
      </c>
      <c r="D50" s="1">
        <f>[1]Results!G1411</f>
        <v>0</v>
      </c>
      <c r="E50" s="1">
        <f>[1]Results!H1411</f>
        <v>0</v>
      </c>
      <c r="F50" s="1">
        <f>[1]Results!I1411</f>
        <v>0</v>
      </c>
      <c r="G50" s="1">
        <f>[1]Results!J1411</f>
        <v>0</v>
      </c>
      <c r="H50" s="1">
        <f>[1]Results!K1411</f>
        <v>0</v>
      </c>
      <c r="I50" s="1">
        <f>[1]Results!L1411</f>
        <v>4.0166781012374031E-8</v>
      </c>
      <c r="J50" s="1">
        <f>[1]Results!M1411</f>
        <v>0</v>
      </c>
      <c r="K50" s="1">
        <f>[1]Results!N1411</f>
        <v>3.8330916218853872E-8</v>
      </c>
      <c r="L50" s="1">
        <f>[1]Results!O1411</f>
        <v>0</v>
      </c>
      <c r="M50" s="1">
        <f>[1]Results!P1411</f>
        <v>0</v>
      </c>
      <c r="N50" s="1">
        <f>[1]Results!Q1411</f>
        <v>0</v>
      </c>
      <c r="O50" s="1">
        <f>[1]Results!R1411</f>
        <v>0</v>
      </c>
      <c r="P50" s="1">
        <f>[1]Results!S1411</f>
        <v>0</v>
      </c>
      <c r="Q50" s="1">
        <f>[1]Results!T1411</f>
        <v>-3.4024250084030427E-8</v>
      </c>
      <c r="R50" s="1">
        <f>[1]Results!U1411</f>
        <v>-3.3531677434694984E-8</v>
      </c>
      <c r="S50" s="1">
        <f>[1]Results!V1411</f>
        <v>0</v>
      </c>
      <c r="T50" s="1">
        <f>[1]Results!W1411</f>
        <v>0</v>
      </c>
      <c r="U50" s="1">
        <f>[1]Results!X1411</f>
        <v>0</v>
      </c>
      <c r="V50" s="1">
        <f>[1]Results!Y1411</f>
        <v>0</v>
      </c>
      <c r="W50" s="1">
        <f>[1]Results!Z1411</f>
        <v>0</v>
      </c>
      <c r="X50" s="1">
        <f>[1]Results!AA1411</f>
        <v>0</v>
      </c>
      <c r="Y50" s="1">
        <f>[1]Results!AB1411</f>
        <v>0</v>
      </c>
      <c r="Z50" s="1">
        <f>[1]Results!AC1411</f>
        <v>-2.9485969221809682E-8</v>
      </c>
      <c r="AA50" s="1">
        <f>[1]Results!AD1411</f>
        <v>-2.8889945991039667E-8</v>
      </c>
      <c r="AB50" s="1">
        <f>[1]Results!AE1411</f>
        <v>0</v>
      </c>
      <c r="AC50" s="1">
        <f>[1]Results!AF1411</f>
        <v>2.7664737167754083E-8</v>
      </c>
      <c r="AD50" s="1">
        <f>[1]Results!AG1411</f>
        <v>0</v>
      </c>
      <c r="AE50" s="1">
        <f>[1]Results!AH1411</f>
        <v>0</v>
      </c>
      <c r="AF50" s="1">
        <f>[1]Results!AI1411</f>
        <v>0</v>
      </c>
      <c r="AG50" s="1">
        <f>[1]Results!AJ1411</f>
        <v>0</v>
      </c>
      <c r="AH50" s="1">
        <f>[1]Results!AK1411</f>
        <v>-2.449588309971773E-8</v>
      </c>
      <c r="AI50" s="1">
        <f>[1]Results!AL1411</f>
        <v>0</v>
      </c>
      <c r="AJ50" s="1">
        <f>[1]Results!AM1411</f>
        <v>0</v>
      </c>
      <c r="AK50" s="1">
        <f>[1]Results!AN1411</f>
        <v>-2.2717383529879953E-8</v>
      </c>
      <c r="AL50" s="1">
        <f>[1]Results!AO1411</f>
        <v>-2.2167712110388038E-8</v>
      </c>
    </row>
    <row r="51" spans="1:38" x14ac:dyDescent="0.35">
      <c r="A51" s="3" t="str">
        <f>[1]Results!E1412</f>
        <v>SPEND_G_VAL_2</v>
      </c>
      <c r="B51" t="str">
        <f>[1]Results!C1412</f>
        <v>Dépenses publiques</v>
      </c>
      <c r="C51" s="1">
        <f>[1]Results!F1412</f>
        <v>1178061.808</v>
      </c>
      <c r="D51" s="1">
        <f>[1]Results!G1412</f>
        <v>1216946.149</v>
      </c>
      <c r="E51" s="1">
        <f>[1]Results!H1412</f>
        <v>1253425.4620000001</v>
      </c>
      <c r="F51" s="1">
        <f>[1]Results!I1412</f>
        <v>1291989.007</v>
      </c>
      <c r="G51" s="1">
        <f>[1]Results!J1412</f>
        <v>1332015.2069999999</v>
      </c>
      <c r="H51" s="1">
        <f>[1]Results!K1412</f>
        <v>1370596.939</v>
      </c>
      <c r="I51" s="1">
        <f>[1]Results!L1412</f>
        <v>1409399.101</v>
      </c>
      <c r="J51" s="1">
        <f>[1]Results!M1412</f>
        <v>1450895.0560000001</v>
      </c>
      <c r="K51" s="1">
        <f>[1]Results!N1412</f>
        <v>1497688.4010000001</v>
      </c>
      <c r="L51" s="1">
        <f>[1]Results!O1412</f>
        <v>1547716.058</v>
      </c>
      <c r="M51" s="1">
        <f>[1]Results!P1412</f>
        <v>1603607.611</v>
      </c>
      <c r="N51" s="1">
        <f>[1]Results!Q1412</f>
        <v>1656255.6329999999</v>
      </c>
      <c r="O51" s="1">
        <f>[1]Results!R1412</f>
        <v>1700259.0460000001</v>
      </c>
      <c r="P51" s="1">
        <f>[1]Results!S1412</f>
        <v>1742999.4210000001</v>
      </c>
      <c r="Q51" s="1">
        <f>[1]Results!T1412</f>
        <v>1784039.706</v>
      </c>
      <c r="R51" s="1">
        <f>[1]Results!U1412</f>
        <v>1823171.0319999999</v>
      </c>
      <c r="S51" s="1">
        <f>[1]Results!V1412</f>
        <v>1860803.351</v>
      </c>
      <c r="T51" s="1">
        <f>[1]Results!W1412</f>
        <v>1896950.0149999999</v>
      </c>
      <c r="U51" s="1">
        <f>[1]Results!X1412</f>
        <v>1931397.4129999999</v>
      </c>
      <c r="V51" s="1">
        <f>[1]Results!Y1412</f>
        <v>1964450.8940000001</v>
      </c>
      <c r="W51" s="1">
        <f>[1]Results!Z1412</f>
        <v>1994995.6810000001</v>
      </c>
      <c r="X51" s="1">
        <f>[1]Results!AA1412</f>
        <v>2025476.71</v>
      </c>
      <c r="Y51" s="1">
        <f>[1]Results!AB1412</f>
        <v>2055023.899</v>
      </c>
      <c r="Z51" s="1">
        <f>[1]Results!AC1412</f>
        <v>2083765.9790000001</v>
      </c>
      <c r="AA51" s="1">
        <f>[1]Results!AD1412</f>
        <v>2111847.375</v>
      </c>
      <c r="AB51" s="1">
        <f>[1]Results!AE1412</f>
        <v>2134906.1039999998</v>
      </c>
      <c r="AC51" s="1">
        <f>[1]Results!AF1412</f>
        <v>2159224.9670000002</v>
      </c>
      <c r="AD51" s="1">
        <f>[1]Results!AG1412</f>
        <v>2183366.1609999998</v>
      </c>
      <c r="AE51" s="1">
        <f>[1]Results!AH1412</f>
        <v>2206377.4360000002</v>
      </c>
      <c r="AF51" s="1">
        <f>[1]Results!AI1412</f>
        <v>2227677.091</v>
      </c>
      <c r="AG51" s="1">
        <f>[1]Results!AJ1412</f>
        <v>2246802.0460000001</v>
      </c>
      <c r="AH51" s="1">
        <f>[1]Results!AK1412</f>
        <v>2262794.9780000001</v>
      </c>
      <c r="AI51" s="1">
        <f>[1]Results!AL1412</f>
        <v>2276206.784</v>
      </c>
      <c r="AJ51" s="1">
        <f>[1]Results!AM1412</f>
        <v>2285692.156</v>
      </c>
      <c r="AK51" s="1">
        <f>[1]Results!AN1412</f>
        <v>2290702.327</v>
      </c>
      <c r="AL51" s="1">
        <f>[1]Results!AO1412</f>
        <v>2290800.4739999999</v>
      </c>
    </row>
    <row r="52" spans="1:38" x14ac:dyDescent="0.35">
      <c r="A52" s="3" t="str">
        <f>[1]Results!E1413</f>
        <v>INC_G_VAL_2</v>
      </c>
      <c r="B52" t="str">
        <f>[1]Results!C1413</f>
        <v>Recettes publiques</v>
      </c>
      <c r="C52" s="1">
        <f>[1]Results!F1413</f>
        <v>1010828.828</v>
      </c>
      <c r="D52" s="1">
        <f>[1]Results!G1413</f>
        <v>1047522.868</v>
      </c>
      <c r="E52" s="1">
        <f>[1]Results!H1413</f>
        <v>1089072.912</v>
      </c>
      <c r="F52" s="1">
        <f>[1]Results!I1413</f>
        <v>1135573.246</v>
      </c>
      <c r="G52" s="1">
        <f>[1]Results!J1413</f>
        <v>1186117.6329999999</v>
      </c>
      <c r="H52" s="1">
        <f>[1]Results!K1413</f>
        <v>1240503.557</v>
      </c>
      <c r="I52" s="1">
        <f>[1]Results!L1413</f>
        <v>1298609.581</v>
      </c>
      <c r="J52" s="1">
        <f>[1]Results!M1413</f>
        <v>1362038.56</v>
      </c>
      <c r="K52" s="1">
        <f>[1]Results!N1413</f>
        <v>1431803.3859999999</v>
      </c>
      <c r="L52" s="1">
        <f>[1]Results!O1413</f>
        <v>1509202.8759999999</v>
      </c>
      <c r="M52" s="1">
        <f>[1]Results!P1413</f>
        <v>1595517.89</v>
      </c>
      <c r="N52" s="1">
        <f>[1]Results!Q1413</f>
        <v>1682628.7409999999</v>
      </c>
      <c r="O52" s="1">
        <f>[1]Results!R1413</f>
        <v>1767703.216</v>
      </c>
      <c r="P52" s="1">
        <f>[1]Results!S1413</f>
        <v>1848704.298</v>
      </c>
      <c r="Q52" s="1">
        <f>[1]Results!T1413</f>
        <v>1924767.05</v>
      </c>
      <c r="R52" s="1">
        <f>[1]Results!U1413</f>
        <v>1995822.034</v>
      </c>
      <c r="S52" s="1">
        <f>[1]Results!V1413</f>
        <v>2062884.8319999999</v>
      </c>
      <c r="T52" s="1">
        <f>[1]Results!W1413</f>
        <v>2127016.304</v>
      </c>
      <c r="U52" s="1">
        <f>[1]Results!X1413</f>
        <v>2189473.9330000002</v>
      </c>
      <c r="V52" s="1">
        <f>[1]Results!Y1413</f>
        <v>2251582.8670000001</v>
      </c>
      <c r="W52" s="1">
        <f>[1]Results!Z1413</f>
        <v>2314426.16</v>
      </c>
      <c r="X52" s="1">
        <f>[1]Results!AA1413</f>
        <v>2379429.84</v>
      </c>
      <c r="Y52" s="1">
        <f>[1]Results!AB1413</f>
        <v>2447723.0869999998</v>
      </c>
      <c r="Z52" s="1">
        <f>[1]Results!AC1413</f>
        <v>2520934.102</v>
      </c>
      <c r="AA52" s="1">
        <f>[1]Results!AD1413</f>
        <v>2600675.9810000001</v>
      </c>
      <c r="AB52" s="1">
        <f>[1]Results!AE1413</f>
        <v>2687503.9810000001</v>
      </c>
      <c r="AC52" s="1">
        <f>[1]Results!AF1413</f>
        <v>2781779.5610000002</v>
      </c>
      <c r="AD52" s="1">
        <f>[1]Results!AG1413</f>
        <v>2884824.6329999999</v>
      </c>
      <c r="AE52" s="1">
        <f>[1]Results!AH1413</f>
        <v>2998536.35</v>
      </c>
      <c r="AF52" s="1">
        <f>[1]Results!AI1413</f>
        <v>3124228.696</v>
      </c>
      <c r="AG52" s="1">
        <f>[1]Results!AJ1413</f>
        <v>3262583.2990000001</v>
      </c>
      <c r="AH52" s="1">
        <f>[1]Results!AK1413</f>
        <v>3413331.3</v>
      </c>
      <c r="AI52" s="1">
        <f>[1]Results!AL1413</f>
        <v>3576253.3429999999</v>
      </c>
      <c r="AJ52" s="1">
        <f>[1]Results!AM1413</f>
        <v>3750909.4210000001</v>
      </c>
      <c r="AK52" s="1">
        <f>[1]Results!AN1413</f>
        <v>3936589.1</v>
      </c>
      <c r="AL52" s="1">
        <f>[1]Results!AO1413</f>
        <v>4132261.7259999998</v>
      </c>
    </row>
    <row r="53" spans="1:38" x14ac:dyDescent="0.35">
      <c r="A53" s="3" t="str">
        <f>[1]Results!E1414</f>
        <v>Bal_G_tot_VAL_2</v>
      </c>
      <c r="B53" t="str">
        <f>[1]Results!C1414</f>
        <v>Solde public</v>
      </c>
      <c r="C53" s="1">
        <f>[1]Results!F1414</f>
        <v>-65255.911809999998</v>
      </c>
      <c r="D53" s="1">
        <f>[1]Results!G1414</f>
        <v>-64183.41734</v>
      </c>
      <c r="E53" s="1">
        <f>[1]Results!H1414</f>
        <v>-55903.516239999997</v>
      </c>
      <c r="F53" s="1">
        <f>[1]Results!I1414</f>
        <v>-45171.550920000001</v>
      </c>
      <c r="G53" s="1">
        <f>[1]Results!J1414</f>
        <v>-32394.786619999999</v>
      </c>
      <c r="H53" s="1">
        <f>[1]Results!K1414</f>
        <v>-14970.8555</v>
      </c>
      <c r="I53" s="1">
        <f>[1]Results!L1414</f>
        <v>5081.5499159999999</v>
      </c>
      <c r="J53" s="1">
        <f>[1]Results!M1414</f>
        <v>26760.496159999999</v>
      </c>
      <c r="K53" s="1">
        <f>[1]Results!N1414</f>
        <v>48393.95263</v>
      </c>
      <c r="L53" s="1">
        <f>[1]Results!O1414</f>
        <v>73346.087740000003</v>
      </c>
      <c r="M53" s="1">
        <f>[1]Results!P1414</f>
        <v>100102.2445</v>
      </c>
      <c r="N53" s="1">
        <f>[1]Results!Q1414</f>
        <v>129559.96120000001</v>
      </c>
      <c r="O53" s="1">
        <f>[1]Results!R1414</f>
        <v>164153.02439999999</v>
      </c>
      <c r="P53" s="1">
        <f>[1]Results!S1414</f>
        <v>194206.0815</v>
      </c>
      <c r="Q53" s="1">
        <f>[1]Results!T1414</f>
        <v>219518.2438</v>
      </c>
      <c r="R53" s="1">
        <f>[1]Results!U1414</f>
        <v>240465.9889</v>
      </c>
      <c r="S53" s="1">
        <f>[1]Results!V1414</f>
        <v>257873.16949999999</v>
      </c>
      <c r="T53" s="1">
        <f>[1]Results!W1414</f>
        <v>272964.31839999999</v>
      </c>
      <c r="U53" s="1">
        <f>[1]Results!X1414</f>
        <v>287326.33409999998</v>
      </c>
      <c r="V53" s="1">
        <f>[1]Results!Y1414</f>
        <v>302015.47009999998</v>
      </c>
      <c r="W53" s="1">
        <f>[1]Results!Z1414</f>
        <v>319213.20209999999</v>
      </c>
      <c r="X53" s="1">
        <f>[1]Results!AA1414</f>
        <v>337775.19339999999</v>
      </c>
      <c r="Y53" s="1">
        <f>[1]Results!AB1414</f>
        <v>359632.49229999998</v>
      </c>
      <c r="Z53" s="1">
        <f>[1]Results!AC1414</f>
        <v>386119.80229999998</v>
      </c>
      <c r="AA53" s="1">
        <f>[1]Results!AD1414</f>
        <v>418474.29470000003</v>
      </c>
      <c r="AB53" s="1">
        <f>[1]Results!AE1414</f>
        <v>461319.85060000001</v>
      </c>
      <c r="AC53" s="1">
        <f>[1]Results!AF1414</f>
        <v>508210.576</v>
      </c>
      <c r="AD53" s="1">
        <f>[1]Results!AG1414</f>
        <v>561703.9253</v>
      </c>
      <c r="AE53" s="1">
        <f>[1]Results!AH1414</f>
        <v>624319.17110000004</v>
      </c>
      <c r="AF53" s="1">
        <f>[1]Results!AI1414</f>
        <v>697495.90229999996</v>
      </c>
      <c r="AG53" s="1">
        <f>[1]Results!AJ1414</f>
        <v>781850.75630000001</v>
      </c>
      <c r="AH53" s="1">
        <f>[1]Results!AK1414</f>
        <v>877513.28769999999</v>
      </c>
      <c r="AI53" s="1">
        <f>[1]Results!AL1414</f>
        <v>983147.85970000003</v>
      </c>
      <c r="AJ53" s="1">
        <f>[1]Results!AM1414</f>
        <v>1099161.173</v>
      </c>
      <c r="AK53" s="1">
        <f>[1]Results!AN1414</f>
        <v>1224872.622</v>
      </c>
      <c r="AL53" s="1">
        <f>[1]Results!AO1414</f>
        <v>1359203.469</v>
      </c>
    </row>
    <row r="54" spans="1:38" x14ac:dyDescent="0.35">
      <c r="A54" s="3" t="str">
        <f>[1]Results!E1415</f>
        <v>DEBT_G_VAL_2</v>
      </c>
      <c r="B54" t="str">
        <f>[1]Results!C1415</f>
        <v>Dette publique</v>
      </c>
      <c r="C54" s="1">
        <f>[1]Results!F1415</f>
        <v>2104797.2650000001</v>
      </c>
      <c r="D54" s="1">
        <f>[1]Results!G1415</f>
        <v>2168980.6830000002</v>
      </c>
      <c r="E54" s="1">
        <f>[1]Results!H1415</f>
        <v>2224884.199</v>
      </c>
      <c r="F54" s="1">
        <f>[1]Results!I1415</f>
        <v>2270055.75</v>
      </c>
      <c r="G54" s="1">
        <f>[1]Results!J1415</f>
        <v>2302450.5359999998</v>
      </c>
      <c r="H54" s="1">
        <f>[1]Results!K1415</f>
        <v>2317421.392</v>
      </c>
      <c r="I54" s="1">
        <f>[1]Results!L1415</f>
        <v>2312339.8420000002</v>
      </c>
      <c r="J54" s="1">
        <f>[1]Results!M1415</f>
        <v>2285579.3459999999</v>
      </c>
      <c r="K54" s="1">
        <f>[1]Results!N1415</f>
        <v>2237185.3930000002</v>
      </c>
      <c r="L54" s="1">
        <f>[1]Results!O1415</f>
        <v>2163839.3050000002</v>
      </c>
      <c r="M54" s="1">
        <f>[1]Results!P1415</f>
        <v>2063737.061</v>
      </c>
      <c r="N54" s="1">
        <f>[1]Results!Q1415</f>
        <v>1934177.1</v>
      </c>
      <c r="O54" s="1">
        <f>[1]Results!R1415</f>
        <v>1770024.075</v>
      </c>
      <c r="P54" s="1">
        <f>[1]Results!S1415</f>
        <v>1575817.9939999999</v>
      </c>
      <c r="Q54" s="1">
        <f>[1]Results!T1415</f>
        <v>1356299.75</v>
      </c>
      <c r="R54" s="1">
        <f>[1]Results!U1415</f>
        <v>1115833.7609999999</v>
      </c>
      <c r="S54" s="1">
        <f>[1]Results!V1415</f>
        <v>857960.59160000004</v>
      </c>
      <c r="T54" s="1">
        <f>[1]Results!W1415</f>
        <v>584996.27320000005</v>
      </c>
      <c r="U54" s="1">
        <f>[1]Results!X1415</f>
        <v>297669.93910000002</v>
      </c>
      <c r="V54" s="1">
        <f>[1]Results!Y1415</f>
        <v>-4345.5309900000002</v>
      </c>
      <c r="W54" s="1">
        <f>[1]Results!Z1415</f>
        <v>-323558.73310000001</v>
      </c>
      <c r="X54" s="1">
        <f>[1]Results!AA1415</f>
        <v>-661333.92649999994</v>
      </c>
      <c r="Y54" s="1">
        <f>[1]Results!AB1415</f>
        <v>-1020966.419</v>
      </c>
      <c r="Z54" s="1">
        <f>[1]Results!AC1415</f>
        <v>-1407086.2209999999</v>
      </c>
      <c r="AA54" s="1">
        <f>[1]Results!AD1415</f>
        <v>-1825560.5160000001</v>
      </c>
      <c r="AB54" s="1">
        <f>[1]Results!AE1415</f>
        <v>-2286880.3659999999</v>
      </c>
      <c r="AC54" s="1">
        <f>[1]Results!AF1415</f>
        <v>-2795090.9419999998</v>
      </c>
      <c r="AD54" s="1">
        <f>[1]Results!AG1415</f>
        <v>-3356794.8679999998</v>
      </c>
      <c r="AE54" s="1">
        <f>[1]Results!AH1415</f>
        <v>-3981114.0389999999</v>
      </c>
      <c r="AF54" s="1">
        <f>[1]Results!AI1415</f>
        <v>-4678609.9409999996</v>
      </c>
      <c r="AG54" s="1">
        <f>[1]Results!AJ1415</f>
        <v>-5460460.6969999997</v>
      </c>
      <c r="AH54" s="1">
        <f>[1]Results!AK1415</f>
        <v>-6337973.9850000003</v>
      </c>
      <c r="AI54" s="1">
        <f>[1]Results!AL1415</f>
        <v>-7321121.8449999997</v>
      </c>
      <c r="AJ54" s="1">
        <f>[1]Results!AM1415</f>
        <v>-8420283.0170000009</v>
      </c>
      <c r="AK54" s="1">
        <f>[1]Results!AN1415</f>
        <v>-9645155.6390000004</v>
      </c>
      <c r="AL54" s="1">
        <f>[1]Results!AO1415</f>
        <v>-11004359.109999999</v>
      </c>
    </row>
    <row r="55" spans="1:38" x14ac:dyDescent="0.35"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 spans="1:38" x14ac:dyDescent="0.35">
      <c r="A56" s="9" t="s">
        <v>3</v>
      </c>
      <c r="B56" t="s">
        <v>4</v>
      </c>
      <c r="C56" s="1">
        <f>[1]Results!F1789</f>
        <v>1.0018776700000001</v>
      </c>
      <c r="D56" s="1">
        <f>[1]Results!G1789</f>
        <v>1.0211941339999999</v>
      </c>
      <c r="E56" s="1">
        <f>[1]Results!H1789</f>
        <v>1.0411036899999999</v>
      </c>
      <c r="F56" s="1">
        <f>[1]Results!I1789</f>
        <v>1.062712782</v>
      </c>
      <c r="G56" s="1">
        <f>[1]Results!J1789</f>
        <v>1.083479646</v>
      </c>
      <c r="H56" s="1">
        <f>[1]Results!K1789</f>
        <v>1.1049654170000001</v>
      </c>
      <c r="I56" s="1">
        <f>[1]Results!L1789</f>
        <v>1.1273623909999999</v>
      </c>
      <c r="J56" s="1">
        <f>[1]Results!M1789</f>
        <v>1.1507097770000001</v>
      </c>
      <c r="K56" s="1">
        <f>[1]Results!N1789</f>
        <v>1.1749666240000001</v>
      </c>
      <c r="L56" s="1">
        <f>[1]Results!O1789</f>
        <v>1.200081927</v>
      </c>
      <c r="M56" s="1">
        <f>[1]Results!P1789</f>
        <v>1.2257769810000001</v>
      </c>
      <c r="N56" s="1">
        <f>[1]Results!Q1789</f>
        <v>1.251279571</v>
      </c>
      <c r="O56" s="1">
        <f>[1]Results!R1789</f>
        <v>1.275867555</v>
      </c>
      <c r="P56" s="1">
        <f>[1]Results!S1789</f>
        <v>1.298991985</v>
      </c>
      <c r="Q56" s="1">
        <f>[1]Results!T1789</f>
        <v>1.320368897</v>
      </c>
      <c r="R56" s="1">
        <f>[1]Results!U1789</f>
        <v>1.3398868070000001</v>
      </c>
      <c r="S56" s="1">
        <f>[1]Results!V1789</f>
        <v>1.3574882260000001</v>
      </c>
      <c r="T56" s="1">
        <f>[1]Results!W1789</f>
        <v>1.373229348</v>
      </c>
      <c r="U56" s="1">
        <f>[1]Results!X1789</f>
        <v>1.387353429</v>
      </c>
      <c r="V56" s="1">
        <f>[1]Results!Y1789</f>
        <v>1.400211788</v>
      </c>
      <c r="W56" s="1">
        <f>[1]Results!Z1789</f>
        <v>1.4123015160000001</v>
      </c>
      <c r="X56" s="1">
        <f>[1]Results!AA1789</f>
        <v>1.4240191019999999</v>
      </c>
      <c r="Y56" s="1">
        <f>[1]Results!AB1789</f>
        <v>1.4358351069999999</v>
      </c>
      <c r="Z56" s="1">
        <f>[1]Results!AC1789</f>
        <v>1.448261904</v>
      </c>
      <c r="AA56" s="1">
        <f>[1]Results!AD1789</f>
        <v>1.46186729</v>
      </c>
      <c r="AB56" s="1">
        <f>[1]Results!AE1789</f>
        <v>1.4773880370000001</v>
      </c>
      <c r="AC56" s="1">
        <f>[1]Results!AF1789</f>
        <v>1.494991695</v>
      </c>
      <c r="AD56" s="1">
        <f>[1]Results!AG1789</f>
        <v>1.5149604569999999</v>
      </c>
      <c r="AE56" s="1">
        <f>[1]Results!AH1789</f>
        <v>1.5375736170000001</v>
      </c>
      <c r="AF56" s="1">
        <f>[1]Results!AI1789</f>
        <v>1.5629553970000001</v>
      </c>
      <c r="AG56" s="1">
        <f>[1]Results!AJ1789</f>
        <v>1.5911721379999999</v>
      </c>
      <c r="AH56" s="1">
        <f>[1]Results!AK1789</f>
        <v>1.622205873</v>
      </c>
      <c r="AI56" s="1">
        <f>[1]Results!AL1789</f>
        <v>1.6559659769999999</v>
      </c>
      <c r="AJ56" s="1">
        <f>[1]Results!AM1789</f>
        <v>1.6922964199999999</v>
      </c>
      <c r="AK56" s="1">
        <f>[1]Results!AN1789</f>
        <v>1.7309757050000001</v>
      </c>
      <c r="AL56" s="1">
        <f>[1]Results!AO1789</f>
        <v>1.771719525</v>
      </c>
    </row>
    <row r="57" spans="1:38" x14ac:dyDescent="0.35">
      <c r="A57" s="9"/>
      <c r="B57" t="s">
        <v>6</v>
      </c>
      <c r="C57" s="1">
        <f>[1]Results!F1760</f>
        <v>1.0018776700000001</v>
      </c>
      <c r="D57" s="1">
        <f>[1]Results!G1760</f>
        <v>1.0211941339999999</v>
      </c>
      <c r="E57" s="1">
        <f>[1]Results!H1760</f>
        <v>1.0411036899999999</v>
      </c>
      <c r="F57" s="1">
        <f>[1]Results!I1760</f>
        <v>1.062712782</v>
      </c>
      <c r="G57" s="1">
        <f>[1]Results!J1760</f>
        <v>1.083479646</v>
      </c>
      <c r="H57" s="1">
        <f>[1]Results!K1760</f>
        <v>1.1049654170000001</v>
      </c>
      <c r="I57" s="1">
        <f>[1]Results!L1760</f>
        <v>1.1273623909999999</v>
      </c>
      <c r="J57" s="1">
        <f>[1]Results!M1760</f>
        <v>1.1537561030000001</v>
      </c>
      <c r="K57" s="1">
        <f>[1]Results!N1760</f>
        <v>1.183316279</v>
      </c>
      <c r="L57" s="1">
        <f>[1]Results!O1760</f>
        <v>1.2168511289999999</v>
      </c>
      <c r="M57" s="1">
        <f>[1]Results!P1760</f>
        <v>1.255356994</v>
      </c>
      <c r="N57" s="1">
        <f>[1]Results!Q1760</f>
        <v>1.2886198790000001</v>
      </c>
      <c r="O57" s="1">
        <f>[1]Results!R1760</f>
        <v>1.3210637789999999</v>
      </c>
      <c r="P57" s="1">
        <f>[1]Results!S1760</f>
        <v>1.352307514</v>
      </c>
      <c r="Q57" s="1">
        <f>[1]Results!T1760</f>
        <v>1.3820396239999999</v>
      </c>
      <c r="R57" s="1">
        <f>[1]Results!U1760</f>
        <v>1.4100321929999999</v>
      </c>
      <c r="S57" s="1">
        <f>[1]Results!V1760</f>
        <v>1.436895263</v>
      </c>
      <c r="T57" s="1">
        <f>[1]Results!W1760</f>
        <v>1.4621351440000001</v>
      </c>
      <c r="U57" s="1">
        <f>[1]Results!X1760</f>
        <v>1.4859218169999999</v>
      </c>
      <c r="V57" s="1">
        <f>[1]Results!Y1760</f>
        <v>1.50858388</v>
      </c>
      <c r="W57" s="1">
        <f>[1]Results!Z1760</f>
        <v>1.5306341290000001</v>
      </c>
      <c r="X57" s="1">
        <f>[1]Results!AA1760</f>
        <v>1.551358628</v>
      </c>
      <c r="Y57" s="1">
        <f>[1]Results!AB1760</f>
        <v>1.571897476</v>
      </c>
      <c r="Z57" s="1">
        <f>[1]Results!AC1760</f>
        <v>1.592815774</v>
      </c>
      <c r="AA57" s="1">
        <f>[1]Results!AD1760</f>
        <v>1.614721625</v>
      </c>
      <c r="AB57" s="1">
        <f>[1]Results!AE1760</f>
        <v>1.6384145880000001</v>
      </c>
      <c r="AC57" s="1">
        <f>[1]Results!AF1760</f>
        <v>1.663130006</v>
      </c>
      <c r="AD57" s="1">
        <f>[1]Results!AG1760</f>
        <v>1.6898312520000001</v>
      </c>
      <c r="AE57" s="1">
        <f>[1]Results!AH1760</f>
        <v>1.7188910509999999</v>
      </c>
      <c r="AF57" s="1">
        <f>[1]Results!AI1760</f>
        <v>1.750496879</v>
      </c>
      <c r="AG57" s="1">
        <f>[1]Results!AJ1760</f>
        <v>1.7847761959999999</v>
      </c>
      <c r="AH57" s="1">
        <f>[1]Results!AK1760</f>
        <v>1.8212441029999999</v>
      </c>
      <c r="AI57" s="1">
        <f>[1]Results!AL1760</f>
        <v>1.8601991550000001</v>
      </c>
      <c r="AJ57" s="1">
        <f>[1]Results!AM1760</f>
        <v>1.9015649670000001</v>
      </c>
      <c r="AK57" s="1">
        <f>[1]Results!AN1760</f>
        <v>1.945183683</v>
      </c>
      <c r="AL57" s="1">
        <f>[1]Results!AO1760</f>
        <v>1.9908266080000001</v>
      </c>
    </row>
    <row r="58" spans="1:38" x14ac:dyDescent="0.35"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</row>
    <row r="59" spans="1:38" x14ac:dyDescent="0.35">
      <c r="A59" s="9" t="s">
        <v>1</v>
      </c>
      <c r="B59" t="str">
        <f>B56</f>
        <v>Baseline</v>
      </c>
      <c r="D59" s="1" t="e">
        <f>(D56/#REF!-1)*100</f>
        <v>#REF!</v>
      </c>
      <c r="E59" s="1">
        <f t="shared" ref="E59:AL59" si="0">(E56/D56-1)*100</f>
        <v>1.9496347792377744</v>
      </c>
      <c r="F59" s="1">
        <f t="shared" si="0"/>
        <v>2.0755946028776506</v>
      </c>
      <c r="G59" s="1">
        <f t="shared" si="0"/>
        <v>1.9541370304135608</v>
      </c>
      <c r="H59" s="1">
        <f t="shared" si="0"/>
        <v>1.9830341141452434</v>
      </c>
      <c r="I59" s="1">
        <f t="shared" si="0"/>
        <v>2.0269389118808823</v>
      </c>
      <c r="J59" s="1">
        <f t="shared" si="0"/>
        <v>2.0709743545099579</v>
      </c>
      <c r="K59" s="1">
        <f t="shared" si="0"/>
        <v>2.1079899975508631</v>
      </c>
      <c r="L59" s="1">
        <f t="shared" si="0"/>
        <v>2.1375333126058216</v>
      </c>
      <c r="M59" s="1">
        <f t="shared" si="0"/>
        <v>2.1411083211821502</v>
      </c>
      <c r="N59" s="1">
        <f t="shared" si="0"/>
        <v>2.0805244669543921</v>
      </c>
      <c r="O59" s="1">
        <f t="shared" si="0"/>
        <v>1.9650272065378394</v>
      </c>
      <c r="P59" s="1">
        <f t="shared" si="0"/>
        <v>1.8124475310448585</v>
      </c>
      <c r="Q59" s="1">
        <f t="shared" si="0"/>
        <v>1.6456538798428344</v>
      </c>
      <c r="R59" s="1">
        <f t="shared" si="0"/>
        <v>1.4782164321157865</v>
      </c>
      <c r="S59" s="1">
        <f t="shared" si="0"/>
        <v>1.3136496984703872</v>
      </c>
      <c r="T59" s="1">
        <f t="shared" si="0"/>
        <v>1.1595770555139939</v>
      </c>
      <c r="U59" s="1">
        <f t="shared" si="0"/>
        <v>1.0285303777239241</v>
      </c>
      <c r="V59" s="1">
        <f t="shared" si="0"/>
        <v>0.9268264835203599</v>
      </c>
      <c r="W59" s="1">
        <f t="shared" si="0"/>
        <v>0.86342138407993207</v>
      </c>
      <c r="X59" s="1">
        <f t="shared" si="0"/>
        <v>0.8296801969870371</v>
      </c>
      <c r="Y59" s="1">
        <f t="shared" si="0"/>
        <v>0.82976450129108592</v>
      </c>
      <c r="Z59" s="1">
        <f t="shared" si="0"/>
        <v>0.86547521643793868</v>
      </c>
      <c r="AA59" s="1">
        <f t="shared" si="0"/>
        <v>0.93942856346789227</v>
      </c>
      <c r="AB59" s="1">
        <f t="shared" si="0"/>
        <v>1.0617069761510223</v>
      </c>
      <c r="AC59" s="1">
        <f t="shared" si="0"/>
        <v>1.1915392272801917</v>
      </c>
      <c r="AD59" s="1">
        <f t="shared" si="0"/>
        <v>1.3357105639305811</v>
      </c>
      <c r="AE59" s="1">
        <f t="shared" si="0"/>
        <v>1.4926567816020642</v>
      </c>
      <c r="AF59" s="1">
        <f t="shared" si="0"/>
        <v>1.6507684392714106</v>
      </c>
      <c r="AG59" s="1">
        <f t="shared" si="0"/>
        <v>1.8053452487614363</v>
      </c>
      <c r="AH59" s="1">
        <f t="shared" si="0"/>
        <v>1.9503694326251431</v>
      </c>
      <c r="AI59" s="1">
        <f t="shared" si="0"/>
        <v>2.0811232755289177</v>
      </c>
      <c r="AJ59" s="1">
        <f t="shared" si="0"/>
        <v>2.1939124054841663</v>
      </c>
      <c r="AK59" s="1">
        <f t="shared" si="0"/>
        <v>2.2856093378723852</v>
      </c>
      <c r="AL59" s="1">
        <f t="shared" si="0"/>
        <v>2.3538065775452255</v>
      </c>
    </row>
    <row r="60" spans="1:38" x14ac:dyDescent="0.35">
      <c r="A60" s="9"/>
      <c r="B60" t="str">
        <f>B57</f>
        <v>NZ50</v>
      </c>
      <c r="D60" s="1">
        <f t="shared" ref="D60:AL60" si="1">(D57/C57-1)*100</f>
        <v>1.9280262030393347</v>
      </c>
      <c r="E60" s="1">
        <f t="shared" si="1"/>
        <v>1.9496347792377744</v>
      </c>
      <c r="F60" s="1">
        <f t="shared" si="1"/>
        <v>2.0755946028776506</v>
      </c>
      <c r="G60" s="1">
        <f t="shared" si="1"/>
        <v>1.9541370304135608</v>
      </c>
      <c r="H60" s="1">
        <f t="shared" si="1"/>
        <v>1.9830341141452434</v>
      </c>
      <c r="I60" s="1">
        <f t="shared" si="1"/>
        <v>2.0269389118808823</v>
      </c>
      <c r="J60" s="1">
        <f t="shared" si="1"/>
        <v>2.3411914581067617</v>
      </c>
      <c r="K60" s="1">
        <f t="shared" si="1"/>
        <v>2.5620818752886798</v>
      </c>
      <c r="L60" s="1">
        <f t="shared" si="1"/>
        <v>2.8339718294368099</v>
      </c>
      <c r="M60" s="1">
        <f t="shared" si="1"/>
        <v>3.1643858547958814</v>
      </c>
      <c r="N60" s="1">
        <f t="shared" si="1"/>
        <v>2.6496753639785764</v>
      </c>
      <c r="O60" s="1">
        <f t="shared" si="1"/>
        <v>2.517724623740647</v>
      </c>
      <c r="P60" s="1">
        <f t="shared" si="1"/>
        <v>2.3650436486609694</v>
      </c>
      <c r="Q60" s="1">
        <f t="shared" si="1"/>
        <v>2.1986204832993295</v>
      </c>
      <c r="R60" s="1">
        <f t="shared" si="1"/>
        <v>2.0254534322960982</v>
      </c>
      <c r="S60" s="1">
        <f t="shared" si="1"/>
        <v>1.9051387715372625</v>
      </c>
      <c r="T60" s="1">
        <f t="shared" si="1"/>
        <v>1.7565567686056216</v>
      </c>
      <c r="U60" s="1">
        <f t="shared" si="1"/>
        <v>1.6268450353314146</v>
      </c>
      <c r="V60" s="1">
        <f t="shared" si="1"/>
        <v>1.5251181280690584</v>
      </c>
      <c r="W60" s="1">
        <f t="shared" si="1"/>
        <v>1.4616521687875972</v>
      </c>
      <c r="X60" s="1">
        <f t="shared" si="1"/>
        <v>1.3539812426330622</v>
      </c>
      <c r="Y60" s="1">
        <f t="shared" si="1"/>
        <v>1.3239265008941459</v>
      </c>
      <c r="Z60" s="1">
        <f t="shared" si="1"/>
        <v>1.3307673254384644</v>
      </c>
      <c r="AA60" s="1">
        <f t="shared" si="1"/>
        <v>1.3752909380717826</v>
      </c>
      <c r="AB60" s="1">
        <f t="shared" si="1"/>
        <v>1.4673094503208972</v>
      </c>
      <c r="AC60" s="1">
        <f t="shared" si="1"/>
        <v>1.5084959680546906</v>
      </c>
      <c r="AD60" s="1">
        <f t="shared" si="1"/>
        <v>1.6054815861460625</v>
      </c>
      <c r="AE60" s="1">
        <f t="shared" si="1"/>
        <v>1.7196864459457784</v>
      </c>
      <c r="AF60" s="1">
        <f t="shared" si="1"/>
        <v>1.8387336406000099</v>
      </c>
      <c r="AG60" s="1">
        <f t="shared" si="1"/>
        <v>1.9582621032482317</v>
      </c>
      <c r="AH60" s="1">
        <f t="shared" si="1"/>
        <v>2.0432761867695826</v>
      </c>
      <c r="AI60" s="1">
        <f t="shared" si="1"/>
        <v>2.1389253607373426</v>
      </c>
      <c r="AJ60" s="1">
        <f t="shared" si="1"/>
        <v>2.2237302865563358</v>
      </c>
      <c r="AK60" s="1">
        <f t="shared" si="1"/>
        <v>2.2938325409315397</v>
      </c>
      <c r="AL60" s="1">
        <f t="shared" si="1"/>
        <v>2.3464583524372529</v>
      </c>
    </row>
    <row r="61" spans="1:38" x14ac:dyDescent="0.35">
      <c r="A61" s="7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 spans="1:38" x14ac:dyDescent="0.35">
      <c r="A62" s="9" t="s">
        <v>2</v>
      </c>
      <c r="B62" t="str">
        <f>B59</f>
        <v>Baseline</v>
      </c>
      <c r="C62" s="6">
        <f>[1]Results!F911+[1]Results!F1283</f>
        <v>467.59245979999997</v>
      </c>
      <c r="D62" s="6">
        <f>[1]Results!G911+[1]Results!G1283</f>
        <v>469.52446850000001</v>
      </c>
      <c r="E62" s="6">
        <f>[1]Results!H911+[1]Results!H1283</f>
        <v>471.79861010000002</v>
      </c>
      <c r="F62" s="6">
        <f>[1]Results!I911+[1]Results!I1283</f>
        <v>474.09859</v>
      </c>
      <c r="G62" s="6">
        <f>[1]Results!J911+[1]Results!J1283</f>
        <v>478.66808509999998</v>
      </c>
      <c r="H62" s="6">
        <f>[1]Results!K911+[1]Results!K1283</f>
        <v>485.01695819999998</v>
      </c>
      <c r="I62" s="6">
        <f>[1]Results!L911+[1]Results!L1283</f>
        <v>492.85835880000002</v>
      </c>
      <c r="J62" s="6">
        <f>[1]Results!M911+[1]Results!M1283</f>
        <v>501.91486599999996</v>
      </c>
      <c r="K62" s="6">
        <f>[1]Results!N911+[1]Results!N1283</f>
        <v>511.85882569999995</v>
      </c>
      <c r="L62" s="6">
        <f>[1]Results!O911+[1]Results!O1283</f>
        <v>522.49018439999998</v>
      </c>
      <c r="M62" s="6">
        <f>[1]Results!P911+[1]Results!P1283</f>
        <v>533.43839700000001</v>
      </c>
      <c r="N62" s="6">
        <f>[1]Results!Q911+[1]Results!Q1283</f>
        <v>544.51201430000003</v>
      </c>
      <c r="O62" s="6">
        <f>[1]Results!R911+[1]Results!R1283</f>
        <v>554.68593980000003</v>
      </c>
      <c r="P62" s="6">
        <f>[1]Results!S911+[1]Results!S1283</f>
        <v>564.11905020000006</v>
      </c>
      <c r="Q62" s="6">
        <f>[1]Results!T911+[1]Results!T1283</f>
        <v>573.03898160000006</v>
      </c>
      <c r="R62" s="6">
        <f>[1]Results!U911+[1]Results!U1283</f>
        <v>581.69467480000003</v>
      </c>
      <c r="S62" s="6">
        <f>[1]Results!V911+[1]Results!V1283</f>
        <v>590.38435730000003</v>
      </c>
      <c r="T62" s="6">
        <f>[1]Results!W911+[1]Results!W1283</f>
        <v>599.45153319999997</v>
      </c>
      <c r="U62" s="6">
        <f>[1]Results!X911+[1]Results!X1283</f>
        <v>609.09851449999996</v>
      </c>
      <c r="V62" s="6">
        <f>[1]Results!Y911+[1]Results!Y1283</f>
        <v>619.49612720000005</v>
      </c>
      <c r="W62" s="6">
        <f>[1]Results!Z911+[1]Results!Z1283</f>
        <v>630.74823860000004</v>
      </c>
      <c r="X62" s="6">
        <f>[1]Results!AA911+[1]Results!AA1283</f>
        <v>643.14048850000006</v>
      </c>
      <c r="Y62" s="6">
        <f>[1]Results!AB911+[1]Results!AB1283</f>
        <v>656.86579810000001</v>
      </c>
      <c r="Z62" s="6">
        <f>[1]Results!AC911+[1]Results!AC1283</f>
        <v>672.09439159999988</v>
      </c>
      <c r="AA62" s="6">
        <f>[1]Results!AD911+[1]Results!AD1283</f>
        <v>688.95587290000003</v>
      </c>
      <c r="AB62" s="6">
        <f>[1]Results!AE911+[1]Results!AE1283</f>
        <v>707.36953170000004</v>
      </c>
      <c r="AC62" s="6">
        <f>[1]Results!AF911+[1]Results!AF1283</f>
        <v>723.48238200000003</v>
      </c>
      <c r="AD62" s="6">
        <f>[1]Results!AG911+[1]Results!AG1283</f>
        <v>739.62982420000003</v>
      </c>
      <c r="AE62" s="6">
        <f>[1]Results!AH911+[1]Results!AH1283</f>
        <v>756.85026460000006</v>
      </c>
      <c r="AF62" s="6">
        <f>[1]Results!AI911+[1]Results!AI1283</f>
        <v>775.32642499999997</v>
      </c>
      <c r="AG62" s="6">
        <f>[1]Results!AJ911+[1]Results!AJ1283</f>
        <v>794.90893849999998</v>
      </c>
      <c r="AH62" s="6">
        <f>[1]Results!AK911+[1]Results!AK1283</f>
        <v>815.37906759999998</v>
      </c>
      <c r="AI62" s="6">
        <f>[1]Results!AL911+[1]Results!AL1283</f>
        <v>836.52547119999997</v>
      </c>
      <c r="AJ62" s="6">
        <f>[1]Results!AM911+[1]Results!AM1283</f>
        <v>858.14110779999999</v>
      </c>
      <c r="AK62" s="6">
        <f>[1]Results!AN911+[1]Results!AN1283</f>
        <v>880.01858449999997</v>
      </c>
      <c r="AL62" s="6">
        <f>[1]Results!AO911+[1]Results!AO1283</f>
        <v>901.94654619999994</v>
      </c>
    </row>
    <row r="63" spans="1:38" x14ac:dyDescent="0.35">
      <c r="A63" s="9"/>
      <c r="B63" t="str">
        <f>B60</f>
        <v>NZ50</v>
      </c>
      <c r="C63" s="6">
        <f>[1]Results!F857+[1]Results!F485</f>
        <v>467.59245979999997</v>
      </c>
      <c r="D63" s="6">
        <f>[1]Results!G857+[1]Results!G485</f>
        <v>469.52446850000001</v>
      </c>
      <c r="E63" s="6">
        <f>[1]Results!H857+[1]Results!H485</f>
        <v>471.79861010000002</v>
      </c>
      <c r="F63" s="6">
        <f>[1]Results!I857+[1]Results!I485</f>
        <v>474.09859</v>
      </c>
      <c r="G63" s="6">
        <f>[1]Results!J857+[1]Results!J485</f>
        <v>478.66808509999998</v>
      </c>
      <c r="H63" s="6">
        <f>[1]Results!K857+[1]Results!K485</f>
        <v>485.01695819999998</v>
      </c>
      <c r="I63" s="6">
        <f>[1]Results!L857+[1]Results!L485</f>
        <v>492.85835880000002</v>
      </c>
      <c r="J63" s="6">
        <f>[1]Results!M857+[1]Results!M485</f>
        <v>499.22457779999996</v>
      </c>
      <c r="K63" s="6">
        <f>[1]Results!N857+[1]Results!N485</f>
        <v>503.72017860000005</v>
      </c>
      <c r="L63" s="6">
        <f>[1]Results!O857+[1]Results!O485</f>
        <v>506.11002819999999</v>
      </c>
      <c r="M63" s="6">
        <f>[1]Results!P857+[1]Results!P485</f>
        <v>506.06169929999999</v>
      </c>
      <c r="N63" s="6">
        <f>[1]Results!Q857+[1]Results!Q485</f>
        <v>508.47578370000002</v>
      </c>
      <c r="O63" s="6">
        <f>[1]Results!R857+[1]Results!R485</f>
        <v>511.7256673</v>
      </c>
      <c r="P63" s="6">
        <f>[1]Results!S857+[1]Results!S485</f>
        <v>515.47114350000004</v>
      </c>
      <c r="Q63" s="6">
        <f>[1]Results!T857+[1]Results!T485</f>
        <v>519.53677140000002</v>
      </c>
      <c r="R63" s="6">
        <f>[1]Results!U857+[1]Results!U485</f>
        <v>523.8634065</v>
      </c>
      <c r="S63" s="6">
        <f>[1]Results!V857+[1]Results!V485</f>
        <v>528.22833000000003</v>
      </c>
      <c r="T63" s="6">
        <f>[1]Results!W857+[1]Results!W485</f>
        <v>532.85992869999995</v>
      </c>
      <c r="U63" s="6">
        <f>[1]Results!X857+[1]Results!X485</f>
        <v>537.87233020000008</v>
      </c>
      <c r="V63" s="6">
        <f>[1]Results!Y857+[1]Results!Y485</f>
        <v>543.36609680000004</v>
      </c>
      <c r="W63" s="6">
        <f>[1]Results!Z857+[1]Results!Z485</f>
        <v>549.38316710000004</v>
      </c>
      <c r="X63" s="6">
        <f>[1]Results!AA857+[1]Results!AA485</f>
        <v>556.44634859999996</v>
      </c>
      <c r="Y63" s="6">
        <f>[1]Results!AB857+[1]Results!AB485</f>
        <v>564.63237570000001</v>
      </c>
      <c r="Z63" s="6">
        <f>[1]Results!AC857+[1]Results!AC485</f>
        <v>574.00114029999997</v>
      </c>
      <c r="AA63" s="6">
        <f>[1]Results!AD857+[1]Results!AD485</f>
        <v>584.58651169999996</v>
      </c>
      <c r="AB63" s="6">
        <f>[1]Results!AE857+[1]Results!AE485</f>
        <v>596.24224430000004</v>
      </c>
      <c r="AC63" s="6">
        <f>[1]Results!AF857+[1]Results!AF485</f>
        <v>605.51136050000002</v>
      </c>
      <c r="AD63" s="6">
        <f>[1]Results!AG857+[1]Results!AG485</f>
        <v>614.63146879999999</v>
      </c>
      <c r="AE63" s="6">
        <f>[1]Results!AH857+[1]Results!AH485</f>
        <v>624.53846129999999</v>
      </c>
      <c r="AF63" s="6">
        <f>[1]Results!AI857+[1]Results!AI485</f>
        <v>635.37792090000005</v>
      </c>
      <c r="AG63" s="6">
        <f>[1]Results!AJ857+[1]Results!AJ485</f>
        <v>647.00781439999992</v>
      </c>
      <c r="AH63" s="6">
        <f>[1]Results!AK857+[1]Results!AK485</f>
        <v>659.36940670000001</v>
      </c>
      <c r="AI63" s="6">
        <f>[1]Results!AL857+[1]Results!AL485</f>
        <v>672.2902163</v>
      </c>
      <c r="AJ63" s="6">
        <f>[1]Results!AM857+[1]Results!AM485</f>
        <v>685.60225760000003</v>
      </c>
      <c r="AK63" s="6">
        <f>[1]Results!AN857+[1]Results!AN485</f>
        <v>699.14039200000002</v>
      </c>
      <c r="AL63" s="6">
        <f>[1]Results!AO857+[1]Results!AO485</f>
        <v>712.74263440000004</v>
      </c>
    </row>
    <row r="65" spans="1:38" x14ac:dyDescent="0.35">
      <c r="B65" t="s">
        <v>15</v>
      </c>
      <c r="C65" s="6">
        <f>[1]Results!F1551</f>
        <v>1966068.3489999999</v>
      </c>
      <c r="D65" s="6">
        <f>[1]Results!G1551</f>
        <v>2002113.8959999999</v>
      </c>
      <c r="E65" s="6">
        <f>[1]Results!H1551</f>
        <v>2041560.58</v>
      </c>
      <c r="F65" s="6">
        <f>[1]Results!I1551</f>
        <v>2084531.6980000001</v>
      </c>
      <c r="G65" s="6">
        <f>[1]Results!J1551</f>
        <v>2130170.0109999999</v>
      </c>
      <c r="H65" s="6">
        <f>[1]Results!K1551</f>
        <v>2178253.8849999998</v>
      </c>
      <c r="I65" s="6">
        <f>[1]Results!L1551</f>
        <v>2227940.7039999999</v>
      </c>
      <c r="J65" s="6">
        <f>[1]Results!M1551</f>
        <v>2279299.7510000002</v>
      </c>
      <c r="K65" s="6">
        <f>[1]Results!N1551</f>
        <v>2332228.8730000001</v>
      </c>
      <c r="L65" s="6">
        <f>[1]Results!O1551</f>
        <v>2386630.77</v>
      </c>
      <c r="M65" s="6">
        <f>[1]Results!P1551</f>
        <v>2441112.33</v>
      </c>
      <c r="N65" s="6">
        <f>[1]Results!Q1551</f>
        <v>2489931.5249999999</v>
      </c>
      <c r="O65" s="6">
        <f>[1]Results!R1551</f>
        <v>2534665.9580000001</v>
      </c>
      <c r="P65" s="6">
        <f>[1]Results!S1551</f>
        <v>2576105.9980000001</v>
      </c>
      <c r="Q65" s="6">
        <f>[1]Results!T1551</f>
        <v>2615353.193</v>
      </c>
      <c r="R65" s="6">
        <f>[1]Results!U1551</f>
        <v>2653516.074</v>
      </c>
      <c r="S65" s="6">
        <f>[1]Results!V1551</f>
        <v>2691700.5079999999</v>
      </c>
      <c r="T65" s="6">
        <f>[1]Results!W1551</f>
        <v>2731039.5129999998</v>
      </c>
      <c r="U65" s="6">
        <f>[1]Results!X1551</f>
        <v>2772494.122</v>
      </c>
      <c r="V65" s="6">
        <f>[1]Results!Y1551</f>
        <v>2816711.1719999998</v>
      </c>
      <c r="W65" s="6">
        <f>[1]Results!Z1551</f>
        <v>2863934.5389999999</v>
      </c>
      <c r="X65" s="6">
        <f>[1]Results!AA1551</f>
        <v>2915094.4709999999</v>
      </c>
      <c r="Y65" s="6">
        <f>[1]Results!AB1551</f>
        <v>2970666.585</v>
      </c>
      <c r="Z65" s="6">
        <f>[1]Results!AC1551</f>
        <v>3030949.96</v>
      </c>
      <c r="AA65" s="6">
        <f>[1]Results!AD1551</f>
        <v>3095945.423</v>
      </c>
      <c r="AB65" s="6">
        <f>[1]Results!AE1551</f>
        <v>3164680.9920000001</v>
      </c>
      <c r="AC65" s="6">
        <f>[1]Results!AF1551</f>
        <v>3238593.449</v>
      </c>
      <c r="AD65" s="6">
        <f>[1]Results!AG1551</f>
        <v>3317197.1970000002</v>
      </c>
      <c r="AE65" s="6">
        <f>[1]Results!AH1551</f>
        <v>3400398.591</v>
      </c>
      <c r="AF65" s="6">
        <f>[1]Results!AI1551</f>
        <v>3487685.6140000001</v>
      </c>
      <c r="AG65" s="6">
        <f>[1]Results!AJ1551</f>
        <v>3578290.9989999998</v>
      </c>
      <c r="AH65" s="6">
        <f>[1]Results!AK1551</f>
        <v>3671526.7450000001</v>
      </c>
      <c r="AI65" s="6">
        <f>[1]Results!AL1551</f>
        <v>3766805.9739999999</v>
      </c>
      <c r="AJ65" s="6">
        <f>[1]Results!AM1551</f>
        <v>3863536.02</v>
      </c>
      <c r="AK65" s="6">
        <f>[1]Results!AN1551</f>
        <v>3961101.17</v>
      </c>
      <c r="AL65" s="6">
        <f>[1]Results!AO1551</f>
        <v>4058858.966</v>
      </c>
    </row>
    <row r="66" spans="1:38" x14ac:dyDescent="0.35">
      <c r="A66" t="s">
        <v>13</v>
      </c>
      <c r="B66" t="s">
        <v>7</v>
      </c>
      <c r="C66" s="6">
        <f>[1]Results!F1552</f>
        <v>36093.471129999998</v>
      </c>
      <c r="D66" s="6">
        <f>[1]Results!G1552</f>
        <v>36605.857519999998</v>
      </c>
      <c r="E66" s="6">
        <f>[1]Results!H1552</f>
        <v>37205.437850000002</v>
      </c>
      <c r="F66" s="6">
        <f>[1]Results!I1552</f>
        <v>37892.887710000003</v>
      </c>
      <c r="G66" s="6">
        <f>[1]Results!J1552</f>
        <v>38666.860990000001</v>
      </c>
      <c r="H66" s="6">
        <f>[1]Results!K1552</f>
        <v>39511.717299999997</v>
      </c>
      <c r="I66" s="6">
        <f>[1]Results!L1552</f>
        <v>40435.124880000003</v>
      </c>
      <c r="J66" s="6">
        <f>[1]Results!M1552</f>
        <v>41408.415560000001</v>
      </c>
      <c r="K66" s="6">
        <f>[1]Results!N1552</f>
        <v>42422.021589999997</v>
      </c>
      <c r="L66" s="6">
        <f>[1]Results!O1552</f>
        <v>43470.757239999999</v>
      </c>
      <c r="M66" s="6">
        <f>[1]Results!P1552</f>
        <v>44521.314709999999</v>
      </c>
      <c r="N66" s="6">
        <f>[1]Results!Q1552</f>
        <v>45426.11578</v>
      </c>
      <c r="O66" s="6">
        <f>[1]Results!R1552</f>
        <v>46236.709210000001</v>
      </c>
      <c r="P66" s="6">
        <f>[1]Results!S1552</f>
        <v>46973.996099999997</v>
      </c>
      <c r="Q66" s="6">
        <f>[1]Results!T1552</f>
        <v>47663.260139999999</v>
      </c>
      <c r="R66" s="6">
        <f>[1]Results!U1552</f>
        <v>48329.531080000001</v>
      </c>
      <c r="S66" s="6">
        <f>[1]Results!V1552</f>
        <v>49015.541039999996</v>
      </c>
      <c r="T66" s="6">
        <f>[1]Results!W1552</f>
        <v>49732.547740000002</v>
      </c>
      <c r="U66" s="6">
        <f>[1]Results!X1552</f>
        <v>50500.202409999998</v>
      </c>
      <c r="V66" s="6">
        <f>[1]Results!Y1552</f>
        <v>51332.684739999997</v>
      </c>
      <c r="W66" s="6">
        <f>[1]Results!Z1552</f>
        <v>52234.279949999996</v>
      </c>
      <c r="X66" s="6">
        <f>[1]Results!AA1552</f>
        <v>53229.982000000004</v>
      </c>
      <c r="Y66" s="6">
        <f>[1]Results!AB1552</f>
        <v>54330.77665</v>
      </c>
      <c r="Z66" s="6">
        <f>[1]Results!AC1552</f>
        <v>55544.342470000003</v>
      </c>
      <c r="AA66" s="6">
        <f>[1]Results!AD1552</f>
        <v>56872.088580000003</v>
      </c>
      <c r="AB66" s="6">
        <f>[1]Results!AE1552</f>
        <v>58289.93679</v>
      </c>
      <c r="AC66" s="6">
        <f>[1]Results!AF1552</f>
        <v>59685.207589999998</v>
      </c>
      <c r="AD66" s="6">
        <f>[1]Results!AG1552</f>
        <v>61150.320910000002</v>
      </c>
      <c r="AE66" s="6">
        <f>[1]Results!AH1552</f>
        <v>62714.947919999999</v>
      </c>
      <c r="AF66" s="6">
        <f>[1]Results!AI1552</f>
        <v>64373.163959999998</v>
      </c>
      <c r="AG66" s="6">
        <f>[1]Results!AJ1552</f>
        <v>66106.437130000006</v>
      </c>
      <c r="AH66" s="6">
        <f>[1]Results!AK1552</f>
        <v>67897.272429999997</v>
      </c>
      <c r="AI66" s="6">
        <f>[1]Results!AL1552</f>
        <v>69730.711569999999</v>
      </c>
      <c r="AJ66" s="6">
        <f>[1]Results!AM1552</f>
        <v>71591.888810000004</v>
      </c>
      <c r="AK66" s="6">
        <f>[1]Results!AN1552</f>
        <v>73465.751480000006</v>
      </c>
      <c r="AL66" s="6">
        <f>[1]Results!AO1552</f>
        <v>75336.994200000001</v>
      </c>
    </row>
    <row r="67" spans="1:38" x14ac:dyDescent="0.35">
      <c r="B67" t="s">
        <v>8</v>
      </c>
      <c r="C67" s="6">
        <f>[1]Results!F1555</f>
        <v>331632.60869999998</v>
      </c>
      <c r="D67" s="6">
        <f>[1]Results!G1555</f>
        <v>339630.46230000001</v>
      </c>
      <c r="E67" s="6">
        <f>[1]Results!H1555</f>
        <v>347911.86349999998</v>
      </c>
      <c r="F67" s="6">
        <f>[1]Results!I1555</f>
        <v>356741.3162</v>
      </c>
      <c r="G67" s="6">
        <f>[1]Results!J1555</f>
        <v>366071.1</v>
      </c>
      <c r="H67" s="6">
        <f>[1]Results!K1555</f>
        <v>375862.77539999998</v>
      </c>
      <c r="I67" s="6">
        <f>[1]Results!L1555</f>
        <v>386131.63900000002</v>
      </c>
      <c r="J67" s="6">
        <f>[1]Results!M1555</f>
        <v>396846.49619999999</v>
      </c>
      <c r="K67" s="6">
        <f>[1]Results!N1555</f>
        <v>407991.96120000002</v>
      </c>
      <c r="L67" s="6">
        <f>[1]Results!O1555</f>
        <v>419568.33620000002</v>
      </c>
      <c r="M67" s="6">
        <f>[1]Results!P1555</f>
        <v>431137.64919999999</v>
      </c>
      <c r="N67" s="6">
        <f>[1]Results!Q1555</f>
        <v>441176.12660000002</v>
      </c>
      <c r="O67" s="6">
        <f>[1]Results!R1555</f>
        <v>450480.55930000002</v>
      </c>
      <c r="P67" s="6">
        <f>[1]Results!S1555</f>
        <v>459325.23499999999</v>
      </c>
      <c r="Q67" s="6">
        <f>[1]Results!T1555</f>
        <v>468017.8308</v>
      </c>
      <c r="R67" s="6">
        <f>[1]Results!U1555</f>
        <v>476817.0085</v>
      </c>
      <c r="S67" s="6">
        <f>[1]Results!V1555</f>
        <v>485961.78330000001</v>
      </c>
      <c r="T67" s="6">
        <f>[1]Results!W1555</f>
        <v>495672.26610000001</v>
      </c>
      <c r="U67" s="6">
        <f>[1]Results!X1555</f>
        <v>506119.26650000003</v>
      </c>
      <c r="V67" s="6">
        <f>[1]Results!Y1555</f>
        <v>517397.5085</v>
      </c>
      <c r="W67" s="6">
        <f>[1]Results!Z1555</f>
        <v>529558.43180000002</v>
      </c>
      <c r="X67" s="6">
        <f>[1]Results!AA1555</f>
        <v>542741.76000000001</v>
      </c>
      <c r="Y67" s="6">
        <f>[1]Results!AB1555</f>
        <v>557057.47580000001</v>
      </c>
      <c r="Z67" s="6">
        <f>[1]Results!AC1555</f>
        <v>572562.83319999999</v>
      </c>
      <c r="AA67" s="6">
        <f>[1]Results!AD1555</f>
        <v>589244.21100000001</v>
      </c>
      <c r="AB67" s="6">
        <f>[1]Results!AE1555</f>
        <v>606966.92139999999</v>
      </c>
      <c r="AC67" s="6">
        <f>[1]Results!AF1555</f>
        <v>625301.94810000004</v>
      </c>
      <c r="AD67" s="6">
        <f>[1]Results!AG1555</f>
        <v>644408.94739999995</v>
      </c>
      <c r="AE67" s="6">
        <f>[1]Results!AH1555</f>
        <v>664395.20680000004</v>
      </c>
      <c r="AF67" s="6">
        <f>[1]Results!AI1555</f>
        <v>685151.08349999995</v>
      </c>
      <c r="AG67" s="6">
        <f>[1]Results!AJ1555</f>
        <v>706495.40350000001</v>
      </c>
      <c r="AH67" s="6">
        <f>[1]Results!AK1555</f>
        <v>728290.41449999996</v>
      </c>
      <c r="AI67" s="6">
        <f>[1]Results!AL1555</f>
        <v>750435.49670000002</v>
      </c>
      <c r="AJ67" s="6">
        <f>[1]Results!AM1555</f>
        <v>772829.39780000004</v>
      </c>
      <c r="AK67" s="6">
        <f>[1]Results!AN1555</f>
        <v>795366.20700000005</v>
      </c>
      <c r="AL67" s="6">
        <f>[1]Results!AO1555</f>
        <v>817933.52350000001</v>
      </c>
    </row>
    <row r="68" spans="1:38" x14ac:dyDescent="0.35">
      <c r="B68" t="s">
        <v>9</v>
      </c>
      <c r="C68" s="6">
        <f>[1]Results!F1567</f>
        <v>48465.39256</v>
      </c>
      <c r="D68" s="6">
        <f>[1]Results!G1567</f>
        <v>49473.832329999997</v>
      </c>
      <c r="E68" s="6">
        <f>[1]Results!H1567</f>
        <v>50490.20134</v>
      </c>
      <c r="F68" s="6">
        <f>[1]Results!I1567</f>
        <v>51557.117400000003</v>
      </c>
      <c r="G68" s="6">
        <f>[1]Results!J1567</f>
        <v>52695.806900000003</v>
      </c>
      <c r="H68" s="6">
        <f>[1]Results!K1567</f>
        <v>53906.270450000004</v>
      </c>
      <c r="I68" s="6">
        <f>[1]Results!L1567</f>
        <v>55178.891779999998</v>
      </c>
      <c r="J68" s="6">
        <f>[1]Results!M1567</f>
        <v>56503.335780000001</v>
      </c>
      <c r="K68" s="6">
        <f>[1]Results!N1567</f>
        <v>57872.122920000002</v>
      </c>
      <c r="L68" s="6">
        <f>[1]Results!O1567</f>
        <v>59280.104930000001</v>
      </c>
      <c r="M68" s="6">
        <f>[1]Results!P1567</f>
        <v>60666.949840000001</v>
      </c>
      <c r="N68" s="6">
        <f>[1]Results!Q1567</f>
        <v>61824.086920000002</v>
      </c>
      <c r="O68" s="6">
        <f>[1]Results!R1567</f>
        <v>62849.845809999999</v>
      </c>
      <c r="P68" s="6">
        <f>[1]Results!S1567</f>
        <v>63776.989500000003</v>
      </c>
      <c r="Q68" s="6">
        <f>[1]Results!T1567</f>
        <v>64645.54146</v>
      </c>
      <c r="R68" s="6">
        <f>[1]Results!U1567</f>
        <v>65492.098319999997</v>
      </c>
      <c r="S68" s="6">
        <f>[1]Results!V1567</f>
        <v>66351.670549999995</v>
      </c>
      <c r="T68" s="6">
        <f>[1]Results!W1567</f>
        <v>67257.910059999995</v>
      </c>
      <c r="U68" s="6">
        <f>[1]Results!X1567</f>
        <v>68238.086790000001</v>
      </c>
      <c r="V68" s="6">
        <f>[1]Results!Y1567</f>
        <v>69309.010609999998</v>
      </c>
      <c r="W68" s="6">
        <f>[1]Results!Z1567</f>
        <v>70479.367679999996</v>
      </c>
      <c r="X68" s="6">
        <f>[1]Results!AA1567</f>
        <v>71773.519990000001</v>
      </c>
      <c r="Y68" s="6">
        <f>[1]Results!AB1567</f>
        <v>73206.408450000003</v>
      </c>
      <c r="Z68" s="6">
        <f>[1]Results!AC1567</f>
        <v>74785.518609999999</v>
      </c>
      <c r="AA68" s="6">
        <f>[1]Results!AD1567</f>
        <v>76508.530719999995</v>
      </c>
      <c r="AB68" s="6">
        <f>[1]Results!AE1567</f>
        <v>78351.812590000001</v>
      </c>
      <c r="AC68" s="6">
        <f>[1]Results!AF1567</f>
        <v>80310.22739</v>
      </c>
      <c r="AD68" s="6">
        <f>[1]Results!AG1567</f>
        <v>82403.177389999997</v>
      </c>
      <c r="AE68" s="6">
        <f>[1]Results!AH1567</f>
        <v>84635.902319999994</v>
      </c>
      <c r="AF68" s="6">
        <f>[1]Results!AI1567</f>
        <v>86986.449919999999</v>
      </c>
      <c r="AG68" s="6">
        <f>[1]Results!AJ1567</f>
        <v>89424.623290000003</v>
      </c>
      <c r="AH68" s="6">
        <f>[1]Results!AK1567</f>
        <v>91926.519279999993</v>
      </c>
      <c r="AI68" s="6">
        <f>[1]Results!AL1567</f>
        <v>94473.548039999994</v>
      </c>
      <c r="AJ68" s="6">
        <f>[1]Results!AM1567</f>
        <v>97047.493839999996</v>
      </c>
      <c r="AK68" s="6">
        <f>[1]Results!AN1567</f>
        <v>99630.028330000001</v>
      </c>
      <c r="AL68" s="6">
        <f>[1]Results!AO1567</f>
        <v>102202.6024</v>
      </c>
    </row>
    <row r="69" spans="1:38" x14ac:dyDescent="0.35">
      <c r="B69" t="s">
        <v>10</v>
      </c>
      <c r="C69" s="6">
        <f>[1]Results!F1572</f>
        <v>1511265.9569999999</v>
      </c>
      <c r="D69" s="6">
        <f>[1]Results!G1572</f>
        <v>1537211.689</v>
      </c>
      <c r="E69" s="6">
        <f>[1]Results!H1572</f>
        <v>1566217.4650000001</v>
      </c>
      <c r="F69" s="6">
        <f>[1]Results!I1572</f>
        <v>1598012.8859999999</v>
      </c>
      <c r="G69" s="6">
        <f>[1]Results!J1572</f>
        <v>1631872.57</v>
      </c>
      <c r="H69" s="6">
        <f>[1]Results!K1572</f>
        <v>1667566.588</v>
      </c>
      <c r="I69" s="6">
        <f>[1]Results!L1572</f>
        <v>1704845.25</v>
      </c>
      <c r="J69" s="6">
        <f>[1]Results!M1572</f>
        <v>1743446.87</v>
      </c>
      <c r="K69" s="6">
        <f>[1]Results!N1572</f>
        <v>1783200.5859999999</v>
      </c>
      <c r="L69" s="6">
        <f>[1]Results!O1572</f>
        <v>1823999.75</v>
      </c>
      <c r="M69" s="6">
        <f>[1]Results!P1572</f>
        <v>1865006.8049999999</v>
      </c>
      <c r="N69" s="6">
        <f>[1]Results!Q1572</f>
        <v>1902186.054</v>
      </c>
      <c r="O69" s="6">
        <f>[1]Results!R1572</f>
        <v>1936310.4669999999</v>
      </c>
      <c r="P69" s="6">
        <f>[1]Results!S1572</f>
        <v>1967899.4310000001</v>
      </c>
      <c r="Q69" s="6">
        <f>[1]Results!T1572</f>
        <v>1997680.6059999999</v>
      </c>
      <c r="R69" s="6">
        <f>[1]Results!U1572</f>
        <v>2026430.175</v>
      </c>
      <c r="S69" s="6">
        <f>[1]Results!V1572</f>
        <v>2054980.5349999999</v>
      </c>
      <c r="T69" s="6">
        <f>[1]Results!W1572</f>
        <v>2084160.5020000001</v>
      </c>
      <c r="U69" s="6">
        <f>[1]Results!X1572</f>
        <v>2114692.1540000001</v>
      </c>
      <c r="V69" s="6">
        <f>[1]Results!Y1572</f>
        <v>2147093.7519999999</v>
      </c>
      <c r="W69" s="6">
        <f>[1]Results!Z1572</f>
        <v>2181558.798</v>
      </c>
      <c r="X69" s="6">
        <f>[1]Results!AA1572</f>
        <v>2218834.1409999998</v>
      </c>
      <c r="Y69" s="6">
        <f>[1]Results!AB1572</f>
        <v>2259288.2489999998</v>
      </c>
      <c r="Z69" s="6">
        <f>[1]Results!AC1572</f>
        <v>2303186.1460000002</v>
      </c>
      <c r="AA69" s="6">
        <f>[1]Results!AD1572</f>
        <v>2350592.932</v>
      </c>
      <c r="AB69" s="6">
        <f>[1]Results!AE1572</f>
        <v>2400794.0249999999</v>
      </c>
      <c r="AC69" s="6">
        <f>[1]Results!AF1572</f>
        <v>2453388.267</v>
      </c>
      <c r="AD69" s="6">
        <f>[1]Results!AG1572</f>
        <v>2508904.6800000002</v>
      </c>
      <c r="AE69" s="6">
        <f>[1]Results!AH1572</f>
        <v>2567686.1680000001</v>
      </c>
      <c r="AF69" s="6">
        <f>[1]Results!AI1572</f>
        <v>2629544.91</v>
      </c>
      <c r="AG69" s="6">
        <f>[1]Results!AJ1572</f>
        <v>2693993.0189999999</v>
      </c>
      <c r="AH69" s="6">
        <f>[1]Results!AK1572</f>
        <v>2760528.4849999999</v>
      </c>
      <c r="AI69" s="6">
        <f>[1]Results!AL1572</f>
        <v>2828695.16</v>
      </c>
      <c r="AJ69" s="6">
        <f>[1]Results!AM1572</f>
        <v>2898031.18</v>
      </c>
      <c r="AK69" s="6">
        <f>[1]Results!AN1572</f>
        <v>2968058.2689999999</v>
      </c>
      <c r="AL69" s="6">
        <f>[1]Results!AO1572</f>
        <v>3038280.216</v>
      </c>
    </row>
    <row r="70" spans="1:38" x14ac:dyDescent="0.35">
      <c r="B70" t="s">
        <v>12</v>
      </c>
      <c r="C70" s="6">
        <f>[1]Results!F1575</f>
        <v>-2035.6335240000001</v>
      </c>
      <c r="D70" s="6">
        <f>[1]Results!G1575</f>
        <v>-2053.7800029999999</v>
      </c>
      <c r="E70" s="6">
        <f>[1]Results!H1575</f>
        <v>-2067.542285</v>
      </c>
      <c r="F70" s="6">
        <f>[1]Results!I1575</f>
        <v>-2082.2889169999999</v>
      </c>
      <c r="G70" s="6">
        <f>[1]Results!J1575</f>
        <v>-2095.1765230000001</v>
      </c>
      <c r="H70" s="6">
        <f>[1]Results!K1575</f>
        <v>-2117.1850599999998</v>
      </c>
      <c r="I70" s="6">
        <f>[1]Results!L1575</f>
        <v>-2131.5914039999998</v>
      </c>
      <c r="J70" s="6">
        <f>[1]Results!M1575</f>
        <v>-2151.5995269999999</v>
      </c>
      <c r="K70" s="6">
        <f>[1]Results!N1575</f>
        <v>-2175.0266280000001</v>
      </c>
      <c r="L70" s="6">
        <f>[1]Results!O1575</f>
        <v>-2199.762835</v>
      </c>
      <c r="M70" s="6">
        <f>[1]Results!P1575</f>
        <v>-2225.4780219999998</v>
      </c>
      <c r="N70" s="6">
        <f>[1]Results!Q1575</f>
        <v>-2268.5583459999998</v>
      </c>
      <c r="O70" s="6">
        <f>[1]Results!R1575</f>
        <v>-2305.3638740000001</v>
      </c>
      <c r="P70" s="6">
        <f>[1]Results!S1575</f>
        <v>-2334.5398989999999</v>
      </c>
      <c r="Q70" s="6">
        <f>[1]Results!T1575</f>
        <v>-2357.7083560000001</v>
      </c>
      <c r="R70" s="6">
        <f>[1]Results!U1575</f>
        <v>-2376.7229240000001</v>
      </c>
      <c r="S70" s="6">
        <f>[1]Results!V1575</f>
        <v>-2393.4410590000002</v>
      </c>
      <c r="T70" s="6">
        <f>[1]Results!W1575</f>
        <v>-2407.713013</v>
      </c>
      <c r="U70" s="6">
        <f>[1]Results!X1575</f>
        <v>-2422.3664960000001</v>
      </c>
      <c r="V70" s="6">
        <f>[1]Results!Y1575</f>
        <v>-2438.509622</v>
      </c>
      <c r="W70" s="6">
        <f>[1]Results!Z1575</f>
        <v>-2456.626393</v>
      </c>
      <c r="X70" s="6">
        <f>[1]Results!AA1575</f>
        <v>-2476.4140819999998</v>
      </c>
      <c r="Y70" s="6">
        <f>[1]Results!AB1575</f>
        <v>-2498.3877600000001</v>
      </c>
      <c r="Z70" s="6">
        <f>[1]Results!AC1575</f>
        <v>-2523.020309</v>
      </c>
      <c r="AA70" s="6">
        <f>[1]Results!AD1575</f>
        <v>-2550.5880769999999</v>
      </c>
      <c r="AB70" s="6">
        <f>[1]Results!AE1575</f>
        <v>-2581.3828469999999</v>
      </c>
      <c r="AC70" s="6">
        <f>[1]Results!AF1575</f>
        <v>-2635.480309</v>
      </c>
      <c r="AD70" s="6">
        <f>[1]Results!AG1575</f>
        <v>-2690.2115549999999</v>
      </c>
      <c r="AE70" s="6">
        <f>[1]Results!AH1575</f>
        <v>-2745.7807469999998</v>
      </c>
      <c r="AF70" s="6">
        <f>[1]Results!AI1575</f>
        <v>-2805.1049929999999</v>
      </c>
      <c r="AG70" s="6">
        <f>[1]Results!AJ1575</f>
        <v>-2868.913548</v>
      </c>
      <c r="AH70" s="6">
        <f>[1]Results!AK1575</f>
        <v>-2936.431619</v>
      </c>
      <c r="AI70" s="6">
        <f>[1]Results!AL1575</f>
        <v>-3006.6673599999999</v>
      </c>
      <c r="AJ70" s="6">
        <f>[1]Results!AM1575</f>
        <v>-3078.8785309999998</v>
      </c>
      <c r="AK70" s="6">
        <f>[1]Results!AN1575</f>
        <v>-3152.4311130000001</v>
      </c>
      <c r="AL70" s="6">
        <f>[1]Results!AO1575</f>
        <v>-3226.708122</v>
      </c>
    </row>
    <row r="71" spans="1:38" x14ac:dyDescent="0.35">
      <c r="B71" t="s">
        <v>11</v>
      </c>
      <c r="C71" s="6">
        <f>[1]Results!F1580</f>
        <v>40646.55257</v>
      </c>
      <c r="D71" s="6">
        <f>[1]Results!G1580</f>
        <v>41245.83466</v>
      </c>
      <c r="E71" s="6">
        <f>[1]Results!H1580</f>
        <v>41803.155270000003</v>
      </c>
      <c r="F71" s="6">
        <f>[1]Results!I1580</f>
        <v>42409.779569999999</v>
      </c>
      <c r="G71" s="6">
        <f>[1]Results!J1580</f>
        <v>42958.84964</v>
      </c>
      <c r="H71" s="6">
        <f>[1]Results!K1580</f>
        <v>43523.718930000003</v>
      </c>
      <c r="I71" s="6">
        <f>[1]Results!L1580</f>
        <v>43481.390140000003</v>
      </c>
      <c r="J71" s="6">
        <f>[1]Results!M1580</f>
        <v>43246.232960000001</v>
      </c>
      <c r="K71" s="6">
        <f>[1]Results!N1580</f>
        <v>42917.207979999999</v>
      </c>
      <c r="L71" s="6">
        <f>[1]Results!O1580</f>
        <v>42511.5844</v>
      </c>
      <c r="M71" s="6">
        <f>[1]Results!P1580</f>
        <v>42005.088810000001</v>
      </c>
      <c r="N71" s="6">
        <f>[1]Results!Q1580</f>
        <v>41587.700510000002</v>
      </c>
      <c r="O71" s="6">
        <f>[1]Results!R1580</f>
        <v>41093.7408</v>
      </c>
      <c r="P71" s="6">
        <f>[1]Results!S1580</f>
        <v>40464.886740000002</v>
      </c>
      <c r="Q71" s="6">
        <f>[1]Results!T1580</f>
        <v>39703.663119999997</v>
      </c>
      <c r="R71" s="6">
        <f>[1]Results!U1580</f>
        <v>38823.98358</v>
      </c>
      <c r="S71" s="6">
        <f>[1]Results!V1580</f>
        <v>37784.418729999998</v>
      </c>
      <c r="T71" s="6">
        <f>[1]Results!W1580</f>
        <v>36624.00056</v>
      </c>
      <c r="U71" s="6">
        <f>[1]Results!X1580</f>
        <v>35366.778160000002</v>
      </c>
      <c r="V71" s="6">
        <f>[1]Results!Y1580</f>
        <v>34016.726179999998</v>
      </c>
      <c r="W71" s="6">
        <f>[1]Results!Z1580</f>
        <v>32560.288420000001</v>
      </c>
      <c r="X71" s="6">
        <f>[1]Results!AA1580</f>
        <v>30991.482049999999</v>
      </c>
      <c r="Y71" s="6">
        <f>[1]Results!AB1580</f>
        <v>29282.063010000002</v>
      </c>
      <c r="Z71" s="6">
        <f>[1]Results!AC1580</f>
        <v>27394.139780000001</v>
      </c>
      <c r="AA71" s="6">
        <f>[1]Results!AD1580</f>
        <v>25278.24898</v>
      </c>
      <c r="AB71" s="6">
        <f>[1]Results!AE1580</f>
        <v>22859.67899</v>
      </c>
      <c r="AC71" s="6">
        <f>[1]Results!AF1580</f>
        <v>22543.279210000001</v>
      </c>
      <c r="AD71" s="6">
        <f>[1]Results!AG1580</f>
        <v>23020.283530000001</v>
      </c>
      <c r="AE71" s="6">
        <f>[1]Results!AH1580</f>
        <v>23712.14704</v>
      </c>
      <c r="AF71" s="6">
        <f>[1]Results!AI1580</f>
        <v>24435.111560000001</v>
      </c>
      <c r="AG71" s="6">
        <f>[1]Results!AJ1580</f>
        <v>25140.42972</v>
      </c>
      <c r="AH71" s="6">
        <f>[1]Results!AK1580</f>
        <v>25820.48576</v>
      </c>
      <c r="AI71" s="6">
        <f>[1]Results!AL1580</f>
        <v>26477.725330000001</v>
      </c>
      <c r="AJ71" s="6">
        <f>[1]Results!AM1580</f>
        <v>27114.937709999998</v>
      </c>
      <c r="AK71" s="6">
        <f>[1]Results!AN1580</f>
        <v>27733.34561</v>
      </c>
      <c r="AL71" s="6">
        <f>[1]Results!AO1580</f>
        <v>28332.338100000001</v>
      </c>
    </row>
    <row r="73" spans="1:38" x14ac:dyDescent="0.35">
      <c r="B73" t="s">
        <v>15</v>
      </c>
      <c r="C73" s="6">
        <f>[1]Results!F1512</f>
        <v>1966068.3489999999</v>
      </c>
      <c r="D73" s="6">
        <f>[1]Results!G1512</f>
        <v>2002113.8959999999</v>
      </c>
      <c r="E73" s="6">
        <f>[1]Results!H1512</f>
        <v>2041560.58</v>
      </c>
      <c r="F73" s="6">
        <f>[1]Results!I1512</f>
        <v>2084531.6980000001</v>
      </c>
      <c r="G73" s="6">
        <f>[1]Results!J1512</f>
        <v>2130170.0109999999</v>
      </c>
      <c r="H73" s="6">
        <f>[1]Results!K1512</f>
        <v>2178253.8849999998</v>
      </c>
      <c r="I73" s="6">
        <f>[1]Results!L1512</f>
        <v>2227940.7039999999</v>
      </c>
      <c r="J73" s="6">
        <f>[1]Results!M1512</f>
        <v>2279838.6189999999</v>
      </c>
      <c r="K73" s="6">
        <f>[1]Results!N1512</f>
        <v>2333776.3960000002</v>
      </c>
      <c r="L73" s="6">
        <f>[1]Results!O1512</f>
        <v>2389727.7829999998</v>
      </c>
      <c r="M73" s="6">
        <f>[1]Results!P1512</f>
        <v>2446335.4610000001</v>
      </c>
      <c r="N73" s="6">
        <f>[1]Results!Q1512</f>
        <v>2496251.7609999999</v>
      </c>
      <c r="O73" s="6">
        <f>[1]Results!R1512</f>
        <v>2541758.2799999998</v>
      </c>
      <c r="P73" s="6">
        <f>[1]Results!S1512</f>
        <v>2583622.1230000001</v>
      </c>
      <c r="Q73" s="6">
        <f>[1]Results!T1512</f>
        <v>2622842.4470000002</v>
      </c>
      <c r="R73" s="6">
        <f>[1]Results!U1512</f>
        <v>2660522.2039999999</v>
      </c>
      <c r="S73" s="6">
        <f>[1]Results!V1512</f>
        <v>2697920.0869999998</v>
      </c>
      <c r="T73" s="6">
        <f>[1]Results!W1512</f>
        <v>2736170.969</v>
      </c>
      <c r="U73" s="6">
        <f>[1]Results!X1512</f>
        <v>2776289.8020000001</v>
      </c>
      <c r="V73" s="6">
        <f>[1]Results!Y1512</f>
        <v>2818967.1910000001</v>
      </c>
      <c r="W73" s="6">
        <f>[1]Results!Z1512</f>
        <v>2864465.173</v>
      </c>
      <c r="X73" s="6">
        <f>[1]Results!AA1512</f>
        <v>2913587.125</v>
      </c>
      <c r="Y73" s="6">
        <f>[1]Results!AB1512</f>
        <v>2966945.0440000002</v>
      </c>
      <c r="Z73" s="6">
        <f>[1]Results!AC1512</f>
        <v>3024885.9109999998</v>
      </c>
      <c r="AA73" s="6">
        <f>[1]Results!AD1512</f>
        <v>3087467.7949999999</v>
      </c>
      <c r="AB73" s="6">
        <f>[1]Results!AE1512</f>
        <v>3153774.3820000002</v>
      </c>
      <c r="AC73" s="6">
        <f>[1]Results!AF1512</f>
        <v>3225052.06</v>
      </c>
      <c r="AD73" s="6">
        <f>[1]Results!AG1512</f>
        <v>3300933.0359999998</v>
      </c>
      <c r="AE73" s="6">
        <f>[1]Results!AH1512</f>
        <v>3381430.9890000001</v>
      </c>
      <c r="AF73" s="6">
        <f>[1]Results!AI1512</f>
        <v>3466152.3020000001</v>
      </c>
      <c r="AG73" s="6">
        <f>[1]Results!AJ1512</f>
        <v>3554436.0279999999</v>
      </c>
      <c r="AH73" s="6">
        <f>[1]Results!AK1512</f>
        <v>3645575.861</v>
      </c>
      <c r="AI73" s="6">
        <f>[1]Results!AL1512</f>
        <v>3739118.8130000001</v>
      </c>
      <c r="AJ73" s="6">
        <f>[1]Results!AM1512</f>
        <v>3834523.4789999998</v>
      </c>
      <c r="AK73" s="6">
        <f>[1]Results!AN1512</f>
        <v>3931207.7379999999</v>
      </c>
      <c r="AL73" s="6">
        <f>[1]Results!AO1512</f>
        <v>4028560.0159999998</v>
      </c>
    </row>
    <row r="74" spans="1:38" x14ac:dyDescent="0.35">
      <c r="A74" t="s">
        <v>14</v>
      </c>
      <c r="B74" t="s">
        <v>7</v>
      </c>
      <c r="C74" s="6">
        <f>[1]Results!F1513</f>
        <v>36093.471129999998</v>
      </c>
      <c r="D74" s="6">
        <f>[1]Results!G1513</f>
        <v>36605.857519999998</v>
      </c>
      <c r="E74" s="6">
        <f>[1]Results!H1513</f>
        <v>37205.437850000002</v>
      </c>
      <c r="F74" s="6">
        <f>[1]Results!I1513</f>
        <v>37892.887710000003</v>
      </c>
      <c r="G74" s="6">
        <f>[1]Results!J1513</f>
        <v>38666.860990000001</v>
      </c>
      <c r="H74" s="6">
        <f>[1]Results!K1513</f>
        <v>39511.717299999997</v>
      </c>
      <c r="I74" s="6">
        <f>[1]Results!L1513</f>
        <v>40435.124880000003</v>
      </c>
      <c r="J74" s="6">
        <f>[1]Results!M1513</f>
        <v>41400.639190000002</v>
      </c>
      <c r="K74" s="6">
        <f>[1]Results!N1513</f>
        <v>42401.57632</v>
      </c>
      <c r="L74" s="6">
        <f>[1]Results!O1513</f>
        <v>43433.610460000004</v>
      </c>
      <c r="M74" s="6">
        <f>[1]Results!P1513</f>
        <v>44460.974020000001</v>
      </c>
      <c r="N74" s="6">
        <f>[1]Results!Q1513</f>
        <v>45339.163829999998</v>
      </c>
      <c r="O74" s="6">
        <f>[1]Results!R1513</f>
        <v>46126.296869999998</v>
      </c>
      <c r="P74" s="6">
        <f>[1]Results!S1513</f>
        <v>46840.755319999997</v>
      </c>
      <c r="Q74" s="6">
        <f>[1]Results!T1513</f>
        <v>47503.801220000001</v>
      </c>
      <c r="R74" s="6">
        <f>[1]Results!U1513</f>
        <v>48138.818359999997</v>
      </c>
      <c r="S74" s="6">
        <f>[1]Results!V1513</f>
        <v>48790.488949999999</v>
      </c>
      <c r="T74" s="6">
        <f>[1]Results!W1513</f>
        <v>49467.367140000002</v>
      </c>
      <c r="U74" s="6">
        <f>[1]Results!X1513</f>
        <v>50188.592270000001</v>
      </c>
      <c r="V74" s="6">
        <f>[1]Results!Y1513</f>
        <v>50968.014029999998</v>
      </c>
      <c r="W74" s="6">
        <f>[1]Results!Z1513</f>
        <v>51809.500189999999</v>
      </c>
      <c r="X74" s="6">
        <f>[1]Results!AA1513</f>
        <v>52734.969519999999</v>
      </c>
      <c r="Y74" s="6">
        <f>[1]Results!AB1513</f>
        <v>53758.537799999998</v>
      </c>
      <c r="Z74" s="6">
        <f>[1]Results!AC1513</f>
        <v>54888.820290000003</v>
      </c>
      <c r="AA74" s="6">
        <f>[1]Results!AD1513</f>
        <v>56128.153919999997</v>
      </c>
      <c r="AB74" s="6">
        <f>[1]Results!AE1513</f>
        <v>57453.865769999997</v>
      </c>
      <c r="AC74" s="6">
        <f>[1]Results!AF1513</f>
        <v>58734.953320000001</v>
      </c>
      <c r="AD74" s="6">
        <f>[1]Results!AG1513</f>
        <v>60077.714350000002</v>
      </c>
      <c r="AE74" s="6">
        <f>[1]Results!AH1513</f>
        <v>61517.709360000001</v>
      </c>
      <c r="AF74" s="6">
        <f>[1]Results!AI1513</f>
        <v>63052.549749999998</v>
      </c>
      <c r="AG74" s="6">
        <f>[1]Results!AJ1513</f>
        <v>64666.280400000003</v>
      </c>
      <c r="AH74" s="6">
        <f>[1]Results!AK1513</f>
        <v>66340.803490000006</v>
      </c>
      <c r="AI74" s="6">
        <f>[1]Results!AL1513</f>
        <v>68065.507719999994</v>
      </c>
      <c r="AJ74" s="6">
        <f>[1]Results!AM1513</f>
        <v>69827.421900000001</v>
      </c>
      <c r="AK74" s="6">
        <f>[1]Results!AN1513</f>
        <v>71612.611229999995</v>
      </c>
      <c r="AL74" s="6">
        <f>[1]Results!AO1513</f>
        <v>73406.649449999997</v>
      </c>
    </row>
    <row r="75" spans="1:38" x14ac:dyDescent="0.35">
      <c r="B75" t="s">
        <v>8</v>
      </c>
      <c r="C75" s="6">
        <f>[1]Results!F1516</f>
        <v>331632.60869999998</v>
      </c>
      <c r="D75" s="6">
        <f>[1]Results!G1516</f>
        <v>339630.46230000001</v>
      </c>
      <c r="E75" s="6">
        <f>[1]Results!H1516</f>
        <v>347911.86349999998</v>
      </c>
      <c r="F75" s="6">
        <f>[1]Results!I1516</f>
        <v>356741.3162</v>
      </c>
      <c r="G75" s="6">
        <f>[1]Results!J1516</f>
        <v>366071.1</v>
      </c>
      <c r="H75" s="6">
        <f>[1]Results!K1516</f>
        <v>375862.77539999998</v>
      </c>
      <c r="I75" s="6">
        <f>[1]Results!L1516</f>
        <v>386131.63900000002</v>
      </c>
      <c r="J75" s="6">
        <f>[1]Results!M1516</f>
        <v>396872.8847</v>
      </c>
      <c r="K75" s="6">
        <f>[1]Results!N1516</f>
        <v>408069.78409999999</v>
      </c>
      <c r="L75" s="6">
        <f>[1]Results!O1516</f>
        <v>419700.11910000001</v>
      </c>
      <c r="M75" s="6">
        <f>[1]Results!P1516</f>
        <v>431257.22499999998</v>
      </c>
      <c r="N75" s="6">
        <f>[1]Results!Q1516</f>
        <v>441278.0318</v>
      </c>
      <c r="O75" s="6">
        <f>[1]Results!R1516</f>
        <v>450555.75280000002</v>
      </c>
      <c r="P75" s="6">
        <f>[1]Results!S1516</f>
        <v>459324.23249999998</v>
      </c>
      <c r="Q75" s="6">
        <f>[1]Results!T1516</f>
        <v>467868.52919999999</v>
      </c>
      <c r="R75" s="6">
        <f>[1]Results!U1516</f>
        <v>476447.38219999999</v>
      </c>
      <c r="S75" s="6">
        <f>[1]Results!V1516</f>
        <v>485293.58439999999</v>
      </c>
      <c r="T75" s="6">
        <f>[1]Results!W1516</f>
        <v>494640.6937</v>
      </c>
      <c r="U75" s="6">
        <f>[1]Results!X1516</f>
        <v>504673.36570000002</v>
      </c>
      <c r="V75" s="6">
        <f>[1]Results!Y1516</f>
        <v>515496.33899999998</v>
      </c>
      <c r="W75" s="6">
        <f>[1]Results!Z1516</f>
        <v>527165.87470000004</v>
      </c>
      <c r="X75" s="6">
        <f>[1]Results!AA1516</f>
        <v>539859.96920000005</v>
      </c>
      <c r="Y75" s="6">
        <f>[1]Results!AB1516</f>
        <v>553693.65969999996</v>
      </c>
      <c r="Z75" s="6">
        <f>[1]Results!AC1516</f>
        <v>568729.49450000003</v>
      </c>
      <c r="AA75" s="6">
        <f>[1]Results!AD1516</f>
        <v>584966.73230000003</v>
      </c>
      <c r="AB75" s="6">
        <f>[1]Results!AE1516</f>
        <v>602284.91559999995</v>
      </c>
      <c r="AC75" s="6">
        <f>[1]Results!AF1516</f>
        <v>620298.24109999998</v>
      </c>
      <c r="AD75" s="6">
        <f>[1]Results!AG1516</f>
        <v>639175.97120000003</v>
      </c>
      <c r="AE75" s="6">
        <f>[1]Results!AH1516</f>
        <v>659037.28940000001</v>
      </c>
      <c r="AF75" s="6">
        <f>[1]Results!AI1516</f>
        <v>679792.79749999999</v>
      </c>
      <c r="AG75" s="6">
        <f>[1]Results!AJ1516</f>
        <v>701280.19039999996</v>
      </c>
      <c r="AH75" s="6">
        <f>[1]Results!AK1516</f>
        <v>723389.06039999996</v>
      </c>
      <c r="AI75" s="6">
        <f>[1]Results!AL1516</f>
        <v>746025.98309999995</v>
      </c>
      <c r="AJ75" s="6">
        <f>[1]Results!AM1516</f>
        <v>769088.70180000004</v>
      </c>
      <c r="AK75" s="6">
        <f>[1]Results!AN1516</f>
        <v>792467.375</v>
      </c>
      <c r="AL75" s="6">
        <f>[1]Results!AO1516</f>
        <v>816043.40090000001</v>
      </c>
    </row>
    <row r="76" spans="1:38" x14ac:dyDescent="0.35">
      <c r="B76" t="s">
        <v>9</v>
      </c>
      <c r="C76" s="6">
        <f>[1]Results!F1528</f>
        <v>48465.39256</v>
      </c>
      <c r="D76" s="6">
        <f>[1]Results!G1528</f>
        <v>49473.832329999997</v>
      </c>
      <c r="E76" s="6">
        <f>[1]Results!H1528</f>
        <v>50490.20134</v>
      </c>
      <c r="F76" s="6">
        <f>[1]Results!I1528</f>
        <v>51557.117400000003</v>
      </c>
      <c r="G76" s="6">
        <f>[1]Results!J1528</f>
        <v>52695.806900000003</v>
      </c>
      <c r="H76" s="6">
        <f>[1]Results!K1528</f>
        <v>53906.270450000004</v>
      </c>
      <c r="I76" s="6">
        <f>[1]Results!L1528</f>
        <v>55178.891779999998</v>
      </c>
      <c r="J76" s="6">
        <f>[1]Results!M1528</f>
        <v>56465.629249999998</v>
      </c>
      <c r="K76" s="6">
        <f>[1]Results!N1528</f>
        <v>57733.11694</v>
      </c>
      <c r="L76" s="6">
        <f>[1]Results!O1528</f>
        <v>58952.927459999999</v>
      </c>
      <c r="M76" s="6">
        <f>[1]Results!P1528</f>
        <v>60033.063419999999</v>
      </c>
      <c r="N76" s="6">
        <f>[1]Results!Q1528</f>
        <v>60883.254910000003</v>
      </c>
      <c r="O76" s="6">
        <f>[1]Results!R1528</f>
        <v>61639.203690000002</v>
      </c>
      <c r="P76" s="6">
        <f>[1]Results!S1528</f>
        <v>62327.353909999998</v>
      </c>
      <c r="Q76" s="6">
        <f>[1]Results!T1528</f>
        <v>62974.259570000002</v>
      </c>
      <c r="R76" s="6">
        <f>[1]Results!U1528</f>
        <v>63605.41635</v>
      </c>
      <c r="S76" s="6">
        <f>[1]Results!V1528</f>
        <v>64237.067389999997</v>
      </c>
      <c r="T76" s="6">
        <f>[1]Results!W1528</f>
        <v>64894.476159999998</v>
      </c>
      <c r="U76" s="6">
        <f>[1]Results!X1528</f>
        <v>65601.336129999996</v>
      </c>
      <c r="V76" s="6">
        <f>[1]Results!Y1528</f>
        <v>66372.211209999994</v>
      </c>
      <c r="W76" s="6">
        <f>[1]Results!Z1528</f>
        <v>67213.668009999994</v>
      </c>
      <c r="X76" s="6">
        <f>[1]Results!AA1528</f>
        <v>68162.714989999993</v>
      </c>
      <c r="Y76" s="6">
        <f>[1]Results!AB1528</f>
        <v>69235.546830000007</v>
      </c>
      <c r="Z76" s="6">
        <f>[1]Results!AC1528</f>
        <v>70436.816449999998</v>
      </c>
      <c r="AA76" s="6">
        <f>[1]Results!AD1528</f>
        <v>71762.407959999997</v>
      </c>
      <c r="AB76" s="6">
        <f>[1]Results!AE1528</f>
        <v>73188.85411</v>
      </c>
      <c r="AC76" s="6">
        <f>[1]Results!AF1528</f>
        <v>74717.893110000005</v>
      </c>
      <c r="AD76" s="6">
        <f>[1]Results!AG1528</f>
        <v>76370.121320000006</v>
      </c>
      <c r="AE76" s="6">
        <f>[1]Results!AH1528</f>
        <v>78150.691229999997</v>
      </c>
      <c r="AF76" s="6">
        <f>[1]Results!AI1528</f>
        <v>80040.245410000003</v>
      </c>
      <c r="AG76" s="6">
        <f>[1]Results!AJ1528</f>
        <v>82012.099610000005</v>
      </c>
      <c r="AH76" s="6">
        <f>[1]Results!AK1528</f>
        <v>84053.454509999996</v>
      </c>
      <c r="AI76" s="6">
        <f>[1]Results!AL1528</f>
        <v>86150.026209999996</v>
      </c>
      <c r="AJ76" s="6">
        <f>[1]Results!AM1528</f>
        <v>88284.662559999997</v>
      </c>
      <c r="AK76" s="6">
        <f>[1]Results!AN1528</f>
        <v>90439.670400000003</v>
      </c>
      <c r="AL76" s="6">
        <f>[1]Results!AO1528</f>
        <v>92597.294909999997</v>
      </c>
    </row>
    <row r="77" spans="1:38" x14ac:dyDescent="0.35">
      <c r="B77" t="s">
        <v>10</v>
      </c>
      <c r="C77" s="6">
        <f>[1]Results!F1533</f>
        <v>1511265.9569999999</v>
      </c>
      <c r="D77" s="6">
        <f>[1]Results!G1533</f>
        <v>1537211.689</v>
      </c>
      <c r="E77" s="6">
        <f>[1]Results!H1533</f>
        <v>1566217.4650000001</v>
      </c>
      <c r="F77" s="6">
        <f>[1]Results!I1533</f>
        <v>1598012.8859999999</v>
      </c>
      <c r="G77" s="6">
        <f>[1]Results!J1533</f>
        <v>1631872.57</v>
      </c>
      <c r="H77" s="6">
        <f>[1]Results!K1533</f>
        <v>1667566.588</v>
      </c>
      <c r="I77" s="6">
        <f>[1]Results!L1533</f>
        <v>1704845.25</v>
      </c>
      <c r="J77" s="6">
        <f>[1]Results!M1533</f>
        <v>1743879.46</v>
      </c>
      <c r="K77" s="6">
        <f>[1]Results!N1533</f>
        <v>1784508.219</v>
      </c>
      <c r="L77" s="6">
        <f>[1]Results!O1533</f>
        <v>1826759.172</v>
      </c>
      <c r="M77" s="6">
        <f>[1]Results!P1533</f>
        <v>1869942.932</v>
      </c>
      <c r="N77" s="6">
        <f>[1]Results!Q1533</f>
        <v>1908583.993</v>
      </c>
      <c r="O77" s="6">
        <f>[1]Results!R1533</f>
        <v>1943913.8089999999</v>
      </c>
      <c r="P77" s="6">
        <f>[1]Results!S1533</f>
        <v>1976404.2679999999</v>
      </c>
      <c r="Q77" s="6">
        <f>[1]Results!T1533</f>
        <v>2006696.496</v>
      </c>
      <c r="R77" s="6">
        <f>[1]Results!U1533</f>
        <v>2035568.922</v>
      </c>
      <c r="S77" s="6">
        <f>[1]Results!V1533</f>
        <v>2064022.0379999999</v>
      </c>
      <c r="T77" s="6">
        <f>[1]Results!W1533</f>
        <v>2092903.821</v>
      </c>
      <c r="U77" s="6">
        <f>[1]Results!X1533</f>
        <v>2122986.9169999999</v>
      </c>
      <c r="V77" s="6">
        <f>[1]Results!Y1533</f>
        <v>2154826.406</v>
      </c>
      <c r="W77" s="6">
        <f>[1]Results!Z1533</f>
        <v>2188629.3420000002</v>
      </c>
      <c r="X77" s="6">
        <f>[1]Results!AA1533</f>
        <v>2224977.4980000001</v>
      </c>
      <c r="Y77" s="6">
        <f>[1]Results!AB1533</f>
        <v>2264336.6409999998</v>
      </c>
      <c r="Z77" s="6">
        <f>[1]Results!AC1533</f>
        <v>2307004.3590000002</v>
      </c>
      <c r="AA77" s="6">
        <f>[1]Results!AD1533</f>
        <v>2353083.3360000001</v>
      </c>
      <c r="AB77" s="6">
        <f>[1]Results!AE1533</f>
        <v>2401890.642</v>
      </c>
      <c r="AC77" s="6">
        <f>[1]Results!AF1533</f>
        <v>2452842.9750000001</v>
      </c>
      <c r="AD77" s="6">
        <f>[1]Results!AG1533</f>
        <v>2506565.6949999998</v>
      </c>
      <c r="AE77" s="6">
        <f>[1]Results!AH1533</f>
        <v>2563484.85</v>
      </c>
      <c r="AF77" s="6">
        <f>[1]Results!AI1533</f>
        <v>2623499.6260000002</v>
      </c>
      <c r="AG77" s="6">
        <f>[1]Results!AJ1533</f>
        <v>2686200.1860000002</v>
      </c>
      <c r="AH77" s="6">
        <f>[1]Results!AK1533</f>
        <v>2751029.2110000001</v>
      </c>
      <c r="AI77" s="6">
        <f>[1]Results!AL1533</f>
        <v>2817638.358</v>
      </c>
      <c r="AJ77" s="6">
        <f>[1]Results!AM1533</f>
        <v>2885613.537</v>
      </c>
      <c r="AK77" s="6">
        <f>[1]Results!AN1533</f>
        <v>2954512.662</v>
      </c>
      <c r="AL77" s="6">
        <f>[1]Results!AO1533</f>
        <v>3023875.3790000002</v>
      </c>
    </row>
    <row r="78" spans="1:38" x14ac:dyDescent="0.35">
      <c r="B78" t="s">
        <v>12</v>
      </c>
      <c r="C78" s="6">
        <f>[1]Results!F1537</f>
        <v>-2125.2218480000001</v>
      </c>
      <c r="D78" s="6">
        <f>[1]Results!G1537</f>
        <v>-2143.619976</v>
      </c>
      <c r="E78" s="6">
        <f>[1]Results!H1537</f>
        <v>-2160.8728729999998</v>
      </c>
      <c r="F78" s="6">
        <f>[1]Results!I1537</f>
        <v>-2178.5219579999998</v>
      </c>
      <c r="G78" s="6">
        <f>[1]Results!J1537</f>
        <v>-2196.1836579999999</v>
      </c>
      <c r="H78" s="6">
        <f>[1]Results!K1537</f>
        <v>-2222.8973369999999</v>
      </c>
      <c r="I78" s="6">
        <f>[1]Results!L1537</f>
        <v>-2257.379218</v>
      </c>
      <c r="J78" s="6">
        <f>[1]Results!M1537</f>
        <v>-2303.5124930000002</v>
      </c>
      <c r="K78" s="6">
        <f>[1]Results!N1537</f>
        <v>-2347.8733470000002</v>
      </c>
      <c r="L78" s="6">
        <f>[1]Results!O1537</f>
        <v>-2386.5842640000001</v>
      </c>
      <c r="M78" s="6">
        <f>[1]Results!P1537</f>
        <v>-2418.7008900000001</v>
      </c>
      <c r="N78" s="6">
        <f>[1]Results!Q1537</f>
        <v>-2436.8243000000002</v>
      </c>
      <c r="O78" s="6">
        <f>[1]Results!R1537</f>
        <v>-2453.468179</v>
      </c>
      <c r="P78" s="6">
        <f>[1]Results!S1537</f>
        <v>-2470.9088999999999</v>
      </c>
      <c r="Q78" s="6">
        <f>[1]Results!T1537</f>
        <v>-2489.195862</v>
      </c>
      <c r="R78" s="6">
        <f>[1]Results!U1537</f>
        <v>-2508.1910889999999</v>
      </c>
      <c r="S78" s="6">
        <f>[1]Results!V1537</f>
        <v>-2528.5408859999998</v>
      </c>
      <c r="T78" s="6">
        <f>[1]Results!W1537</f>
        <v>-2547.804991</v>
      </c>
      <c r="U78" s="6">
        <f>[1]Results!X1537</f>
        <v>-2567.8316380000001</v>
      </c>
      <c r="V78" s="6">
        <f>[1]Results!Y1537</f>
        <v>-2589.5364</v>
      </c>
      <c r="W78" s="6">
        <f>[1]Results!Z1537</f>
        <v>-2613.3997720000002</v>
      </c>
      <c r="X78" s="6">
        <f>[1]Results!AA1537</f>
        <v>-2638.9945229999998</v>
      </c>
      <c r="Y78" s="6">
        <f>[1]Results!AB1537</f>
        <v>-2668.7790249999998</v>
      </c>
      <c r="Z78" s="6">
        <f>[1]Results!AC1537</f>
        <v>-2703.3925340000001</v>
      </c>
      <c r="AA78" s="6">
        <f>[1]Results!AD1537</f>
        <v>-2743.0002850000001</v>
      </c>
      <c r="AB78" s="6">
        <f>[1]Results!AE1537</f>
        <v>-2787.5451589999998</v>
      </c>
      <c r="AC78" s="6">
        <f>[1]Results!AF1537</f>
        <v>-2838.3783760000001</v>
      </c>
      <c r="AD78" s="6">
        <f>[1]Results!AG1537</f>
        <v>-2884.6495140000002</v>
      </c>
      <c r="AE78" s="6">
        <f>[1]Results!AH1537</f>
        <v>-2931.4602030000001</v>
      </c>
      <c r="AF78" s="6">
        <f>[1]Results!AI1537</f>
        <v>-2982.3016889999999</v>
      </c>
      <c r="AG78" s="6">
        <f>[1]Results!AJ1537</f>
        <v>-3037.4943010000002</v>
      </c>
      <c r="AH78" s="6">
        <f>[1]Results!AK1537</f>
        <v>-3095.6329000000001</v>
      </c>
      <c r="AI78" s="6">
        <f>[1]Results!AL1537</f>
        <v>-3156.3128350000002</v>
      </c>
      <c r="AJ78" s="6">
        <f>[1]Results!AM1537</f>
        <v>-3218.699079</v>
      </c>
      <c r="AK78" s="6">
        <f>[1]Results!AN1537</f>
        <v>-3281.9863150000001</v>
      </c>
      <c r="AL78" s="6">
        <f>[1]Results!AO1537</f>
        <v>-3345.4221299999999</v>
      </c>
    </row>
    <row r="79" spans="1:38" x14ac:dyDescent="0.35">
      <c r="B79" t="s">
        <v>11</v>
      </c>
      <c r="C79" s="6">
        <f>[1]Results!F1541</f>
        <v>40646.55257</v>
      </c>
      <c r="D79" s="6">
        <f>[1]Results!G1541</f>
        <v>41245.83466</v>
      </c>
      <c r="E79" s="6">
        <f>[1]Results!H1541</f>
        <v>41803.155270000003</v>
      </c>
      <c r="F79" s="6">
        <f>[1]Results!I1541</f>
        <v>42409.779569999999</v>
      </c>
      <c r="G79" s="6">
        <f>[1]Results!J1541</f>
        <v>42958.84964</v>
      </c>
      <c r="H79" s="6">
        <f>[1]Results!K1541</f>
        <v>43523.718930000003</v>
      </c>
      <c r="I79" s="6">
        <f>[1]Results!L1541</f>
        <v>43481.390140000003</v>
      </c>
      <c r="J79" s="6">
        <f>[1]Results!M1541</f>
        <v>43378.205020000001</v>
      </c>
      <c r="K79" s="6">
        <f>[1]Results!N1541</f>
        <v>43246.959560000003</v>
      </c>
      <c r="L79" s="6">
        <f>[1]Results!O1541</f>
        <v>43084.287450000003</v>
      </c>
      <c r="M79" s="6">
        <f>[1]Results!P1541</f>
        <v>42855.475200000001</v>
      </c>
      <c r="N79" s="6">
        <f>[1]Results!Q1541</f>
        <v>42389.338250000001</v>
      </c>
      <c r="O79" s="6">
        <f>[1]Results!R1541</f>
        <v>41753.035510000002</v>
      </c>
      <c r="P79" s="6">
        <f>[1]Results!S1541</f>
        <v>40963.793160000001</v>
      </c>
      <c r="Q79" s="6">
        <f>[1]Results!T1541</f>
        <v>40046.292829999999</v>
      </c>
      <c r="R79" s="6">
        <f>[1]Results!U1541</f>
        <v>39016.941639999997</v>
      </c>
      <c r="S79" s="6">
        <f>[1]Results!V1541</f>
        <v>37841.064189999997</v>
      </c>
      <c r="T79" s="6">
        <f>[1]Results!W1541</f>
        <v>36535.008779999996</v>
      </c>
      <c r="U79" s="6">
        <f>[1]Results!X1541</f>
        <v>35115.64817</v>
      </c>
      <c r="V79" s="6">
        <f>[1]Results!Y1541</f>
        <v>33586.224159999998</v>
      </c>
      <c r="W79" s="6">
        <f>[1]Results!Z1541</f>
        <v>31935.459859999999</v>
      </c>
      <c r="X79" s="6">
        <f>[1]Results!AA1541</f>
        <v>30146.85427</v>
      </c>
      <c r="Y79" s="6">
        <f>[1]Results!AB1541</f>
        <v>28223.778900000001</v>
      </c>
      <c r="Z79" s="6">
        <f>[1]Results!AC1541</f>
        <v>26140.208600000002</v>
      </c>
      <c r="AA79" s="6">
        <f>[1]Results!AD1541</f>
        <v>23853.941080000001</v>
      </c>
      <c r="AB79" s="6">
        <f>[1]Results!AE1541</f>
        <v>21298.12196</v>
      </c>
      <c r="AC79" s="6">
        <f>[1]Results!AF1541</f>
        <v>20835.500260000001</v>
      </c>
      <c r="AD79" s="6">
        <f>[1]Results!AG1541</f>
        <v>21156.098300000001</v>
      </c>
      <c r="AE79" s="6">
        <f>[1]Results!AH1541</f>
        <v>21687.92496</v>
      </c>
      <c r="AF79" s="6">
        <f>[1]Results!AI1541</f>
        <v>22251.803660000001</v>
      </c>
      <c r="AG79" s="6">
        <f>[1]Results!AJ1541</f>
        <v>22802.079689999999</v>
      </c>
      <c r="AH79" s="6">
        <f>[1]Results!AK1541</f>
        <v>23329.889800000001</v>
      </c>
      <c r="AI79" s="6">
        <f>[1]Results!AL1541</f>
        <v>23848.885900000001</v>
      </c>
      <c r="AJ79" s="6">
        <f>[1]Results!AM1541</f>
        <v>24363.53298</v>
      </c>
      <c r="AK79" s="6">
        <f>[1]Results!AN1541</f>
        <v>24874.650570000002</v>
      </c>
      <c r="AL79" s="6">
        <f>[1]Results!AO1541</f>
        <v>25381.227269999999</v>
      </c>
    </row>
    <row r="81" spans="2:38" x14ac:dyDescent="0.35">
      <c r="B81" t="s">
        <v>16</v>
      </c>
      <c r="C81" s="8" t="s">
        <v>17</v>
      </c>
      <c r="D81" s="8" t="s">
        <v>18</v>
      </c>
      <c r="E81" s="8" t="s">
        <v>19</v>
      </c>
    </row>
    <row r="82" spans="2:38" x14ac:dyDescent="0.35">
      <c r="B82" t="s">
        <v>7</v>
      </c>
      <c r="C82" s="6">
        <f t="shared" ref="C82:C87" si="2">(R74-R66)/R73*100</f>
        <v>-7.1682438775843857E-3</v>
      </c>
      <c r="D82" s="6">
        <f t="shared" ref="D82:D87" si="3">(AB74-AB66)/AB73*100</f>
        <v>-2.6510172216878736E-2</v>
      </c>
      <c r="E82" s="6">
        <f t="shared" ref="E82:E87" si="4">(AL74-AL66)/AL73*100</f>
        <v>-4.7916494785565186E-2</v>
      </c>
      <c r="Q82" s="5"/>
      <c r="U82" s="5"/>
      <c r="V82" s="5"/>
      <c r="Y82" s="5"/>
      <c r="Z82" s="5"/>
      <c r="AA82" s="5"/>
    </row>
    <row r="83" spans="2:38" x14ac:dyDescent="0.35">
      <c r="B83" t="s">
        <v>8</v>
      </c>
      <c r="C83" s="6">
        <f t="shared" si="2"/>
        <v>-0.76783417747357352</v>
      </c>
      <c r="D83" s="6">
        <f t="shared" si="3"/>
        <v>-8.1491571319902203</v>
      </c>
      <c r="E83" s="6">
        <f t="shared" si="4"/>
        <v>-2.5748656479511918</v>
      </c>
      <c r="Q83" s="5"/>
      <c r="U83" s="5"/>
      <c r="V83" s="5"/>
      <c r="Y83" s="5"/>
      <c r="Z83" s="5"/>
      <c r="AA83" s="5"/>
    </row>
    <row r="84" spans="2:38" x14ac:dyDescent="0.35">
      <c r="B84" t="s">
        <v>9</v>
      </c>
      <c r="C84" s="6">
        <f t="shared" si="2"/>
        <v>-0.39598957628610049</v>
      </c>
      <c r="D84" s="6">
        <f t="shared" si="3"/>
        <v>-0.85722858837608951</v>
      </c>
      <c r="E84" s="6">
        <f t="shared" si="4"/>
        <v>-1.1770584112813707</v>
      </c>
      <c r="Q84" s="5"/>
      <c r="U84" s="5"/>
      <c r="V84" s="5"/>
      <c r="Y84" s="5"/>
      <c r="Z84" s="5"/>
      <c r="AA84" s="5"/>
    </row>
    <row r="85" spans="2:38" x14ac:dyDescent="0.35">
      <c r="B85" t="s">
        <v>10</v>
      </c>
      <c r="C85" s="6">
        <f t="shared" si="2"/>
        <v>14.367875449022154</v>
      </c>
      <c r="D85" s="6">
        <f t="shared" si="3"/>
        <v>1.4983388021786936</v>
      </c>
      <c r="E85" s="6">
        <f t="shared" si="4"/>
        <v>-15.556433926067296</v>
      </c>
      <c r="Q85" s="5"/>
      <c r="U85" s="5"/>
      <c r="V85" s="5"/>
      <c r="Y85" s="5"/>
      <c r="Z85" s="5"/>
      <c r="AA85" s="5"/>
    </row>
    <row r="86" spans="2:38" x14ac:dyDescent="0.35">
      <c r="B86" t="s">
        <v>12</v>
      </c>
      <c r="C86" s="6">
        <f t="shared" si="2"/>
        <v>-6.4585464819746233E-3</v>
      </c>
      <c r="D86" s="6">
        <f t="shared" si="3"/>
        <v>-8.5833346612455789E-3</v>
      </c>
      <c r="E86" s="6">
        <f t="shared" si="4"/>
        <v>-3.9258895662313571E-3</v>
      </c>
      <c r="Q86" s="5"/>
      <c r="U86" s="5"/>
      <c r="V86" s="5"/>
      <c r="Y86" s="5"/>
      <c r="Z86" s="5"/>
      <c r="AA86" s="5"/>
    </row>
    <row r="87" spans="2:38" x14ac:dyDescent="0.35">
      <c r="B87" t="s">
        <v>11</v>
      </c>
      <c r="C87" s="6">
        <f t="shared" si="2"/>
        <v>-7.6931163995534471</v>
      </c>
      <c r="D87" s="6">
        <f t="shared" si="3"/>
        <v>56.019075599843951</v>
      </c>
      <c r="E87" s="6">
        <f t="shared" si="4"/>
        <v>88.21340671887053</v>
      </c>
      <c r="Q87" s="5"/>
      <c r="U87" s="5"/>
      <c r="V87" s="5"/>
      <c r="Y87" s="5"/>
      <c r="Z87" s="5"/>
      <c r="AA87" s="5"/>
    </row>
    <row r="88" spans="2:38" x14ac:dyDescent="0.35"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</row>
    <row r="89" spans="2:38" x14ac:dyDescent="0.35">
      <c r="B89" t="s">
        <v>16</v>
      </c>
      <c r="C89" s="8" t="s">
        <v>17</v>
      </c>
      <c r="D89" s="8" t="s">
        <v>18</v>
      </c>
      <c r="E89" s="8" t="s">
        <v>19</v>
      </c>
    </row>
    <row r="90" spans="2:38" x14ac:dyDescent="0.35">
      <c r="B90" t="s">
        <v>7</v>
      </c>
      <c r="C90" s="4">
        <f t="shared" ref="C90:C95" si="5">R74/R66-1</f>
        <v>-3.9460908421461438E-3</v>
      </c>
      <c r="D90" s="4">
        <f t="shared" ref="D90:D95" si="6">AB74/AB66-1</f>
        <v>-1.4343316634775172E-2</v>
      </c>
      <c r="E90" s="4">
        <f t="shared" ref="E90:E95" si="7">AL74/AL66-1</f>
        <v>-2.5622800199267881E-2</v>
      </c>
    </row>
    <row r="91" spans="2:38" x14ac:dyDescent="0.35">
      <c r="B91" t="s">
        <v>8</v>
      </c>
      <c r="C91" s="4">
        <f t="shared" si="5"/>
        <v>-7.7519529171743429E-4</v>
      </c>
      <c r="D91" s="4">
        <f t="shared" si="6"/>
        <v>-7.7137742353418082E-3</v>
      </c>
      <c r="E91" s="4">
        <f t="shared" si="7"/>
        <v>-2.3108511213869587E-3</v>
      </c>
    </row>
    <row r="92" spans="2:38" x14ac:dyDescent="0.35">
      <c r="B92" t="s">
        <v>9</v>
      </c>
      <c r="C92" s="4">
        <f t="shared" si="5"/>
        <v>-2.8807780150538309E-2</v>
      </c>
      <c r="D92" s="4">
        <f t="shared" si="6"/>
        <v>-6.5894563371708736E-2</v>
      </c>
      <c r="E92" s="4">
        <f t="shared" si="7"/>
        <v>-9.398300301989182E-2</v>
      </c>
    </row>
    <row r="93" spans="2:38" x14ac:dyDescent="0.35">
      <c r="B93" t="s">
        <v>10</v>
      </c>
      <c r="C93" s="4">
        <f t="shared" si="5"/>
        <v>4.5097764101347249E-3</v>
      </c>
      <c r="D93" s="4">
        <f t="shared" si="6"/>
        <v>4.5677262963028653E-4</v>
      </c>
      <c r="E93" s="4">
        <f t="shared" si="7"/>
        <v>-4.7411153599796751E-3</v>
      </c>
    </row>
    <row r="94" spans="2:38" x14ac:dyDescent="0.35">
      <c r="B94" t="s">
        <v>12</v>
      </c>
      <c r="C94" s="4">
        <f t="shared" si="5"/>
        <v>5.5314889115783084E-2</v>
      </c>
      <c r="D94" s="4">
        <f t="shared" si="6"/>
        <v>7.9865066214256153E-2</v>
      </c>
      <c r="E94" s="4">
        <f t="shared" si="7"/>
        <v>3.6791058723470105E-2</v>
      </c>
    </row>
    <row r="95" spans="2:38" x14ac:dyDescent="0.35">
      <c r="B95" t="s">
        <v>11</v>
      </c>
      <c r="C95" s="4">
        <f t="shared" si="5"/>
        <v>4.9700737072071455E-3</v>
      </c>
      <c r="D95" s="4">
        <f t="shared" si="6"/>
        <v>-6.8310540610964199E-2</v>
      </c>
      <c r="E95" s="4">
        <f t="shared" si="7"/>
        <v>-0.10416051155340411</v>
      </c>
    </row>
    <row r="97" spans="2:38" x14ac:dyDescent="0.35">
      <c r="B97" t="s">
        <v>26</v>
      </c>
      <c r="C97" s="2">
        <v>42005</v>
      </c>
      <c r="D97" s="2">
        <v>42370</v>
      </c>
      <c r="E97" s="2">
        <v>42736</v>
      </c>
      <c r="F97" s="2">
        <v>43101</v>
      </c>
      <c r="G97" s="2">
        <v>43466</v>
      </c>
      <c r="H97" s="2">
        <v>43831</v>
      </c>
      <c r="I97" s="2">
        <v>44197</v>
      </c>
      <c r="J97" s="2">
        <v>44562</v>
      </c>
      <c r="K97" s="2">
        <v>44927</v>
      </c>
      <c r="L97" s="2">
        <v>45292</v>
      </c>
      <c r="M97" s="2">
        <v>45658</v>
      </c>
      <c r="N97" s="2">
        <v>46023</v>
      </c>
      <c r="O97" s="2">
        <v>46388</v>
      </c>
      <c r="P97" s="2">
        <v>46753</v>
      </c>
      <c r="Q97" s="2">
        <v>47119</v>
      </c>
      <c r="R97" s="2">
        <v>47484</v>
      </c>
      <c r="S97" s="2">
        <v>47849</v>
      </c>
      <c r="T97" s="2">
        <v>48214</v>
      </c>
      <c r="U97" s="2">
        <v>48580</v>
      </c>
      <c r="V97" s="2">
        <v>48945</v>
      </c>
      <c r="W97" s="2">
        <v>49310</v>
      </c>
      <c r="X97" s="2">
        <v>49675</v>
      </c>
      <c r="Y97" s="2">
        <v>50041</v>
      </c>
      <c r="Z97" s="2">
        <v>50406</v>
      </c>
      <c r="AA97" s="2">
        <v>50771</v>
      </c>
      <c r="AB97" s="2">
        <v>51136</v>
      </c>
      <c r="AC97" s="2">
        <v>51502</v>
      </c>
      <c r="AD97" s="2">
        <v>51867</v>
      </c>
      <c r="AE97" s="2">
        <v>52232</v>
      </c>
      <c r="AF97" s="2">
        <v>52597</v>
      </c>
      <c r="AG97" s="2">
        <v>52963</v>
      </c>
      <c r="AH97" s="2">
        <v>53328</v>
      </c>
      <c r="AI97" s="2">
        <v>53693</v>
      </c>
      <c r="AJ97" s="2">
        <v>54058</v>
      </c>
      <c r="AK97" s="2">
        <v>54424</v>
      </c>
      <c r="AL97" s="2">
        <v>54789</v>
      </c>
    </row>
    <row r="98" spans="2:38" x14ac:dyDescent="0.35">
      <c r="B98" t="s">
        <v>7</v>
      </c>
      <c r="C98" s="6">
        <f>[1]Production!B5+[1]Production!B7</f>
        <v>88273.518200999999</v>
      </c>
      <c r="D98" s="6">
        <f>[1]Production!C5+[1]Production!C7</f>
        <v>89585.989665000001</v>
      </c>
      <c r="E98" s="6">
        <f>[1]Production!D5+[1]Production!D7</f>
        <v>91144.976079</v>
      </c>
      <c r="F98" s="6">
        <f>[1]Production!E5+[1]Production!E7</f>
        <v>92935.497317000001</v>
      </c>
      <c r="G98" s="6">
        <f>[1]Production!F5+[1]Production!F7</f>
        <v>94945.214682000005</v>
      </c>
      <c r="H98" s="6">
        <f>[1]Production!G5+[1]Production!G7</f>
        <v>97145.214074000003</v>
      </c>
      <c r="I98" s="6">
        <f>[1]Production!H5+[1]Production!H7</f>
        <v>99524.709888000012</v>
      </c>
      <c r="J98" s="6">
        <f>[1]Production!I5+[1]Production!I7</f>
        <v>102034.78475899999</v>
      </c>
      <c r="K98" s="6">
        <f>[1]Production!J5+[1]Production!J7</f>
        <v>104651.089695</v>
      </c>
      <c r="L98" s="6">
        <f>[1]Production!K5+[1]Production!K7</f>
        <v>107357.57265900001</v>
      </c>
      <c r="M98" s="6">
        <f>[1]Production!L5+[1]Production!L7</f>
        <v>110072.388144</v>
      </c>
      <c r="N98" s="6">
        <f>[1]Production!M5+[1]Production!M7</f>
        <v>112452.72462899999</v>
      </c>
      <c r="O98" s="6">
        <f>[1]Production!N5+[1]Production!N7</f>
        <v>114562.142542</v>
      </c>
      <c r="P98" s="6">
        <f>[1]Production!O5+[1]Production!O7</f>
        <v>116449.63983</v>
      </c>
      <c r="Q98" s="6">
        <f>[1]Production!P5+[1]Production!P7</f>
        <v>118180.12987</v>
      </c>
      <c r="R98" s="6">
        <f>[1]Production!Q5+[1]Production!Q7</f>
        <v>119821.265032</v>
      </c>
      <c r="S98" s="6">
        <f>[1]Production!R5+[1]Production!R7</f>
        <v>121463.26782699999</v>
      </c>
      <c r="T98" s="6">
        <f>[1]Production!S5+[1]Production!S7</f>
        <v>123158.77411099999</v>
      </c>
      <c r="U98" s="6">
        <f>[1]Production!T5+[1]Production!T7</f>
        <v>124965.431002</v>
      </c>
      <c r="V98" s="6">
        <f>[1]Production!U5+[1]Production!U7</f>
        <v>126925.52959999999</v>
      </c>
      <c r="W98" s="6">
        <f>[1]Production!V5+[1]Production!V7</f>
        <v>129057.368307</v>
      </c>
      <c r="X98" s="6">
        <f>[1]Production!W5+[1]Production!W7</f>
        <v>131418.786834</v>
      </c>
      <c r="Y98" s="6">
        <f>[1]Production!X5+[1]Production!X7</f>
        <v>134042.176833</v>
      </c>
      <c r="Z98" s="6">
        <f>[1]Production!Y5+[1]Production!Y7</f>
        <v>136948.92478999999</v>
      </c>
      <c r="AA98" s="6">
        <f>[1]Production!Z5+[1]Production!Z7</f>
        <v>140143.92534799999</v>
      </c>
      <c r="AB98" s="6">
        <f>[1]Production!AA5+[1]Production!AA7</f>
        <v>143575.398575</v>
      </c>
      <c r="AC98" s="6">
        <f>[1]Production!AB5+[1]Production!AB7</f>
        <v>147118.066873</v>
      </c>
      <c r="AD98" s="6">
        <f>[1]Production!AC5+[1]Production!AC7</f>
        <v>150890.23434300002</v>
      </c>
      <c r="AE98" s="6">
        <f>[1]Production!AD5+[1]Production!AD7</f>
        <v>154934.79039500002</v>
      </c>
      <c r="AF98" s="6">
        <f>[1]Production!AE5+[1]Production!AE7</f>
        <v>159232.42393200001</v>
      </c>
      <c r="AG98" s="6">
        <f>[1]Production!AF5+[1]Production!AF7</f>
        <v>163735.44008899998</v>
      </c>
      <c r="AH98" s="6">
        <f>[1]Production!AG5+[1]Production!AG7</f>
        <v>168396.37570899999</v>
      </c>
      <c r="AI98" s="6">
        <f>[1]Production!AH5+[1]Production!AH7</f>
        <v>173173.70263000001</v>
      </c>
      <c r="AJ98" s="6">
        <f>[1]Production!AI5+[1]Production!AI7</f>
        <v>178026.93787999998</v>
      </c>
      <c r="AK98" s="6">
        <f>[1]Production!AJ5+[1]Production!AJ7</f>
        <v>182915.29244000002</v>
      </c>
      <c r="AL98" s="6">
        <f>[1]Production!AK5+[1]Production!AK7</f>
        <v>187797.29728999999</v>
      </c>
    </row>
    <row r="99" spans="2:38" x14ac:dyDescent="0.35">
      <c r="B99" t="s">
        <v>8</v>
      </c>
      <c r="C99" s="6">
        <f>[1]Production!B9+[1]Production!B11+[1]Production!B13+[1]Production!B15+[1]Production!B17+[1]Production!B19+[1]Production!B21+[1]Production!B23+[1]Production!B25+[1]Production!B27+[1]Production!B41</f>
        <v>978814.98859800003</v>
      </c>
      <c r="D99" s="6">
        <f>[1]Production!C9+[1]Production!C11+[1]Production!C13+[1]Production!C15+[1]Production!C17+[1]Production!C19+[1]Production!C21+[1]Production!C23+[1]Production!C25+[1]Production!C27+[1]Production!C41</f>
        <v>1000838.028757</v>
      </c>
      <c r="E99" s="6">
        <f>[1]Production!D9+[1]Production!D11+[1]Production!D13+[1]Production!D15+[1]Production!D17+[1]Production!D19+[1]Production!D21+[1]Production!D23+[1]Production!D25+[1]Production!D27+[1]Production!D41</f>
        <v>1025333.6772450001</v>
      </c>
      <c r="F99" s="6">
        <f>[1]Production!E9+[1]Production!E11+[1]Production!E13+[1]Production!E15+[1]Production!E17+[1]Production!E19+[1]Production!E21+[1]Production!E23+[1]Production!E25+[1]Production!E27+[1]Production!E41</f>
        <v>1051520.495531</v>
      </c>
      <c r="G99" s="6">
        <f>[1]Production!F9+[1]Production!F11+[1]Production!F13+[1]Production!F15+[1]Production!F17+[1]Production!F19+[1]Production!F21+[1]Production!F23+[1]Production!F25+[1]Production!F27+[1]Production!F41</f>
        <v>1079233.8224170001</v>
      </c>
      <c r="H99" s="6">
        <f>[1]Production!G9+[1]Production!G11+[1]Production!G13+[1]Production!G15+[1]Production!G17+[1]Production!G19+[1]Production!G21+[1]Production!G23+[1]Production!G25+[1]Production!G27+[1]Production!G41</f>
        <v>1108343.7712650001</v>
      </c>
      <c r="I99" s="6">
        <f>[1]Production!H9+[1]Production!H11+[1]Production!H13+[1]Production!H15+[1]Production!H17+[1]Production!H19+[1]Production!H21+[1]Production!H23+[1]Production!H25+[1]Production!H27+[1]Production!H41</f>
        <v>1138838.1345859999</v>
      </c>
      <c r="J99" s="6">
        <f>[1]Production!I9+[1]Production!I11+[1]Production!I13+[1]Production!I15+[1]Production!I17+[1]Production!I19+[1]Production!I21+[1]Production!I23+[1]Production!I25+[1]Production!I27+[1]Production!I41</f>
        <v>1170630.571945</v>
      </c>
      <c r="K99" s="6">
        <f>[1]Production!J9+[1]Production!J11+[1]Production!J13+[1]Production!J15+[1]Production!J17+[1]Production!J19+[1]Production!J21+[1]Production!J23+[1]Production!J25+[1]Production!J27+[1]Production!J41</f>
        <v>1203666.288745</v>
      </c>
      <c r="L99" s="6">
        <f>[1]Production!K9+[1]Production!K11+[1]Production!K13+[1]Production!K15+[1]Production!K17+[1]Production!K19+[1]Production!K21+[1]Production!K23+[1]Production!K25+[1]Production!K27+[1]Production!K41</f>
        <v>1237932.628856</v>
      </c>
      <c r="M99" s="6">
        <f>[1]Production!L9+[1]Production!L11+[1]Production!L13+[1]Production!L15+[1]Production!L17+[1]Production!L19+[1]Production!L21+[1]Production!L23+[1]Production!L25+[1]Production!L27+[1]Production!L41</f>
        <v>1272232.614567</v>
      </c>
      <c r="N99" s="6">
        <f>[1]Production!M9+[1]Production!M11+[1]Production!M13+[1]Production!M15+[1]Production!M17+[1]Production!M19+[1]Production!M21+[1]Production!M23+[1]Production!M25+[1]Production!M27+[1]Production!M41</f>
        <v>1302267.5145640003</v>
      </c>
      <c r="O99" s="6">
        <f>[1]Production!N9+[1]Production!N11+[1]Production!N13+[1]Production!N15+[1]Production!N17+[1]Production!N19+[1]Production!N21+[1]Production!N23+[1]Production!N25+[1]Production!N27+[1]Production!N41</f>
        <v>1329431.2660279998</v>
      </c>
      <c r="P99" s="6">
        <f>[1]Production!O9+[1]Production!O11+[1]Production!O13+[1]Production!O15+[1]Production!O17+[1]Production!O19+[1]Production!O21+[1]Production!O23+[1]Production!O25+[1]Production!O27+[1]Production!O41</f>
        <v>1354690.5968309999</v>
      </c>
      <c r="Q99" s="6">
        <f>[1]Production!P9+[1]Production!P11+[1]Production!P13+[1]Production!P15+[1]Production!P17+[1]Production!P19+[1]Production!P21+[1]Production!P23+[1]Production!P25+[1]Production!P27+[1]Production!P41</f>
        <v>1379098.4021130002</v>
      </c>
      <c r="R99" s="6">
        <f>[1]Production!Q9+[1]Production!Q11+[1]Production!Q13+[1]Production!Q15+[1]Production!Q17+[1]Production!Q19+[1]Production!Q21+[1]Production!Q23+[1]Production!Q25+[1]Production!Q27+[1]Production!Q41</f>
        <v>1403568.5797000001</v>
      </c>
      <c r="S99" s="6">
        <f>[1]Production!R9+[1]Production!R11+[1]Production!R13+[1]Production!R15+[1]Production!R17+[1]Production!R19+[1]Production!R21+[1]Production!R23+[1]Production!R25+[1]Production!R27+[1]Production!R41</f>
        <v>1428910.9189550001</v>
      </c>
      <c r="T99" s="6">
        <f>[1]Production!S9+[1]Production!S11+[1]Production!S13+[1]Production!S15+[1]Production!S17+[1]Production!S19+[1]Production!S21+[1]Production!S23+[1]Production!S25+[1]Production!S27+[1]Production!S41</f>
        <v>1455853.839351</v>
      </c>
      <c r="U99" s="6">
        <f>[1]Production!T9+[1]Production!T11+[1]Production!T13+[1]Production!T15+[1]Production!T17+[1]Production!T19+[1]Production!T21+[1]Production!T23+[1]Production!T25+[1]Production!T27+[1]Production!T41</f>
        <v>1484973.1950230002</v>
      </c>
      <c r="V99" s="6">
        <f>[1]Production!U9+[1]Production!U11+[1]Production!U13+[1]Production!U15+[1]Production!U17+[1]Production!U19+[1]Production!U21+[1]Production!U23+[1]Production!U25+[1]Production!U27+[1]Production!U41</f>
        <v>1516611.2004560002</v>
      </c>
      <c r="W99" s="6">
        <f>[1]Production!V9+[1]Production!V11+[1]Production!V13+[1]Production!V15+[1]Production!V17+[1]Production!V19+[1]Production!V21+[1]Production!V23+[1]Production!V25+[1]Production!V27+[1]Production!V41</f>
        <v>1550960.2290759999</v>
      </c>
      <c r="X99" s="6">
        <f>[1]Production!W9+[1]Production!W11+[1]Production!W13+[1]Production!W15+[1]Production!W17+[1]Production!W19+[1]Production!W21+[1]Production!W23+[1]Production!W25+[1]Production!W27+[1]Production!W41</f>
        <v>1588409.5739869999</v>
      </c>
      <c r="Y99" s="6">
        <f>[1]Production!X9+[1]Production!X11+[1]Production!X13+[1]Production!X15+[1]Production!X17+[1]Production!X19+[1]Production!X21+[1]Production!X23+[1]Production!X25+[1]Production!X27+[1]Production!X41</f>
        <v>1629300.1590300002</v>
      </c>
      <c r="Z99" s="6">
        <f>[1]Production!Y9+[1]Production!Y11+[1]Production!Y13+[1]Production!Y15+[1]Production!Y17+[1]Production!Y19+[1]Production!Y21+[1]Production!Y23+[1]Production!Y25+[1]Production!Y27+[1]Production!Y41</f>
        <v>1673827.5021850001</v>
      </c>
      <c r="AA99" s="6">
        <f>[1]Production!Z9+[1]Production!Z11+[1]Production!Z13+[1]Production!Z15+[1]Production!Z17+[1]Production!Z19+[1]Production!Z21+[1]Production!Z23+[1]Production!Z25+[1]Production!Z27+[1]Production!Z41</f>
        <v>1721975.171881</v>
      </c>
      <c r="AB99" s="6">
        <f>[1]Production!AA9+[1]Production!AA11+[1]Production!AA13+[1]Production!AA15+[1]Production!AA17+[1]Production!AA19+[1]Production!AA21+[1]Production!AA23+[1]Production!AA25+[1]Production!AA27+[1]Production!AA41</f>
        <v>1773390.355001</v>
      </c>
      <c r="AC99" s="6">
        <f>[1]Production!AB9+[1]Production!AB11+[1]Production!AB13+[1]Production!AB15+[1]Production!AB17+[1]Production!AB19+[1]Production!AB21+[1]Production!AB23+[1]Production!AB25+[1]Production!AB27+[1]Production!AB41</f>
        <v>1827092.3970979997</v>
      </c>
      <c r="AD99" s="6">
        <f>[1]Production!AC9+[1]Production!AC11+[1]Production!AC13+[1]Production!AC15+[1]Production!AC17+[1]Production!AC19+[1]Production!AC21+[1]Production!AC23+[1]Production!AC25+[1]Production!AC27+[1]Production!AC41</f>
        <v>1883341.611734</v>
      </c>
      <c r="AE99" s="6">
        <f>[1]Production!AD9+[1]Production!AD11+[1]Production!AD13+[1]Production!AD15+[1]Production!AD17+[1]Production!AD19+[1]Production!AD21+[1]Production!AD23+[1]Production!AD25+[1]Production!AD27+[1]Production!AD41</f>
        <v>1942410.000279</v>
      </c>
      <c r="AF99" s="6">
        <f>[1]Production!AE9+[1]Production!AE11+[1]Production!AE13+[1]Production!AE15+[1]Production!AE17+[1]Production!AE19+[1]Production!AE21+[1]Production!AE23+[1]Production!AE25+[1]Production!AE27+[1]Production!AE41</f>
        <v>2004000.3929779995</v>
      </c>
      <c r="AG99" s="6">
        <f>[1]Production!AF9+[1]Production!AF11+[1]Production!AF13+[1]Production!AF15+[1]Production!AF17+[1]Production!AF19+[1]Production!AF21+[1]Production!AF23+[1]Production!AF25+[1]Production!AF27+[1]Production!AF41</f>
        <v>2067533.957163</v>
      </c>
      <c r="AH99" s="6">
        <f>[1]Production!AG9+[1]Production!AG11+[1]Production!AG13+[1]Production!AG15+[1]Production!AG17+[1]Production!AG19+[1]Production!AG21+[1]Production!AG23+[1]Production!AG25+[1]Production!AG27+[1]Production!AG41</f>
        <v>2132505.5594469998</v>
      </c>
      <c r="AI99" s="6">
        <f>[1]Production!AH9+[1]Production!AH11+[1]Production!AH13+[1]Production!AH15+[1]Production!AH17+[1]Production!AH19+[1]Production!AH21+[1]Production!AH23+[1]Production!AH25+[1]Production!AH27+[1]Production!AH41</f>
        <v>2198533.44881</v>
      </c>
      <c r="AJ99" s="6">
        <f>[1]Production!AI9+[1]Production!AI11+[1]Production!AI13+[1]Production!AI15+[1]Production!AI17+[1]Production!AI19+[1]Production!AI21+[1]Production!AI23+[1]Production!AI25+[1]Production!AI27+[1]Production!AI41</f>
        <v>2265267.7979159998</v>
      </c>
      <c r="AK99" s="6">
        <f>[1]Production!AJ9+[1]Production!AJ11+[1]Production!AJ13+[1]Production!AJ15+[1]Production!AJ17+[1]Production!AJ19+[1]Production!AJ21+[1]Production!AJ23+[1]Production!AJ25+[1]Production!AJ27+[1]Production!AJ41</f>
        <v>2332359.9824860003</v>
      </c>
      <c r="AL99" s="6">
        <f>[1]Production!AK9+[1]Production!AK11+[1]Production!AK13+[1]Production!AK15+[1]Production!AK17+[1]Production!AK19+[1]Production!AK21+[1]Production!AK23+[1]Production!AK25+[1]Production!AK27+[1]Production!AK41</f>
        <v>2399448.3501960002</v>
      </c>
    </row>
    <row r="100" spans="2:38" x14ac:dyDescent="0.35">
      <c r="B100" t="s">
        <v>9</v>
      </c>
      <c r="C100" s="6">
        <f>[1]Production!B29+[1]Production!B31+[1]Production!B33+[1]Production!B35</f>
        <v>120902.21939</v>
      </c>
      <c r="D100" s="6">
        <f>[1]Production!C29+[1]Production!C31+[1]Production!C33+[1]Production!C35</f>
        <v>123414.84381100001</v>
      </c>
      <c r="E100" s="6">
        <f>[1]Production!D29+[1]Production!D31+[1]Production!D33+[1]Production!D35</f>
        <v>126092.07299300001</v>
      </c>
      <c r="F100" s="6">
        <f>[1]Production!E29+[1]Production!E31+[1]Production!E33+[1]Production!E35</f>
        <v>128890.55428400001</v>
      </c>
      <c r="G100" s="6">
        <f>[1]Production!F29+[1]Production!F31+[1]Production!F33+[1]Production!F35</f>
        <v>131854.30036300002</v>
      </c>
      <c r="H100" s="6">
        <f>[1]Production!G29+[1]Production!G31+[1]Production!G33+[1]Production!G35</f>
        <v>134992.57588800002</v>
      </c>
      <c r="I100" s="6">
        <f>[1]Production!H29+[1]Production!H31+[1]Production!H33+[1]Production!H35</f>
        <v>138289.07834399998</v>
      </c>
      <c r="J100" s="6">
        <f>[1]Production!I29+[1]Production!I31+[1]Production!I33+[1]Production!I35</f>
        <v>141720.87333199999</v>
      </c>
      <c r="K100" s="6">
        <f>[1]Production!J29+[1]Production!J31+[1]Production!J33+[1]Production!J35</f>
        <v>145269.431973</v>
      </c>
      <c r="L100" s="6">
        <f>[1]Production!K29+[1]Production!K31+[1]Production!K33+[1]Production!K35</f>
        <v>148921.61218500001</v>
      </c>
      <c r="M100" s="6">
        <f>[1]Production!L29+[1]Production!L31+[1]Production!L33+[1]Production!L35</f>
        <v>152523.257155</v>
      </c>
      <c r="N100" s="6">
        <f>[1]Production!M29+[1]Production!M31+[1]Production!M33+[1]Production!M35</f>
        <v>155546.179798</v>
      </c>
      <c r="O100" s="6">
        <f>[1]Production!N29+[1]Production!N31+[1]Production!N33+[1]Production!N35</f>
        <v>158165.415622</v>
      </c>
      <c r="P100" s="6">
        <f>[1]Production!O29+[1]Production!O31+[1]Production!O33+[1]Production!O35</f>
        <v>160493.10837900001</v>
      </c>
      <c r="Q100" s="6">
        <f>[1]Production!P29+[1]Production!P31+[1]Production!P33+[1]Production!P35</f>
        <v>162653.35474799998</v>
      </c>
      <c r="R100" s="6">
        <f>[1]Production!Q29+[1]Production!Q31+[1]Production!Q33+[1]Production!Q35</f>
        <v>164757.11720199999</v>
      </c>
      <c r="S100" s="6">
        <f>[1]Production!R29+[1]Production!R31+[1]Production!R33+[1]Production!R35</f>
        <v>166904.079184</v>
      </c>
      <c r="T100" s="6">
        <f>[1]Production!S29+[1]Production!S31+[1]Production!S33+[1]Production!S35</f>
        <v>169185.90362700002</v>
      </c>
      <c r="U100" s="6">
        <f>[1]Production!T29+[1]Production!T31+[1]Production!T33+[1]Production!T35</f>
        <v>171676.16318500001</v>
      </c>
      <c r="V100" s="6">
        <f>[1]Production!U29+[1]Production!U31+[1]Production!U33+[1]Production!U35</f>
        <v>174419.95156999998</v>
      </c>
      <c r="W100" s="6">
        <f>[1]Production!V29+[1]Production!V31+[1]Production!V33+[1]Production!V35</f>
        <v>177442.58078900003</v>
      </c>
      <c r="X100" s="6">
        <f>[1]Production!W29+[1]Production!W31+[1]Production!W33+[1]Production!W35</f>
        <v>180797.504265</v>
      </c>
      <c r="Y100" s="6">
        <f>[1]Production!X29+[1]Production!X31+[1]Production!X33+[1]Production!X35</f>
        <v>184524.66945099999</v>
      </c>
      <c r="Z100" s="6">
        <f>[1]Production!Y29+[1]Production!Y31+[1]Production!Y33+[1]Production!Y35</f>
        <v>188644.72787999999</v>
      </c>
      <c r="AA100" s="6">
        <f>[1]Production!Z29+[1]Production!Z31+[1]Production!Z33+[1]Production!Z35</f>
        <v>193152.05288999999</v>
      </c>
      <c r="AB100" s="6">
        <f>[1]Production!AA29+[1]Production!AA31+[1]Production!AA33+[1]Production!AA35</f>
        <v>197995.91722</v>
      </c>
      <c r="AC100" s="6">
        <f>[1]Production!AB29+[1]Production!AB31+[1]Production!AB33+[1]Production!AB35</f>
        <v>203158.08010999998</v>
      </c>
      <c r="AD100" s="6">
        <f>[1]Production!AC29+[1]Production!AC31+[1]Production!AC33+[1]Production!AC35</f>
        <v>208679.28839999999</v>
      </c>
      <c r="AE100" s="6">
        <f>[1]Production!AD29+[1]Production!AD31+[1]Production!AD33+[1]Production!AD35</f>
        <v>214573.77144000001</v>
      </c>
      <c r="AF100" s="6">
        <f>[1]Production!AE29+[1]Production!AE31+[1]Production!AE33+[1]Production!AE35</f>
        <v>220785.90098999999</v>
      </c>
      <c r="AG100" s="6">
        <f>[1]Production!AF29+[1]Production!AF31+[1]Production!AF33+[1]Production!AF35</f>
        <v>227231.29894999997</v>
      </c>
      <c r="AH100" s="6">
        <f>[1]Production!AG29+[1]Production!AG31+[1]Production!AG33+[1]Production!AG35</f>
        <v>233839.01879</v>
      </c>
      <c r="AI100" s="6">
        <f>[1]Production!AH29+[1]Production!AH31+[1]Production!AH33+[1]Production!AH35</f>
        <v>240555.38527000003</v>
      </c>
      <c r="AJ100" s="6">
        <f>[1]Production!AI29+[1]Production!AI31+[1]Production!AI33+[1]Production!AI35</f>
        <v>247331.89040999999</v>
      </c>
      <c r="AK100" s="6">
        <f>[1]Production!AJ29+[1]Production!AJ31+[1]Production!AJ33+[1]Production!AJ35</f>
        <v>254121.46169999999</v>
      </c>
      <c r="AL100" s="6">
        <f>[1]Production!AK29+[1]Production!AK31+[1]Production!AK33+[1]Production!AK35</f>
        <v>260877.04014999999</v>
      </c>
    </row>
    <row r="101" spans="2:38" x14ac:dyDescent="0.35">
      <c r="B101" t="s">
        <v>10</v>
      </c>
      <c r="C101" s="6">
        <f>[1]Production!B37+[1]Production!B39</f>
        <v>2556653.3347</v>
      </c>
      <c r="D101" s="6">
        <f>[1]Production!C37+[1]Production!C39</f>
        <v>2600195.6688999999</v>
      </c>
      <c r="E101" s="6">
        <f>[1]Production!D37+[1]Production!D39</f>
        <v>2649783.0280999998</v>
      </c>
      <c r="F101" s="6">
        <f>[1]Production!E37+[1]Production!E39</f>
        <v>2704431.7061999999</v>
      </c>
      <c r="G101" s="6">
        <f>[1]Production!F37+[1]Production!F39</f>
        <v>2762881.0500999996</v>
      </c>
      <c r="H101" s="6">
        <f>[1]Production!G37+[1]Production!G39</f>
        <v>2824651.7889999999</v>
      </c>
      <c r="I101" s="6">
        <f>[1]Production!H37+[1]Production!H39</f>
        <v>2889276.7042</v>
      </c>
      <c r="J101" s="6">
        <f>[1]Production!I37+[1]Production!I39</f>
        <v>2956275.7129000002</v>
      </c>
      <c r="K101" s="6">
        <f>[1]Production!J37+[1]Production!J39</f>
        <v>3025322.9795999997</v>
      </c>
      <c r="L101" s="6">
        <f>[1]Production!K37+[1]Production!K39</f>
        <v>3096214.1909999996</v>
      </c>
      <c r="M101" s="6">
        <f>[1]Production!L37+[1]Production!L39</f>
        <v>3167526.2171</v>
      </c>
      <c r="N101" s="6">
        <f>[1]Production!M37+[1]Production!M39</f>
        <v>3232404.5349000003</v>
      </c>
      <c r="O101" s="6">
        <f>[1]Production!N37+[1]Production!N39</f>
        <v>3291644.6928000003</v>
      </c>
      <c r="P101" s="6">
        <f>[1]Production!O37+[1]Production!O39</f>
        <v>3346155.2751000002</v>
      </c>
      <c r="Q101" s="6">
        <f>[1]Production!P37+[1]Production!P39</f>
        <v>3397251.2908999999</v>
      </c>
      <c r="R101" s="6">
        <f>[1]Production!Q37+[1]Production!Q39</f>
        <v>3446353.5937999999</v>
      </c>
      <c r="S101" s="6">
        <f>[1]Production!R37+[1]Production!R39</f>
        <v>3494973.4372999999</v>
      </c>
      <c r="T101" s="6">
        <f>[1]Production!S37+[1]Production!S39</f>
        <v>3544615.2830000003</v>
      </c>
      <c r="U101" s="6">
        <f>[1]Production!T37+[1]Production!T39</f>
        <v>3596600.0518000005</v>
      </c>
      <c r="V101" s="6">
        <f>[1]Production!U37+[1]Production!U39</f>
        <v>3651890.7978000003</v>
      </c>
      <c r="W101" s="6">
        <f>[1]Production!V37+[1]Production!V39</f>
        <v>3710882.4368999996</v>
      </c>
      <c r="X101" s="6">
        <f>[1]Production!W37+[1]Production!W39</f>
        <v>3774843.4066999997</v>
      </c>
      <c r="Y101" s="6">
        <f>[1]Production!X37+[1]Production!X39</f>
        <v>3844471.9717000001</v>
      </c>
      <c r="Z101" s="6">
        <f>[1]Production!Y37+[1]Production!Y39</f>
        <v>3920257.4755000002</v>
      </c>
      <c r="AA101" s="6">
        <f>[1]Production!Z37+[1]Production!Z39</f>
        <v>4002337.9779000003</v>
      </c>
      <c r="AB101" s="6">
        <f>[1]Production!AA37+[1]Production!AA39</f>
        <v>4089533.7482000003</v>
      </c>
      <c r="AC101" s="6">
        <f>[1]Production!AB37+[1]Production!AB39</f>
        <v>4181107.4095999999</v>
      </c>
      <c r="AD101" s="6">
        <f>[1]Production!AC37+[1]Production!AC39</f>
        <v>4277873.2664000001</v>
      </c>
      <c r="AE101" s="6">
        <f>[1]Production!AD37+[1]Production!AD39</f>
        <v>4380444.7027000003</v>
      </c>
      <c r="AF101" s="6">
        <f>[1]Production!AE37+[1]Production!AE39</f>
        <v>4488537.5556999994</v>
      </c>
      <c r="AG101" s="6">
        <f>[1]Production!AF37+[1]Production!AF39</f>
        <v>4601298.6886</v>
      </c>
      <c r="AH101" s="6">
        <f>[1]Production!AG37+[1]Production!AG39</f>
        <v>4717807.9444000004</v>
      </c>
      <c r="AI101" s="6">
        <f>[1]Production!AH37+[1]Production!AH39</f>
        <v>4837219.8270999994</v>
      </c>
      <c r="AJ101" s="6">
        <f>[1]Production!AI37+[1]Production!AI39</f>
        <v>4958690.8421999998</v>
      </c>
      <c r="AK101" s="6">
        <f>[1]Production!AJ37+[1]Production!AJ39</f>
        <v>5081355.8738000002</v>
      </c>
      <c r="AL101" s="6">
        <f>[1]Production!AK37+[1]Production!AK39</f>
        <v>5204322.0506999996</v>
      </c>
    </row>
    <row r="102" spans="2:38" x14ac:dyDescent="0.35">
      <c r="B102" t="s">
        <v>12</v>
      </c>
      <c r="C102" s="6">
        <f>[1]Production!B43+[1]Production!B47+[1]Production!B45+[1]Production!B49</f>
        <v>40223.798414500001</v>
      </c>
      <c r="D102" s="6">
        <f>[1]Production!C43+[1]Production!C47+[1]Production!C45+[1]Production!C49</f>
        <v>40561.868598599998</v>
      </c>
      <c r="E102" s="6">
        <f>[1]Production!D43+[1]Production!D47+[1]Production!D45+[1]Production!D49</f>
        <v>40905.919196199997</v>
      </c>
      <c r="F102" s="6">
        <f>[1]Production!E43+[1]Production!E47+[1]Production!E45+[1]Production!E49</f>
        <v>41277.427428300005</v>
      </c>
      <c r="G102" s="6">
        <f>[1]Production!F43+[1]Production!F47+[1]Production!F45+[1]Production!F49</f>
        <v>41776.218451799999</v>
      </c>
      <c r="H102" s="6">
        <f>[1]Production!G43+[1]Production!G47+[1]Production!G45+[1]Production!G49</f>
        <v>42387.914567999993</v>
      </c>
      <c r="I102" s="6">
        <f>[1]Production!H43+[1]Production!H47+[1]Production!H45+[1]Production!H49</f>
        <v>43136.343306900002</v>
      </c>
      <c r="J102" s="6">
        <f>[1]Production!I43+[1]Production!I47+[1]Production!I45+[1]Production!I49</f>
        <v>43971.780249300005</v>
      </c>
      <c r="K102" s="6">
        <f>[1]Production!J43+[1]Production!J47+[1]Production!J45+[1]Production!J49</f>
        <v>44873.182171499997</v>
      </c>
      <c r="L102" s="6">
        <f>[1]Production!K43+[1]Production!K47+[1]Production!K45+[1]Production!K49</f>
        <v>45828.662450200005</v>
      </c>
      <c r="M102" s="6">
        <f>[1]Production!L43+[1]Production!L47+[1]Production!L45+[1]Production!L49</f>
        <v>46803.418483599999</v>
      </c>
      <c r="N102" s="6">
        <f>[1]Production!M43+[1]Production!M47+[1]Production!M45+[1]Production!M49</f>
        <v>47669.250463700002</v>
      </c>
      <c r="O102" s="6">
        <f>[1]Production!N43+[1]Production!N47+[1]Production!N45+[1]Production!N49</f>
        <v>48451.692279199997</v>
      </c>
      <c r="P102" s="6">
        <f>[1]Production!O43+[1]Production!O47+[1]Production!O45+[1]Production!O49</f>
        <v>49171.877911000003</v>
      </c>
      <c r="Q102" s="6">
        <f>[1]Production!P43+[1]Production!P47+[1]Production!P45+[1]Production!P49</f>
        <v>49851.203585399999</v>
      </c>
      <c r="R102" s="6">
        <f>[1]Production!Q43+[1]Production!Q47+[1]Production!Q45+[1]Production!Q49</f>
        <v>50509.9230828</v>
      </c>
      <c r="S102" s="6">
        <f>[1]Production!R43+[1]Production!R47+[1]Production!R45+[1]Production!R49</f>
        <v>51156.421298499998</v>
      </c>
      <c r="T102" s="6">
        <f>[1]Production!S43+[1]Production!S47+[1]Production!S45+[1]Production!S49</f>
        <v>51825.338712600002</v>
      </c>
      <c r="U102" s="6">
        <f>[1]Production!T43+[1]Production!T47+[1]Production!T45+[1]Production!T49</f>
        <v>52532.8900756</v>
      </c>
      <c r="V102" s="6">
        <f>[1]Production!U43+[1]Production!U47+[1]Production!U45+[1]Production!U49</f>
        <v>53290.128665299999</v>
      </c>
      <c r="W102" s="6">
        <f>[1]Production!V43+[1]Production!V47+[1]Production!V45+[1]Production!V49</f>
        <v>54105.580473299997</v>
      </c>
      <c r="X102" s="6">
        <f>[1]Production!W43+[1]Production!W47+[1]Production!W45+[1]Production!W49</f>
        <v>54994.414901099997</v>
      </c>
      <c r="Y102" s="6">
        <f>[1]Production!X43+[1]Production!X47+[1]Production!X45+[1]Production!X49</f>
        <v>55969.964903399996</v>
      </c>
      <c r="Z102" s="6">
        <f>[1]Production!Y43+[1]Production!Y47+[1]Production!Y45+[1]Production!Y49</f>
        <v>57042.504382599996</v>
      </c>
      <c r="AA102" s="6">
        <f>[1]Production!Z43+[1]Production!Z47+[1]Production!Z45+[1]Production!Z49</f>
        <v>58217.807322399996</v>
      </c>
      <c r="AB102" s="6">
        <f>[1]Production!AA43+[1]Production!AA47+[1]Production!AA45+[1]Production!AA49</f>
        <v>59493.4481868</v>
      </c>
      <c r="AC102" s="6">
        <f>[1]Production!AB43+[1]Production!AB47+[1]Production!AB45+[1]Production!AB49</f>
        <v>60739.407604500004</v>
      </c>
      <c r="AD102" s="6">
        <f>[1]Production!AC43+[1]Production!AC47+[1]Production!AC45+[1]Production!AC49</f>
        <v>62033.159823800008</v>
      </c>
      <c r="AE102" s="6">
        <f>[1]Production!AD43+[1]Production!AD47+[1]Production!AD45+[1]Production!AD49</f>
        <v>63414.307668499998</v>
      </c>
      <c r="AF102" s="6">
        <f>[1]Production!AE43+[1]Production!AE47+[1]Production!AE45+[1]Production!AE49</f>
        <v>64884.215571799999</v>
      </c>
      <c r="AG102" s="6">
        <f>[1]Production!AF43+[1]Production!AF47+[1]Production!AF45+[1]Production!AF49</f>
        <v>66428.449641500003</v>
      </c>
      <c r="AH102" s="6">
        <f>[1]Production!AG43+[1]Production!AG47+[1]Production!AG45+[1]Production!AG49</f>
        <v>68031.27599709999</v>
      </c>
      <c r="AI102" s="6">
        <f>[1]Production!AH43+[1]Production!AH47+[1]Production!AH45+[1]Production!AH49</f>
        <v>69679.034442200005</v>
      </c>
      <c r="AJ102" s="6">
        <f>[1]Production!AI43+[1]Production!AI47+[1]Production!AI45+[1]Production!AI49</f>
        <v>71358.538784500008</v>
      </c>
      <c r="AK102" s="6">
        <f>[1]Production!AJ43+[1]Production!AJ47+[1]Production!AJ45+[1]Production!AJ49</f>
        <v>73056.347712999996</v>
      </c>
      <c r="AL102" s="6">
        <f>[1]Production!AK43+[1]Production!AK47+[1]Production!AK45+[1]Production!AK49</f>
        <v>74758.458465400006</v>
      </c>
    </row>
    <row r="103" spans="2:38" x14ac:dyDescent="0.35">
      <c r="B103" t="s">
        <v>11</v>
      </c>
      <c r="C103" s="6">
        <f>[1]Production!B51+[1]Production!B53+[1]Production!B55+[1]Production!B57+[1]Production!B59+[1]Production!B61+[1]Production!B63+[1]Production!B65+[1]Production!B67</f>
        <v>67903.900953499993</v>
      </c>
      <c r="D103" s="6">
        <f>[1]Production!C51+[1]Production!C53+[1]Production!C55+[1]Production!C57+[1]Production!C59+[1]Production!C61+[1]Production!C63+[1]Production!C65+[1]Production!C67</f>
        <v>68903.757258999991</v>
      </c>
      <c r="E103" s="6">
        <f>[1]Production!D51+[1]Production!D53+[1]Production!D55+[1]Production!D57+[1]Production!D59+[1]Production!D61+[1]Production!D63+[1]Production!D65+[1]Production!D67</f>
        <v>69846.37320799999</v>
      </c>
      <c r="F103" s="6">
        <f>[1]Production!E51+[1]Production!E53+[1]Production!E55+[1]Production!E57+[1]Production!E59+[1]Production!E61+[1]Production!E63+[1]Production!E65+[1]Production!E67</f>
        <v>70865.259230900003</v>
      </c>
      <c r="G103" s="6">
        <f>[1]Production!F51+[1]Production!F53+[1]Production!F55+[1]Production!F57+[1]Production!F59+[1]Production!F61+[1]Production!F63+[1]Production!F65+[1]Production!F67</f>
        <v>71794.614302600006</v>
      </c>
      <c r="H103" s="6">
        <f>[1]Production!G51+[1]Production!G53+[1]Production!G55+[1]Production!G57+[1]Production!G59+[1]Production!G61+[1]Production!G63+[1]Production!G65+[1]Production!G67</f>
        <v>72741.759965600009</v>
      </c>
      <c r="I103" s="6">
        <f>[1]Production!H51+[1]Production!H53+[1]Production!H55+[1]Production!H57+[1]Production!H59+[1]Production!H61+[1]Production!H63+[1]Production!H65+[1]Production!H67</f>
        <v>75843.15839880002</v>
      </c>
      <c r="J103" s="6">
        <f>[1]Production!I51+[1]Production!I53+[1]Production!I55+[1]Production!I57+[1]Production!I59+[1]Production!I61+[1]Production!I63+[1]Production!I65+[1]Production!I67</f>
        <v>79568.786099500008</v>
      </c>
      <c r="K103" s="6">
        <f>[1]Production!J51+[1]Production!J53+[1]Production!J55+[1]Production!J57+[1]Production!J59+[1]Production!J61+[1]Production!J63+[1]Production!J65+[1]Production!J67</f>
        <v>83654.960339699988</v>
      </c>
      <c r="L103" s="6">
        <f>[1]Production!K51+[1]Production!K53+[1]Production!K55+[1]Production!K57+[1]Production!K59+[1]Production!K61+[1]Production!K63+[1]Production!K65+[1]Production!K67</f>
        <v>88074.685124399999</v>
      </c>
      <c r="M103" s="6">
        <f>[1]Production!L51+[1]Production!L53+[1]Production!L55+[1]Production!L57+[1]Production!L59+[1]Production!L61+[1]Production!L63+[1]Production!L65+[1]Production!L67</f>
        <v>92820.943556099999</v>
      </c>
      <c r="N103" s="6">
        <f>[1]Production!M51+[1]Production!M53+[1]Production!M55+[1]Production!M57+[1]Production!M59+[1]Production!M61+[1]Production!M63+[1]Production!M65+[1]Production!M67</f>
        <v>96622.822154199996</v>
      </c>
      <c r="O103" s="6">
        <f>[1]Production!N51+[1]Production!N53+[1]Production!N55+[1]Production!N57+[1]Production!N59+[1]Production!N61+[1]Production!N63+[1]Production!N65+[1]Production!N67</f>
        <v>100310.4821549</v>
      </c>
      <c r="P103" s="6">
        <f>[1]Production!O51+[1]Production!O53+[1]Production!O55+[1]Production!O57+[1]Production!O59+[1]Production!O61+[1]Production!O63+[1]Production!O65+[1]Production!O67</f>
        <v>104097.6638295</v>
      </c>
      <c r="Q103" s="6">
        <f>[1]Production!P51+[1]Production!P53+[1]Production!P55+[1]Production!P57+[1]Production!P59+[1]Production!P61+[1]Production!P63+[1]Production!P65+[1]Production!P67</f>
        <v>108076.48866460001</v>
      </c>
      <c r="R103" s="6">
        <f>[1]Production!Q51+[1]Production!Q53+[1]Production!Q55+[1]Production!Q57+[1]Production!Q59+[1]Production!Q61+[1]Production!Q63+[1]Production!Q65+[1]Production!Q67</f>
        <v>112320.608288</v>
      </c>
      <c r="S103" s="6">
        <f>[1]Production!R51+[1]Production!R53+[1]Production!R55+[1]Production!R57+[1]Production!R59+[1]Production!R61+[1]Production!R63+[1]Production!R65+[1]Production!R67</f>
        <v>117113.6032334</v>
      </c>
      <c r="T103" s="6">
        <f>[1]Production!S51+[1]Production!S53+[1]Production!S55+[1]Production!S57+[1]Production!S59+[1]Production!S61+[1]Production!S63+[1]Production!S65+[1]Production!S67</f>
        <v>122346.63596669999</v>
      </c>
      <c r="U103" s="6">
        <f>[1]Production!T51+[1]Production!T53+[1]Production!T55+[1]Production!T57+[1]Production!T59+[1]Production!T61+[1]Production!T63+[1]Production!T65+[1]Production!T67</f>
        <v>128086.96109621999</v>
      </c>
      <c r="V103" s="6">
        <f>[1]Production!U51+[1]Production!U53+[1]Production!U55+[1]Production!U57+[1]Production!U59+[1]Production!U61+[1]Production!U63+[1]Production!U65+[1]Production!U67</f>
        <v>134441.72343948</v>
      </c>
      <c r="W103" s="6">
        <f>[1]Production!V51+[1]Production!V53+[1]Production!V55+[1]Production!V57+[1]Production!V59+[1]Production!V61+[1]Production!V63+[1]Production!V65+[1]Production!V67</f>
        <v>141522.35726423</v>
      </c>
      <c r="X103" s="6">
        <f>[1]Production!W51+[1]Production!W53+[1]Production!W55+[1]Production!W57+[1]Production!W59+[1]Production!W61+[1]Production!W63+[1]Production!W65+[1]Production!W67</f>
        <v>149502.74964903999</v>
      </c>
      <c r="Y103" s="6">
        <f>[1]Production!X51+[1]Production!X53+[1]Production!X55+[1]Production!X57+[1]Production!X59+[1]Production!X61+[1]Production!X63+[1]Production!X65+[1]Production!X67</f>
        <v>158555.47555611</v>
      </c>
      <c r="Z103" s="6">
        <f>[1]Production!Y51+[1]Production!Y53+[1]Production!Y55+[1]Production!Y57+[1]Production!Y59+[1]Production!Y61+[1]Production!Y63+[1]Production!Y65+[1]Production!Y67</f>
        <v>168873.06373281602</v>
      </c>
      <c r="AA103" s="6">
        <f>[1]Production!Z51+[1]Production!Z53+[1]Production!Z55+[1]Production!Z57+[1]Production!Z59+[1]Production!Z61+[1]Production!Z63+[1]Production!Z65+[1]Production!Z67</f>
        <v>180668.09673950003</v>
      </c>
      <c r="AB103" s="6">
        <f>[1]Production!AA51+[1]Production!AA53+[1]Production!AA55+[1]Production!AA57+[1]Production!AA59+[1]Production!AA61+[1]Production!AA63+[1]Production!AA65+[1]Production!AA67</f>
        <v>194126.09338728798</v>
      </c>
      <c r="AC103" s="6">
        <f>[1]Production!AB51+[1]Production!AB53+[1]Production!AB55+[1]Production!AB57+[1]Production!AB59+[1]Production!AB61+[1]Production!AB63+[1]Production!AB65+[1]Production!AB67</f>
        <v>200145.69836467202</v>
      </c>
      <c r="AD103" s="6">
        <f>[1]Production!AC51+[1]Production!AC53+[1]Production!AC55+[1]Production!AC57+[1]Production!AC59+[1]Production!AC61+[1]Production!AC63+[1]Production!AC65+[1]Production!AC67</f>
        <v>204388.65150005399</v>
      </c>
      <c r="AE103" s="6">
        <f>[1]Production!AD51+[1]Production!AD53+[1]Production!AD55+[1]Production!AD57+[1]Production!AD59+[1]Production!AD61+[1]Production!AD63+[1]Production!AD65+[1]Production!AD67</f>
        <v>208621.02928347696</v>
      </c>
      <c r="AF103" s="6">
        <f>[1]Production!AE51+[1]Production!AE53+[1]Production!AE55+[1]Production!AE57+[1]Production!AE59+[1]Production!AE61+[1]Production!AE63+[1]Production!AE65+[1]Production!AE67</f>
        <v>213238.66750366602</v>
      </c>
      <c r="AG103" s="6">
        <f>[1]Production!AF51+[1]Production!AF53+[1]Production!AF55+[1]Production!AF57+[1]Production!AF59+[1]Production!AF61+[1]Production!AF63+[1]Production!AF65+[1]Production!AF67</f>
        <v>218221.228201833</v>
      </c>
      <c r="AH103" s="6">
        <f>[1]Production!AG51+[1]Production!AG53+[1]Production!AG55+[1]Production!AG57+[1]Production!AG59+[1]Production!AG61+[1]Production!AG63+[1]Production!AG65+[1]Production!AG67</f>
        <v>223454.86995193502</v>
      </c>
      <c r="AI103" s="6">
        <f>[1]Production!AH51+[1]Production!AH53+[1]Production!AH55+[1]Production!AH57+[1]Production!AH59+[1]Production!AH61+[1]Production!AH63+[1]Production!AH65+[1]Production!AH67</f>
        <v>228826.73817756402</v>
      </c>
      <c r="AJ103" s="6">
        <f>[1]Production!AI51+[1]Production!AI53+[1]Production!AI55+[1]Production!AI57+[1]Production!AI59+[1]Production!AI61+[1]Production!AI63+[1]Production!AI65+[1]Production!AI67</f>
        <v>234243.07168069898</v>
      </c>
      <c r="AK103" s="6">
        <f>[1]Production!AJ51+[1]Production!AJ53+[1]Production!AJ55+[1]Production!AJ57+[1]Production!AJ59+[1]Production!AJ61+[1]Production!AJ63+[1]Production!AJ65+[1]Production!AJ67</f>
        <v>239628.97051319102</v>
      </c>
      <c r="AL103" s="6">
        <f>[1]Production!AK51+[1]Production!AK53+[1]Production!AK55+[1]Production!AK57+[1]Production!AK59+[1]Production!AK61+[1]Production!AK63+[1]Production!AK65+[1]Production!AK67</f>
        <v>244922.52947096102</v>
      </c>
    </row>
    <row r="105" spans="2:38" x14ac:dyDescent="0.35">
      <c r="B105" t="s">
        <v>26</v>
      </c>
      <c r="C105" s="2">
        <v>42005</v>
      </c>
      <c r="D105" s="2">
        <v>42370</v>
      </c>
      <c r="E105" s="2">
        <v>42736</v>
      </c>
      <c r="F105" s="2">
        <v>43101</v>
      </c>
      <c r="G105" s="2">
        <v>43466</v>
      </c>
      <c r="H105" s="2">
        <v>43831</v>
      </c>
      <c r="I105" s="2">
        <v>44197</v>
      </c>
      <c r="J105" s="2">
        <v>44562</v>
      </c>
      <c r="K105" s="2">
        <v>44927</v>
      </c>
      <c r="L105" s="2">
        <v>45292</v>
      </c>
      <c r="M105" s="2">
        <v>45658</v>
      </c>
      <c r="N105" s="2">
        <v>46023</v>
      </c>
      <c r="O105" s="2">
        <v>46388</v>
      </c>
      <c r="P105" s="2">
        <v>46753</v>
      </c>
      <c r="Q105" s="2">
        <v>47119</v>
      </c>
      <c r="R105" s="2">
        <v>47484</v>
      </c>
      <c r="S105" s="2">
        <v>47849</v>
      </c>
      <c r="T105" s="2">
        <v>48214</v>
      </c>
      <c r="U105" s="2">
        <v>48580</v>
      </c>
      <c r="V105" s="2">
        <v>48945</v>
      </c>
      <c r="W105" s="2">
        <v>49310</v>
      </c>
      <c r="X105" s="2">
        <v>49675</v>
      </c>
      <c r="Y105" s="2">
        <v>50041</v>
      </c>
      <c r="Z105" s="2">
        <v>50406</v>
      </c>
      <c r="AA105" s="2">
        <v>50771</v>
      </c>
      <c r="AB105" s="2">
        <v>51136</v>
      </c>
      <c r="AC105" s="2">
        <v>51502</v>
      </c>
      <c r="AD105" s="2">
        <v>51867</v>
      </c>
      <c r="AE105" s="2">
        <v>52232</v>
      </c>
      <c r="AF105" s="2">
        <v>52597</v>
      </c>
      <c r="AG105" s="2">
        <v>52963</v>
      </c>
      <c r="AH105" s="2">
        <v>53328</v>
      </c>
      <c r="AI105" s="2">
        <v>53693</v>
      </c>
      <c r="AJ105" s="2">
        <v>54058</v>
      </c>
      <c r="AK105" s="2">
        <v>54424</v>
      </c>
      <c r="AL105" s="2">
        <v>54789</v>
      </c>
    </row>
    <row r="106" spans="2:38" x14ac:dyDescent="0.35">
      <c r="B106" t="s">
        <v>7</v>
      </c>
      <c r="C106" s="6">
        <f>[1]Production!B4+[1]Production!B6</f>
        <v>88273.518200999999</v>
      </c>
      <c r="D106" s="6">
        <f>[1]Production!C4+[1]Production!C6</f>
        <v>89585.989665000001</v>
      </c>
      <c r="E106" s="6">
        <f>[1]Production!D4+[1]Production!D6</f>
        <v>91144.976079</v>
      </c>
      <c r="F106" s="6">
        <f>[1]Production!E4+[1]Production!E6</f>
        <v>92935.497317000001</v>
      </c>
      <c r="G106" s="6">
        <f>[1]Production!F4+[1]Production!F6</f>
        <v>94945.214682000005</v>
      </c>
      <c r="H106" s="6">
        <f>[1]Production!G4+[1]Production!G6</f>
        <v>97145.214074000003</v>
      </c>
      <c r="I106" s="6">
        <f>[1]Production!H4+[1]Production!H6</f>
        <v>99524.709888000012</v>
      </c>
      <c r="J106" s="6">
        <f>[1]Production!I4+[1]Production!I6</f>
        <v>102014.103743</v>
      </c>
      <c r="K106" s="6">
        <f>[1]Production!J4+[1]Production!J6</f>
        <v>104576.615479</v>
      </c>
      <c r="L106" s="6">
        <f>[1]Production!K4+[1]Production!K6</f>
        <v>107185.52893900001</v>
      </c>
      <c r="M106" s="6">
        <f>[1]Production!L4+[1]Production!L6</f>
        <v>109746.561825</v>
      </c>
      <c r="N106" s="6">
        <f>[1]Production!M4+[1]Production!M6</f>
        <v>111918.90980699999</v>
      </c>
      <c r="O106" s="6">
        <f>[1]Production!N4+[1]Production!N6</f>
        <v>113814.28515900001</v>
      </c>
      <c r="P106" s="6">
        <f>[1]Production!O4+[1]Production!O6</f>
        <v>115497.274764</v>
      </c>
      <c r="Q106" s="6">
        <f>[1]Production!P4+[1]Production!P6</f>
        <v>117029.655501</v>
      </c>
      <c r="R106" s="6">
        <f>[1]Production!Q4+[1]Production!Q6</f>
        <v>118473.224965</v>
      </c>
      <c r="S106" s="6">
        <f>[1]Production!R4+[1]Production!R6</f>
        <v>119915.27971900001</v>
      </c>
      <c r="T106" s="6">
        <f>[1]Production!S4+[1]Production!S6</f>
        <v>121396.60952699999</v>
      </c>
      <c r="U106" s="6">
        <f>[1]Production!T4+[1]Production!T6</f>
        <v>122968.37155</v>
      </c>
      <c r="V106" s="6">
        <f>[1]Production!U4+[1]Production!U6</f>
        <v>124668.75718100001</v>
      </c>
      <c r="W106" s="6">
        <f>[1]Production!V4+[1]Production!V6</f>
        <v>126512.85004</v>
      </c>
      <c r="X106" s="6">
        <f>[1]Production!W4+[1]Production!W6</f>
        <v>128550.916833</v>
      </c>
      <c r="Y106" s="6">
        <f>[1]Production!X4+[1]Production!X6</f>
        <v>130823.583118</v>
      </c>
      <c r="Z106" s="6">
        <f>[1]Production!Y4+[1]Production!Y6</f>
        <v>133355.29158699999</v>
      </c>
      <c r="AA106" s="6">
        <f>[1]Production!Z4+[1]Production!Z6</f>
        <v>136152.55324000001</v>
      </c>
      <c r="AB106" s="6">
        <f>[1]Production!AA4+[1]Production!AA6</f>
        <v>139166.02386299998</v>
      </c>
      <c r="AC106" s="6">
        <f>[1]Production!AB4+[1]Production!AB6</f>
        <v>142246.51173</v>
      </c>
      <c r="AD106" s="6">
        <f>[1]Production!AC4+[1]Production!AC6</f>
        <v>145532.55500699999</v>
      </c>
      <c r="AE106" s="6">
        <f>[1]Production!AD4+[1]Production!AD6</f>
        <v>149078.06084600001</v>
      </c>
      <c r="AF106" s="6">
        <f>[1]Production!AE4+[1]Production!AE6</f>
        <v>152871.641401</v>
      </c>
      <c r="AG106" s="6">
        <f>[1]Production!AF4+[1]Production!AF6</f>
        <v>156872.115062</v>
      </c>
      <c r="AH106" s="6">
        <f>[1]Production!AG4+[1]Production!AG6</f>
        <v>161033.09326600001</v>
      </c>
      <c r="AI106" s="6">
        <f>[1]Production!AH4+[1]Production!AH6</f>
        <v>165324.518308</v>
      </c>
      <c r="AJ106" s="6">
        <f>[1]Production!AI4+[1]Production!AI6</f>
        <v>169712.19360900001</v>
      </c>
      <c r="AK106" s="6">
        <f>[1]Production!AJ4+[1]Production!AJ6</f>
        <v>174159.09323900001</v>
      </c>
      <c r="AL106" s="6">
        <f>[1]Production!AK4+[1]Production!AK6</f>
        <v>178626.67539799999</v>
      </c>
    </row>
    <row r="107" spans="2:38" x14ac:dyDescent="0.35">
      <c r="B107" t="s">
        <v>8</v>
      </c>
      <c r="C107" s="6">
        <f>[1]Production!B8+[1]Production!B10+[1]Production!B12+[1]Production!B14+[1]Production!B16+[1]Production!B18+[1]Production!B20+[1]Production!B22+[1]Production!B24+[1]Production!B26+[1]Production!B40</f>
        <v>978814.98859800003</v>
      </c>
      <c r="D107" s="6">
        <f>[1]Production!C8+[1]Production!C10+[1]Production!C12+[1]Production!C14+[1]Production!C16+[1]Production!C18+[1]Production!C20+[1]Production!C22+[1]Production!C24+[1]Production!C26+[1]Production!C40</f>
        <v>1000838.028757</v>
      </c>
      <c r="E107" s="6">
        <f>[1]Production!D8+[1]Production!D10+[1]Production!D12+[1]Production!D14+[1]Production!D16+[1]Production!D18+[1]Production!D20+[1]Production!D22+[1]Production!D24+[1]Production!D26+[1]Production!D40</f>
        <v>1025333.6772450001</v>
      </c>
      <c r="F107" s="6">
        <f>[1]Production!E8+[1]Production!E10+[1]Production!E12+[1]Production!E14+[1]Production!E16+[1]Production!E18+[1]Production!E20+[1]Production!E22+[1]Production!E24+[1]Production!E26+[1]Production!E40</f>
        <v>1051520.495531</v>
      </c>
      <c r="G107" s="6">
        <f>[1]Production!F8+[1]Production!F10+[1]Production!F12+[1]Production!F14+[1]Production!F16+[1]Production!F18+[1]Production!F20+[1]Production!F22+[1]Production!F24+[1]Production!F26+[1]Production!F40</f>
        <v>1079233.8224170001</v>
      </c>
      <c r="H107" s="6">
        <f>[1]Production!G8+[1]Production!G10+[1]Production!G12+[1]Production!G14+[1]Production!G16+[1]Production!G18+[1]Production!G20+[1]Production!G22+[1]Production!G24+[1]Production!G26+[1]Production!G40</f>
        <v>1108343.7712650001</v>
      </c>
      <c r="I107" s="6">
        <f>[1]Production!H8+[1]Production!H10+[1]Production!H12+[1]Production!H14+[1]Production!H16+[1]Production!H18+[1]Production!H20+[1]Production!H22+[1]Production!H24+[1]Production!H26+[1]Production!H40</f>
        <v>1138838.1345859999</v>
      </c>
      <c r="J107" s="6">
        <f>[1]Production!I8+[1]Production!I10+[1]Production!I12+[1]Production!I14+[1]Production!I16+[1]Production!I18+[1]Production!I20+[1]Production!I22+[1]Production!I24+[1]Production!I26+[1]Production!I40</f>
        <v>1170372.7097680001</v>
      </c>
      <c r="K107" s="6">
        <f>[1]Production!J8+[1]Production!J10+[1]Production!J12+[1]Production!J14+[1]Production!J16+[1]Production!J18+[1]Production!J20+[1]Production!J22+[1]Production!J24+[1]Production!J26+[1]Production!J40</f>
        <v>1202755.6401820001</v>
      </c>
      <c r="L107" s="6">
        <f>[1]Production!K8+[1]Production!K10+[1]Production!K12+[1]Production!K14+[1]Production!K16+[1]Production!K18+[1]Production!K20+[1]Production!K22+[1]Production!K24+[1]Production!K26+[1]Production!K40</f>
        <v>1235847.8098079998</v>
      </c>
      <c r="M107" s="6">
        <f>[1]Production!L8+[1]Production!L10+[1]Production!L12+[1]Production!L14+[1]Production!L16+[1]Production!L18+[1]Production!L20+[1]Production!L22+[1]Production!L24+[1]Production!L26+[1]Production!L40</f>
        <v>1268244.049257</v>
      </c>
      <c r="N107" s="6">
        <f>[1]Production!M8+[1]Production!M10+[1]Production!M12+[1]Production!M14+[1]Production!M16+[1]Production!M18+[1]Production!M20+[1]Production!M22+[1]Production!M24+[1]Production!M26+[1]Production!M40</f>
        <v>1296356.280032</v>
      </c>
      <c r="O107" s="6">
        <f>[1]Production!N8+[1]Production!N10+[1]Production!N12+[1]Production!N14+[1]Production!N16+[1]Production!N18+[1]Production!N20+[1]Production!N22+[1]Production!N24+[1]Production!N26+[1]Production!N40</f>
        <v>1321754.682755</v>
      </c>
      <c r="P107" s="6">
        <f>[1]Production!O8+[1]Production!O10+[1]Production!O12+[1]Production!O14+[1]Production!O16+[1]Production!O18+[1]Production!O20+[1]Production!O22+[1]Production!O24+[1]Production!O26+[1]Production!O40</f>
        <v>1345318.4251500003</v>
      </c>
      <c r="Q107" s="6">
        <f>[1]Production!P8+[1]Production!P10+[1]Production!P12+[1]Production!P14+[1]Production!P16+[1]Production!P18+[1]Production!P20+[1]Production!P22+[1]Production!P24+[1]Production!P26+[1]Production!P40</f>
        <v>1367997.2478740001</v>
      </c>
      <c r="R107" s="6">
        <f>[1]Production!Q8+[1]Production!Q10+[1]Production!Q12+[1]Production!Q14+[1]Production!Q16+[1]Production!Q18+[1]Production!Q20+[1]Production!Q22+[1]Production!Q24+[1]Production!Q26+[1]Production!Q40</f>
        <v>1390651.2758159998</v>
      </c>
      <c r="S107" s="6">
        <f>[1]Production!R8+[1]Production!R10+[1]Production!R12+[1]Production!R14+[1]Production!R16+[1]Production!R18+[1]Production!R20+[1]Production!R22+[1]Production!R24+[1]Production!R26+[1]Production!R40</f>
        <v>1413995.656154</v>
      </c>
      <c r="T107" s="6">
        <f>[1]Production!S8+[1]Production!S10+[1]Production!S12+[1]Production!S14+[1]Production!S16+[1]Production!S18+[1]Production!S20+[1]Production!S22+[1]Production!S24+[1]Production!S26+[1]Production!S40</f>
        <v>1438741.3509630002</v>
      </c>
      <c r="U107" s="6">
        <f>[1]Production!T8+[1]Production!T10+[1]Production!T12+[1]Production!T14+[1]Production!T16+[1]Production!T18+[1]Production!T20+[1]Production!T22+[1]Production!T24+[1]Production!T26+[1]Production!T40</f>
        <v>1465469.6655219998</v>
      </c>
      <c r="V107" s="6">
        <f>[1]Production!U8+[1]Production!U10+[1]Production!U12+[1]Production!U14+[1]Production!U16+[1]Production!U18+[1]Production!U20+[1]Production!U22+[1]Production!U24+[1]Production!U26+[1]Production!U40</f>
        <v>1494526.8418500002</v>
      </c>
      <c r="W107" s="6">
        <f>[1]Production!V8+[1]Production!V10+[1]Production!V12+[1]Production!V14+[1]Production!V16+[1]Production!V18+[1]Production!V20+[1]Production!V22+[1]Production!V24+[1]Production!V26+[1]Production!V40</f>
        <v>1526097.2507480001</v>
      </c>
      <c r="X107" s="6">
        <f>[1]Production!W8+[1]Production!W10+[1]Production!W12+[1]Production!W14+[1]Production!W16+[1]Production!W18+[1]Production!W20+[1]Production!W22+[1]Production!W24+[1]Production!W26+[1]Production!W40</f>
        <v>1560678.2284890001</v>
      </c>
      <c r="Y107" s="6">
        <f>[1]Production!X8+[1]Production!X10+[1]Production!X12+[1]Production!X14+[1]Production!X16+[1]Production!X18+[1]Production!X20+[1]Production!X22+[1]Production!X24+[1]Production!X26+[1]Production!X40</f>
        <v>1598628.1428440001</v>
      </c>
      <c r="Z107" s="6">
        <f>[1]Production!Y8+[1]Production!Y10+[1]Production!Y12+[1]Production!Y14+[1]Production!Y16+[1]Production!Y18+[1]Production!Y20+[1]Production!Y22+[1]Production!Y24+[1]Production!Y26+[1]Production!Y40</f>
        <v>1640139.640078</v>
      </c>
      <c r="AA107" s="6">
        <f>[1]Production!Z8+[1]Production!Z10+[1]Production!Z12+[1]Production!Z14+[1]Production!Z16+[1]Production!Z18+[1]Production!Z20+[1]Production!Z22+[1]Production!Z24+[1]Production!Z26+[1]Production!Z40</f>
        <v>1685208.7593030001</v>
      </c>
      <c r="AB107" s="6">
        <f>[1]Production!AA8+[1]Production!AA10+[1]Production!AA12+[1]Production!AA14+[1]Production!AA16+[1]Production!AA18+[1]Production!AA20+[1]Production!AA22+[1]Production!AA24+[1]Production!AA26+[1]Production!AA40</f>
        <v>1733500.4992120001</v>
      </c>
      <c r="AC107" s="6">
        <f>[1]Production!AB8+[1]Production!AB10+[1]Production!AB12+[1]Production!AB14+[1]Production!AB16+[1]Production!AB18+[1]Production!AB20+[1]Production!AB22+[1]Production!AB24+[1]Production!AB26+[1]Production!AB40</f>
        <v>1784179.9339190004</v>
      </c>
      <c r="AD107" s="6">
        <f>[1]Production!AC8+[1]Production!AC10+[1]Production!AC12+[1]Production!AC14+[1]Production!AC16+[1]Production!AC18+[1]Production!AC20+[1]Production!AC22+[1]Production!AC24+[1]Production!AC26+[1]Production!AC40</f>
        <v>1837546.1692969997</v>
      </c>
      <c r="AE107" s="6">
        <f>[1]Production!AD8+[1]Production!AD10+[1]Production!AD12+[1]Production!AD14+[1]Production!AD16+[1]Production!AD18+[1]Production!AD20+[1]Production!AD22+[1]Production!AD24+[1]Production!AD26+[1]Production!AD40</f>
        <v>1893894.6890430001</v>
      </c>
      <c r="AF107" s="6">
        <f>[1]Production!AE8+[1]Production!AE10+[1]Production!AE12+[1]Production!AE14+[1]Production!AE16+[1]Production!AE18+[1]Production!AE20+[1]Production!AE22+[1]Production!AE24+[1]Production!AE26+[1]Production!AE40</f>
        <v>1952980.0028300001</v>
      </c>
      <c r="AG107" s="6">
        <f>[1]Production!AF8+[1]Production!AF10+[1]Production!AF12+[1]Production!AF14+[1]Production!AF16+[1]Production!AF18+[1]Production!AF20+[1]Production!AF22+[1]Production!AF24+[1]Production!AF26+[1]Production!AF40</f>
        <v>2014284.549567</v>
      </c>
      <c r="AH107" s="6">
        <f>[1]Production!AG8+[1]Production!AG10+[1]Production!AG12+[1]Production!AG14+[1]Production!AG16+[1]Production!AG18+[1]Production!AG20+[1]Production!AG22+[1]Production!AG24+[1]Production!AG26+[1]Production!AG40</f>
        <v>2077407.0261200001</v>
      </c>
      <c r="AI107" s="6">
        <f>[1]Production!AH8+[1]Production!AH10+[1]Production!AH12+[1]Production!AH14+[1]Production!AH16+[1]Production!AH18+[1]Production!AH20+[1]Production!AH22+[1]Production!AH24+[1]Production!AH26+[1]Production!AH40</f>
        <v>2142018.3059090003</v>
      </c>
      <c r="AJ107" s="6">
        <f>[1]Production!AI8+[1]Production!AI10+[1]Production!AI12+[1]Production!AI14+[1]Production!AI16+[1]Production!AI18+[1]Production!AI20+[1]Production!AI22+[1]Production!AI24+[1]Production!AI26+[1]Production!AI40</f>
        <v>2207789.692818</v>
      </c>
      <c r="AK107" s="6">
        <f>[1]Production!AJ8+[1]Production!AJ10+[1]Production!AJ12+[1]Production!AJ14+[1]Production!AJ16+[1]Production!AJ18+[1]Production!AJ20+[1]Production!AJ22+[1]Production!AJ24+[1]Production!AJ26+[1]Production!AJ40</f>
        <v>2274381.779871</v>
      </c>
      <c r="AL107" s="6">
        <f>[1]Production!AK8+[1]Production!AK10+[1]Production!AK12+[1]Production!AK14+[1]Production!AK16+[1]Production!AK18+[1]Production!AK20+[1]Production!AK22+[1]Production!AK24+[1]Production!AK26+[1]Production!AK40</f>
        <v>2341436.0997509998</v>
      </c>
    </row>
    <row r="108" spans="2:38" x14ac:dyDescent="0.35">
      <c r="B108" t="s">
        <v>9</v>
      </c>
      <c r="C108" s="6">
        <f>[1]Production!B28+[1]Production!B30+[1]Production!B32+[1]Production!B34</f>
        <v>120902.21939</v>
      </c>
      <c r="D108" s="6">
        <f>[1]Production!C28+[1]Production!C30+[1]Production!C32+[1]Production!C34</f>
        <v>123414.84381100001</v>
      </c>
      <c r="E108" s="6">
        <f>[1]Production!D28+[1]Production!D30+[1]Production!D32+[1]Production!D34</f>
        <v>126092.07299300001</v>
      </c>
      <c r="F108" s="6">
        <f>[1]Production!E28+[1]Production!E30+[1]Production!E32+[1]Production!E34</f>
        <v>128890.55428400001</v>
      </c>
      <c r="G108" s="6">
        <f>[1]Production!F28+[1]Production!F30+[1]Production!F32+[1]Production!F34</f>
        <v>131854.30036300002</v>
      </c>
      <c r="H108" s="6">
        <f>[1]Production!G28+[1]Production!G30+[1]Production!G32+[1]Production!G34</f>
        <v>134992.57588800002</v>
      </c>
      <c r="I108" s="6">
        <f>[1]Production!H28+[1]Production!H30+[1]Production!H32+[1]Production!H34</f>
        <v>138289.07834399998</v>
      </c>
      <c r="J108" s="6">
        <f>[1]Production!I28+[1]Production!I30+[1]Production!I32+[1]Production!I34</f>
        <v>141617.96836100001</v>
      </c>
      <c r="K108" s="6">
        <f>[1]Production!J28+[1]Production!J30+[1]Production!J32+[1]Production!J34</f>
        <v>144882.70910000001</v>
      </c>
      <c r="L108" s="6">
        <f>[1]Production!K28+[1]Production!K30+[1]Production!K32+[1]Production!K34</f>
        <v>148001.36058899999</v>
      </c>
      <c r="M108" s="6">
        <f>[1]Production!L28+[1]Production!L30+[1]Production!L32+[1]Production!L34</f>
        <v>150735.857899</v>
      </c>
      <c r="N108" s="6">
        <f>[1]Production!M28+[1]Production!M30+[1]Production!M32+[1]Production!M34</f>
        <v>152847.14754600002</v>
      </c>
      <c r="O108" s="6">
        <f>[1]Production!N28+[1]Production!N30+[1]Production!N32+[1]Production!N34</f>
        <v>154638.36337499999</v>
      </c>
      <c r="P108" s="6">
        <f>[1]Production!O28+[1]Production!O30+[1]Production!O32+[1]Production!O34</f>
        <v>156229.562018</v>
      </c>
      <c r="Q108" s="6">
        <f>[1]Production!P28+[1]Production!P30+[1]Production!P32+[1]Production!P34</f>
        <v>157716.11676999999</v>
      </c>
      <c r="R108" s="6">
        <f>[1]Production!Q28+[1]Production!Q30+[1]Production!Q32+[1]Production!Q34</f>
        <v>159177.63347299999</v>
      </c>
      <c r="S108" s="6">
        <f>[1]Production!R28+[1]Production!R30+[1]Production!R32+[1]Production!R34</f>
        <v>160661.905355</v>
      </c>
      <c r="T108" s="6">
        <f>[1]Production!S28+[1]Production!S30+[1]Production!S32+[1]Production!S34</f>
        <v>162231.56307500001</v>
      </c>
      <c r="U108" s="6">
        <f>[1]Production!T28+[1]Production!T30+[1]Production!T32+[1]Production!T34</f>
        <v>163945.65467800002</v>
      </c>
      <c r="V108" s="6">
        <f>[1]Production!U28+[1]Production!U30+[1]Production!U32+[1]Production!U34</f>
        <v>165840.76775900001</v>
      </c>
      <c r="W108" s="6">
        <f>[1]Production!V28+[1]Production!V30+[1]Production!V32+[1]Production!V34</f>
        <v>167935.282546</v>
      </c>
      <c r="X108" s="6">
        <f>[1]Production!W28+[1]Production!W30+[1]Production!W32+[1]Production!W34</f>
        <v>170311.73346900003</v>
      </c>
      <c r="Y108" s="6">
        <f>[1]Production!X28+[1]Production!X30+[1]Production!X32+[1]Production!X34</f>
        <v>173016.58162299998</v>
      </c>
      <c r="Z108" s="6">
        <f>[1]Production!Y28+[1]Production!Y30+[1]Production!Y32+[1]Production!Y34</f>
        <v>176065.025823</v>
      </c>
      <c r="AA108" s="6">
        <f>[1]Production!Z28+[1]Production!Z30+[1]Production!Z32+[1]Production!Z34</f>
        <v>179446.380794</v>
      </c>
      <c r="AB108" s="6">
        <f>[1]Production!AA28+[1]Production!AA30+[1]Production!AA32+[1]Production!AA34</f>
        <v>183108.69378</v>
      </c>
      <c r="AC108" s="6">
        <f>[1]Production!AB28+[1]Production!AB30+[1]Production!AB32+[1]Production!AB34</f>
        <v>187052.47620999999</v>
      </c>
      <c r="AD108" s="6">
        <f>[1]Production!AC28+[1]Production!AC30+[1]Production!AC32+[1]Production!AC34</f>
        <v>191323.50133</v>
      </c>
      <c r="AE108" s="6">
        <f>[1]Production!AD28+[1]Production!AD30+[1]Production!AD32+[1]Production!AD34</f>
        <v>195936.07139000003</v>
      </c>
      <c r="AF108" s="6">
        <f>[1]Production!AE28+[1]Production!AE30+[1]Production!AE32+[1]Production!AE34</f>
        <v>200840.59086</v>
      </c>
      <c r="AG108" s="6">
        <f>[1]Production!AF28+[1]Production!AF30+[1]Production!AF32+[1]Production!AF34</f>
        <v>205961.93683000002</v>
      </c>
      <c r="AH108" s="6">
        <f>[1]Production!AG28+[1]Production!AG30+[1]Production!AG32+[1]Production!AG34</f>
        <v>211257.18656</v>
      </c>
      <c r="AI108" s="6">
        <f>[1]Production!AH28+[1]Production!AH30+[1]Production!AH32+[1]Production!AH34</f>
        <v>216686.68999000001</v>
      </c>
      <c r="AJ108" s="6">
        <f>[1]Production!AI28+[1]Production!AI30+[1]Production!AI32+[1]Production!AI34</f>
        <v>222206.63193999999</v>
      </c>
      <c r="AK108" s="6">
        <f>[1]Production!AJ28+[1]Production!AJ30+[1]Production!AJ32+[1]Production!AJ34</f>
        <v>227771.97122999997</v>
      </c>
      <c r="AL108" s="6">
        <f>[1]Production!AK28+[1]Production!AK30+[1]Production!AK32+[1]Production!AK34</f>
        <v>233337.40883999999</v>
      </c>
    </row>
    <row r="109" spans="2:38" x14ac:dyDescent="0.35">
      <c r="B109" t="s">
        <v>10</v>
      </c>
      <c r="C109" s="6">
        <f>[1]Production!B36+[1]Production!B38</f>
        <v>2556653.3347</v>
      </c>
      <c r="D109" s="6">
        <f>[1]Production!C36+[1]Production!C38</f>
        <v>2600195.6688999999</v>
      </c>
      <c r="E109" s="6">
        <f>[1]Production!D36+[1]Production!D38</f>
        <v>2649783.0280999998</v>
      </c>
      <c r="F109" s="6">
        <f>[1]Production!E36+[1]Production!E38</f>
        <v>2704431.7061999999</v>
      </c>
      <c r="G109" s="6">
        <f>[1]Production!F36+[1]Production!F38</f>
        <v>2762881.0500999996</v>
      </c>
      <c r="H109" s="6">
        <f>[1]Production!G36+[1]Production!G38</f>
        <v>2824651.7889999999</v>
      </c>
      <c r="I109" s="6">
        <f>[1]Production!H36+[1]Production!H38</f>
        <v>2889276.7042</v>
      </c>
      <c r="J109" s="6">
        <f>[1]Production!I36+[1]Production!I38</f>
        <v>2956884.7689999999</v>
      </c>
      <c r="K109" s="6">
        <f>[1]Production!J36+[1]Production!J38</f>
        <v>3027176.6617000001</v>
      </c>
      <c r="L109" s="6">
        <f>[1]Production!K36+[1]Production!K38</f>
        <v>3100165.9788000002</v>
      </c>
      <c r="M109" s="6">
        <f>[1]Production!L36+[1]Production!L38</f>
        <v>3174693.4838999999</v>
      </c>
      <c r="N109" s="6">
        <f>[1]Production!M36+[1]Production!M38</f>
        <v>3241640.5386999999</v>
      </c>
      <c r="O109" s="6">
        <f>[1]Production!N36+[1]Production!N38</f>
        <v>3302468.4497999996</v>
      </c>
      <c r="P109" s="6">
        <f>[1]Production!O36+[1]Production!O38</f>
        <v>3358063.1557</v>
      </c>
      <c r="Q109" s="6">
        <f>[1]Production!P36+[1]Production!P38</f>
        <v>3409601.7930999999</v>
      </c>
      <c r="R109" s="6">
        <f>[1]Production!Q36+[1]Production!Q38</f>
        <v>3458492.639</v>
      </c>
      <c r="S109" s="6">
        <f>[1]Production!R36+[1]Production!R38</f>
        <v>3506504.6509999996</v>
      </c>
      <c r="T109" s="6">
        <f>[1]Production!S36+[1]Production!S38</f>
        <v>3555172.1147999996</v>
      </c>
      <c r="U109" s="6">
        <f>[1]Production!T36+[1]Production!T38</f>
        <v>3605889.8862999999</v>
      </c>
      <c r="V109" s="6">
        <f>[1]Production!U36+[1]Production!U38</f>
        <v>3659677.7389000002</v>
      </c>
      <c r="W109" s="6">
        <f>[1]Production!V36+[1]Production!V38</f>
        <v>3716950.0954</v>
      </c>
      <c r="X109" s="6">
        <f>[1]Production!W36+[1]Production!W38</f>
        <v>3778701.3863999997</v>
      </c>
      <c r="Y109" s="6">
        <f>[1]Production!X36+[1]Production!X38</f>
        <v>3845778.7280000001</v>
      </c>
      <c r="Z109" s="6">
        <f>[1]Production!Y36+[1]Production!Y38</f>
        <v>3918734.3045000001</v>
      </c>
      <c r="AA109" s="6">
        <f>[1]Production!Z36+[1]Production!Z38</f>
        <v>3997770.4301999998</v>
      </c>
      <c r="AB109" s="6">
        <f>[1]Production!AA36+[1]Production!AA38</f>
        <v>4081761.4054</v>
      </c>
      <c r="AC109" s="6">
        <f>[1]Production!AB36+[1]Production!AB38</f>
        <v>4169703.4221000001</v>
      </c>
      <c r="AD109" s="6">
        <f>[1]Production!AC36+[1]Production!AC38</f>
        <v>4262555.6009</v>
      </c>
      <c r="AE109" s="6">
        <f>[1]Production!AD36+[1]Production!AD38</f>
        <v>4361074.0870000003</v>
      </c>
      <c r="AF109" s="6">
        <f>[1]Production!AE36+[1]Production!AE38</f>
        <v>4465127.0229000002</v>
      </c>
      <c r="AG109" s="6">
        <f>[1]Production!AF36+[1]Production!AF38</f>
        <v>4574001.4982000003</v>
      </c>
      <c r="AH109" s="6">
        <f>[1]Production!AG36+[1]Production!AG38</f>
        <v>4686700.1972000003</v>
      </c>
      <c r="AI109" s="6">
        <f>[1]Production!AH36+[1]Production!AH38</f>
        <v>4802559.8746999996</v>
      </c>
      <c r="AJ109" s="6">
        <f>[1]Production!AI36+[1]Production!AI38</f>
        <v>4920833.3452000003</v>
      </c>
      <c r="AK109" s="6">
        <f>[1]Production!AJ36+[1]Production!AJ38</f>
        <v>5040725.8946000002</v>
      </c>
      <c r="AL109" s="6">
        <f>[1]Production!AK36+[1]Production!AK38</f>
        <v>5161411.0927999998</v>
      </c>
    </row>
    <row r="110" spans="2:38" x14ac:dyDescent="0.35">
      <c r="B110" t="s">
        <v>12</v>
      </c>
      <c r="C110" s="6">
        <f>[1]Production!B42+[1]Production!B46+[1]Production!B44+[1]Production!B48</f>
        <v>40223.798414500001</v>
      </c>
      <c r="D110" s="6">
        <f>[1]Production!C42+[1]Production!C46+[1]Production!C44+[1]Production!C48</f>
        <v>40561.868598599998</v>
      </c>
      <c r="E110" s="6">
        <f>[1]Production!D42+[1]Production!D46+[1]Production!D44+[1]Production!D48</f>
        <v>40905.919196199997</v>
      </c>
      <c r="F110" s="6">
        <f>[1]Production!E42+[1]Production!E46+[1]Production!E44+[1]Production!E48</f>
        <v>41277.427428300005</v>
      </c>
      <c r="G110" s="6">
        <f>[1]Production!F42+[1]Production!F46+[1]Production!F44+[1]Production!F48</f>
        <v>41776.218451799999</v>
      </c>
      <c r="H110" s="6">
        <f>[1]Production!G42+[1]Production!G46+[1]Production!G44+[1]Production!G48</f>
        <v>42387.914567999993</v>
      </c>
      <c r="I110" s="6">
        <f>[1]Production!H42+[1]Production!H46+[1]Production!H44+[1]Production!H48</f>
        <v>43136.343306900002</v>
      </c>
      <c r="J110" s="6">
        <f>[1]Production!I42+[1]Production!I46+[1]Production!I44+[1]Production!I48</f>
        <v>43854.838625099997</v>
      </c>
      <c r="K110" s="6">
        <f>[1]Production!J42+[1]Production!J46+[1]Production!J44+[1]Production!J48</f>
        <v>44501.702303399994</v>
      </c>
      <c r="L110" s="6">
        <f>[1]Production!K42+[1]Production!K46+[1]Production!K44+[1]Production!K48</f>
        <v>45048.779337400003</v>
      </c>
      <c r="M110" s="6">
        <f>[1]Production!L42+[1]Production!L46+[1]Production!L44+[1]Production!L48</f>
        <v>45447.180231700004</v>
      </c>
      <c r="N110" s="6">
        <f>[1]Production!M42+[1]Production!M46+[1]Production!M44+[1]Production!M48</f>
        <v>45826.046898699999</v>
      </c>
      <c r="O110" s="6">
        <f>[1]Production!N42+[1]Production!N46+[1]Production!N44+[1]Production!N48</f>
        <v>46206.223563599997</v>
      </c>
      <c r="P110" s="6">
        <f>[1]Production!O42+[1]Production!O46+[1]Production!O44+[1]Production!O48</f>
        <v>46589.483223299998</v>
      </c>
      <c r="Q110" s="6">
        <f>[1]Production!P42+[1]Production!P46+[1]Production!P44+[1]Production!P48</f>
        <v>46976.591283800008</v>
      </c>
      <c r="R110" s="6">
        <f>[1]Production!Q42+[1]Production!Q46+[1]Production!Q44+[1]Production!Q48</f>
        <v>47370.331677500006</v>
      </c>
      <c r="S110" s="6">
        <f>[1]Production!R42+[1]Production!R46+[1]Production!R44+[1]Production!R48</f>
        <v>47748.93075800001</v>
      </c>
      <c r="T110" s="6">
        <f>[1]Production!S42+[1]Production!S46+[1]Production!S44+[1]Production!S48</f>
        <v>48138.475855999997</v>
      </c>
      <c r="U110" s="6">
        <f>[1]Production!T42+[1]Production!T46+[1]Production!T44+[1]Production!T48</f>
        <v>48549.586805399995</v>
      </c>
      <c r="V110" s="6">
        <f>[1]Production!U42+[1]Production!U46+[1]Production!U44+[1]Production!U48</f>
        <v>48989.336856400005</v>
      </c>
      <c r="W110" s="6">
        <f>[1]Production!V42+[1]Production!V46+[1]Production!V44+[1]Production!V48</f>
        <v>49462.61507639999</v>
      </c>
      <c r="X110" s="6">
        <f>[1]Production!W42+[1]Production!W46+[1]Production!W44+[1]Production!W48</f>
        <v>49999.920515399994</v>
      </c>
      <c r="Y110" s="6">
        <f>[1]Production!X42+[1]Production!X46+[1]Production!X44+[1]Production!X48</f>
        <v>50609.212424400001</v>
      </c>
      <c r="Z110" s="6">
        <f>[1]Production!Y42+[1]Production!Y46+[1]Production!Y44+[1]Production!Y48</f>
        <v>51294.313821299998</v>
      </c>
      <c r="AA110" s="6">
        <f>[1]Production!Z42+[1]Production!Z46+[1]Production!Z44+[1]Production!Z48</f>
        <v>52055.200785300003</v>
      </c>
      <c r="AB110" s="6">
        <f>[1]Production!AA42+[1]Production!AA46+[1]Production!AA44+[1]Production!AA48</f>
        <v>52884.968227000005</v>
      </c>
      <c r="AC110" s="6">
        <f>[1]Production!AB42+[1]Production!AB46+[1]Production!AB44+[1]Production!AB48</f>
        <v>53671.042122500003</v>
      </c>
      <c r="AD110" s="6">
        <f>[1]Production!AC42+[1]Production!AC46+[1]Production!AC44+[1]Production!AC48</f>
        <v>54486.462650100002</v>
      </c>
      <c r="AE110" s="6">
        <f>[1]Production!AD42+[1]Production!AD46+[1]Production!AD44+[1]Production!AD48</f>
        <v>55365.321005099999</v>
      </c>
      <c r="AF110" s="6">
        <f>[1]Production!AE42+[1]Production!AE46+[1]Production!AE44+[1]Production!AE48</f>
        <v>56306.917894699996</v>
      </c>
      <c r="AG110" s="6">
        <f>[1]Production!AF42+[1]Production!AF46+[1]Production!AF44+[1]Production!AF48</f>
        <v>57297.195339400001</v>
      </c>
      <c r="AH110" s="6">
        <f>[1]Production!AG42+[1]Production!AG46+[1]Production!AG44+[1]Production!AG48</f>
        <v>58330.803353599993</v>
      </c>
      <c r="AI110" s="6">
        <f>[1]Production!AH42+[1]Production!AH46+[1]Production!AH44+[1]Production!AH48</f>
        <v>59396.111951800005</v>
      </c>
      <c r="AJ110" s="6">
        <f>[1]Production!AI42+[1]Production!AI46+[1]Production!AI44+[1]Production!AI48</f>
        <v>60481.599314200001</v>
      </c>
      <c r="AK110" s="6">
        <f>[1]Production!AJ42+[1]Production!AJ46+[1]Production!AJ44+[1]Production!AJ48</f>
        <v>61575.781254600006</v>
      </c>
      <c r="AL110" s="6">
        <f>[1]Production!AK42+[1]Production!AK46+[1]Production!AK44+[1]Production!AK48</f>
        <v>62667.188177599994</v>
      </c>
    </row>
    <row r="111" spans="2:38" x14ac:dyDescent="0.35">
      <c r="B111" t="s">
        <v>11</v>
      </c>
      <c r="C111" s="6">
        <f>[1]Production!B50+[1]Production!B52+[1]Production!B54+[1]Production!B56+[1]Production!B58+[1]Production!B60+[1]Production!B62+[1]Production!B64+[1]Production!B66</f>
        <v>67903.900953499993</v>
      </c>
      <c r="D111" s="6">
        <f>[1]Production!C50+[1]Production!C52+[1]Production!C54+[1]Production!C56+[1]Production!C58+[1]Production!C60+[1]Production!C62+[1]Production!C64+[1]Production!C66</f>
        <v>68903.757258999991</v>
      </c>
      <c r="E111" s="6">
        <f>[1]Production!D50+[1]Production!D52+[1]Production!D54+[1]Production!D56+[1]Production!D58+[1]Production!D60+[1]Production!D62+[1]Production!D64+[1]Production!D66</f>
        <v>69846.37320799999</v>
      </c>
      <c r="F111" s="6">
        <f>[1]Production!E50+[1]Production!E52+[1]Production!E54+[1]Production!E56+[1]Production!E58+[1]Production!E60+[1]Production!E62+[1]Production!E64+[1]Production!E66</f>
        <v>70865.259230900003</v>
      </c>
      <c r="G111" s="6">
        <f>[1]Production!F50+[1]Production!F52+[1]Production!F54+[1]Production!F56+[1]Production!F58+[1]Production!F60+[1]Production!F62+[1]Production!F64+[1]Production!F66</f>
        <v>71794.614302600006</v>
      </c>
      <c r="H111" s="6">
        <f>[1]Production!G50+[1]Production!G52+[1]Production!G54+[1]Production!G56+[1]Production!G58+[1]Production!G60+[1]Production!G62+[1]Production!G64+[1]Production!G66</f>
        <v>72741.759965600009</v>
      </c>
      <c r="I111" s="6">
        <f>[1]Production!H50+[1]Production!H52+[1]Production!H54+[1]Production!H56+[1]Production!H58+[1]Production!H60+[1]Production!H62+[1]Production!H64+[1]Production!H66</f>
        <v>75843.15839880002</v>
      </c>
      <c r="J111" s="6">
        <f>[1]Production!I50+[1]Production!I52+[1]Production!I54+[1]Production!I56+[1]Production!I58+[1]Production!I60+[1]Production!I62+[1]Production!I64+[1]Production!I66</f>
        <v>79803.092464100002</v>
      </c>
      <c r="K111" s="6">
        <f>[1]Production!J50+[1]Production!J52+[1]Production!J54+[1]Production!J56+[1]Production!J58+[1]Production!J60+[1]Production!J62+[1]Production!J64+[1]Production!J66</f>
        <v>84298.969542799998</v>
      </c>
      <c r="L111" s="6">
        <f>[1]Production!K50+[1]Production!K52+[1]Production!K54+[1]Production!K56+[1]Production!K58+[1]Production!K60+[1]Production!K62+[1]Production!K64+[1]Production!K66</f>
        <v>89298.161714500005</v>
      </c>
      <c r="M111" s="6">
        <f>[1]Production!L50+[1]Production!L52+[1]Production!L54+[1]Production!L56+[1]Production!L58+[1]Production!L60+[1]Production!L62+[1]Production!L64+[1]Production!L66</f>
        <v>94810.72151019999</v>
      </c>
      <c r="N111" s="6">
        <f>[1]Production!M50+[1]Production!M52+[1]Production!M54+[1]Production!M56+[1]Production!M58+[1]Production!M60+[1]Production!M62+[1]Production!M64+[1]Production!M66</f>
        <v>98758.479269600008</v>
      </c>
      <c r="O111" s="6">
        <f>[1]Production!N50+[1]Production!N52+[1]Production!N54+[1]Production!N56+[1]Production!N58+[1]Production!N60+[1]Production!N62+[1]Production!N64+[1]Production!N66</f>
        <v>102311.46791780001</v>
      </c>
      <c r="P111" s="6">
        <f>[1]Production!O50+[1]Production!O52+[1]Production!O54+[1]Production!O56+[1]Production!O58+[1]Production!O60+[1]Production!O62+[1]Production!O64+[1]Production!O66</f>
        <v>105860.93664080001</v>
      </c>
      <c r="Q111" s="6">
        <f>[1]Production!P50+[1]Production!P52+[1]Production!P54+[1]Production!P56+[1]Production!P58+[1]Production!P60+[1]Production!P62+[1]Production!P64+[1]Production!P66</f>
        <v>109570.1024414</v>
      </c>
      <c r="R111" s="6">
        <f>[1]Production!Q50+[1]Production!Q52+[1]Production!Q54+[1]Production!Q56+[1]Production!Q58+[1]Production!Q60+[1]Production!Q62+[1]Production!Q64+[1]Production!Q66</f>
        <v>113529.72919500002</v>
      </c>
      <c r="S111" s="6">
        <f>[1]Production!R50+[1]Production!R52+[1]Production!R54+[1]Production!R56+[1]Production!R58+[1]Production!R60+[1]Production!R62+[1]Production!R64+[1]Production!R66</f>
        <v>118057.7112144</v>
      </c>
      <c r="T111" s="6">
        <f>[1]Production!S50+[1]Production!S52+[1]Production!S54+[1]Production!S56+[1]Production!S58+[1]Production!S60+[1]Production!S62+[1]Production!S64+[1]Production!S66</f>
        <v>122981.7413061</v>
      </c>
      <c r="U111" s="6">
        <f>[1]Production!T50+[1]Production!T52+[1]Production!T54+[1]Production!T56+[1]Production!T58+[1]Production!T60+[1]Production!T62+[1]Production!T64+[1]Production!T66</f>
        <v>128324.91804675999</v>
      </c>
      <c r="V111" s="6">
        <f>[1]Production!U50+[1]Production!U52+[1]Production!U54+[1]Production!U56+[1]Production!U58+[1]Production!U60+[1]Production!U62+[1]Production!U64+[1]Production!U66</f>
        <v>134161.55845837001</v>
      </c>
      <c r="W111" s="6">
        <f>[1]Production!V50+[1]Production!V52+[1]Production!V54+[1]Production!V56+[1]Production!V58+[1]Production!V60+[1]Production!V62+[1]Production!V64+[1]Production!V66</f>
        <v>140573.91640995</v>
      </c>
      <c r="X111" s="6">
        <f>[1]Production!W50+[1]Production!W52+[1]Production!W54+[1]Production!W56+[1]Production!W58+[1]Production!W60+[1]Production!W62+[1]Production!W64+[1]Production!W66</f>
        <v>147640.73056921002</v>
      </c>
      <c r="Y111" s="6">
        <f>[1]Production!X50+[1]Production!X52+[1]Production!X54+[1]Production!X56+[1]Production!X58+[1]Production!X60+[1]Production!X62+[1]Production!X64+[1]Production!X66</f>
        <v>155567.84080885001</v>
      </c>
      <c r="Z111" s="6">
        <f>[1]Production!Y50+[1]Production!Y52+[1]Production!Y54+[1]Production!Y56+[1]Production!Y58+[1]Production!Y60+[1]Production!Y62+[1]Production!Y64+[1]Production!Y66</f>
        <v>164553.054186611</v>
      </c>
      <c r="AA111" s="6">
        <f>[1]Production!Z50+[1]Production!Z52+[1]Production!Z54+[1]Production!Z56+[1]Production!Z58+[1]Production!Z60+[1]Production!Z62+[1]Production!Z64+[1]Production!Z66</f>
        <v>174790.05420540701</v>
      </c>
      <c r="AB111" s="6">
        <f>[1]Production!AA50+[1]Production!AA52+[1]Production!AA54+[1]Production!AA56+[1]Production!AA58+[1]Production!AA60+[1]Production!AA62+[1]Production!AA64+[1]Production!AA66</f>
        <v>186427.267869823</v>
      </c>
      <c r="AC111" s="6">
        <f>[1]Production!AB50+[1]Production!AB52+[1]Production!AB54+[1]Production!AB56+[1]Production!AB58+[1]Production!AB60+[1]Production!AB62+[1]Production!AB64+[1]Production!AB66</f>
        <v>190909.901333952</v>
      </c>
      <c r="AD111" s="6">
        <f>[1]Production!AC50+[1]Production!AC52+[1]Production!AC54+[1]Production!AC56+[1]Production!AC58+[1]Production!AC60+[1]Production!AC62+[1]Production!AC64+[1]Production!AC66</f>
        <v>193811.11955730902</v>
      </c>
      <c r="AE111" s="6">
        <f>[1]Production!AD50+[1]Production!AD52+[1]Production!AD54+[1]Production!AD56+[1]Production!AD58+[1]Production!AD60+[1]Production!AD62+[1]Production!AD64+[1]Production!AD66</f>
        <v>196826.160989083</v>
      </c>
      <c r="AF111" s="6">
        <f>[1]Production!AE50+[1]Production!AE52+[1]Production!AE54+[1]Production!AE56+[1]Production!AE58+[1]Production!AE60+[1]Production!AE62+[1]Production!AE64+[1]Production!AE66</f>
        <v>200311.51666785299</v>
      </c>
      <c r="AG111" s="6">
        <f>[1]Production!AF50+[1]Production!AF52+[1]Production!AF54+[1]Production!AF56+[1]Production!AF58+[1]Production!AF60+[1]Production!AF62+[1]Production!AF64+[1]Production!AF66</f>
        <v>204231.89041569701</v>
      </c>
      <c r="AH111" s="6">
        <f>[1]Production!AG50+[1]Production!AG52+[1]Production!AG54+[1]Production!AG56+[1]Production!AG58+[1]Production!AG60+[1]Production!AG62+[1]Production!AG64+[1]Production!AG66</f>
        <v>208444.48768369097</v>
      </c>
      <c r="AI111" s="6">
        <f>[1]Production!AH50+[1]Production!AH52+[1]Production!AH54+[1]Production!AH56+[1]Production!AH58+[1]Production!AH60+[1]Production!AH62+[1]Production!AH64+[1]Production!AH66</f>
        <v>212883.91113257801</v>
      </c>
      <c r="AJ111" s="6">
        <f>[1]Production!AI50+[1]Production!AI52+[1]Production!AI54+[1]Production!AI56+[1]Production!AI58+[1]Production!AI60+[1]Production!AI62+[1]Production!AI64+[1]Production!AI66</f>
        <v>217489.64844765002</v>
      </c>
      <c r="AK111" s="6">
        <f>[1]Production!AJ50+[1]Production!AJ52+[1]Production!AJ54+[1]Production!AJ56+[1]Production!AJ58+[1]Production!AJ60+[1]Production!AJ62+[1]Production!AJ64+[1]Production!AJ66</f>
        <v>222203.76914491697</v>
      </c>
      <c r="AL111" s="6">
        <f>[1]Production!AK50+[1]Production!AK52+[1]Production!AK54+[1]Production!AK56+[1]Production!AK58+[1]Production!AK60+[1]Production!AK62+[1]Production!AK64+[1]Production!AK66</f>
        <v>226971.36439384299</v>
      </c>
    </row>
    <row r="113" spans="2:5" x14ac:dyDescent="0.35">
      <c r="B113" t="s">
        <v>16</v>
      </c>
      <c r="C113" s="8" t="s">
        <v>17</v>
      </c>
      <c r="D113" s="8" t="s">
        <v>18</v>
      </c>
      <c r="E113" s="8" t="s">
        <v>19</v>
      </c>
    </row>
    <row r="114" spans="2:5" x14ac:dyDescent="0.35">
      <c r="B114" t="s">
        <v>7</v>
      </c>
      <c r="C114" s="6">
        <f t="shared" ref="C114:C119" si="8">(R106-R98)/R105*100</f>
        <v>-2.838935361384876</v>
      </c>
      <c r="D114" s="6">
        <f t="shared" ref="D114:D119" si="9">(AB106-AB98)/AB105*100</f>
        <v>-8.6228385325407118</v>
      </c>
      <c r="E114" s="6">
        <f t="shared" ref="E114:E119" si="10">(AL106-AL98)/AL105*100</f>
        <v>-16.738071313584836</v>
      </c>
    </row>
    <row r="115" spans="2:5" x14ac:dyDescent="0.35">
      <c r="B115" t="s">
        <v>8</v>
      </c>
      <c r="C115" s="6">
        <f t="shared" si="8"/>
        <v>-10.903141944364547</v>
      </c>
      <c r="D115" s="6">
        <f t="shared" si="9"/>
        <v>-28.663501824460358</v>
      </c>
      <c r="E115" s="6">
        <f t="shared" si="10"/>
        <v>-32.476812500564463</v>
      </c>
    </row>
    <row r="116" spans="2:5" x14ac:dyDescent="0.35">
      <c r="B116" t="s">
        <v>9</v>
      </c>
      <c r="C116" s="6">
        <f t="shared" si="8"/>
        <v>-0.4012137209399313</v>
      </c>
      <c r="D116" s="6">
        <f t="shared" si="9"/>
        <v>-0.85879545155985293</v>
      </c>
      <c r="E116" s="6">
        <f t="shared" si="10"/>
        <v>-1.1761854749283442</v>
      </c>
    </row>
    <row r="117" spans="2:5" x14ac:dyDescent="0.35">
      <c r="B117" t="s">
        <v>10</v>
      </c>
      <c r="C117" s="6">
        <f t="shared" si="8"/>
        <v>7.6260998075832669</v>
      </c>
      <c r="D117" s="6">
        <f t="shared" si="9"/>
        <v>-4.2446607201176754</v>
      </c>
      <c r="E117" s="6">
        <f t="shared" si="10"/>
        <v>-18.390089318864405</v>
      </c>
    </row>
    <row r="118" spans="2:5" x14ac:dyDescent="0.35">
      <c r="B118" t="s">
        <v>12</v>
      </c>
      <c r="C118" s="6">
        <f t="shared" si="8"/>
        <v>-9.0779184257792328E-2</v>
      </c>
      <c r="D118" s="6">
        <f t="shared" si="9"/>
        <v>-0.16190265190555361</v>
      </c>
      <c r="E118" s="6">
        <f t="shared" si="10"/>
        <v>-0.23426288025510969</v>
      </c>
    </row>
    <row r="119" spans="2:5" x14ac:dyDescent="0.35">
      <c r="B119" t="s">
        <v>11</v>
      </c>
      <c r="C119" s="6">
        <f t="shared" si="8"/>
        <v>2.5524856258803181</v>
      </c>
      <c r="D119" s="6">
        <f t="shared" si="9"/>
        <v>-14.557682032480464</v>
      </c>
      <c r="E119" s="6">
        <f t="shared" si="10"/>
        <v>-28.645237801709065</v>
      </c>
    </row>
    <row r="120" spans="2:5" x14ac:dyDescent="0.35">
      <c r="C120" s="5"/>
      <c r="D120" s="5"/>
      <c r="E120" s="5"/>
    </row>
    <row r="121" spans="2:5" x14ac:dyDescent="0.35">
      <c r="B121" t="s">
        <v>16</v>
      </c>
      <c r="C121" s="8" t="s">
        <v>17</v>
      </c>
      <c r="D121" s="8" t="s">
        <v>18</v>
      </c>
      <c r="E121" s="8" t="s">
        <v>19</v>
      </c>
    </row>
    <row r="122" spans="2:5" x14ac:dyDescent="0.35">
      <c r="B122" t="s">
        <v>7</v>
      </c>
      <c r="C122" s="4">
        <f t="shared" ref="C122:C127" si="11">R106/R98-1</f>
        <v>-1.1250424260167646E-2</v>
      </c>
      <c r="D122" s="4">
        <f t="shared" ref="D122:D127" si="12">AB106/AB98-1</f>
        <v>-3.0711213451353747E-2</v>
      </c>
      <c r="E122" s="4">
        <f t="shared" ref="E122:E127" si="13">AL106/AL98-1</f>
        <v>-4.883255523022012E-2</v>
      </c>
    </row>
    <row r="123" spans="2:5" x14ac:dyDescent="0.35">
      <c r="B123" t="s">
        <v>8</v>
      </c>
      <c r="C123" s="4">
        <f t="shared" si="11"/>
        <v>-9.2031868416156959E-3</v>
      </c>
      <c r="D123" s="4">
        <f t="shared" si="12"/>
        <v>-2.2493556298256445E-2</v>
      </c>
      <c r="E123" s="4">
        <f t="shared" si="13"/>
        <v>-2.417732827641883E-2</v>
      </c>
    </row>
    <row r="124" spans="2:5" x14ac:dyDescent="0.35">
      <c r="B124" t="s">
        <v>9</v>
      </c>
      <c r="C124" s="4">
        <f t="shared" si="11"/>
        <v>-3.3864902613944703E-2</v>
      </c>
      <c r="D124" s="4">
        <f t="shared" si="12"/>
        <v>-7.518954758778329E-2</v>
      </c>
      <c r="E124" s="4">
        <f t="shared" si="13"/>
        <v>-0.10556556182240173</v>
      </c>
    </row>
    <row r="125" spans="2:5" x14ac:dyDescent="0.35">
      <c r="B125" t="s">
        <v>10</v>
      </c>
      <c r="C125" s="4">
        <f t="shared" si="11"/>
        <v>3.5222866341511061E-3</v>
      </c>
      <c r="D125" s="4">
        <f t="shared" si="12"/>
        <v>-1.9005449712747868E-3</v>
      </c>
      <c r="E125" s="4">
        <f t="shared" si="13"/>
        <v>-8.2452541333848384E-3</v>
      </c>
    </row>
    <row r="126" spans="2:5" x14ac:dyDescent="0.35">
      <c r="B126" t="s">
        <v>12</v>
      </c>
      <c r="C126" s="4">
        <f t="shared" si="11"/>
        <v>-6.2157913013514587E-2</v>
      </c>
      <c r="D126" s="4">
        <f t="shared" si="12"/>
        <v>-0.11107912150343713</v>
      </c>
      <c r="E126" s="4">
        <f t="shared" si="13"/>
        <v>-0.16173782252875291</v>
      </c>
    </row>
    <row r="127" spans="2:5" x14ac:dyDescent="0.35">
      <c r="B127" t="s">
        <v>11</v>
      </c>
      <c r="C127" s="4">
        <f t="shared" si="11"/>
        <v>1.0764907040921035E-2</v>
      </c>
      <c r="D127" s="4">
        <f t="shared" si="12"/>
        <v>-3.9658890688669901E-2</v>
      </c>
      <c r="E127" s="4">
        <f t="shared" si="13"/>
        <v>-7.3293237318318605E-2</v>
      </c>
    </row>
  </sheetData>
  <mergeCells count="3">
    <mergeCell ref="A56:A57"/>
    <mergeCell ref="A62:A63"/>
    <mergeCell ref="A59:A6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Graphiques</vt:lpstr>
      </vt:variant>
      <vt:variant>
        <vt:i4>7</vt:i4>
      </vt:variant>
    </vt:vector>
  </HeadingPairs>
  <TitlesOfParts>
    <vt:vector size="8" baseType="lpstr">
      <vt:lpstr>Données</vt:lpstr>
      <vt:lpstr>Gr Macro</vt:lpstr>
      <vt:lpstr>Gr inflation</vt:lpstr>
      <vt:lpstr>Gr émissions</vt:lpstr>
      <vt:lpstr>Gr VA secteurs (% dev)</vt:lpstr>
      <vt:lpstr>Gr VA secteurs (% share)</vt:lpstr>
      <vt:lpstr>Gr Y secteurs (% dev)</vt:lpstr>
      <vt:lpstr>Gr Y secteurs (% share)</vt:lpstr>
    </vt:vector>
  </TitlesOfParts>
  <Company>ADEME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JACQUETIN Florian</dc:creator>
  <cp:lastModifiedBy>JACQUETIN Florian</cp:lastModifiedBy>
  <dcterms:created xsi:type="dcterms:W3CDTF">2021-11-04T11:19:34Z</dcterms:created>
  <dcterms:modified xsi:type="dcterms:W3CDTF">2021-12-03T16:23:49Z</dcterms:modified>
</cp:coreProperties>
</file>